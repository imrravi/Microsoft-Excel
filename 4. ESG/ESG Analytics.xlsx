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Internsala\2.Excel\Assignment And solution\"/>
    </mc:Choice>
  </mc:AlternateContent>
  <xr:revisionPtr revIDLastSave="0" documentId="13_ncr:1_{CAFA8E53-FBB9-40AA-B276-EBBADFC97FA7}" xr6:coauthVersionLast="47" xr6:coauthVersionMax="47" xr10:uidLastSave="{00000000-0000-0000-0000-000000000000}"/>
  <bookViews>
    <workbookView xWindow="-110" yWindow="-110" windowWidth="19420" windowHeight="10300" firstSheet="9" activeTab="11" xr2:uid="{00000000-000D-0000-FFFF-FFFF00000000}"/>
  </bookViews>
  <sheets>
    <sheet name="Emission Data" sheetId="1" r:id="rId1"/>
    <sheet name="Operational Data" sheetId="2" r:id="rId2"/>
    <sheet name="Supplier Data" sheetId="3" r:id="rId3"/>
    <sheet name="Regulatory Benchmarks" sheetId="4" r:id="rId4"/>
    <sheet name="Emission" sheetId="5" r:id="rId5"/>
    <sheet name="Operational" sheetId="6" r:id="rId6"/>
    <sheet name="Suppliar" sheetId="7" r:id="rId7"/>
    <sheet name="Pivot Table &amp; chart" sheetId="8" r:id="rId8"/>
    <sheet name="Advance Function &amp; Outliers" sheetId="9" r:id="rId9"/>
    <sheet name="Merge operational &amp; suppliar" sheetId="10" r:id="rId10"/>
    <sheet name="Merge Pivot Table" sheetId="11" r:id="rId11"/>
    <sheet name="Dashboard" sheetId="12" r:id="rId12"/>
  </sheets>
  <definedNames>
    <definedName name="_xlnm._FilterDatabase" localSheetId="8" hidden="1">'Advance Function &amp; Outliers'!$K$30:$K$30</definedName>
    <definedName name="Energy_Consumption__MWh">'Advance Function &amp; Outliers'!$H$2:$H$2001</definedName>
    <definedName name="ExternalData_1" localSheetId="8" hidden="1">'Advance Function &amp; Outliers'!$A$1:$F$2001</definedName>
    <definedName name="ExternalData_1" localSheetId="4" hidden="1">Emission!$A$1:$G$2001</definedName>
    <definedName name="ExternalData_1" localSheetId="5" hidden="1">Operational!$A$1:$E$201</definedName>
    <definedName name="ExternalData_1" localSheetId="6" hidden="1">Suppliar!$A$1:$D$364</definedName>
    <definedName name="Production_Volume__units">'Advance Function &amp; Outliers'!$G$2:$G$2001</definedName>
    <definedName name="Waste__tons">'Advance Function &amp; Outliers'!$I$2:$I$2001</definedName>
  </definedName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1" l="1"/>
  <c r="S6" i="11"/>
  <c r="S7" i="11"/>
  <c r="S8" i="11"/>
  <c r="S4" i="1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2001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001" i="10"/>
  <c r="J2" i="10"/>
  <c r="L28" i="9"/>
  <c r="L27" i="9"/>
  <c r="L26" i="9"/>
  <c r="L25" i="9"/>
  <c r="L24" i="9"/>
  <c r="L21" i="9"/>
  <c r="L20" i="9"/>
  <c r="L19" i="9"/>
  <c r="L18" i="9"/>
  <c r="L17" i="9"/>
  <c r="L14" i="9"/>
  <c r="L13" i="9"/>
  <c r="L12" i="9"/>
  <c r="L11" i="9"/>
  <c r="L10" i="9"/>
  <c r="L4" i="9"/>
  <c r="L3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S8" i="8"/>
  <c r="L5" i="9" l="1"/>
  <c r="L6" i="9" s="1"/>
  <c r="L7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1F6DF-B7CD-4A7A-91C6-D0682D1C9A84}" keepAlive="1" name="Query - Emission" description="Connection to the 'Emission' query in the workbook." type="5" refreshedVersion="8" background="1" saveData="1">
    <dbPr connection="Provider=Microsoft.Mashup.OleDb.1;Data Source=$Workbook$;Location=Emission;Extended Properties=&quot;&quot;" command="SELECT * FROM [Emission]"/>
  </connection>
  <connection id="2" xr16:uid="{9F3DC285-859F-4DDF-9937-7A9757E940C3}" keepAlive="1" name="Query - Emission (2)" description="Connection to the 'Emission (2)' query in the workbook." type="5" refreshedVersion="8" background="1" saveData="1">
    <dbPr connection="Provider=Microsoft.Mashup.OleDb.1;Data Source=$Workbook$;Location=&quot;Emission (2)&quot;;Extended Properties=&quot;&quot;" command="SELECT * FROM [Emission (2)]"/>
  </connection>
  <connection id="3" xr16:uid="{6FAF0A65-FAD8-4B89-90B1-E5724CD25734}" keepAlive="1" name="Query - Operational" description="Connection to the 'Operational' query in the workbook." type="5" refreshedVersion="8" background="1" saveData="1">
    <dbPr connection="Provider=Microsoft.Mashup.OleDb.1;Data Source=$Workbook$;Location=Operational;Extended Properties=&quot;&quot;" command="SELECT * FROM [Operational]"/>
  </connection>
  <connection id="4" xr16:uid="{90E9BA4B-D9FC-4113-B688-58D2FA029411}" keepAlive="1" name="Query - Suppliar" description="Connection to the 'Suppliar' query in the workbook." type="5" refreshedVersion="8" background="1" saveData="1">
    <dbPr connection="Provider=Microsoft.Mashup.OleDb.1;Data Source=$Workbook$;Location=Suppliar;Extended Properties=&quot;&quot;" command="SELECT * FROM [Suppliar]"/>
  </connection>
</connections>
</file>

<file path=xl/sharedStrings.xml><?xml version="1.0" encoding="utf-8"?>
<sst xmlns="http://schemas.openxmlformats.org/spreadsheetml/2006/main" count="41913" uniqueCount="468">
  <si>
    <t>Facility ID</t>
  </si>
  <si>
    <t>Facility Name</t>
  </si>
  <si>
    <t>Reporting Period</t>
  </si>
  <si>
    <t>Scope</t>
  </si>
  <si>
    <t>GHG Type</t>
  </si>
  <si>
    <t>Emissions (tons)</t>
  </si>
  <si>
    <t>F088</t>
  </si>
  <si>
    <t>JSW Energy</t>
  </si>
  <si>
    <t>2022 Q1</t>
  </si>
  <si>
    <t>Scope 3</t>
  </si>
  <si>
    <t>CH₄</t>
  </si>
  <si>
    <t>F021</t>
  </si>
  <si>
    <t>L&amp;T</t>
  </si>
  <si>
    <t>2022 Q2</t>
  </si>
  <si>
    <t>Scope 1</t>
  </si>
  <si>
    <t>CO₂</t>
  </si>
  <si>
    <t>F107</t>
  </si>
  <si>
    <t>Reliance Industries</t>
  </si>
  <si>
    <t>F106</t>
  </si>
  <si>
    <t>Tata Steel</t>
  </si>
  <si>
    <t>F090</t>
  </si>
  <si>
    <t>F158</t>
  </si>
  <si>
    <t>F023</t>
  </si>
  <si>
    <t>2023 Q2</t>
  </si>
  <si>
    <t>N₂O</t>
  </si>
  <si>
    <t>F153</t>
  </si>
  <si>
    <t>F079</t>
  </si>
  <si>
    <t>F065</t>
  </si>
  <si>
    <t>Scope 2</t>
  </si>
  <si>
    <t>F025</t>
  </si>
  <si>
    <t>Adani Green</t>
  </si>
  <si>
    <t>F104</t>
  </si>
  <si>
    <t>F137</t>
  </si>
  <si>
    <t>F101</t>
  </si>
  <si>
    <t>2023 Q1</t>
  </si>
  <si>
    <t>F194</t>
  </si>
  <si>
    <t>F057</t>
  </si>
  <si>
    <t>F017</t>
  </si>
  <si>
    <t>F120</t>
  </si>
  <si>
    <t>F139</t>
  </si>
  <si>
    <t>F166</t>
  </si>
  <si>
    <t>F005</t>
  </si>
  <si>
    <t>F060</t>
  </si>
  <si>
    <t>F133</t>
  </si>
  <si>
    <t>F134</t>
  </si>
  <si>
    <t>F030</t>
  </si>
  <si>
    <t>F091</t>
  </si>
  <si>
    <t>F002</t>
  </si>
  <si>
    <t>F121</t>
  </si>
  <si>
    <t>F008</t>
  </si>
  <si>
    <t>F198</t>
  </si>
  <si>
    <t>F087</t>
  </si>
  <si>
    <t>F175</t>
  </si>
  <si>
    <t>F100</t>
  </si>
  <si>
    <t>F042</t>
  </si>
  <si>
    <t>F173</t>
  </si>
  <si>
    <t>F012</t>
  </si>
  <si>
    <t>F182</t>
  </si>
  <si>
    <t>F026</t>
  </si>
  <si>
    <t>F093</t>
  </si>
  <si>
    <t>F074</t>
  </si>
  <si>
    <t>F024</t>
  </si>
  <si>
    <t>F103</t>
  </si>
  <si>
    <t>F032</t>
  </si>
  <si>
    <t>F077</t>
  </si>
  <si>
    <t>F056</t>
  </si>
  <si>
    <t>F172</t>
  </si>
  <si>
    <t>F190</t>
  </si>
  <si>
    <t>F097</t>
  </si>
  <si>
    <t>F045</t>
  </si>
  <si>
    <t>F181</t>
  </si>
  <si>
    <t>F019</t>
  </si>
  <si>
    <t>F115</t>
  </si>
  <si>
    <t>F086</t>
  </si>
  <si>
    <t>F162</t>
  </si>
  <si>
    <t>F084</t>
  </si>
  <si>
    <t>F197</t>
  </si>
  <si>
    <t>F186</t>
  </si>
  <si>
    <t>F191</t>
  </si>
  <si>
    <t>F039</t>
  </si>
  <si>
    <t>F126</t>
  </si>
  <si>
    <t>F044</t>
  </si>
  <si>
    <t>F016</t>
  </si>
  <si>
    <t>F059</t>
  </si>
  <si>
    <t>F196</t>
  </si>
  <si>
    <t>F063</t>
  </si>
  <si>
    <t>F135</t>
  </si>
  <si>
    <t>F193</t>
  </si>
  <si>
    <t>F068</t>
  </si>
  <si>
    <t>F161</t>
  </si>
  <si>
    <t>F037</t>
  </si>
  <si>
    <t>F022</t>
  </si>
  <si>
    <t>F176</t>
  </si>
  <si>
    <t>F071</t>
  </si>
  <si>
    <t>F048</t>
  </si>
  <si>
    <t>F027</t>
  </si>
  <si>
    <t>F036</t>
  </si>
  <si>
    <t>F078</t>
  </si>
  <si>
    <t>F073</t>
  </si>
  <si>
    <t>F127</t>
  </si>
  <si>
    <t>F082</t>
  </si>
  <si>
    <t>F108</t>
  </si>
  <si>
    <t>F031</t>
  </si>
  <si>
    <t>F054</t>
  </si>
  <si>
    <t>F144</t>
  </si>
  <si>
    <t>F046</t>
  </si>
  <si>
    <t>F061</t>
  </si>
  <si>
    <t>F018</t>
  </si>
  <si>
    <t>F184</t>
  </si>
  <si>
    <t>F041</t>
  </si>
  <si>
    <t>F064</t>
  </si>
  <si>
    <t>F124</t>
  </si>
  <si>
    <t>F131</t>
  </si>
  <si>
    <t>F152</t>
  </si>
  <si>
    <t>F085</t>
  </si>
  <si>
    <t>F099</t>
  </si>
  <si>
    <t>F128</t>
  </si>
  <si>
    <t>F199</t>
  </si>
  <si>
    <t>F145</t>
  </si>
  <si>
    <t>F015</t>
  </si>
  <si>
    <t>F092</t>
  </si>
  <si>
    <t>F089</t>
  </si>
  <si>
    <t>F174</t>
  </si>
  <si>
    <t>F028</t>
  </si>
  <si>
    <t>F148</t>
  </si>
  <si>
    <t>F053</t>
  </si>
  <si>
    <t>F007</t>
  </si>
  <si>
    <t>F014</t>
  </si>
  <si>
    <t>F143</t>
  </si>
  <si>
    <t>F072</t>
  </si>
  <si>
    <t>F125</t>
  </si>
  <si>
    <t>F167</t>
  </si>
  <si>
    <t>F183</t>
  </si>
  <si>
    <t>F116</t>
  </si>
  <si>
    <t>F047</t>
  </si>
  <si>
    <t>F081</t>
  </si>
  <si>
    <t>F070</t>
  </si>
  <si>
    <t>F062</t>
  </si>
  <si>
    <t>F114</t>
  </si>
  <si>
    <t>F050</t>
  </si>
  <si>
    <t>F156</t>
  </si>
  <si>
    <t>F009</t>
  </si>
  <si>
    <t>F155</t>
  </si>
  <si>
    <t>F083</t>
  </si>
  <si>
    <t>F006</t>
  </si>
  <si>
    <t>F164</t>
  </si>
  <si>
    <t>F118</t>
  </si>
  <si>
    <t>F168</t>
  </si>
  <si>
    <t>F169</t>
  </si>
  <si>
    <t>F095</t>
  </si>
  <si>
    <t>F171</t>
  </si>
  <si>
    <t>F149</t>
  </si>
  <si>
    <t>F192</t>
  </si>
  <si>
    <t>F096</t>
  </si>
  <si>
    <t>F195</t>
  </si>
  <si>
    <t>F159</t>
  </si>
  <si>
    <t>F151</t>
  </si>
  <si>
    <t>F132</t>
  </si>
  <si>
    <t>F069</t>
  </si>
  <si>
    <t>F033</t>
  </si>
  <si>
    <t>F038</t>
  </si>
  <si>
    <t>F157</t>
  </si>
  <si>
    <t>F140</t>
  </si>
  <si>
    <t>F177</t>
  </si>
  <si>
    <t>F113</t>
  </si>
  <si>
    <t>F010</t>
  </si>
  <si>
    <t>F109</t>
  </si>
  <si>
    <t>F034</t>
  </si>
  <si>
    <t>F055</t>
  </si>
  <si>
    <t>F102</t>
  </si>
  <si>
    <t>F001</t>
  </si>
  <si>
    <t>F170</t>
  </si>
  <si>
    <t>F185</t>
  </si>
  <si>
    <t>F122</t>
  </si>
  <si>
    <t>F052</t>
  </si>
  <si>
    <t>F004</t>
  </si>
  <si>
    <t>F111</t>
  </si>
  <si>
    <t>F154</t>
  </si>
  <si>
    <t>F112</t>
  </si>
  <si>
    <t>F138</t>
  </si>
  <si>
    <t>F011</t>
  </si>
  <si>
    <t>F098</t>
  </si>
  <si>
    <t>F200</t>
  </si>
  <si>
    <t>F043</t>
  </si>
  <si>
    <t>F066</t>
  </si>
  <si>
    <t>F035</t>
  </si>
  <si>
    <t>F110</t>
  </si>
  <si>
    <t>F178</t>
  </si>
  <si>
    <t>F075</t>
  </si>
  <si>
    <t>F003</t>
  </si>
  <si>
    <t>F076</t>
  </si>
  <si>
    <t>F136</t>
  </si>
  <si>
    <t>F130</t>
  </si>
  <si>
    <t>F147</t>
  </si>
  <si>
    <t>F020</t>
  </si>
  <si>
    <t>F142</t>
  </si>
  <si>
    <t>F029</t>
  </si>
  <si>
    <t>F051</t>
  </si>
  <si>
    <t>F123</t>
  </si>
  <si>
    <t>F187</t>
  </si>
  <si>
    <t>F150</t>
  </si>
  <si>
    <t>F129</t>
  </si>
  <si>
    <t>F067</t>
  </si>
  <si>
    <t>F058</t>
  </si>
  <si>
    <t>F160</t>
  </si>
  <si>
    <t>F117</t>
  </si>
  <si>
    <t>F080</t>
  </si>
  <si>
    <t>F146</t>
  </si>
  <si>
    <t>F094</t>
  </si>
  <si>
    <t>F040</t>
  </si>
  <si>
    <t>F049</t>
  </si>
  <si>
    <t>F105</t>
  </si>
  <si>
    <t>F189</t>
  </si>
  <si>
    <t>F141</t>
  </si>
  <si>
    <t>F165</t>
  </si>
  <si>
    <t>F013</t>
  </si>
  <si>
    <t>F180</t>
  </si>
  <si>
    <t>F188</t>
  </si>
  <si>
    <t>F119</t>
  </si>
  <si>
    <t>F179</t>
  </si>
  <si>
    <t>F163</t>
  </si>
  <si>
    <t>Production Volume (units)</t>
  </si>
  <si>
    <t>Energy Consumption (MWh)</t>
  </si>
  <si>
    <t>Waste (tons)</t>
  </si>
  <si>
    <t>Supplier ID</t>
  </si>
  <si>
    <t>Estimated Carbon Footprint (tons CO₂e)</t>
  </si>
  <si>
    <t>Income Distribution (%)</t>
  </si>
  <si>
    <t>S001</t>
  </si>
  <si>
    <t>{'F090': 38.84, 'F082': 36.92, 'F147': 24.24}</t>
  </si>
  <si>
    <t>S002</t>
  </si>
  <si>
    <t>{'F143': 13.88, 'F082': 10.02, 'F057': 15.92, 'F150': 35.92, 'F056': 24.26}</t>
  </si>
  <si>
    <t>S003</t>
  </si>
  <si>
    <t>{'F172': 36.89, 'F176': 32.29, 'F027': 10.84, 'F163': 19.98}</t>
  </si>
  <si>
    <t>S004</t>
  </si>
  <si>
    <t>{'F157': 8.17, 'F100': 20.93, 'F136': 32.18, 'F132': 30.1, 'F067': 8.62}</t>
  </si>
  <si>
    <t>S005</t>
  </si>
  <si>
    <t>{'F092': 9.83, 'F200': 44.17, 'F072': 36.04, 'F173': 9.96}</t>
  </si>
  <si>
    <t>S006</t>
  </si>
  <si>
    <t>{'F023': 12.77, 'F192': 15.07, 'F189': 15.94, 'F169': 27.44, 'F118': 28.78}</t>
  </si>
  <si>
    <t>S007</t>
  </si>
  <si>
    <t>{'F145': 7.14, 'F170': 26.48, 'F022': 28.45, 'F015': 9.9, 'F151': 28.03}</t>
  </si>
  <si>
    <t>S008</t>
  </si>
  <si>
    <t>{'F002': 29.15, 'F104': 26.58, 'F059': 14.23, 'F066': 30.04}</t>
  </si>
  <si>
    <t>S009</t>
  </si>
  <si>
    <t>{'F154': 18.01, 'F109': 27.42, 'F044': 23.14, 'F193': 31.43}</t>
  </si>
  <si>
    <t>S010</t>
  </si>
  <si>
    <t>{'F084': 16.93, 'F027': 30.55, 'F198': 10.19, 'F040': 13.43, 'F101': 28.9}</t>
  </si>
  <si>
    <t>S011</t>
  </si>
  <si>
    <t>{'F151': 22.49, 'F179': 18.73, 'F103': 26.99, 'F171': 22.41, 'F180': 9.39}</t>
  </si>
  <si>
    <t>S012</t>
  </si>
  <si>
    <t>{'F013': 42.1, 'F111': 17.04, 'F054': 40.86}</t>
  </si>
  <si>
    <t>S013</t>
  </si>
  <si>
    <t>{'F145': 46.85, 'F034': 53.15}</t>
  </si>
  <si>
    <t>S014</t>
  </si>
  <si>
    <t>{'F151': 67.87, 'F141': 32.13}</t>
  </si>
  <si>
    <t>S015</t>
  </si>
  <si>
    <t>{'F091': 11.71, 'F088': 28.19, 'F193': 29.84, 'F072': 30.26}</t>
  </si>
  <si>
    <t>S016</t>
  </si>
  <si>
    <t>{'F130': 14.96, 'F106': 27.81, 'F153': 21.2, 'F084': 23.39, 'F133': 12.64}</t>
  </si>
  <si>
    <t>S017</t>
  </si>
  <si>
    <t>{'F095': 19.31, 'F079': 80.69}</t>
  </si>
  <si>
    <t>S018</t>
  </si>
  <si>
    <t>{'F058': 22.42, 'F043': 24.91, 'F182': 34.14, 'F143': 9.5, 'F022': 9.02}</t>
  </si>
  <si>
    <t>S019</t>
  </si>
  <si>
    <t>{'F012': 23.81, 'F026': 28.62, 'F029': 29.71, 'F037': 10.31, 'F083': 7.54}</t>
  </si>
  <si>
    <t>S020</t>
  </si>
  <si>
    <t>{'F118': 44.31, 'F161': 55.69}</t>
  </si>
  <si>
    <t>S021</t>
  </si>
  <si>
    <t>{'F101': 11.07, 'F036': 29.01, 'F125': 13.24, 'F117': 23.44, 'F106': 23.25}</t>
  </si>
  <si>
    <t>S022</t>
  </si>
  <si>
    <t>{'F029': 33.61, 'F084': 38.23, 'F002': 28.16}</t>
  </si>
  <si>
    <t>S023</t>
  </si>
  <si>
    <t>{'F184': 21.4, 'F001': 23.33, 'F161': 14.33, 'F126': 13.32, 'F053': 27.62}</t>
  </si>
  <si>
    <t>S024</t>
  </si>
  <si>
    <t>{'F161': 24.01, 'F094': 19.42, 'F162': 19.04, 'F024': 9.95, 'F146': 27.59}</t>
  </si>
  <si>
    <t>S025</t>
  </si>
  <si>
    <t>{'F055': 19.26, 'F178': 11.3, 'F136': 32.17, 'F062': 37.27}</t>
  </si>
  <si>
    <t>S026</t>
  </si>
  <si>
    <t>{'F156': 62.75, 'F112': 37.25}</t>
  </si>
  <si>
    <t>S027</t>
  </si>
  <si>
    <t>{'F164': 58.54, 'F150': 41.46}</t>
  </si>
  <si>
    <t>S028</t>
  </si>
  <si>
    <t>{'F084': 60.19, 'F108': 39.81}</t>
  </si>
  <si>
    <t>S029</t>
  </si>
  <si>
    <t>{'F066': 19.84, 'F126': 33.2, 'F176': 46.96}</t>
  </si>
  <si>
    <t>S030</t>
  </si>
  <si>
    <t>{'F189': 35.35, 'F128': 46.68, 'F025': 17.97}</t>
  </si>
  <si>
    <t>S031</t>
  </si>
  <si>
    <t>{'F104': 11.07, 'F142': 30.4, 'F143': 20.63, 'F100': 37.91}</t>
  </si>
  <si>
    <t>S032</t>
  </si>
  <si>
    <t>{'F148': 36.23, 'F033': 43.18, 'F170': 20.59}</t>
  </si>
  <si>
    <t>S033</t>
  </si>
  <si>
    <t>{'F200': 33.06, 'F115': 6.78, 'F076': 14.81, 'F198': 27.48, 'F096': 17.87}</t>
  </si>
  <si>
    <t>S034</t>
  </si>
  <si>
    <t>{'F055': 15.41, 'F025': 32.74, 'F185': 18.88, 'F138': 32.97}</t>
  </si>
  <si>
    <t>S035</t>
  </si>
  <si>
    <t>{'F143': 28.17, 'F020': 13.64, 'F037': 17.22, 'F098': 19.7, 'F184': 21.26}</t>
  </si>
  <si>
    <t>S036</t>
  </si>
  <si>
    <t>{'F163': 32.96, 'F018': 67.04}</t>
  </si>
  <si>
    <t>S037</t>
  </si>
  <si>
    <t>{'F051': 9.87, 'F163': 27.0, 'F021': 26.24, 'F097': 23.67, 'F151': 13.22}</t>
  </si>
  <si>
    <t>S038</t>
  </si>
  <si>
    <t>{'F138': 39.52, 'F070': 60.48}</t>
  </si>
  <si>
    <t>S039</t>
  </si>
  <si>
    <t>{'F041': 33.59, 'F134': 66.41}</t>
  </si>
  <si>
    <t>S040</t>
  </si>
  <si>
    <t>{'F167': 31.74, 'F197': 25.24, 'F198': 27.82, 'F065': 15.2}</t>
  </si>
  <si>
    <t>S041</t>
  </si>
  <si>
    <t>{'F051': 24.97, 'F125': 25.14, 'F122': 19.55, 'F134': 6.31, 'F178': 24.04}</t>
  </si>
  <si>
    <t>S042</t>
  </si>
  <si>
    <t>{'F080': 32.97, 'F033': 20.68, 'F024': 23.15, 'F012': 23.2}</t>
  </si>
  <si>
    <t>S043</t>
  </si>
  <si>
    <t>{'F094': 25.79, 'F100': 11.14, 'F051': 31.48, 'F158': 31.59}</t>
  </si>
  <si>
    <t>S044</t>
  </si>
  <si>
    <t>{'F050': 19.65, 'F186': 8.84, 'F104': 17.42, 'F089': 22.92, 'F128': 31.16}</t>
  </si>
  <si>
    <t>S045</t>
  </si>
  <si>
    <t>{'F080': 57.09, 'F199': 15.41, 'F041': 12.64, 'F002': 14.86}</t>
  </si>
  <si>
    <t>S046</t>
  </si>
  <si>
    <t>{'F024': 19.9, 'F004': 34.93, 'F195': 28.6, 'F056': 16.57}</t>
  </si>
  <si>
    <t>S047</t>
  </si>
  <si>
    <t>{'F125': 21.87, 'F155': 25.39, 'F060': 13.07, 'F148': 39.67}</t>
  </si>
  <si>
    <t>S048</t>
  </si>
  <si>
    <t>{'F074': 30.01, 'F165': 13.62, 'F039': 39.55, 'F169': 16.82}</t>
  </si>
  <si>
    <t>S049</t>
  </si>
  <si>
    <t>{'F186': 33.66, 'F004': 66.34}</t>
  </si>
  <si>
    <t>S050</t>
  </si>
  <si>
    <t>{'F030': 13.54, 'F183': 17.78, 'F147': 44.31, 'F044': 24.38}</t>
  </si>
  <si>
    <t>S051</t>
  </si>
  <si>
    <t>{'F140': 44.97, 'F119': 55.03}</t>
  </si>
  <si>
    <t>S052</t>
  </si>
  <si>
    <t>{'F167': 31.32, 'F052': 29.26, 'F029': 39.42}</t>
  </si>
  <si>
    <t>S053</t>
  </si>
  <si>
    <t>{'F124': 47.12, 'F161': 19.58, 'F120': 33.3}</t>
  </si>
  <si>
    <t>S054</t>
  </si>
  <si>
    <t>{'F014': 18.03, 'F183': 9.16, 'F051': 18.07, 'F089': 33.34, 'F050': 21.4}</t>
  </si>
  <si>
    <t>S055</t>
  </si>
  <si>
    <t>{'F112': 73.95, 'F091': 26.05}</t>
  </si>
  <si>
    <t>S056</t>
  </si>
  <si>
    <t>{'F189': 22.01, 'F027': 7.66, 'F105': 24.87, 'F032': 30.98, 'F095': 14.47}</t>
  </si>
  <si>
    <t>S057</t>
  </si>
  <si>
    <t>{'F099': 35.29, 'F122': 32.43, 'F186': 32.28}</t>
  </si>
  <si>
    <t>S058</t>
  </si>
  <si>
    <t>{'F068': 19.36, 'F033': 26.07, 'F161': 8.35, 'F045': 31.8, 'F036': 14.41}</t>
  </si>
  <si>
    <t>S059</t>
  </si>
  <si>
    <t>{'F039': 25.32, 'F179': 9.99, 'F184': 26.86, 'F175': 20.62, 'F025': 17.22}</t>
  </si>
  <si>
    <t>S060</t>
  </si>
  <si>
    <t>{'F062': 29.66, 'F071': 26.09, 'F107': 28.72, 'F013': 15.53}</t>
  </si>
  <si>
    <t>S061</t>
  </si>
  <si>
    <t>{'F188': 21.98, 'F177': 24.69, 'F063': 35.04, 'F154': 18.28}</t>
  </si>
  <si>
    <t>S062</t>
  </si>
  <si>
    <t>{'F161': 15.67, 'F130': 34.01, 'F094': 18.19, 'F124': 32.13}</t>
  </si>
  <si>
    <t>S063</t>
  </si>
  <si>
    <t>{'F101': 29.18, 'F044': 32.23, 'F150': 11.71, 'F002': 17.03, 'F124': 9.85}</t>
  </si>
  <si>
    <t>S064</t>
  </si>
  <si>
    <t>{'F031': 20.66, 'F186': 32.19, 'F057': 10.36, 'F181': 36.79}</t>
  </si>
  <si>
    <t>S065</t>
  </si>
  <si>
    <t>{'F134': 21.43, 'F065': 39.29, 'F005': 39.28}</t>
  </si>
  <si>
    <t>S066</t>
  </si>
  <si>
    <t>{'F166': 24.84, 'F121': 29.53, 'F143': 45.63}</t>
  </si>
  <si>
    <t>S067</t>
  </si>
  <si>
    <t>{'F072': 16.1, 'F089': 19.68, 'F200': 20.28, 'F111': 22.97, 'F151': 20.97}</t>
  </si>
  <si>
    <t>S068</t>
  </si>
  <si>
    <t>{'F027': 47.73, 'F153': 17.92, 'F196': 34.35}</t>
  </si>
  <si>
    <t>S069</t>
  </si>
  <si>
    <t>{'F185': 31.87, 'F027': 68.13}</t>
  </si>
  <si>
    <t>S070</t>
  </si>
  <si>
    <t>{'F034': 61.93, 'F170': 19.52, 'F107': 18.55}</t>
  </si>
  <si>
    <t>S071</t>
  </si>
  <si>
    <t>{'F107': 28.46, 'F010': 9.08, 'F042': 13.78, 'F071': 34.7, 'F067': 13.98}</t>
  </si>
  <si>
    <t>S072</t>
  </si>
  <si>
    <t>{'F198': 53.73, 'F114': 46.27}</t>
  </si>
  <si>
    <t>S073</t>
  </si>
  <si>
    <t>{'F194': 70.54, 'F086': 29.46}</t>
  </si>
  <si>
    <t>S074</t>
  </si>
  <si>
    <t>{'F183': 77.36, 'F138': 22.64}</t>
  </si>
  <si>
    <t>S075</t>
  </si>
  <si>
    <t>{'F079': 45.19, 'F113': 54.81}</t>
  </si>
  <si>
    <t>S076</t>
  </si>
  <si>
    <t>{'F019': 15.85, 'F012': 11.34, 'F090': 20.86, 'F160': 23.26, 'F159': 28.69}</t>
  </si>
  <si>
    <t>S077</t>
  </si>
  <si>
    <t>{'F196': 30.85, 'F117': 23.15, 'F026': 17.99, 'F054': 28.0}</t>
  </si>
  <si>
    <t>S078</t>
  </si>
  <si>
    <t>{'F123': 48.25, 'F161': 51.75}</t>
  </si>
  <si>
    <t>S079</t>
  </si>
  <si>
    <t>{'F096': 25.58, 'F027': 9.34, 'F056': 31.8, 'F042': 7.05, 'F119': 26.23}</t>
  </si>
  <si>
    <t>S080</t>
  </si>
  <si>
    <t>{'F120': 33.7, 'F084': 20.44, 'F196': 20.3, 'F195': 25.56}</t>
  </si>
  <si>
    <t>S081</t>
  </si>
  <si>
    <t>{'F124': 54.56, 'F189': 45.44}</t>
  </si>
  <si>
    <t>S082</t>
  </si>
  <si>
    <t>{'F017': 39.29, 'F103': 60.71}</t>
  </si>
  <si>
    <t>S083</t>
  </si>
  <si>
    <t>{'F012': 20.92, 'F129': 52.46, 'F198': 26.62}</t>
  </si>
  <si>
    <t>S084</t>
  </si>
  <si>
    <t>{'F095': 20.84, 'F167': 23.43, 'F105': 10.45, 'F172': 24.36, 'F177': 20.91}</t>
  </si>
  <si>
    <t>S085</t>
  </si>
  <si>
    <t>{'F063': 28.89, 'F187': 31.34, 'F099': 29.13, 'F110': 10.65}</t>
  </si>
  <si>
    <t>S086</t>
  </si>
  <si>
    <t>{'F146': 13.38, 'F009': 33.94, 'F094': 52.68}</t>
  </si>
  <si>
    <t>S087</t>
  </si>
  <si>
    <t>{'F155': 19.93, 'F082': 22.18, 'F100': 21.75, 'F076': 19.28, 'F199': 16.86}</t>
  </si>
  <si>
    <t>S088</t>
  </si>
  <si>
    <t>{'F145': 32.64, 'F047': 67.36}</t>
  </si>
  <si>
    <t>S089</t>
  </si>
  <si>
    <t>{'F171': 23.38, 'F152': 15.81, 'F087': 16.02, 'F160': 21.25, 'F135': 23.54}</t>
  </si>
  <si>
    <t>S090</t>
  </si>
  <si>
    <t>{'F113': 43.98, 'F019': 56.02}</t>
  </si>
  <si>
    <t>S091</t>
  </si>
  <si>
    <t>{'F131': 28.42, 'F186': 35.64, 'F139': 35.95}</t>
  </si>
  <si>
    <t>S092</t>
  </si>
  <si>
    <t>{'F120': 37.46, 'F041': 19.39, 'F126': 23.21, 'F082': 19.95}</t>
  </si>
  <si>
    <t>S093</t>
  </si>
  <si>
    <t>{'F048': 35.39, 'F147': 25.3, 'F100': 21.04, 'F174': 18.28}</t>
  </si>
  <si>
    <t>S094</t>
  </si>
  <si>
    <t>{'F140': 47.31, 'F050': 13.98, 'F119': 16.52, 'F118': 22.19}</t>
  </si>
  <si>
    <t>S095</t>
  </si>
  <si>
    <t>{'F146': 25.22, 'F001': 26.48, 'F134': 33.71, 'F023': 14.58}</t>
  </si>
  <si>
    <t>S096</t>
  </si>
  <si>
    <t>{'F130': 43.29, 'F105': 56.71}</t>
  </si>
  <si>
    <t>S097</t>
  </si>
  <si>
    <t>{'F156': 20.53, 'F113': 21.38, 'F071': 21.21, 'F026': 24.05, 'F158': 12.82}</t>
  </si>
  <si>
    <t>S098</t>
  </si>
  <si>
    <t>{'F184': 20.76, 'F168': 13.98, 'F147': 9.57, 'F034': 23.8, 'F104': 31.9}</t>
  </si>
  <si>
    <t>S099</t>
  </si>
  <si>
    <t>{'F018': 49.4, 'F096': 50.6}</t>
  </si>
  <si>
    <t>S100</t>
  </si>
  <si>
    <t>{'F184': 52.13, 'F170': 47.87}</t>
  </si>
  <si>
    <t>Benchmark</t>
  </si>
  <si>
    <t>Value</t>
  </si>
  <si>
    <t>Description</t>
  </si>
  <si>
    <t>GHG Reduction Target</t>
  </si>
  <si>
    <t>25% reduction</t>
  </si>
  <si>
    <t>Company must reduce overall GHG emissions by 25% over the next 5 years.</t>
  </si>
  <si>
    <t>Net Zero Milestone</t>
  </si>
  <si>
    <t>Target year to achieve net zero emissions.</t>
  </si>
  <si>
    <t>Emission Reporting Standard</t>
  </si>
  <si>
    <t>GHG Protocol</t>
  </si>
  <si>
    <t>All emissions must be reported according to the GHG Protocol guidelines.</t>
  </si>
  <si>
    <t>Year</t>
  </si>
  <si>
    <t>1. Emissions by Facility</t>
  </si>
  <si>
    <t>Row Labels</t>
  </si>
  <si>
    <t>Grand Total</t>
  </si>
  <si>
    <t>Sum of Emissions (tons)</t>
  </si>
  <si>
    <t>2. Reporting Period</t>
  </si>
  <si>
    <t>Column Labels</t>
  </si>
  <si>
    <t>3. Emissions by scope</t>
  </si>
  <si>
    <t>4. Emissions by Year</t>
  </si>
  <si>
    <t>Difference between these two years</t>
  </si>
  <si>
    <t>Q1</t>
  </si>
  <si>
    <t>Q3</t>
  </si>
  <si>
    <t>IQR</t>
  </si>
  <si>
    <t>LB</t>
  </si>
  <si>
    <t>UB</t>
  </si>
  <si>
    <t>1. Emissions (tons) Outliers by IQR</t>
  </si>
  <si>
    <t>2. Production Volume Units Outliers</t>
  </si>
  <si>
    <t>3. Energy Consumption (MWh)</t>
  </si>
  <si>
    <t>4. Waste (tons)</t>
  </si>
  <si>
    <t>No any outliers</t>
  </si>
  <si>
    <t>1. Facility name &amp; GHG Type by Emissions</t>
  </si>
  <si>
    <t>2. Facility and Production volume</t>
  </si>
  <si>
    <t>Sum of Production Volume (units)</t>
  </si>
  <si>
    <t>3. Facility by Energy consumption</t>
  </si>
  <si>
    <t>Sum of Energy Consumption (MWh)</t>
  </si>
  <si>
    <t>4. Facility by Estimated Carbon Footprint (tons CO₂e)</t>
  </si>
  <si>
    <t>Sum of Estimated Carbon Footprint (tons CO₂e)</t>
  </si>
  <si>
    <t>5. Facility &amp; scope by Emissions</t>
  </si>
  <si>
    <t>5. Production and Energy</t>
  </si>
  <si>
    <t>Energy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</si>
</sst>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w Cen MT"/>
      <scheme val="minor"/>
    </font>
    <font>
      <sz val="11"/>
      <color theme="1"/>
      <name val="Tw Cen MT"/>
      <family val="2"/>
      <scheme val="minor"/>
    </font>
    <font>
      <b/>
      <sz val="11"/>
      <color theme="1"/>
      <name val="Tw Cen MT"/>
      <scheme val="minor"/>
    </font>
    <font>
      <sz val="11"/>
      <color theme="1"/>
      <name val="Tw Cen MT"/>
      <scheme val="minor"/>
    </font>
    <font>
      <b/>
      <sz val="11"/>
      <color theme="1"/>
      <name val="Tw Cen MT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6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6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fill>
        <patternFill patternType="solid">
          <fgColor rgb="FFEFEFEF"/>
          <bgColor rgb="FFEFEFE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fill>
        <patternFill patternType="solid">
          <fgColor rgb="FFEFEFEF"/>
          <bgColor rgb="FFEFEFE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fill>
        <patternFill patternType="solid">
          <fgColor rgb="FFEFEFEF"/>
          <bgColor rgb="FFEFEFE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541E4"/>
      <color rgb="FF006666"/>
      <color rgb="FFE59A05"/>
      <color rgb="FF31ACBD"/>
      <color rgb="FF7AD0DC"/>
      <color rgb="FF3FBCCD"/>
      <color rgb="FF3DBECF"/>
      <color rgb="FFC655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Emissions</a:t>
            </a:r>
            <a:r>
              <a:rPr lang="en-IN" baseline="0"/>
              <a:t> by Facility Name &amp; Reporting Period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chart'!$E$3:$E$4</c:f>
              <c:strCache>
                <c:ptCount val="1"/>
                <c:pt idx="0">
                  <c:v>2022 Q1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chart'!$E$5:$E$10</c:f>
              <c:numCache>
                <c:formatCode>General</c:formatCode>
                <c:ptCount val="5"/>
                <c:pt idx="0">
                  <c:v>340708.90000000031</c:v>
                </c:pt>
                <c:pt idx="1">
                  <c:v>259864.56000000003</c:v>
                </c:pt>
                <c:pt idx="2">
                  <c:v>263715.99</c:v>
                </c:pt>
                <c:pt idx="3">
                  <c:v>203900.77000000002</c:v>
                </c:pt>
                <c:pt idx="4">
                  <c:v>188012.59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F-434C-BF13-8E20E099AD95}"/>
            </c:ext>
          </c:extLst>
        </c:ser>
        <c:ser>
          <c:idx val="1"/>
          <c:order val="1"/>
          <c:tx>
            <c:strRef>
              <c:f>'Pivot Table &amp; chart'!$F$3:$F$4</c:f>
              <c:strCache>
                <c:ptCount val="1"/>
                <c:pt idx="0">
                  <c:v>2022 Q2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chart'!$F$5:$F$10</c:f>
              <c:numCache>
                <c:formatCode>General</c:formatCode>
                <c:ptCount val="5"/>
                <c:pt idx="0">
                  <c:v>326256.60000000021</c:v>
                </c:pt>
                <c:pt idx="1">
                  <c:v>306288.79999999993</c:v>
                </c:pt>
                <c:pt idx="2">
                  <c:v>229041.97000000003</c:v>
                </c:pt>
                <c:pt idx="3">
                  <c:v>284347.80000000005</c:v>
                </c:pt>
                <c:pt idx="4">
                  <c:v>211151.08000000002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F-434C-BF13-8E20E099AD95}"/>
            </c:ext>
          </c:extLst>
        </c:ser>
        <c:ser>
          <c:idx val="2"/>
          <c:order val="2"/>
          <c:tx>
            <c:strRef>
              <c:f>'Pivot Table &amp; chart'!$G$3:$G$4</c:f>
              <c:strCache>
                <c:ptCount val="1"/>
                <c:pt idx="0">
                  <c:v>2023 Q1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chart'!$G$5:$G$10</c:f>
              <c:numCache>
                <c:formatCode>General</c:formatCode>
                <c:ptCount val="5"/>
                <c:pt idx="0">
                  <c:v>360843.2199999998</c:v>
                </c:pt>
                <c:pt idx="1">
                  <c:v>300529.85000000009</c:v>
                </c:pt>
                <c:pt idx="2">
                  <c:v>252643.38999999996</c:v>
                </c:pt>
                <c:pt idx="3">
                  <c:v>217291.78000000003</c:v>
                </c:pt>
                <c:pt idx="4">
                  <c:v>214720.80000000002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F-434C-BF13-8E20E099AD95}"/>
            </c:ext>
          </c:extLst>
        </c:ser>
        <c:ser>
          <c:idx val="3"/>
          <c:order val="3"/>
          <c:tx>
            <c:strRef>
              <c:f>'Pivot Table &amp; chart'!$H$3:$H$4</c:f>
              <c:strCache>
                <c:ptCount val="1"/>
                <c:pt idx="0">
                  <c:v>2023 Q2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chart'!$H$5:$H$10</c:f>
              <c:numCache>
                <c:formatCode>General</c:formatCode>
                <c:ptCount val="5"/>
                <c:pt idx="0">
                  <c:v>333304.57999999996</c:v>
                </c:pt>
                <c:pt idx="1">
                  <c:v>261316.87000000002</c:v>
                </c:pt>
                <c:pt idx="2">
                  <c:v>219288.22000000003</c:v>
                </c:pt>
                <c:pt idx="3">
                  <c:v>240974.1</c:v>
                </c:pt>
                <c:pt idx="4">
                  <c:v>202190.11999999997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3F-434C-BF13-8E20E099A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692975"/>
        <c:axId val="1567697775"/>
      </c:lineChart>
      <c:catAx>
        <c:axId val="15676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7775"/>
        <c:crosses val="autoZero"/>
        <c:auto val="1"/>
        <c:lblAlgn val="ctr"/>
        <c:lblOffset val="100"/>
        <c:noMultiLvlLbl val="0"/>
      </c:catAx>
      <c:valAx>
        <c:axId val="15676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</a:t>
            </a:r>
            <a:r>
              <a:rPr lang="en-US" baseline="0"/>
              <a:t> by Facility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chart'!$A$4:$A$9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chart'!$B$4:$B$9</c:f>
              <c:numCache>
                <c:formatCode>0</c:formatCode>
                <c:ptCount val="5"/>
                <c:pt idx="0">
                  <c:v>1361113.2999999998</c:v>
                </c:pt>
                <c:pt idx="1">
                  <c:v>1128000.0800000008</c:v>
                </c:pt>
                <c:pt idx="2">
                  <c:v>964689.56999999855</c:v>
                </c:pt>
                <c:pt idx="3">
                  <c:v>946514.4500000003</c:v>
                </c:pt>
                <c:pt idx="4">
                  <c:v>816074.58999999939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3-412A-AF7C-DAE34DFE04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9855"/>
        <c:axId val="1567676655"/>
      </c:barChart>
      <c:catAx>
        <c:axId val="156765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76655"/>
        <c:crosses val="autoZero"/>
        <c:auto val="1"/>
        <c:lblAlgn val="ctr"/>
        <c:lblOffset val="100"/>
        <c:noMultiLvlLbl val="0"/>
      </c:catAx>
      <c:valAx>
        <c:axId val="156767665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6765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Emissions</a:t>
            </a:r>
            <a:r>
              <a:rPr lang="en-IN" baseline="0"/>
              <a:t> by Scope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chart'!$K$4:$K$7</c:f>
              <c:strCache>
                <c:ptCount val="3"/>
                <c:pt idx="0">
                  <c:v>Scope 3</c:v>
                </c:pt>
                <c:pt idx="1">
                  <c:v>Scope 1</c:v>
                </c:pt>
                <c:pt idx="2">
                  <c:v>Scope 2</c:v>
                </c:pt>
              </c:strCache>
            </c:strRef>
          </c:cat>
          <c:val>
            <c:numRef>
              <c:f>'Pivot Table &amp; chart'!$L$4:$L$7</c:f>
              <c:numCache>
                <c:formatCode>0</c:formatCode>
                <c:ptCount val="3"/>
                <c:pt idx="0">
                  <c:v>1766860.3199999987</c:v>
                </c:pt>
                <c:pt idx="1">
                  <c:v>1763843.530000001</c:v>
                </c:pt>
                <c:pt idx="2">
                  <c:v>1685688.1400000006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5-4E68-BCBB-831DDA525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703535"/>
        <c:axId val="1567704015"/>
      </c:barChart>
      <c:catAx>
        <c:axId val="156770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704015"/>
        <c:crosses val="autoZero"/>
        <c:auto val="1"/>
        <c:lblAlgn val="ctr"/>
        <c:lblOffset val="100"/>
        <c:noMultiLvlLbl val="0"/>
      </c:catAx>
      <c:valAx>
        <c:axId val="156770401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6770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chart'!$Q$4:$Q$6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'Pivot Table &amp; chart'!$R$4:$R$6</c:f>
              <c:numCache>
                <c:formatCode>0</c:formatCode>
                <c:ptCount val="2"/>
                <c:pt idx="0">
                  <c:v>2613289.060000001</c:v>
                </c:pt>
                <c:pt idx="1">
                  <c:v>2603102.9299999997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B-48FD-8D36-8A19BBB51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631519"/>
        <c:axId val="850638239"/>
      </c:barChart>
      <c:catAx>
        <c:axId val="8506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38239"/>
        <c:crosses val="autoZero"/>
        <c:auto val="1"/>
        <c:lblAlgn val="ctr"/>
        <c:lblOffset val="100"/>
        <c:noMultiLvlLbl val="0"/>
      </c:catAx>
      <c:valAx>
        <c:axId val="85063823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063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Facility</a:t>
            </a:r>
            <a:r>
              <a:rPr lang="en-IN" baseline="0"/>
              <a:t> &amp; Scope by Emissions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chart'!$W$3:$W$4</c:f>
              <c:strCache>
                <c:ptCount val="1"/>
                <c:pt idx="0">
                  <c:v>Scope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chart'!$V$5:$V$10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chart'!$W$5:$W$10</c:f>
              <c:numCache>
                <c:formatCode>0</c:formatCode>
                <c:ptCount val="5"/>
                <c:pt idx="0">
                  <c:v>472128.33000000019</c:v>
                </c:pt>
                <c:pt idx="1">
                  <c:v>402291.23000000016</c:v>
                </c:pt>
                <c:pt idx="2">
                  <c:v>280089.42999999982</c:v>
                </c:pt>
                <c:pt idx="3">
                  <c:v>333523.87000000011</c:v>
                </c:pt>
                <c:pt idx="4">
                  <c:v>275810.67000000004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3-45EC-89BC-9D15D1284EF3}"/>
            </c:ext>
          </c:extLst>
        </c:ser>
        <c:ser>
          <c:idx val="1"/>
          <c:order val="1"/>
          <c:tx>
            <c:strRef>
              <c:f>'Pivot Table &amp; chart'!$X$3:$X$4</c:f>
              <c:strCache>
                <c:ptCount val="1"/>
                <c:pt idx="0">
                  <c:v>Scope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 chart'!$V$5:$V$10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chart'!$X$5:$X$10</c:f>
              <c:numCache>
                <c:formatCode>0</c:formatCode>
                <c:ptCount val="5"/>
                <c:pt idx="0">
                  <c:v>450934.48000000004</c:v>
                </c:pt>
                <c:pt idx="1">
                  <c:v>335605.63</c:v>
                </c:pt>
                <c:pt idx="2">
                  <c:v>325701.40000000002</c:v>
                </c:pt>
                <c:pt idx="3">
                  <c:v>320044.65999999997</c:v>
                </c:pt>
                <c:pt idx="4">
                  <c:v>253401.97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3-45EC-89BC-9D15D1284EF3}"/>
            </c:ext>
          </c:extLst>
        </c:ser>
        <c:ser>
          <c:idx val="2"/>
          <c:order val="2"/>
          <c:tx>
            <c:strRef>
              <c:f>'Pivot Table &amp; chart'!$Y$3:$Y$4</c:f>
              <c:strCache>
                <c:ptCount val="1"/>
                <c:pt idx="0">
                  <c:v>Scope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 chart'!$V$5:$V$10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chart'!$Y$5:$Y$10</c:f>
              <c:numCache>
                <c:formatCode>0</c:formatCode>
                <c:ptCount val="5"/>
                <c:pt idx="0">
                  <c:v>438050.49000000028</c:v>
                </c:pt>
                <c:pt idx="1">
                  <c:v>390103.21999999974</c:v>
                </c:pt>
                <c:pt idx="2">
                  <c:v>358898.73999999982</c:v>
                </c:pt>
                <c:pt idx="3">
                  <c:v>292945.92000000022</c:v>
                </c:pt>
                <c:pt idx="4">
                  <c:v>286861.94999999995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3-45EC-89BC-9D15D128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405279"/>
        <c:axId val="1965411519"/>
      </c:barChart>
      <c:catAx>
        <c:axId val="1965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11519"/>
        <c:crosses val="autoZero"/>
        <c:auto val="1"/>
        <c:lblAlgn val="ctr"/>
        <c:lblOffset val="100"/>
        <c:noMultiLvlLbl val="0"/>
      </c:catAx>
      <c:valAx>
        <c:axId val="196541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Facility</a:t>
            </a:r>
            <a:r>
              <a:rPr lang="en-US" baseline="0"/>
              <a:t> by Production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Table'!$G$4:$G$9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Table'!$H$4:$H$9</c:f>
              <c:numCache>
                <c:formatCode>General</c:formatCode>
                <c:ptCount val="5"/>
                <c:pt idx="0">
                  <c:v>29395528</c:v>
                </c:pt>
                <c:pt idx="1">
                  <c:v>24049193</c:v>
                </c:pt>
                <c:pt idx="2">
                  <c:v>20229730</c:v>
                </c:pt>
                <c:pt idx="3">
                  <c:v>18553960</c:v>
                </c:pt>
                <c:pt idx="4">
                  <c:v>16508296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9-4DFD-95DF-17C9758F6D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97039"/>
        <c:axId val="194285039"/>
      </c:barChart>
      <c:catAx>
        <c:axId val="1942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85039"/>
        <c:crosses val="autoZero"/>
        <c:auto val="1"/>
        <c:lblAlgn val="ctr"/>
        <c:lblOffset val="100"/>
        <c:noMultiLvlLbl val="0"/>
      </c:catAx>
      <c:valAx>
        <c:axId val="194285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2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Facility</a:t>
            </a:r>
            <a:r>
              <a:rPr lang="en-IN" baseline="0"/>
              <a:t> by Energy Consumption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Table'!$J$4:$J$9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Table'!$K$4:$K$9</c:f>
              <c:numCache>
                <c:formatCode>General</c:formatCode>
                <c:ptCount val="5"/>
                <c:pt idx="0">
                  <c:v>2444660.1800000025</c:v>
                </c:pt>
                <c:pt idx="1">
                  <c:v>2326032.870000001</c:v>
                </c:pt>
                <c:pt idx="2">
                  <c:v>2061199.3499999987</c:v>
                </c:pt>
                <c:pt idx="3">
                  <c:v>2036685.5099999979</c:v>
                </c:pt>
                <c:pt idx="4">
                  <c:v>1915633.5400000038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B-4D5C-9C5F-75E3EB909B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20223"/>
        <c:axId val="1949501759"/>
      </c:barChart>
      <c:catAx>
        <c:axId val="512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01759"/>
        <c:crosses val="autoZero"/>
        <c:auto val="1"/>
        <c:lblAlgn val="ctr"/>
        <c:lblOffset val="100"/>
        <c:noMultiLvlLbl val="0"/>
      </c:catAx>
      <c:valAx>
        <c:axId val="1949501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22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Facility</a:t>
            </a:r>
            <a:r>
              <a:rPr lang="en-IN" baseline="0"/>
              <a:t> &amp; GHG Type by Emissions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'Merge Pivot Table'!$B$3:$B$4</c:f>
              <c:strCache>
                <c:ptCount val="1"/>
                <c:pt idx="0">
                  <c:v>CH₄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Table'!$B$5:$B$10</c:f>
              <c:numCache>
                <c:formatCode>General</c:formatCode>
                <c:ptCount val="5"/>
                <c:pt idx="0">
                  <c:v>409046.19000000006</c:v>
                </c:pt>
                <c:pt idx="1">
                  <c:v>389204.05999999994</c:v>
                </c:pt>
                <c:pt idx="2">
                  <c:v>302079.12999999989</c:v>
                </c:pt>
                <c:pt idx="3">
                  <c:v>317426.20000000019</c:v>
                </c:pt>
                <c:pt idx="4">
                  <c:v>292290.34999999998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6-45F4-B4AD-8FE26072F103}"/>
            </c:ext>
          </c:extLst>
        </c:ser>
        <c:ser>
          <c:idx val="1"/>
          <c:order val="1"/>
          <c:tx>
            <c:strRef>
              <c:f>'Merge Pivot Table'!$C$3:$C$4</c:f>
              <c:strCache>
                <c:ptCount val="1"/>
                <c:pt idx="0">
                  <c:v>CO₂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Table'!$C$5:$C$10</c:f>
              <c:numCache>
                <c:formatCode>General</c:formatCode>
                <c:ptCount val="5"/>
                <c:pt idx="0">
                  <c:v>511555.97000000003</c:v>
                </c:pt>
                <c:pt idx="1">
                  <c:v>378060.21</c:v>
                </c:pt>
                <c:pt idx="2">
                  <c:v>311467.24999999983</c:v>
                </c:pt>
                <c:pt idx="3">
                  <c:v>361846.78</c:v>
                </c:pt>
                <c:pt idx="4">
                  <c:v>232865.03999999995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6-45F4-B4AD-8FE26072F103}"/>
            </c:ext>
          </c:extLst>
        </c:ser>
        <c:ser>
          <c:idx val="2"/>
          <c:order val="2"/>
          <c:tx>
            <c:strRef>
              <c:f>'Merge Pivot Table'!$D$3:$D$4</c:f>
              <c:strCache>
                <c:ptCount val="1"/>
                <c:pt idx="0">
                  <c:v>N₂O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Table'!$D$5:$D$10</c:f>
              <c:numCache>
                <c:formatCode>General</c:formatCode>
                <c:ptCount val="5"/>
                <c:pt idx="0">
                  <c:v>440511.14000000036</c:v>
                </c:pt>
                <c:pt idx="1">
                  <c:v>360735.81</c:v>
                </c:pt>
                <c:pt idx="2">
                  <c:v>351143.19000000006</c:v>
                </c:pt>
                <c:pt idx="3">
                  <c:v>267241.47000000003</c:v>
                </c:pt>
                <c:pt idx="4">
                  <c:v>290919.20000000019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6-45F4-B4AD-8FE26072F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337503"/>
        <c:axId val="754339903"/>
      </c:lineChart>
      <c:catAx>
        <c:axId val="7543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9903"/>
        <c:crosses val="autoZero"/>
        <c:auto val="1"/>
        <c:lblAlgn val="ctr"/>
        <c:lblOffset val="100"/>
        <c:noMultiLvlLbl val="0"/>
      </c:catAx>
      <c:valAx>
        <c:axId val="7543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Facility</a:t>
            </a:r>
            <a:r>
              <a:rPr lang="en-US" baseline="0"/>
              <a:t> by Estimated Carbon Footprint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Table'!$M$4:$M$9</c:f>
              <c:strCache>
                <c:ptCount val="5"/>
                <c:pt idx="0">
                  <c:v>Tata Steel</c:v>
                </c:pt>
                <c:pt idx="1">
                  <c:v>Adani Green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Table'!$N$4:$N$9</c:f>
              <c:numCache>
                <c:formatCode>General</c:formatCode>
                <c:ptCount val="5"/>
                <c:pt idx="0">
                  <c:v>262199.10999999987</c:v>
                </c:pt>
                <c:pt idx="1">
                  <c:v>251594.07999999975</c:v>
                </c:pt>
                <c:pt idx="2">
                  <c:v>197162.78000000012</c:v>
                </c:pt>
                <c:pt idx="3">
                  <c:v>192442.15999999995</c:v>
                </c:pt>
                <c:pt idx="4">
                  <c:v>149337.41000000006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B-4D87-A15D-E9D8A98E0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1483727"/>
        <c:axId val="1631489007"/>
      </c:barChart>
      <c:catAx>
        <c:axId val="16314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89007"/>
        <c:crosses val="autoZero"/>
        <c:auto val="1"/>
        <c:lblAlgn val="ctr"/>
        <c:lblOffset val="100"/>
        <c:noMultiLvlLbl val="0"/>
      </c:catAx>
      <c:valAx>
        <c:axId val="1631489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14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Emissions by Facility Name &amp; Reporting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chart'!$E$3:$E$4</c:f>
              <c:strCache>
                <c:ptCount val="1"/>
                <c:pt idx="0">
                  <c:v>2022 Q1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chart'!$E$5:$E$10</c:f>
              <c:numCache>
                <c:formatCode>General</c:formatCode>
                <c:ptCount val="5"/>
                <c:pt idx="0">
                  <c:v>340708.90000000031</c:v>
                </c:pt>
                <c:pt idx="1">
                  <c:v>259864.56000000003</c:v>
                </c:pt>
                <c:pt idx="2">
                  <c:v>263715.99</c:v>
                </c:pt>
                <c:pt idx="3">
                  <c:v>203900.77000000002</c:v>
                </c:pt>
                <c:pt idx="4">
                  <c:v>188012.59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5-48F7-BEFF-88F2EBB0745D}"/>
            </c:ext>
          </c:extLst>
        </c:ser>
        <c:ser>
          <c:idx val="1"/>
          <c:order val="1"/>
          <c:tx>
            <c:strRef>
              <c:f>'Pivot Table &amp; chart'!$F$3:$F$4</c:f>
              <c:strCache>
                <c:ptCount val="1"/>
                <c:pt idx="0">
                  <c:v>2022 Q2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chart'!$F$5:$F$10</c:f>
              <c:numCache>
                <c:formatCode>General</c:formatCode>
                <c:ptCount val="5"/>
                <c:pt idx="0">
                  <c:v>326256.60000000021</c:v>
                </c:pt>
                <c:pt idx="1">
                  <c:v>306288.79999999993</c:v>
                </c:pt>
                <c:pt idx="2">
                  <c:v>229041.97000000003</c:v>
                </c:pt>
                <c:pt idx="3">
                  <c:v>284347.80000000005</c:v>
                </c:pt>
                <c:pt idx="4">
                  <c:v>211151.08000000002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95-48F7-BEFF-88F2EBB0745D}"/>
            </c:ext>
          </c:extLst>
        </c:ser>
        <c:ser>
          <c:idx val="2"/>
          <c:order val="2"/>
          <c:tx>
            <c:strRef>
              <c:f>'Pivot Table &amp; chart'!$G$3:$G$4</c:f>
              <c:strCache>
                <c:ptCount val="1"/>
                <c:pt idx="0">
                  <c:v>2023 Q1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chart'!$G$5:$G$10</c:f>
              <c:numCache>
                <c:formatCode>General</c:formatCode>
                <c:ptCount val="5"/>
                <c:pt idx="0">
                  <c:v>360843.2199999998</c:v>
                </c:pt>
                <c:pt idx="1">
                  <c:v>300529.85000000009</c:v>
                </c:pt>
                <c:pt idx="2">
                  <c:v>252643.38999999996</c:v>
                </c:pt>
                <c:pt idx="3">
                  <c:v>217291.78000000003</c:v>
                </c:pt>
                <c:pt idx="4">
                  <c:v>214720.80000000002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5-48F7-BEFF-88F2EBB0745D}"/>
            </c:ext>
          </c:extLst>
        </c:ser>
        <c:ser>
          <c:idx val="3"/>
          <c:order val="3"/>
          <c:tx>
            <c:strRef>
              <c:f>'Pivot Table &amp; chart'!$H$3:$H$4</c:f>
              <c:strCache>
                <c:ptCount val="1"/>
                <c:pt idx="0">
                  <c:v>2023 Q2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 &amp; chart'!$D$5:$D$10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chart'!$H$5:$H$10</c:f>
              <c:numCache>
                <c:formatCode>General</c:formatCode>
                <c:ptCount val="5"/>
                <c:pt idx="0">
                  <c:v>333304.57999999996</c:v>
                </c:pt>
                <c:pt idx="1">
                  <c:v>261316.87000000002</c:v>
                </c:pt>
                <c:pt idx="2">
                  <c:v>219288.22000000003</c:v>
                </c:pt>
                <c:pt idx="3">
                  <c:v>240974.1</c:v>
                </c:pt>
                <c:pt idx="4">
                  <c:v>202190.11999999997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5-48F7-BEFF-88F2EBB07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692975"/>
        <c:axId val="1567697775"/>
      </c:lineChart>
      <c:catAx>
        <c:axId val="15676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7775"/>
        <c:crosses val="autoZero"/>
        <c:auto val="1"/>
        <c:lblAlgn val="ctr"/>
        <c:lblOffset val="100"/>
        <c:noMultiLvlLbl val="0"/>
      </c:catAx>
      <c:valAx>
        <c:axId val="15676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</a:t>
            </a:r>
            <a:r>
              <a:rPr lang="en-US" baseline="0"/>
              <a:t> by Facility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chart'!$A$4:$A$9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'Pivot Table &amp; chart'!$B$4:$B$9</c:f>
              <c:numCache>
                <c:formatCode>0</c:formatCode>
                <c:ptCount val="5"/>
                <c:pt idx="0">
                  <c:v>1361113.2999999998</c:v>
                </c:pt>
                <c:pt idx="1">
                  <c:v>1128000.0800000008</c:v>
                </c:pt>
                <c:pt idx="2">
                  <c:v>964689.56999999855</c:v>
                </c:pt>
                <c:pt idx="3">
                  <c:v>946514.4500000003</c:v>
                </c:pt>
                <c:pt idx="4">
                  <c:v>816074.58999999939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8-47C7-B59C-074C12F80C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9855"/>
        <c:axId val="1567676655"/>
      </c:barChart>
      <c:catAx>
        <c:axId val="156765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76655"/>
        <c:crosses val="autoZero"/>
        <c:auto val="1"/>
        <c:lblAlgn val="ctr"/>
        <c:lblOffset val="100"/>
        <c:noMultiLvlLbl val="0"/>
      </c:catAx>
      <c:valAx>
        <c:axId val="156767665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6765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[ESG Data Analytics Task.xlsx]Pivot Table &amp;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Emissions by Scope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3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3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chart'!$K$4:$K$7</c:f>
              <c:strCache>
                <c:ptCount val="3"/>
                <c:pt idx="0">
                  <c:v>Scope 3</c:v>
                </c:pt>
                <c:pt idx="1">
                  <c:v>Scope 1</c:v>
                </c:pt>
                <c:pt idx="2">
                  <c:v>Scope 2</c:v>
                </c:pt>
              </c:strCache>
            </c:strRef>
          </c:cat>
          <c:val>
            <c:numRef>
              <c:f>'Pivot Table &amp; chart'!$L$4:$L$7</c:f>
              <c:numCache>
                <c:formatCode>0</c:formatCode>
                <c:ptCount val="3"/>
                <c:pt idx="0">
                  <c:v>1766860.3199999987</c:v>
                </c:pt>
                <c:pt idx="1">
                  <c:v>1763843.530000001</c:v>
                </c:pt>
                <c:pt idx="2">
                  <c:v>1685688.1400000006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E-4187-9D06-8E0CB45F92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67703535"/>
        <c:axId val="1567704015"/>
      </c:barChart>
      <c:catAx>
        <c:axId val="156770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704015"/>
        <c:crosses val="autoZero"/>
        <c:auto val="1"/>
        <c:lblAlgn val="ctr"/>
        <c:lblOffset val="100"/>
        <c:noMultiLvlLbl val="0"/>
      </c:catAx>
      <c:valAx>
        <c:axId val="156770401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6770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Facility</a:t>
            </a:r>
            <a:r>
              <a:rPr lang="en-US" baseline="0"/>
              <a:t> by Production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Table'!$G$4:$G$9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Table'!$H$4:$H$9</c:f>
              <c:numCache>
                <c:formatCode>General</c:formatCode>
                <c:ptCount val="5"/>
                <c:pt idx="0">
                  <c:v>29395528</c:v>
                </c:pt>
                <c:pt idx="1">
                  <c:v>24049193</c:v>
                </c:pt>
                <c:pt idx="2">
                  <c:v>20229730</c:v>
                </c:pt>
                <c:pt idx="3">
                  <c:v>18553960</c:v>
                </c:pt>
                <c:pt idx="4">
                  <c:v>16508296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3-40A5-A435-2021BED38C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97039"/>
        <c:axId val="194285039"/>
      </c:barChart>
      <c:catAx>
        <c:axId val="1942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85039"/>
        <c:crosses val="autoZero"/>
        <c:auto val="1"/>
        <c:lblAlgn val="ctr"/>
        <c:lblOffset val="100"/>
        <c:noMultiLvlLbl val="0"/>
      </c:catAx>
      <c:valAx>
        <c:axId val="194285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2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[ESG Data Analytics Task.xlsx]Merge 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Facility</a:t>
            </a:r>
            <a:r>
              <a:rPr lang="en-IN" baseline="0"/>
              <a:t> by Energy Consumption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Table'!$J$4:$J$9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Table'!$K$4:$K$9</c:f>
              <c:numCache>
                <c:formatCode>General</c:formatCode>
                <c:ptCount val="5"/>
                <c:pt idx="0">
                  <c:v>2444660.1800000025</c:v>
                </c:pt>
                <c:pt idx="1">
                  <c:v>2326032.870000001</c:v>
                </c:pt>
                <c:pt idx="2">
                  <c:v>2061199.3499999987</c:v>
                </c:pt>
                <c:pt idx="3">
                  <c:v>2036685.5099999979</c:v>
                </c:pt>
                <c:pt idx="4">
                  <c:v>1915633.5400000038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7CF-AAD5-0E7DD67D7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20223"/>
        <c:axId val="1949501759"/>
      </c:barChart>
      <c:catAx>
        <c:axId val="512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01759"/>
        <c:crosses val="autoZero"/>
        <c:auto val="1"/>
        <c:lblAlgn val="ctr"/>
        <c:lblOffset val="100"/>
        <c:noMultiLvlLbl val="0"/>
      </c:catAx>
      <c:valAx>
        <c:axId val="1949501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22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Task.xlsx]Merge 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Facility &amp; GHG Type by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'Merge Pivot Table'!$B$3:$B$4</c:f>
              <c:strCache>
                <c:ptCount val="1"/>
                <c:pt idx="0">
                  <c:v>CH₄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Table'!$B$5:$B$10</c:f>
              <c:numCache>
                <c:formatCode>General</c:formatCode>
                <c:ptCount val="5"/>
                <c:pt idx="0">
                  <c:v>409046.19000000006</c:v>
                </c:pt>
                <c:pt idx="1">
                  <c:v>389204.05999999994</c:v>
                </c:pt>
                <c:pt idx="2">
                  <c:v>302079.12999999989</c:v>
                </c:pt>
                <c:pt idx="3">
                  <c:v>317426.20000000019</c:v>
                </c:pt>
                <c:pt idx="4">
                  <c:v>292290.34999999998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7-4129-92D0-0D8AF776F520}"/>
            </c:ext>
          </c:extLst>
        </c:ser>
        <c:ser>
          <c:idx val="1"/>
          <c:order val="1"/>
          <c:tx>
            <c:strRef>
              <c:f>'Merge Pivot Table'!$C$3:$C$4</c:f>
              <c:strCache>
                <c:ptCount val="1"/>
                <c:pt idx="0">
                  <c:v>CO₂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Table'!$C$5:$C$10</c:f>
              <c:numCache>
                <c:formatCode>General</c:formatCode>
                <c:ptCount val="5"/>
                <c:pt idx="0">
                  <c:v>511555.97000000003</c:v>
                </c:pt>
                <c:pt idx="1">
                  <c:v>378060.21</c:v>
                </c:pt>
                <c:pt idx="2">
                  <c:v>311467.24999999983</c:v>
                </c:pt>
                <c:pt idx="3">
                  <c:v>361846.78</c:v>
                </c:pt>
                <c:pt idx="4">
                  <c:v>232865.03999999995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7-4129-92D0-0D8AF776F520}"/>
            </c:ext>
          </c:extLst>
        </c:ser>
        <c:ser>
          <c:idx val="2"/>
          <c:order val="2"/>
          <c:tx>
            <c:strRef>
              <c:f>'Merge Pivot Table'!$D$3:$D$4</c:f>
              <c:strCache>
                <c:ptCount val="1"/>
                <c:pt idx="0">
                  <c:v>N₂O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'Merge Pivot Table'!$A$5:$A$10</c:f>
              <c:strCache>
                <c:ptCount val="5"/>
                <c:pt idx="0">
                  <c:v>Adani Green</c:v>
                </c:pt>
                <c:pt idx="1">
                  <c:v>Tata Steel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Table'!$D$5:$D$10</c:f>
              <c:numCache>
                <c:formatCode>General</c:formatCode>
                <c:ptCount val="5"/>
                <c:pt idx="0">
                  <c:v>440511.14000000036</c:v>
                </c:pt>
                <c:pt idx="1">
                  <c:v>360735.81</c:v>
                </c:pt>
                <c:pt idx="2">
                  <c:v>351143.19000000006</c:v>
                </c:pt>
                <c:pt idx="3">
                  <c:v>267241.47000000003</c:v>
                </c:pt>
                <c:pt idx="4">
                  <c:v>290919.20000000019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07-4129-92D0-0D8AF776F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337503"/>
        <c:axId val="754339903"/>
      </c:lineChart>
      <c:catAx>
        <c:axId val="7543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9903"/>
        <c:crosses val="autoZero"/>
        <c:auto val="1"/>
        <c:lblAlgn val="ctr"/>
        <c:lblOffset val="100"/>
        <c:noMultiLvlLbl val="0"/>
      </c:catAx>
      <c:valAx>
        <c:axId val="7543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[ESG Data Analytics Task.xlsx]Pivot Table &amp; chart!PivotTable4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Emissions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chart'!$Q$4:$Q$6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'Pivot Table &amp; chart'!$R$4:$R$6</c:f>
              <c:numCache>
                <c:formatCode>0</c:formatCode>
                <c:ptCount val="2"/>
                <c:pt idx="0">
                  <c:v>2613289.060000001</c:v>
                </c:pt>
                <c:pt idx="1">
                  <c:v>2603102.9299999997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3-4585-A097-0A633DC0D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631519"/>
        <c:axId val="850638239"/>
      </c:barChart>
      <c:catAx>
        <c:axId val="8506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38239"/>
        <c:crosses val="autoZero"/>
        <c:auto val="1"/>
        <c:lblAlgn val="ctr"/>
        <c:lblOffset val="100"/>
        <c:noMultiLvlLbl val="0"/>
      </c:catAx>
      <c:valAx>
        <c:axId val="85063823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5063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[ESG Data Analytics Task.xlsx]Merge Pivot Table!PivotTable4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Facility</a:t>
            </a:r>
            <a:r>
              <a:rPr lang="en-US" baseline="0"/>
              <a:t> by Estimated Carbon Footprint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 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'Merge Pivot Table'!$M$4:$M$9</c:f>
              <c:strCache>
                <c:ptCount val="5"/>
                <c:pt idx="0">
                  <c:v>Tata Steel</c:v>
                </c:pt>
                <c:pt idx="1">
                  <c:v>Adani Green</c:v>
                </c:pt>
                <c:pt idx="2">
                  <c:v>Reliance Industries</c:v>
                </c:pt>
                <c:pt idx="3">
                  <c:v>JSW Energy</c:v>
                </c:pt>
                <c:pt idx="4">
                  <c:v>L&amp;T</c:v>
                </c:pt>
              </c:strCache>
            </c:strRef>
          </c:cat>
          <c:val>
            <c:numRef>
              <c:f>'Merge Pivot Table'!$N$4:$N$9</c:f>
              <c:numCache>
                <c:formatCode>General</c:formatCode>
                <c:ptCount val="5"/>
                <c:pt idx="0">
                  <c:v>262199.10999999987</c:v>
                </c:pt>
                <c:pt idx="1">
                  <c:v>251594.07999999975</c:v>
                </c:pt>
                <c:pt idx="2">
                  <c:v>197162.78000000012</c:v>
                </c:pt>
                <c:pt idx="3">
                  <c:v>192442.15999999995</c:v>
                </c:pt>
                <c:pt idx="4">
                  <c:v>149337.41000000006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A-4806-94ED-FE408151AE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1483727"/>
        <c:axId val="1631489007"/>
      </c:barChart>
      <c:catAx>
        <c:axId val="16314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89007"/>
        <c:crosses val="autoZero"/>
        <c:auto val="1"/>
        <c:lblAlgn val="ctr"/>
        <c:lblOffset val="100"/>
        <c:noMultiLvlLbl val="0"/>
      </c:catAx>
      <c:valAx>
        <c:axId val="1631489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14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10</xdr:row>
      <xdr:rowOff>25400</xdr:rowOff>
    </xdr:from>
    <xdr:to>
      <xdr:col>9</xdr:col>
      <xdr:colOff>6350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16BF7-552A-F4EA-D05B-E64E9AE84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28575</xdr:rowOff>
    </xdr:from>
    <xdr:to>
      <xdr:col>2</xdr:col>
      <xdr:colOff>38100</xdr:colOff>
      <xdr:row>24</xdr:row>
      <xdr:rowOff>11113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EA6CF-BA76-B218-1217-AB83DF549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577850</xdr:colOff>
      <xdr:row>10</xdr:row>
      <xdr:rowOff>31750</xdr:rowOff>
    </xdr:from>
    <xdr:to>
      <xdr:col>15</xdr:col>
      <xdr:colOff>82550</xdr:colOff>
      <xdr:row>25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B33B2F-0140-1F6A-226E-DD2173FB5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447675</xdr:colOff>
      <xdr:row>9</xdr:row>
      <xdr:rowOff>133350</xdr:rowOff>
    </xdr:from>
    <xdr:to>
      <xdr:col>20</xdr:col>
      <xdr:colOff>6350</xdr:colOff>
      <xdr:row>24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FEEC9D-D93C-3272-0295-5E433E803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615950</xdr:colOff>
      <xdr:row>10</xdr:row>
      <xdr:rowOff>60325</xdr:rowOff>
    </xdr:from>
    <xdr:to>
      <xdr:col>26</xdr:col>
      <xdr:colOff>31750</xdr:colOff>
      <xdr:row>25</xdr:row>
      <xdr:rowOff>136525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BAB77A-7560-23D8-8A58-09A0151B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307975</xdr:colOff>
      <xdr:row>9</xdr:row>
      <xdr:rowOff>63500</xdr:rowOff>
    </xdr:from>
    <xdr:to>
      <xdr:col>9</xdr:col>
      <xdr:colOff>434975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C760F-AD77-9FD5-8238-8DDDC901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434975</xdr:colOff>
      <xdr:row>9</xdr:row>
      <xdr:rowOff>76200</xdr:rowOff>
    </xdr:from>
    <xdr:to>
      <xdr:col>12</xdr:col>
      <xdr:colOff>31750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792BC-1757-F07A-D608-77D6A17FD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10</xdr:row>
      <xdr:rowOff>25400</xdr:rowOff>
    </xdr:from>
    <xdr:to>
      <xdr:col>4</xdr:col>
      <xdr:colOff>581025</xdr:colOff>
      <xdr:row>25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64876-65D2-A789-0F81-DAFCFB71B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31750</xdr:colOff>
      <xdr:row>9</xdr:row>
      <xdr:rowOff>69850</xdr:rowOff>
    </xdr:from>
    <xdr:to>
      <xdr:col>14</xdr:col>
      <xdr:colOff>152400</xdr:colOff>
      <xdr:row>24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7D5984-30E7-5973-D2C9-CC97A051F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0</xdr:row>
      <xdr:rowOff>6350</xdr:rowOff>
    </xdr:from>
    <xdr:to>
      <xdr:col>4</xdr:col>
      <xdr:colOff>44450</xdr:colOff>
      <xdr:row>2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DD27F5-4250-0454-CF1F-C2B4D534CF69}"/>
            </a:ext>
          </a:extLst>
        </xdr:cNvPr>
        <xdr:cNvSpPr/>
      </xdr:nvSpPr>
      <xdr:spPr>
        <a:xfrm>
          <a:off x="787400" y="6350"/>
          <a:ext cx="1695450" cy="539750"/>
        </a:xfrm>
        <a:prstGeom prst="rect">
          <a:avLst/>
        </a:prstGeom>
        <a:solidFill>
          <a:srgbClr val="006666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Emissions</a:t>
          </a:r>
        </a:p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5216392</a:t>
          </a:r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9</xdr:col>
      <xdr:colOff>325967</xdr:colOff>
      <xdr:row>0</xdr:row>
      <xdr:rowOff>23283</xdr:rowOff>
    </xdr:from>
    <xdr:to>
      <xdr:col>12</xdr:col>
      <xdr:colOff>192617</xdr:colOff>
      <xdr:row>3</xdr:row>
      <xdr:rowOff>10583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24B7A2-2FD0-483C-8E4C-3779FDE3CA45}"/>
            </a:ext>
          </a:extLst>
        </xdr:cNvPr>
        <xdr:cNvSpPr/>
      </xdr:nvSpPr>
      <xdr:spPr>
        <a:xfrm>
          <a:off x="6231467" y="23283"/>
          <a:ext cx="1835150" cy="527050"/>
        </a:xfrm>
        <a:prstGeom prst="rect">
          <a:avLst/>
        </a:prstGeom>
        <a:solidFill>
          <a:srgbClr val="31ACBD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Production</a:t>
          </a:r>
        </a:p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108736707</a:t>
          </a:r>
          <a:r>
            <a:rPr lang="en-IN">
              <a:effectLst/>
            </a:rPr>
            <a:t> </a:t>
          </a:r>
          <a:endParaRPr lang="en-I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651934</xdr:colOff>
      <xdr:row>0</xdr:row>
      <xdr:rowOff>23284</xdr:rowOff>
    </xdr:from>
    <xdr:to>
      <xdr:col>21</xdr:col>
      <xdr:colOff>14817</xdr:colOff>
      <xdr:row>3</xdr:row>
      <xdr:rowOff>10584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8119646-0AB4-491E-BCA5-98ADC45FE079}"/>
            </a:ext>
          </a:extLst>
        </xdr:cNvPr>
        <xdr:cNvSpPr/>
      </xdr:nvSpPr>
      <xdr:spPr>
        <a:xfrm>
          <a:off x="11806767" y="23284"/>
          <a:ext cx="1987550" cy="52705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Energy Consumption</a:t>
          </a:r>
        </a:p>
        <a:p>
          <a:pPr algn="ctr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10784211.45</a:t>
          </a:r>
          <a:r>
            <a:rPr lang="en-IN">
              <a:effectLst/>
            </a:rPr>
            <a:t> </a:t>
          </a:r>
          <a:endParaRPr lang="en-I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129116</xdr:colOff>
      <xdr:row>3</xdr:row>
      <xdr:rowOff>30691</xdr:rowOff>
    </xdr:from>
    <xdr:to>
      <xdr:col>14</xdr:col>
      <xdr:colOff>232833</xdr:colOff>
      <xdr:row>18</xdr:row>
      <xdr:rowOff>15874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91228D-3183-4A24-B2F6-70AFCE03F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12700</xdr:rowOff>
    </xdr:from>
    <xdr:to>
      <xdr:col>6</xdr:col>
      <xdr:colOff>127000</xdr:colOff>
      <xdr:row>17</xdr:row>
      <xdr:rowOff>179388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5C22C7-B887-472C-8EF0-CBA4203D0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541867</xdr:colOff>
      <xdr:row>3</xdr:row>
      <xdr:rowOff>30691</xdr:rowOff>
    </xdr:from>
    <xdr:to>
      <xdr:col>24</xdr:col>
      <xdr:colOff>4234</xdr:colOff>
      <xdr:row>18</xdr:row>
      <xdr:rowOff>15874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0A5CF9-D8E4-4B4D-8BB2-570493B40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63499</xdr:colOff>
      <xdr:row>17</xdr:row>
      <xdr:rowOff>177800</xdr:rowOff>
    </xdr:from>
    <xdr:to>
      <xdr:col>11</xdr:col>
      <xdr:colOff>380999</xdr:colOff>
      <xdr:row>32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477D38-F1A7-4144-90F5-738D33136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387350</xdr:colOff>
      <xdr:row>18</xdr:row>
      <xdr:rowOff>4233</xdr:rowOff>
    </xdr:from>
    <xdr:to>
      <xdr:col>17</xdr:col>
      <xdr:colOff>127000</xdr:colOff>
      <xdr:row>32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FD21F7-2B04-4EC4-A047-667D2202C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</xdr:colOff>
      <xdr:row>18</xdr:row>
      <xdr:rowOff>0</xdr:rowOff>
    </xdr:from>
    <xdr:to>
      <xdr:col>6</xdr:col>
      <xdr:colOff>52917</xdr:colOff>
      <xdr:row>32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AD9517-E541-4F75-8220-A1F2AE58A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243416</xdr:colOff>
      <xdr:row>3</xdr:row>
      <xdr:rowOff>23283</xdr:rowOff>
    </xdr:from>
    <xdr:to>
      <xdr:col>18</xdr:col>
      <xdr:colOff>535516</xdr:colOff>
      <xdr:row>18</xdr:row>
      <xdr:rowOff>8466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1E067C7-83FC-4DAC-BDFC-459410E1F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126999</xdr:colOff>
      <xdr:row>18</xdr:row>
      <xdr:rowOff>10583</xdr:rowOff>
    </xdr:from>
    <xdr:to>
      <xdr:col>23</xdr:col>
      <xdr:colOff>645583</xdr:colOff>
      <xdr:row>33</xdr:row>
      <xdr:rowOff>10583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A27FDB4-73A7-431F-A7F6-B5BE2D379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Kant" refreshedDate="45923.862989583336" createdVersion="8" refreshedVersion="8" minRefreshableVersion="3" recordCount="2000" xr:uid="{2A9003CB-47CE-40D5-9B5E-6EB7493C447D}">
  <cacheSource type="worksheet">
    <worksheetSource name="Emission"/>
  </cacheSource>
  <cacheFields count="7">
    <cacheField name="Facility ID" numFmtId="0">
      <sharedItems/>
    </cacheField>
    <cacheField name="Facility Name" numFmtId="0">
      <sharedItems count="5">
        <s v="JSW Energy"/>
        <s v="L&amp;T"/>
        <s v="Reliance Industries"/>
        <s v="Tata Steel"/>
        <s v="Adani Green"/>
      </sharedItems>
    </cacheField>
    <cacheField name="Reporting Period" numFmtId="0">
      <sharedItems count="4">
        <s v="2022 Q1"/>
        <s v="2022 Q2"/>
        <s v="2023 Q2"/>
        <s v="2023 Q1"/>
      </sharedItems>
    </cacheField>
    <cacheField name="Scope" numFmtId="0">
      <sharedItems count="3">
        <s v="Scope 3"/>
        <s v="Scope 1"/>
        <s v="Scope 2"/>
      </sharedItems>
    </cacheField>
    <cacheField name="GHG Type" numFmtId="0">
      <sharedItems/>
    </cacheField>
    <cacheField name="Emissions (tons)" numFmtId="0">
      <sharedItems containsSemiMixedTypes="0" containsString="0" containsNumber="1" minValue="50.06" maxValue="5563.32"/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Kant" refreshedDate="45924.867176388892" createdVersion="8" refreshedVersion="8" minRefreshableVersion="3" recordCount="2000" xr:uid="{F6D9C400-1732-4FC9-B2A4-5C22FD0C871C}">
  <cacheSource type="worksheet">
    <worksheetSource ref="A1:K2001" sheet="Merge operational &amp; suppliar"/>
  </cacheSource>
  <cacheFields count="11">
    <cacheField name="Facility ID" numFmtId="0">
      <sharedItems/>
    </cacheField>
    <cacheField name="Facility Name" numFmtId="0">
      <sharedItems count="5">
        <s v="JSW Energy"/>
        <s v="L&amp;T"/>
        <s v="Reliance Industries"/>
        <s v="Tata Steel"/>
        <s v="Adani Green"/>
      </sharedItems>
    </cacheField>
    <cacheField name="Reporting Period" numFmtId="0">
      <sharedItems/>
    </cacheField>
    <cacheField name="Scope" numFmtId="0">
      <sharedItems/>
    </cacheField>
    <cacheField name="GHG Type" numFmtId="0">
      <sharedItems count="3">
        <s v="CH₄"/>
        <s v="CO₂"/>
        <s v="N₂O"/>
      </sharedItems>
    </cacheField>
    <cacheField name="Emissions (tons)" numFmtId="0">
      <sharedItems containsSemiMixedTypes="0" containsString="0" containsNumber="1" minValue="50.06" maxValue="5563.32"/>
    </cacheField>
    <cacheField name="Production Volume (units)" numFmtId="0">
      <sharedItems containsSemiMixedTypes="0" containsString="0" containsNumber="1" containsInteger="1" minValue="10067" maxValue="99115"/>
    </cacheField>
    <cacheField name="Energy Consumption (MWh)" numFmtId="0">
      <sharedItems containsSemiMixedTypes="0" containsString="0" containsNumber="1" minValue="524.72" maxValue="9860.6200000000008"/>
    </cacheField>
    <cacheField name="Waste (tons)" numFmtId="0">
      <sharedItems containsSemiMixedTypes="0" containsString="0" containsNumber="1" minValue="5.22" maxValue="98.78"/>
    </cacheField>
    <cacheField name="Estimated Carbon Footprint (tons CO₂e)" numFmtId="0">
      <sharedItems containsMixedTypes="1" containsNumber="1" minValue="105.67" maxValue="991.36"/>
    </cacheField>
    <cacheField name="Income Distribution (%)" numFmtId="0">
      <sharedItems containsMixedTypes="1" containsNumber="1" minValue="6.78" maxValue="8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F088"/>
    <x v="0"/>
    <x v="0"/>
    <x v="0"/>
    <s v="CH₄"/>
    <n v="2435.6"/>
    <x v="0"/>
  </r>
  <r>
    <s v="F021"/>
    <x v="1"/>
    <x v="1"/>
    <x v="1"/>
    <s v="CO₂"/>
    <n v="835.45"/>
    <x v="0"/>
  </r>
  <r>
    <s v="F107"/>
    <x v="2"/>
    <x v="1"/>
    <x v="1"/>
    <s v="CO₂"/>
    <n v="3430.45"/>
    <x v="0"/>
  </r>
  <r>
    <s v="F106"/>
    <x v="3"/>
    <x v="0"/>
    <x v="1"/>
    <s v="CO₂"/>
    <n v="4214.24"/>
    <x v="0"/>
  </r>
  <r>
    <s v="F090"/>
    <x v="2"/>
    <x v="1"/>
    <x v="0"/>
    <s v="CH₄"/>
    <n v="605.59"/>
    <x v="0"/>
  </r>
  <r>
    <s v="F158"/>
    <x v="3"/>
    <x v="1"/>
    <x v="1"/>
    <s v="CH₄"/>
    <n v="656.33"/>
    <x v="0"/>
  </r>
  <r>
    <s v="F023"/>
    <x v="1"/>
    <x v="2"/>
    <x v="0"/>
    <s v="N₂O"/>
    <n v="4455.93"/>
    <x v="1"/>
  </r>
  <r>
    <s v="F153"/>
    <x v="3"/>
    <x v="1"/>
    <x v="0"/>
    <s v="CH₄"/>
    <n v="660.2"/>
    <x v="0"/>
  </r>
  <r>
    <s v="F079"/>
    <x v="2"/>
    <x v="2"/>
    <x v="0"/>
    <s v="CH₄"/>
    <n v="1883.3"/>
    <x v="1"/>
  </r>
  <r>
    <s v="F065"/>
    <x v="1"/>
    <x v="0"/>
    <x v="2"/>
    <s v="N₂O"/>
    <n v="221.01"/>
    <x v="0"/>
  </r>
  <r>
    <s v="F025"/>
    <x v="4"/>
    <x v="0"/>
    <x v="2"/>
    <s v="CH₄"/>
    <n v="4737.0600000000004"/>
    <x v="0"/>
  </r>
  <r>
    <s v="F104"/>
    <x v="4"/>
    <x v="0"/>
    <x v="0"/>
    <s v="N₂O"/>
    <n v="1951.28"/>
    <x v="0"/>
  </r>
  <r>
    <s v="F137"/>
    <x v="0"/>
    <x v="1"/>
    <x v="2"/>
    <s v="CH₄"/>
    <n v="4320.1099999999997"/>
    <x v="0"/>
  </r>
  <r>
    <s v="F158"/>
    <x v="3"/>
    <x v="0"/>
    <x v="2"/>
    <s v="CO₂"/>
    <n v="2179.33"/>
    <x v="0"/>
  </r>
  <r>
    <s v="F101"/>
    <x v="3"/>
    <x v="3"/>
    <x v="1"/>
    <s v="CH₄"/>
    <n v="3612.19"/>
    <x v="1"/>
  </r>
  <r>
    <s v="F194"/>
    <x v="3"/>
    <x v="0"/>
    <x v="2"/>
    <s v="N₂O"/>
    <n v="1270.3599999999999"/>
    <x v="0"/>
  </r>
  <r>
    <s v="F057"/>
    <x v="1"/>
    <x v="2"/>
    <x v="2"/>
    <s v="CH₄"/>
    <n v="1630.06"/>
    <x v="1"/>
  </r>
  <r>
    <s v="F017"/>
    <x v="2"/>
    <x v="3"/>
    <x v="0"/>
    <s v="N₂O"/>
    <n v="3063.61"/>
    <x v="1"/>
  </r>
  <r>
    <s v="F120"/>
    <x v="4"/>
    <x v="0"/>
    <x v="0"/>
    <s v="N₂O"/>
    <n v="2447.42"/>
    <x v="0"/>
  </r>
  <r>
    <s v="F139"/>
    <x v="0"/>
    <x v="1"/>
    <x v="2"/>
    <s v="N₂O"/>
    <n v="4170.13"/>
    <x v="0"/>
  </r>
  <r>
    <s v="F166"/>
    <x v="3"/>
    <x v="2"/>
    <x v="0"/>
    <s v="CO₂"/>
    <n v="2099.64"/>
    <x v="1"/>
  </r>
  <r>
    <s v="F005"/>
    <x v="4"/>
    <x v="2"/>
    <x v="2"/>
    <s v="CO₂"/>
    <n v="3701.02"/>
    <x v="1"/>
  </r>
  <r>
    <s v="F060"/>
    <x v="4"/>
    <x v="2"/>
    <x v="2"/>
    <s v="CH₄"/>
    <n v="1262.77"/>
    <x v="1"/>
  </r>
  <r>
    <s v="F133"/>
    <x v="2"/>
    <x v="0"/>
    <x v="1"/>
    <s v="N₂O"/>
    <n v="2741.92"/>
    <x v="0"/>
  </r>
  <r>
    <s v="F025"/>
    <x v="4"/>
    <x v="0"/>
    <x v="1"/>
    <s v="N₂O"/>
    <n v="1824.14"/>
    <x v="0"/>
  </r>
  <r>
    <s v="F134"/>
    <x v="3"/>
    <x v="2"/>
    <x v="0"/>
    <s v="CH₄"/>
    <n v="738.44"/>
    <x v="1"/>
  </r>
  <r>
    <s v="F030"/>
    <x v="0"/>
    <x v="1"/>
    <x v="0"/>
    <s v="CO₂"/>
    <n v="2856.76"/>
    <x v="0"/>
  </r>
  <r>
    <s v="F091"/>
    <x v="4"/>
    <x v="1"/>
    <x v="1"/>
    <s v="N₂O"/>
    <n v="1787.35"/>
    <x v="0"/>
  </r>
  <r>
    <s v="F002"/>
    <x v="4"/>
    <x v="2"/>
    <x v="0"/>
    <s v="CO₂"/>
    <n v="5138.83"/>
    <x v="1"/>
  </r>
  <r>
    <s v="F121"/>
    <x v="3"/>
    <x v="0"/>
    <x v="0"/>
    <s v="CH₄"/>
    <n v="5005.4399999999996"/>
    <x v="0"/>
  </r>
  <r>
    <s v="F008"/>
    <x v="3"/>
    <x v="2"/>
    <x v="2"/>
    <s v="N₂O"/>
    <n v="4053.3"/>
    <x v="1"/>
  </r>
  <r>
    <s v="F198"/>
    <x v="3"/>
    <x v="2"/>
    <x v="2"/>
    <s v="N₂O"/>
    <n v="280.72000000000003"/>
    <x v="1"/>
  </r>
  <r>
    <s v="F087"/>
    <x v="4"/>
    <x v="2"/>
    <x v="1"/>
    <s v="N₂O"/>
    <n v="329.41"/>
    <x v="1"/>
  </r>
  <r>
    <s v="F175"/>
    <x v="3"/>
    <x v="1"/>
    <x v="1"/>
    <s v="CO₂"/>
    <n v="4133.74"/>
    <x v="0"/>
  </r>
  <r>
    <s v="F100"/>
    <x v="0"/>
    <x v="3"/>
    <x v="2"/>
    <s v="CO₂"/>
    <n v="2773.3"/>
    <x v="1"/>
  </r>
  <r>
    <s v="F042"/>
    <x v="1"/>
    <x v="1"/>
    <x v="0"/>
    <s v="CH₄"/>
    <n v="3482.08"/>
    <x v="0"/>
  </r>
  <r>
    <s v="F173"/>
    <x v="1"/>
    <x v="3"/>
    <x v="0"/>
    <s v="CH₄"/>
    <n v="1953.71"/>
    <x v="1"/>
  </r>
  <r>
    <s v="F025"/>
    <x v="4"/>
    <x v="3"/>
    <x v="1"/>
    <s v="CO₂"/>
    <n v="4444.76"/>
    <x v="1"/>
  </r>
  <r>
    <s v="F173"/>
    <x v="1"/>
    <x v="2"/>
    <x v="2"/>
    <s v="CO₂"/>
    <n v="1836.99"/>
    <x v="1"/>
  </r>
  <r>
    <s v="F012"/>
    <x v="3"/>
    <x v="0"/>
    <x v="1"/>
    <s v="CO₂"/>
    <n v="793.9"/>
    <x v="0"/>
  </r>
  <r>
    <s v="F182"/>
    <x v="3"/>
    <x v="3"/>
    <x v="2"/>
    <s v="N₂O"/>
    <n v="1445.28"/>
    <x v="1"/>
  </r>
  <r>
    <s v="F026"/>
    <x v="2"/>
    <x v="3"/>
    <x v="0"/>
    <s v="N₂O"/>
    <n v="1246.73"/>
    <x v="1"/>
  </r>
  <r>
    <s v="F093"/>
    <x v="2"/>
    <x v="3"/>
    <x v="1"/>
    <s v="CH₄"/>
    <n v="527.16999999999996"/>
    <x v="1"/>
  </r>
  <r>
    <s v="F074"/>
    <x v="1"/>
    <x v="3"/>
    <x v="1"/>
    <s v="CO₂"/>
    <n v="542.33000000000004"/>
    <x v="1"/>
  </r>
  <r>
    <s v="F024"/>
    <x v="4"/>
    <x v="3"/>
    <x v="2"/>
    <s v="N₂O"/>
    <n v="636.07000000000005"/>
    <x v="1"/>
  </r>
  <r>
    <s v="F103"/>
    <x v="4"/>
    <x v="3"/>
    <x v="0"/>
    <s v="CO₂"/>
    <n v="3898.2"/>
    <x v="1"/>
  </r>
  <r>
    <s v="F032"/>
    <x v="1"/>
    <x v="3"/>
    <x v="0"/>
    <s v="N₂O"/>
    <n v="525.25"/>
    <x v="1"/>
  </r>
  <r>
    <s v="F077"/>
    <x v="4"/>
    <x v="0"/>
    <x v="1"/>
    <s v="CO₂"/>
    <n v="1135.03"/>
    <x v="0"/>
  </r>
  <r>
    <s v="F017"/>
    <x v="2"/>
    <x v="2"/>
    <x v="0"/>
    <s v="N₂O"/>
    <n v="1670.51"/>
    <x v="1"/>
  </r>
  <r>
    <s v="F056"/>
    <x v="4"/>
    <x v="1"/>
    <x v="0"/>
    <s v="CH₄"/>
    <n v="939.61"/>
    <x v="0"/>
  </r>
  <r>
    <s v="F008"/>
    <x v="3"/>
    <x v="3"/>
    <x v="2"/>
    <s v="CH₄"/>
    <n v="1436.13"/>
    <x v="1"/>
  </r>
  <r>
    <s v="F172"/>
    <x v="4"/>
    <x v="3"/>
    <x v="0"/>
    <s v="N₂O"/>
    <n v="3950"/>
    <x v="1"/>
  </r>
  <r>
    <s v="F190"/>
    <x v="0"/>
    <x v="0"/>
    <x v="0"/>
    <s v="CH₄"/>
    <n v="4777.7700000000004"/>
    <x v="0"/>
  </r>
  <r>
    <s v="F097"/>
    <x v="1"/>
    <x v="1"/>
    <x v="0"/>
    <s v="CH₄"/>
    <n v="739.48"/>
    <x v="0"/>
  </r>
  <r>
    <s v="F045"/>
    <x v="0"/>
    <x v="2"/>
    <x v="1"/>
    <s v="CH₄"/>
    <n v="2957.08"/>
    <x v="1"/>
  </r>
  <r>
    <s v="F181"/>
    <x v="3"/>
    <x v="1"/>
    <x v="2"/>
    <s v="N₂O"/>
    <n v="4782.28"/>
    <x v="0"/>
  </r>
  <r>
    <s v="F100"/>
    <x v="0"/>
    <x v="3"/>
    <x v="1"/>
    <s v="CO₂"/>
    <n v="3836.23"/>
    <x v="1"/>
  </r>
  <r>
    <s v="F019"/>
    <x v="0"/>
    <x v="1"/>
    <x v="2"/>
    <s v="CH₄"/>
    <n v="4410.6400000000003"/>
    <x v="0"/>
  </r>
  <r>
    <s v="F181"/>
    <x v="3"/>
    <x v="3"/>
    <x v="2"/>
    <s v="N₂O"/>
    <n v="1861.93"/>
    <x v="1"/>
  </r>
  <r>
    <s v="F115"/>
    <x v="3"/>
    <x v="0"/>
    <x v="1"/>
    <s v="CH₄"/>
    <n v="3332.83"/>
    <x v="0"/>
  </r>
  <r>
    <s v="F086"/>
    <x v="4"/>
    <x v="3"/>
    <x v="2"/>
    <s v="N₂O"/>
    <n v="2649.83"/>
    <x v="1"/>
  </r>
  <r>
    <s v="F162"/>
    <x v="3"/>
    <x v="0"/>
    <x v="1"/>
    <s v="N₂O"/>
    <n v="3224.33"/>
    <x v="0"/>
  </r>
  <r>
    <s v="F023"/>
    <x v="1"/>
    <x v="2"/>
    <x v="0"/>
    <s v="CH₄"/>
    <n v="881.22"/>
    <x v="1"/>
  </r>
  <r>
    <s v="F084"/>
    <x v="3"/>
    <x v="1"/>
    <x v="0"/>
    <s v="CO₂"/>
    <n v="5563.32"/>
    <x v="0"/>
  </r>
  <r>
    <s v="F197"/>
    <x v="2"/>
    <x v="3"/>
    <x v="2"/>
    <s v="N₂O"/>
    <n v="2558.1799999999998"/>
    <x v="1"/>
  </r>
  <r>
    <s v="F186"/>
    <x v="4"/>
    <x v="2"/>
    <x v="0"/>
    <s v="CH₄"/>
    <n v="2013.87"/>
    <x v="1"/>
  </r>
  <r>
    <s v="F191"/>
    <x v="0"/>
    <x v="2"/>
    <x v="2"/>
    <s v="CO₂"/>
    <n v="1752.18"/>
    <x v="1"/>
  </r>
  <r>
    <s v="F039"/>
    <x v="2"/>
    <x v="1"/>
    <x v="2"/>
    <s v="N₂O"/>
    <n v="4152.92"/>
    <x v="0"/>
  </r>
  <r>
    <s v="F126"/>
    <x v="2"/>
    <x v="1"/>
    <x v="2"/>
    <s v="CO₂"/>
    <n v="61.94"/>
    <x v="0"/>
  </r>
  <r>
    <s v="F172"/>
    <x v="4"/>
    <x v="3"/>
    <x v="0"/>
    <s v="CO₂"/>
    <n v="4862.4399999999996"/>
    <x v="1"/>
  </r>
  <r>
    <s v="F044"/>
    <x v="1"/>
    <x v="2"/>
    <x v="0"/>
    <s v="CH₄"/>
    <n v="1930.13"/>
    <x v="1"/>
  </r>
  <r>
    <s v="F016"/>
    <x v="2"/>
    <x v="3"/>
    <x v="2"/>
    <s v="N₂O"/>
    <n v="2818.75"/>
    <x v="1"/>
  </r>
  <r>
    <s v="F059"/>
    <x v="2"/>
    <x v="0"/>
    <x v="0"/>
    <s v="N₂O"/>
    <n v="2368.67"/>
    <x v="0"/>
  </r>
  <r>
    <s v="F042"/>
    <x v="1"/>
    <x v="3"/>
    <x v="1"/>
    <s v="CO₂"/>
    <n v="1533.98"/>
    <x v="1"/>
  </r>
  <r>
    <s v="F097"/>
    <x v="1"/>
    <x v="3"/>
    <x v="1"/>
    <s v="N₂O"/>
    <n v="249.89"/>
    <x v="1"/>
  </r>
  <r>
    <s v="F196"/>
    <x v="4"/>
    <x v="1"/>
    <x v="0"/>
    <s v="CO₂"/>
    <n v="4797.88"/>
    <x v="0"/>
  </r>
  <r>
    <s v="F063"/>
    <x v="4"/>
    <x v="2"/>
    <x v="1"/>
    <s v="N₂O"/>
    <n v="534.05999999999995"/>
    <x v="1"/>
  </r>
  <r>
    <s v="F135"/>
    <x v="3"/>
    <x v="1"/>
    <x v="1"/>
    <s v="CH₄"/>
    <n v="4285.8999999999996"/>
    <x v="0"/>
  </r>
  <r>
    <s v="F193"/>
    <x v="1"/>
    <x v="3"/>
    <x v="2"/>
    <s v="CH₄"/>
    <n v="1042.25"/>
    <x v="1"/>
  </r>
  <r>
    <s v="F068"/>
    <x v="0"/>
    <x v="3"/>
    <x v="0"/>
    <s v="N₂O"/>
    <n v="1836.69"/>
    <x v="1"/>
  </r>
  <r>
    <s v="F161"/>
    <x v="2"/>
    <x v="1"/>
    <x v="2"/>
    <s v="CO₂"/>
    <n v="3337.6"/>
    <x v="0"/>
  </r>
  <r>
    <s v="F137"/>
    <x v="0"/>
    <x v="3"/>
    <x v="1"/>
    <s v="CO₂"/>
    <n v="2632.11"/>
    <x v="1"/>
  </r>
  <r>
    <s v="F037"/>
    <x v="3"/>
    <x v="2"/>
    <x v="2"/>
    <s v="N₂O"/>
    <n v="2011.5"/>
    <x v="1"/>
  </r>
  <r>
    <s v="F022"/>
    <x v="4"/>
    <x v="2"/>
    <x v="2"/>
    <s v="CO₂"/>
    <n v="724.26"/>
    <x v="1"/>
  </r>
  <r>
    <s v="F088"/>
    <x v="0"/>
    <x v="2"/>
    <x v="1"/>
    <s v="N₂O"/>
    <n v="2373.2600000000002"/>
    <x v="1"/>
  </r>
  <r>
    <s v="F002"/>
    <x v="4"/>
    <x v="3"/>
    <x v="2"/>
    <s v="N₂O"/>
    <n v="1440.9"/>
    <x v="1"/>
  </r>
  <r>
    <s v="F176"/>
    <x v="4"/>
    <x v="1"/>
    <x v="2"/>
    <s v="CH₄"/>
    <n v="569.39"/>
    <x v="0"/>
  </r>
  <r>
    <s v="F133"/>
    <x v="2"/>
    <x v="2"/>
    <x v="1"/>
    <s v="N₂O"/>
    <n v="1161.74"/>
    <x v="1"/>
  </r>
  <r>
    <s v="F017"/>
    <x v="2"/>
    <x v="0"/>
    <x v="0"/>
    <s v="N₂O"/>
    <n v="4200.5"/>
    <x v="0"/>
  </r>
  <r>
    <s v="F173"/>
    <x v="1"/>
    <x v="0"/>
    <x v="1"/>
    <s v="CO₂"/>
    <n v="2311.5500000000002"/>
    <x v="0"/>
  </r>
  <r>
    <s v="F071"/>
    <x v="4"/>
    <x v="0"/>
    <x v="2"/>
    <s v="CO₂"/>
    <n v="2116.64"/>
    <x v="0"/>
  </r>
  <r>
    <s v="F048"/>
    <x v="0"/>
    <x v="1"/>
    <x v="2"/>
    <s v="CO₂"/>
    <n v="2833.88"/>
    <x v="0"/>
  </r>
  <r>
    <s v="F027"/>
    <x v="4"/>
    <x v="0"/>
    <x v="2"/>
    <s v="CH₄"/>
    <n v="2605.96"/>
    <x v="0"/>
  </r>
  <r>
    <s v="F045"/>
    <x v="0"/>
    <x v="3"/>
    <x v="0"/>
    <s v="N₂O"/>
    <n v="532.45000000000005"/>
    <x v="1"/>
  </r>
  <r>
    <s v="F036"/>
    <x v="3"/>
    <x v="1"/>
    <x v="0"/>
    <s v="N₂O"/>
    <n v="1876.96"/>
    <x v="0"/>
  </r>
  <r>
    <s v="F078"/>
    <x v="0"/>
    <x v="1"/>
    <x v="1"/>
    <s v="CO₂"/>
    <n v="522.41"/>
    <x v="0"/>
  </r>
  <r>
    <s v="F073"/>
    <x v="3"/>
    <x v="2"/>
    <x v="0"/>
    <s v="CH₄"/>
    <n v="4953.9799999999996"/>
    <x v="1"/>
  </r>
  <r>
    <s v="F127"/>
    <x v="3"/>
    <x v="1"/>
    <x v="0"/>
    <s v="CO₂"/>
    <n v="2322.96"/>
    <x v="0"/>
  </r>
  <r>
    <s v="F126"/>
    <x v="2"/>
    <x v="3"/>
    <x v="2"/>
    <s v="N₂O"/>
    <n v="4662.91"/>
    <x v="1"/>
  </r>
  <r>
    <s v="F082"/>
    <x v="0"/>
    <x v="2"/>
    <x v="2"/>
    <s v="N₂O"/>
    <n v="1907.29"/>
    <x v="1"/>
  </r>
  <r>
    <s v="F108"/>
    <x v="3"/>
    <x v="1"/>
    <x v="0"/>
    <s v="CO₂"/>
    <n v="1668.59"/>
    <x v="0"/>
  </r>
  <r>
    <s v="F031"/>
    <x v="3"/>
    <x v="3"/>
    <x v="1"/>
    <s v="N₂O"/>
    <n v="3260.51"/>
    <x v="1"/>
  </r>
  <r>
    <s v="F054"/>
    <x v="3"/>
    <x v="0"/>
    <x v="1"/>
    <s v="CH₄"/>
    <n v="2218.4699999999998"/>
    <x v="0"/>
  </r>
  <r>
    <s v="F191"/>
    <x v="0"/>
    <x v="3"/>
    <x v="1"/>
    <s v="CH₄"/>
    <n v="479.85"/>
    <x v="1"/>
  </r>
  <r>
    <s v="F144"/>
    <x v="2"/>
    <x v="0"/>
    <x v="2"/>
    <s v="CO₂"/>
    <n v="401.65"/>
    <x v="0"/>
  </r>
  <r>
    <s v="F046"/>
    <x v="4"/>
    <x v="3"/>
    <x v="2"/>
    <s v="N₂O"/>
    <n v="4844.9399999999996"/>
    <x v="1"/>
  </r>
  <r>
    <s v="F061"/>
    <x v="1"/>
    <x v="3"/>
    <x v="1"/>
    <s v="CH₄"/>
    <n v="1954.31"/>
    <x v="1"/>
  </r>
  <r>
    <s v="F172"/>
    <x v="4"/>
    <x v="2"/>
    <x v="2"/>
    <s v="CO₂"/>
    <n v="2094.86"/>
    <x v="1"/>
  </r>
  <r>
    <s v="F018"/>
    <x v="4"/>
    <x v="0"/>
    <x v="2"/>
    <s v="N₂O"/>
    <n v="3876.8"/>
    <x v="0"/>
  </r>
  <r>
    <s v="F030"/>
    <x v="0"/>
    <x v="3"/>
    <x v="2"/>
    <s v="CH₄"/>
    <n v="3209.34"/>
    <x v="1"/>
  </r>
  <r>
    <s v="F184"/>
    <x v="0"/>
    <x v="0"/>
    <x v="2"/>
    <s v="N₂O"/>
    <n v="1290.4100000000001"/>
    <x v="0"/>
  </r>
  <r>
    <s v="F060"/>
    <x v="4"/>
    <x v="1"/>
    <x v="1"/>
    <s v="N₂O"/>
    <n v="3768.03"/>
    <x v="0"/>
  </r>
  <r>
    <s v="F041"/>
    <x v="1"/>
    <x v="0"/>
    <x v="2"/>
    <s v="CH₄"/>
    <n v="2209.6"/>
    <x v="0"/>
  </r>
  <r>
    <s v="F064"/>
    <x v="1"/>
    <x v="3"/>
    <x v="0"/>
    <s v="N₂O"/>
    <n v="3789.17"/>
    <x v="1"/>
  </r>
  <r>
    <s v="F124"/>
    <x v="3"/>
    <x v="0"/>
    <x v="2"/>
    <s v="CH₄"/>
    <n v="2970.05"/>
    <x v="0"/>
  </r>
  <r>
    <s v="F131"/>
    <x v="4"/>
    <x v="2"/>
    <x v="2"/>
    <s v="CH₄"/>
    <n v="1858.31"/>
    <x v="1"/>
  </r>
  <r>
    <s v="F103"/>
    <x v="4"/>
    <x v="0"/>
    <x v="0"/>
    <s v="CH₄"/>
    <n v="3702.95"/>
    <x v="0"/>
  </r>
  <r>
    <s v="F152"/>
    <x v="4"/>
    <x v="2"/>
    <x v="2"/>
    <s v="CH₄"/>
    <n v="3276"/>
    <x v="1"/>
  </r>
  <r>
    <s v="F085"/>
    <x v="4"/>
    <x v="0"/>
    <x v="1"/>
    <s v="N₂O"/>
    <n v="526.37"/>
    <x v="0"/>
  </r>
  <r>
    <s v="F099"/>
    <x v="3"/>
    <x v="1"/>
    <x v="1"/>
    <s v="CH₄"/>
    <n v="445.6"/>
    <x v="0"/>
  </r>
  <r>
    <s v="F128"/>
    <x v="2"/>
    <x v="3"/>
    <x v="0"/>
    <s v="CO₂"/>
    <n v="4486.2700000000004"/>
    <x v="1"/>
  </r>
  <r>
    <s v="F124"/>
    <x v="3"/>
    <x v="1"/>
    <x v="0"/>
    <s v="CO₂"/>
    <n v="1770.54"/>
    <x v="0"/>
  </r>
  <r>
    <s v="F031"/>
    <x v="3"/>
    <x v="3"/>
    <x v="0"/>
    <s v="N₂O"/>
    <n v="2762.19"/>
    <x v="1"/>
  </r>
  <r>
    <s v="F198"/>
    <x v="3"/>
    <x v="3"/>
    <x v="1"/>
    <s v="CO₂"/>
    <n v="1531.3"/>
    <x v="1"/>
  </r>
  <r>
    <s v="F135"/>
    <x v="3"/>
    <x v="3"/>
    <x v="0"/>
    <s v="CO₂"/>
    <n v="4453.37"/>
    <x v="1"/>
  </r>
  <r>
    <s v="F019"/>
    <x v="0"/>
    <x v="2"/>
    <x v="2"/>
    <s v="CH₄"/>
    <n v="4934.5600000000004"/>
    <x v="1"/>
  </r>
  <r>
    <s v="F199"/>
    <x v="0"/>
    <x v="1"/>
    <x v="1"/>
    <s v="CH₄"/>
    <n v="1164.7"/>
    <x v="0"/>
  </r>
  <r>
    <s v="F145"/>
    <x v="4"/>
    <x v="1"/>
    <x v="1"/>
    <s v="N₂O"/>
    <n v="2732.08"/>
    <x v="0"/>
  </r>
  <r>
    <s v="F196"/>
    <x v="4"/>
    <x v="1"/>
    <x v="0"/>
    <s v="CH₄"/>
    <n v="3114.5"/>
    <x v="0"/>
  </r>
  <r>
    <s v="F015"/>
    <x v="4"/>
    <x v="2"/>
    <x v="1"/>
    <s v="CH₄"/>
    <n v="3329.18"/>
    <x v="1"/>
  </r>
  <r>
    <s v="F092"/>
    <x v="4"/>
    <x v="2"/>
    <x v="2"/>
    <s v="CH₄"/>
    <n v="3195.93"/>
    <x v="1"/>
  </r>
  <r>
    <s v="F022"/>
    <x v="4"/>
    <x v="0"/>
    <x v="2"/>
    <s v="CO₂"/>
    <n v="1246.5"/>
    <x v="0"/>
  </r>
  <r>
    <s v="F089"/>
    <x v="4"/>
    <x v="0"/>
    <x v="2"/>
    <s v="CH₄"/>
    <n v="2737.6"/>
    <x v="0"/>
  </r>
  <r>
    <s v="F174"/>
    <x v="3"/>
    <x v="3"/>
    <x v="2"/>
    <s v="CO₂"/>
    <n v="1722.2"/>
    <x v="1"/>
  </r>
  <r>
    <s v="F028"/>
    <x v="4"/>
    <x v="0"/>
    <x v="1"/>
    <s v="CO₂"/>
    <n v="4036.12"/>
    <x v="0"/>
  </r>
  <r>
    <s v="F148"/>
    <x v="1"/>
    <x v="2"/>
    <x v="2"/>
    <s v="CH₄"/>
    <n v="897.74"/>
    <x v="1"/>
  </r>
  <r>
    <s v="F053"/>
    <x v="0"/>
    <x v="2"/>
    <x v="1"/>
    <s v="CH₄"/>
    <n v="1853.54"/>
    <x v="1"/>
  </r>
  <r>
    <s v="F089"/>
    <x v="4"/>
    <x v="3"/>
    <x v="1"/>
    <s v="CO₂"/>
    <n v="4674.16"/>
    <x v="1"/>
  </r>
  <r>
    <s v="F028"/>
    <x v="4"/>
    <x v="1"/>
    <x v="0"/>
    <s v="CO₂"/>
    <n v="4723.6000000000004"/>
    <x v="0"/>
  </r>
  <r>
    <s v="F199"/>
    <x v="0"/>
    <x v="2"/>
    <x v="0"/>
    <s v="CH₄"/>
    <n v="3244.21"/>
    <x v="1"/>
  </r>
  <r>
    <s v="F106"/>
    <x v="3"/>
    <x v="1"/>
    <x v="1"/>
    <s v="N₂O"/>
    <n v="980.22"/>
    <x v="0"/>
  </r>
  <r>
    <s v="F007"/>
    <x v="4"/>
    <x v="0"/>
    <x v="2"/>
    <s v="CO₂"/>
    <n v="4810.13"/>
    <x v="0"/>
  </r>
  <r>
    <s v="F014"/>
    <x v="2"/>
    <x v="2"/>
    <x v="2"/>
    <s v="N₂O"/>
    <n v="3868.27"/>
    <x v="1"/>
  </r>
  <r>
    <s v="F085"/>
    <x v="4"/>
    <x v="0"/>
    <x v="2"/>
    <s v="N₂O"/>
    <n v="714.41"/>
    <x v="0"/>
  </r>
  <r>
    <s v="F199"/>
    <x v="0"/>
    <x v="1"/>
    <x v="0"/>
    <s v="CH₄"/>
    <n v="1121.06"/>
    <x v="0"/>
  </r>
  <r>
    <s v="F143"/>
    <x v="1"/>
    <x v="1"/>
    <x v="0"/>
    <s v="N₂O"/>
    <n v="1645.67"/>
    <x v="0"/>
  </r>
  <r>
    <s v="F072"/>
    <x v="2"/>
    <x v="3"/>
    <x v="0"/>
    <s v="CO₂"/>
    <n v="3519.74"/>
    <x v="1"/>
  </r>
  <r>
    <s v="F016"/>
    <x v="2"/>
    <x v="3"/>
    <x v="0"/>
    <s v="N₂O"/>
    <n v="2222.6799999999998"/>
    <x v="1"/>
  </r>
  <r>
    <s v="F126"/>
    <x v="2"/>
    <x v="3"/>
    <x v="1"/>
    <s v="CO₂"/>
    <n v="261.56"/>
    <x v="1"/>
  </r>
  <r>
    <s v="F032"/>
    <x v="1"/>
    <x v="3"/>
    <x v="0"/>
    <s v="N₂O"/>
    <n v="4724.5600000000004"/>
    <x v="1"/>
  </r>
  <r>
    <s v="F125"/>
    <x v="1"/>
    <x v="1"/>
    <x v="1"/>
    <s v="CH₄"/>
    <n v="1696.11"/>
    <x v="0"/>
  </r>
  <r>
    <s v="F167"/>
    <x v="2"/>
    <x v="1"/>
    <x v="2"/>
    <s v="N₂O"/>
    <n v="1447.34"/>
    <x v="0"/>
  </r>
  <r>
    <s v="F183"/>
    <x v="3"/>
    <x v="1"/>
    <x v="1"/>
    <s v="N₂O"/>
    <n v="3456.69"/>
    <x v="0"/>
  </r>
  <r>
    <s v="F002"/>
    <x v="4"/>
    <x v="3"/>
    <x v="2"/>
    <s v="CH₄"/>
    <n v="1842.07"/>
    <x v="1"/>
  </r>
  <r>
    <s v="F116"/>
    <x v="2"/>
    <x v="1"/>
    <x v="0"/>
    <s v="CO₂"/>
    <n v="670.69"/>
    <x v="0"/>
  </r>
  <r>
    <s v="F047"/>
    <x v="0"/>
    <x v="2"/>
    <x v="0"/>
    <s v="CO₂"/>
    <n v="1143.2"/>
    <x v="1"/>
  </r>
  <r>
    <s v="F126"/>
    <x v="2"/>
    <x v="2"/>
    <x v="0"/>
    <s v="CH₄"/>
    <n v="3475.51"/>
    <x v="1"/>
  </r>
  <r>
    <s v="F176"/>
    <x v="4"/>
    <x v="3"/>
    <x v="2"/>
    <s v="CH₄"/>
    <n v="1313.1"/>
    <x v="1"/>
  </r>
  <r>
    <s v="F037"/>
    <x v="3"/>
    <x v="1"/>
    <x v="1"/>
    <s v="N₂O"/>
    <n v="2271.65"/>
    <x v="0"/>
  </r>
  <r>
    <s v="F126"/>
    <x v="2"/>
    <x v="0"/>
    <x v="0"/>
    <s v="CO₂"/>
    <n v="4185.75"/>
    <x v="0"/>
  </r>
  <r>
    <s v="F135"/>
    <x v="3"/>
    <x v="1"/>
    <x v="0"/>
    <s v="CH₄"/>
    <n v="704.34"/>
    <x v="0"/>
  </r>
  <r>
    <s v="F081"/>
    <x v="1"/>
    <x v="0"/>
    <x v="0"/>
    <s v="N₂O"/>
    <n v="801.11"/>
    <x v="0"/>
  </r>
  <r>
    <s v="F158"/>
    <x v="3"/>
    <x v="1"/>
    <x v="1"/>
    <s v="CH₄"/>
    <n v="1685.02"/>
    <x v="0"/>
  </r>
  <r>
    <s v="F183"/>
    <x v="3"/>
    <x v="0"/>
    <x v="1"/>
    <s v="CH₄"/>
    <n v="4811.95"/>
    <x v="0"/>
  </r>
  <r>
    <s v="F070"/>
    <x v="2"/>
    <x v="2"/>
    <x v="0"/>
    <s v="N₂O"/>
    <n v="5093.5200000000004"/>
    <x v="1"/>
  </r>
  <r>
    <s v="F092"/>
    <x v="4"/>
    <x v="2"/>
    <x v="0"/>
    <s v="N₂O"/>
    <n v="4205.37"/>
    <x v="1"/>
  </r>
  <r>
    <s v="F012"/>
    <x v="3"/>
    <x v="2"/>
    <x v="0"/>
    <s v="CO₂"/>
    <n v="1288.3499999999999"/>
    <x v="1"/>
  </r>
  <r>
    <s v="F071"/>
    <x v="4"/>
    <x v="0"/>
    <x v="1"/>
    <s v="N₂O"/>
    <n v="2663.02"/>
    <x v="0"/>
  </r>
  <r>
    <s v="F070"/>
    <x v="2"/>
    <x v="0"/>
    <x v="1"/>
    <s v="CH₄"/>
    <n v="2844.55"/>
    <x v="0"/>
  </r>
  <r>
    <s v="F062"/>
    <x v="2"/>
    <x v="1"/>
    <x v="2"/>
    <s v="CH₄"/>
    <n v="1998.08"/>
    <x v="0"/>
  </r>
  <r>
    <s v="F100"/>
    <x v="0"/>
    <x v="2"/>
    <x v="1"/>
    <s v="CH₄"/>
    <n v="241.97"/>
    <x v="1"/>
  </r>
  <r>
    <s v="F114"/>
    <x v="1"/>
    <x v="1"/>
    <x v="0"/>
    <s v="CO₂"/>
    <n v="2907.89"/>
    <x v="0"/>
  </r>
  <r>
    <s v="F077"/>
    <x v="4"/>
    <x v="2"/>
    <x v="0"/>
    <s v="CO₂"/>
    <n v="4728.95"/>
    <x v="1"/>
  </r>
  <r>
    <s v="F198"/>
    <x v="3"/>
    <x v="1"/>
    <x v="1"/>
    <s v="N₂O"/>
    <n v="4265.8500000000004"/>
    <x v="0"/>
  </r>
  <r>
    <s v="F050"/>
    <x v="0"/>
    <x v="2"/>
    <x v="0"/>
    <s v="N₂O"/>
    <n v="2361.5500000000002"/>
    <x v="1"/>
  </r>
  <r>
    <s v="F026"/>
    <x v="2"/>
    <x v="2"/>
    <x v="1"/>
    <s v="CH₄"/>
    <n v="235.74"/>
    <x v="1"/>
  </r>
  <r>
    <s v="F068"/>
    <x v="0"/>
    <x v="2"/>
    <x v="2"/>
    <s v="CH₄"/>
    <n v="2737"/>
    <x v="1"/>
  </r>
  <r>
    <s v="F156"/>
    <x v="2"/>
    <x v="0"/>
    <x v="2"/>
    <s v="CO₂"/>
    <n v="1539.15"/>
    <x v="0"/>
  </r>
  <r>
    <s v="F016"/>
    <x v="2"/>
    <x v="0"/>
    <x v="2"/>
    <s v="CH₄"/>
    <n v="502.47"/>
    <x v="0"/>
  </r>
  <r>
    <s v="F092"/>
    <x v="4"/>
    <x v="0"/>
    <x v="1"/>
    <s v="CO₂"/>
    <n v="2710.93"/>
    <x v="0"/>
  </r>
  <r>
    <s v="F009"/>
    <x v="0"/>
    <x v="3"/>
    <x v="0"/>
    <s v="CH₄"/>
    <n v="2286.2399999999998"/>
    <x v="1"/>
  </r>
  <r>
    <s v="F158"/>
    <x v="3"/>
    <x v="2"/>
    <x v="0"/>
    <s v="CH₄"/>
    <n v="3819.98"/>
    <x v="1"/>
  </r>
  <r>
    <s v="F103"/>
    <x v="4"/>
    <x v="0"/>
    <x v="1"/>
    <s v="CO₂"/>
    <n v="2138.08"/>
    <x v="0"/>
  </r>
  <r>
    <s v="F155"/>
    <x v="2"/>
    <x v="0"/>
    <x v="2"/>
    <s v="N₂O"/>
    <n v="747.74"/>
    <x v="0"/>
  </r>
  <r>
    <s v="F083"/>
    <x v="2"/>
    <x v="3"/>
    <x v="2"/>
    <s v="N₂O"/>
    <n v="1025.55"/>
    <x v="1"/>
  </r>
  <r>
    <s v="F006"/>
    <x v="4"/>
    <x v="0"/>
    <x v="0"/>
    <s v="CO₂"/>
    <n v="3382"/>
    <x v="0"/>
  </r>
  <r>
    <s v="F164"/>
    <x v="0"/>
    <x v="2"/>
    <x v="1"/>
    <s v="N₂O"/>
    <n v="1772.18"/>
    <x v="1"/>
  </r>
  <r>
    <s v="F044"/>
    <x v="1"/>
    <x v="1"/>
    <x v="2"/>
    <s v="N₂O"/>
    <n v="2150.66"/>
    <x v="0"/>
  </r>
  <r>
    <s v="F072"/>
    <x v="2"/>
    <x v="3"/>
    <x v="1"/>
    <s v="CO₂"/>
    <n v="3214.91"/>
    <x v="1"/>
  </r>
  <r>
    <s v="F042"/>
    <x v="1"/>
    <x v="3"/>
    <x v="1"/>
    <s v="N₂O"/>
    <n v="1475.38"/>
    <x v="1"/>
  </r>
  <r>
    <s v="F079"/>
    <x v="2"/>
    <x v="0"/>
    <x v="2"/>
    <s v="N₂O"/>
    <n v="2631.42"/>
    <x v="0"/>
  </r>
  <r>
    <s v="F191"/>
    <x v="0"/>
    <x v="1"/>
    <x v="1"/>
    <s v="CO₂"/>
    <n v="2973.99"/>
    <x v="0"/>
  </r>
  <r>
    <s v="F134"/>
    <x v="3"/>
    <x v="0"/>
    <x v="1"/>
    <s v="N₂O"/>
    <n v="587.89"/>
    <x v="0"/>
  </r>
  <r>
    <s v="F118"/>
    <x v="0"/>
    <x v="3"/>
    <x v="1"/>
    <s v="N₂O"/>
    <n v="599.52"/>
    <x v="1"/>
  </r>
  <r>
    <s v="F168"/>
    <x v="2"/>
    <x v="0"/>
    <x v="2"/>
    <s v="CH₄"/>
    <n v="1993.42"/>
    <x v="0"/>
  </r>
  <r>
    <s v="F169"/>
    <x v="2"/>
    <x v="1"/>
    <x v="1"/>
    <s v="CH₄"/>
    <n v="1395.49"/>
    <x v="0"/>
  </r>
  <r>
    <s v="F093"/>
    <x v="2"/>
    <x v="1"/>
    <x v="0"/>
    <s v="CO₂"/>
    <n v="2509.14"/>
    <x v="0"/>
  </r>
  <r>
    <s v="F108"/>
    <x v="3"/>
    <x v="2"/>
    <x v="0"/>
    <s v="N₂O"/>
    <n v="2619.13"/>
    <x v="1"/>
  </r>
  <r>
    <s v="F024"/>
    <x v="4"/>
    <x v="1"/>
    <x v="1"/>
    <s v="CH₄"/>
    <n v="1192.6600000000001"/>
    <x v="0"/>
  </r>
  <r>
    <s v="F108"/>
    <x v="3"/>
    <x v="3"/>
    <x v="0"/>
    <s v="N₂O"/>
    <n v="639.36"/>
    <x v="1"/>
  </r>
  <r>
    <s v="F002"/>
    <x v="4"/>
    <x v="1"/>
    <x v="2"/>
    <s v="N₂O"/>
    <n v="3446.07"/>
    <x v="0"/>
  </r>
  <r>
    <s v="F095"/>
    <x v="2"/>
    <x v="1"/>
    <x v="0"/>
    <s v="CH₄"/>
    <n v="2973.2"/>
    <x v="0"/>
  </r>
  <r>
    <s v="F005"/>
    <x v="4"/>
    <x v="1"/>
    <x v="2"/>
    <s v="CO₂"/>
    <n v="4562.24"/>
    <x v="0"/>
  </r>
  <r>
    <s v="F162"/>
    <x v="3"/>
    <x v="1"/>
    <x v="2"/>
    <s v="CO₂"/>
    <n v="3500.64"/>
    <x v="0"/>
  </r>
  <r>
    <s v="F025"/>
    <x v="4"/>
    <x v="0"/>
    <x v="2"/>
    <s v="N₂O"/>
    <n v="3289.66"/>
    <x v="0"/>
  </r>
  <r>
    <s v="F100"/>
    <x v="0"/>
    <x v="3"/>
    <x v="1"/>
    <s v="CO₂"/>
    <n v="540.26"/>
    <x v="1"/>
  </r>
  <r>
    <s v="F171"/>
    <x v="4"/>
    <x v="2"/>
    <x v="1"/>
    <s v="CO₂"/>
    <n v="3784.31"/>
    <x v="1"/>
  </r>
  <r>
    <s v="F101"/>
    <x v="3"/>
    <x v="1"/>
    <x v="2"/>
    <s v="N₂O"/>
    <n v="2320.83"/>
    <x v="0"/>
  </r>
  <r>
    <s v="F016"/>
    <x v="2"/>
    <x v="3"/>
    <x v="1"/>
    <s v="CO₂"/>
    <n v="2311.4499999999998"/>
    <x v="1"/>
  </r>
  <r>
    <s v="F174"/>
    <x v="3"/>
    <x v="2"/>
    <x v="2"/>
    <s v="CH₄"/>
    <n v="4836.59"/>
    <x v="1"/>
  </r>
  <r>
    <s v="F077"/>
    <x v="4"/>
    <x v="1"/>
    <x v="2"/>
    <s v="CO₂"/>
    <n v="4870.82"/>
    <x v="0"/>
  </r>
  <r>
    <s v="F149"/>
    <x v="1"/>
    <x v="2"/>
    <x v="2"/>
    <s v="CO₂"/>
    <n v="4492.74"/>
    <x v="1"/>
  </r>
  <r>
    <s v="F192"/>
    <x v="4"/>
    <x v="3"/>
    <x v="1"/>
    <s v="CH₄"/>
    <n v="2776.43"/>
    <x v="1"/>
  </r>
  <r>
    <s v="F107"/>
    <x v="2"/>
    <x v="2"/>
    <x v="2"/>
    <s v="CH₄"/>
    <n v="4987.59"/>
    <x v="1"/>
  </r>
  <r>
    <s v="F096"/>
    <x v="0"/>
    <x v="0"/>
    <x v="0"/>
    <s v="CH₄"/>
    <n v="1335.76"/>
    <x v="0"/>
  </r>
  <r>
    <s v="F139"/>
    <x v="0"/>
    <x v="3"/>
    <x v="1"/>
    <s v="CH₄"/>
    <n v="1293.21"/>
    <x v="1"/>
  </r>
  <r>
    <s v="F195"/>
    <x v="1"/>
    <x v="3"/>
    <x v="2"/>
    <s v="N₂O"/>
    <n v="1708"/>
    <x v="1"/>
  </r>
  <r>
    <s v="F127"/>
    <x v="3"/>
    <x v="1"/>
    <x v="2"/>
    <s v="N₂O"/>
    <n v="4594.9799999999996"/>
    <x v="0"/>
  </r>
  <r>
    <s v="F159"/>
    <x v="0"/>
    <x v="2"/>
    <x v="1"/>
    <s v="CH₄"/>
    <n v="831.81"/>
    <x v="1"/>
  </r>
  <r>
    <s v="F151"/>
    <x v="2"/>
    <x v="2"/>
    <x v="1"/>
    <s v="CH₄"/>
    <n v="2545.9"/>
    <x v="1"/>
  </r>
  <r>
    <s v="F095"/>
    <x v="2"/>
    <x v="3"/>
    <x v="0"/>
    <s v="CH₄"/>
    <n v="1207.1400000000001"/>
    <x v="1"/>
  </r>
  <r>
    <s v="F101"/>
    <x v="3"/>
    <x v="2"/>
    <x v="0"/>
    <s v="N₂O"/>
    <n v="2790.8"/>
    <x v="1"/>
  </r>
  <r>
    <s v="F132"/>
    <x v="4"/>
    <x v="2"/>
    <x v="2"/>
    <s v="CO₂"/>
    <n v="1945.28"/>
    <x v="1"/>
  </r>
  <r>
    <s v="F107"/>
    <x v="2"/>
    <x v="3"/>
    <x v="0"/>
    <s v="N₂O"/>
    <n v="3670.54"/>
    <x v="1"/>
  </r>
  <r>
    <s v="F134"/>
    <x v="3"/>
    <x v="1"/>
    <x v="1"/>
    <s v="N₂O"/>
    <n v="1954.98"/>
    <x v="0"/>
  </r>
  <r>
    <s v="F196"/>
    <x v="4"/>
    <x v="1"/>
    <x v="1"/>
    <s v="CO₂"/>
    <n v="2205.38"/>
    <x v="0"/>
  </r>
  <r>
    <s v="F166"/>
    <x v="3"/>
    <x v="2"/>
    <x v="1"/>
    <s v="N₂O"/>
    <n v="1900.73"/>
    <x v="1"/>
  </r>
  <r>
    <s v="F008"/>
    <x v="3"/>
    <x v="1"/>
    <x v="0"/>
    <s v="CH₄"/>
    <n v="2512.7800000000002"/>
    <x v="0"/>
  </r>
  <r>
    <s v="F047"/>
    <x v="0"/>
    <x v="2"/>
    <x v="0"/>
    <s v="CO₂"/>
    <n v="3560.29"/>
    <x v="1"/>
  </r>
  <r>
    <s v="F172"/>
    <x v="4"/>
    <x v="2"/>
    <x v="1"/>
    <s v="CH₄"/>
    <n v="4844.28"/>
    <x v="1"/>
  </r>
  <r>
    <s v="F048"/>
    <x v="0"/>
    <x v="1"/>
    <x v="1"/>
    <s v="CO₂"/>
    <n v="3100.15"/>
    <x v="0"/>
  </r>
  <r>
    <s v="F100"/>
    <x v="0"/>
    <x v="0"/>
    <x v="2"/>
    <s v="CO₂"/>
    <n v="2791.16"/>
    <x v="0"/>
  </r>
  <r>
    <s v="F125"/>
    <x v="1"/>
    <x v="0"/>
    <x v="1"/>
    <s v="CO₂"/>
    <n v="774.95"/>
    <x v="0"/>
  </r>
  <r>
    <s v="F025"/>
    <x v="4"/>
    <x v="0"/>
    <x v="0"/>
    <s v="CO₂"/>
    <n v="2907.12"/>
    <x v="0"/>
  </r>
  <r>
    <s v="F069"/>
    <x v="4"/>
    <x v="2"/>
    <x v="0"/>
    <s v="CH₄"/>
    <n v="1885.37"/>
    <x v="1"/>
  </r>
  <r>
    <s v="F173"/>
    <x v="1"/>
    <x v="2"/>
    <x v="0"/>
    <s v="CH₄"/>
    <n v="3784.58"/>
    <x v="1"/>
  </r>
  <r>
    <s v="F031"/>
    <x v="3"/>
    <x v="3"/>
    <x v="2"/>
    <s v="CH₄"/>
    <n v="2788.31"/>
    <x v="1"/>
  </r>
  <r>
    <s v="F171"/>
    <x v="4"/>
    <x v="1"/>
    <x v="1"/>
    <s v="CO₂"/>
    <n v="3315.9"/>
    <x v="0"/>
  </r>
  <r>
    <s v="F033"/>
    <x v="0"/>
    <x v="3"/>
    <x v="2"/>
    <s v="N₂O"/>
    <n v="1940.67"/>
    <x v="1"/>
  </r>
  <r>
    <s v="F038"/>
    <x v="4"/>
    <x v="1"/>
    <x v="0"/>
    <s v="N₂O"/>
    <n v="4052.32"/>
    <x v="0"/>
  </r>
  <r>
    <s v="F157"/>
    <x v="0"/>
    <x v="3"/>
    <x v="0"/>
    <s v="CH₄"/>
    <n v="1277.3"/>
    <x v="1"/>
  </r>
  <r>
    <s v="F095"/>
    <x v="2"/>
    <x v="1"/>
    <x v="2"/>
    <s v="CO₂"/>
    <n v="1024.25"/>
    <x v="0"/>
  </r>
  <r>
    <s v="F077"/>
    <x v="4"/>
    <x v="0"/>
    <x v="2"/>
    <s v="CH₄"/>
    <n v="167.21"/>
    <x v="0"/>
  </r>
  <r>
    <s v="F140"/>
    <x v="4"/>
    <x v="2"/>
    <x v="2"/>
    <s v="CH₄"/>
    <n v="996.06"/>
    <x v="1"/>
  </r>
  <r>
    <s v="F177"/>
    <x v="3"/>
    <x v="3"/>
    <x v="2"/>
    <s v="CH₄"/>
    <n v="1827.8"/>
    <x v="1"/>
  </r>
  <r>
    <s v="F025"/>
    <x v="4"/>
    <x v="3"/>
    <x v="2"/>
    <s v="N₂O"/>
    <n v="4065.52"/>
    <x v="1"/>
  </r>
  <r>
    <s v="F089"/>
    <x v="4"/>
    <x v="2"/>
    <x v="0"/>
    <s v="CH₄"/>
    <n v="484.82"/>
    <x v="1"/>
  </r>
  <r>
    <s v="F113"/>
    <x v="3"/>
    <x v="0"/>
    <x v="0"/>
    <s v="N₂O"/>
    <n v="4023.01"/>
    <x v="0"/>
  </r>
  <r>
    <s v="F193"/>
    <x v="1"/>
    <x v="0"/>
    <x v="0"/>
    <s v="N₂O"/>
    <n v="895.43"/>
    <x v="0"/>
  </r>
  <r>
    <s v="F048"/>
    <x v="0"/>
    <x v="2"/>
    <x v="0"/>
    <s v="N₂O"/>
    <n v="1949.1"/>
    <x v="1"/>
  </r>
  <r>
    <s v="F025"/>
    <x v="4"/>
    <x v="2"/>
    <x v="2"/>
    <s v="N₂O"/>
    <n v="3777.75"/>
    <x v="1"/>
  </r>
  <r>
    <s v="F194"/>
    <x v="3"/>
    <x v="1"/>
    <x v="1"/>
    <s v="N₂O"/>
    <n v="3625.63"/>
    <x v="0"/>
  </r>
  <r>
    <s v="F106"/>
    <x v="3"/>
    <x v="3"/>
    <x v="1"/>
    <s v="N₂O"/>
    <n v="2991.57"/>
    <x v="1"/>
  </r>
  <r>
    <s v="F056"/>
    <x v="4"/>
    <x v="0"/>
    <x v="1"/>
    <s v="CO₂"/>
    <n v="1016.04"/>
    <x v="0"/>
  </r>
  <r>
    <s v="F151"/>
    <x v="2"/>
    <x v="1"/>
    <x v="1"/>
    <s v="N₂O"/>
    <n v="162.68"/>
    <x v="0"/>
  </r>
  <r>
    <s v="F121"/>
    <x v="3"/>
    <x v="2"/>
    <x v="0"/>
    <s v="CH₄"/>
    <n v="2442.29"/>
    <x v="1"/>
  </r>
  <r>
    <s v="F010"/>
    <x v="0"/>
    <x v="0"/>
    <x v="1"/>
    <s v="CO₂"/>
    <n v="2499.21"/>
    <x v="0"/>
  </r>
  <r>
    <s v="F151"/>
    <x v="2"/>
    <x v="1"/>
    <x v="1"/>
    <s v="CO₂"/>
    <n v="880"/>
    <x v="0"/>
  </r>
  <r>
    <s v="F109"/>
    <x v="0"/>
    <x v="0"/>
    <x v="0"/>
    <s v="N₂O"/>
    <n v="1240.92"/>
    <x v="0"/>
  </r>
  <r>
    <s v="F002"/>
    <x v="4"/>
    <x v="2"/>
    <x v="1"/>
    <s v="CO₂"/>
    <n v="960.86"/>
    <x v="1"/>
  </r>
  <r>
    <s v="F090"/>
    <x v="2"/>
    <x v="0"/>
    <x v="0"/>
    <s v="CO₂"/>
    <n v="4165.4799999999996"/>
    <x v="0"/>
  </r>
  <r>
    <s v="F162"/>
    <x v="3"/>
    <x v="2"/>
    <x v="2"/>
    <s v="CH₄"/>
    <n v="2805.55"/>
    <x v="1"/>
  </r>
  <r>
    <s v="F177"/>
    <x v="3"/>
    <x v="1"/>
    <x v="0"/>
    <s v="N₂O"/>
    <n v="5115.68"/>
    <x v="0"/>
  </r>
  <r>
    <s v="F034"/>
    <x v="4"/>
    <x v="3"/>
    <x v="0"/>
    <s v="CH₄"/>
    <n v="771.92"/>
    <x v="1"/>
  </r>
  <r>
    <s v="F177"/>
    <x v="3"/>
    <x v="0"/>
    <x v="2"/>
    <s v="CH₄"/>
    <n v="2773.86"/>
    <x v="0"/>
  </r>
  <r>
    <s v="F055"/>
    <x v="2"/>
    <x v="3"/>
    <x v="1"/>
    <s v="CH₄"/>
    <n v="3950.71"/>
    <x v="1"/>
  </r>
  <r>
    <s v="F078"/>
    <x v="0"/>
    <x v="3"/>
    <x v="2"/>
    <s v="N₂O"/>
    <n v="2266.44"/>
    <x v="1"/>
  </r>
  <r>
    <s v="F091"/>
    <x v="4"/>
    <x v="2"/>
    <x v="2"/>
    <s v="N₂O"/>
    <n v="4964.76"/>
    <x v="1"/>
  </r>
  <r>
    <s v="F082"/>
    <x v="0"/>
    <x v="1"/>
    <x v="1"/>
    <s v="CO₂"/>
    <n v="2700.64"/>
    <x v="0"/>
  </r>
  <r>
    <s v="F183"/>
    <x v="3"/>
    <x v="0"/>
    <x v="1"/>
    <s v="CH₄"/>
    <n v="4643.79"/>
    <x v="0"/>
  </r>
  <r>
    <s v="F090"/>
    <x v="2"/>
    <x v="0"/>
    <x v="0"/>
    <s v="N₂O"/>
    <n v="4947.74"/>
    <x v="0"/>
  </r>
  <r>
    <s v="F018"/>
    <x v="4"/>
    <x v="0"/>
    <x v="0"/>
    <s v="CH₄"/>
    <n v="2116.65"/>
    <x v="0"/>
  </r>
  <r>
    <s v="F102"/>
    <x v="1"/>
    <x v="1"/>
    <x v="1"/>
    <s v="CH₄"/>
    <n v="425.91"/>
    <x v="0"/>
  </r>
  <r>
    <s v="F001"/>
    <x v="1"/>
    <x v="3"/>
    <x v="2"/>
    <s v="CH₄"/>
    <n v="466.45"/>
    <x v="1"/>
  </r>
  <r>
    <s v="F078"/>
    <x v="0"/>
    <x v="2"/>
    <x v="2"/>
    <s v="CO₂"/>
    <n v="1868.24"/>
    <x v="1"/>
  </r>
  <r>
    <s v="F151"/>
    <x v="2"/>
    <x v="1"/>
    <x v="0"/>
    <s v="CH₄"/>
    <n v="3497.35"/>
    <x v="0"/>
  </r>
  <r>
    <s v="F153"/>
    <x v="3"/>
    <x v="0"/>
    <x v="1"/>
    <s v="CO₂"/>
    <n v="3774.06"/>
    <x v="0"/>
  </r>
  <r>
    <s v="F072"/>
    <x v="2"/>
    <x v="0"/>
    <x v="2"/>
    <s v="N₂O"/>
    <n v="518.79999999999995"/>
    <x v="0"/>
  </r>
  <r>
    <s v="F170"/>
    <x v="2"/>
    <x v="0"/>
    <x v="2"/>
    <s v="CO₂"/>
    <n v="2317.02"/>
    <x v="0"/>
  </r>
  <r>
    <s v="F185"/>
    <x v="0"/>
    <x v="0"/>
    <x v="1"/>
    <s v="N₂O"/>
    <n v="3340.8"/>
    <x v="0"/>
  </r>
  <r>
    <s v="F122"/>
    <x v="4"/>
    <x v="1"/>
    <x v="2"/>
    <s v="CO₂"/>
    <n v="3888.93"/>
    <x v="0"/>
  </r>
  <r>
    <s v="F002"/>
    <x v="4"/>
    <x v="2"/>
    <x v="0"/>
    <s v="N₂O"/>
    <n v="4696.2299999999996"/>
    <x v="1"/>
  </r>
  <r>
    <s v="F134"/>
    <x v="3"/>
    <x v="2"/>
    <x v="2"/>
    <s v="CO₂"/>
    <n v="149.05000000000001"/>
    <x v="1"/>
  </r>
  <r>
    <s v="F186"/>
    <x v="4"/>
    <x v="1"/>
    <x v="0"/>
    <s v="N₂O"/>
    <n v="3665.95"/>
    <x v="0"/>
  </r>
  <r>
    <s v="F008"/>
    <x v="3"/>
    <x v="1"/>
    <x v="1"/>
    <s v="CH₄"/>
    <n v="4101.93"/>
    <x v="0"/>
  </r>
  <r>
    <s v="F028"/>
    <x v="4"/>
    <x v="3"/>
    <x v="1"/>
    <s v="N₂O"/>
    <n v="2897.14"/>
    <x v="1"/>
  </r>
  <r>
    <s v="F032"/>
    <x v="1"/>
    <x v="3"/>
    <x v="1"/>
    <s v="CO₂"/>
    <n v="828.73"/>
    <x v="1"/>
  </r>
  <r>
    <s v="F174"/>
    <x v="3"/>
    <x v="3"/>
    <x v="2"/>
    <s v="CO₂"/>
    <n v="3155.64"/>
    <x v="1"/>
  </r>
  <r>
    <s v="F121"/>
    <x v="3"/>
    <x v="3"/>
    <x v="1"/>
    <s v="CO₂"/>
    <n v="3573.8"/>
    <x v="1"/>
  </r>
  <r>
    <s v="F164"/>
    <x v="0"/>
    <x v="0"/>
    <x v="2"/>
    <s v="N₂O"/>
    <n v="4315.67"/>
    <x v="0"/>
  </r>
  <r>
    <s v="F121"/>
    <x v="3"/>
    <x v="1"/>
    <x v="1"/>
    <s v="CH₄"/>
    <n v="265.31"/>
    <x v="0"/>
  </r>
  <r>
    <s v="F166"/>
    <x v="3"/>
    <x v="0"/>
    <x v="2"/>
    <s v="N₂O"/>
    <n v="392.52"/>
    <x v="0"/>
  </r>
  <r>
    <s v="F050"/>
    <x v="0"/>
    <x v="2"/>
    <x v="2"/>
    <s v="N₂O"/>
    <n v="3807.44"/>
    <x v="1"/>
  </r>
  <r>
    <s v="F037"/>
    <x v="3"/>
    <x v="0"/>
    <x v="0"/>
    <s v="N₂O"/>
    <n v="3118.18"/>
    <x v="0"/>
  </r>
  <r>
    <s v="F052"/>
    <x v="3"/>
    <x v="3"/>
    <x v="1"/>
    <s v="N₂O"/>
    <n v="1947.59"/>
    <x v="1"/>
  </r>
  <r>
    <s v="F004"/>
    <x v="0"/>
    <x v="0"/>
    <x v="2"/>
    <s v="N₂O"/>
    <n v="4464.43"/>
    <x v="0"/>
  </r>
  <r>
    <s v="F111"/>
    <x v="3"/>
    <x v="1"/>
    <x v="1"/>
    <s v="CH₄"/>
    <n v="2252.36"/>
    <x v="0"/>
  </r>
  <r>
    <s v="F077"/>
    <x v="4"/>
    <x v="0"/>
    <x v="0"/>
    <s v="CO₂"/>
    <n v="2203.84"/>
    <x v="0"/>
  </r>
  <r>
    <s v="F019"/>
    <x v="0"/>
    <x v="3"/>
    <x v="1"/>
    <s v="CO₂"/>
    <n v="673.38"/>
    <x v="1"/>
  </r>
  <r>
    <s v="F096"/>
    <x v="0"/>
    <x v="2"/>
    <x v="2"/>
    <s v="CH₄"/>
    <n v="3879.17"/>
    <x v="1"/>
  </r>
  <r>
    <s v="F171"/>
    <x v="4"/>
    <x v="0"/>
    <x v="2"/>
    <s v="CO₂"/>
    <n v="404.42"/>
    <x v="0"/>
  </r>
  <r>
    <s v="F016"/>
    <x v="2"/>
    <x v="2"/>
    <x v="0"/>
    <s v="N₂O"/>
    <n v="3415.97"/>
    <x v="1"/>
  </r>
  <r>
    <s v="F148"/>
    <x v="1"/>
    <x v="2"/>
    <x v="0"/>
    <s v="CH₄"/>
    <n v="3091.39"/>
    <x v="1"/>
  </r>
  <r>
    <s v="F172"/>
    <x v="4"/>
    <x v="2"/>
    <x v="2"/>
    <s v="N₂O"/>
    <n v="3216.77"/>
    <x v="1"/>
  </r>
  <r>
    <s v="F166"/>
    <x v="3"/>
    <x v="0"/>
    <x v="0"/>
    <s v="CH₄"/>
    <n v="2200.1999999999998"/>
    <x v="0"/>
  </r>
  <r>
    <s v="F115"/>
    <x v="3"/>
    <x v="0"/>
    <x v="1"/>
    <s v="CO₂"/>
    <n v="4874.88"/>
    <x v="0"/>
  </r>
  <r>
    <s v="F032"/>
    <x v="1"/>
    <x v="3"/>
    <x v="1"/>
    <s v="N₂O"/>
    <n v="3104.55"/>
    <x v="1"/>
  </r>
  <r>
    <s v="F103"/>
    <x v="4"/>
    <x v="0"/>
    <x v="0"/>
    <s v="N₂O"/>
    <n v="3500.32"/>
    <x v="0"/>
  </r>
  <r>
    <s v="F096"/>
    <x v="0"/>
    <x v="2"/>
    <x v="0"/>
    <s v="CH₄"/>
    <n v="3041.16"/>
    <x v="1"/>
  </r>
  <r>
    <s v="F154"/>
    <x v="0"/>
    <x v="0"/>
    <x v="0"/>
    <s v="CH₄"/>
    <n v="4584.16"/>
    <x v="0"/>
  </r>
  <r>
    <s v="F050"/>
    <x v="0"/>
    <x v="3"/>
    <x v="0"/>
    <s v="CH₄"/>
    <n v="3894.01"/>
    <x v="1"/>
  </r>
  <r>
    <s v="F103"/>
    <x v="4"/>
    <x v="1"/>
    <x v="1"/>
    <s v="CH₄"/>
    <n v="1782.56"/>
    <x v="0"/>
  </r>
  <r>
    <s v="F025"/>
    <x v="4"/>
    <x v="3"/>
    <x v="2"/>
    <s v="CH₄"/>
    <n v="4386.96"/>
    <x v="1"/>
  </r>
  <r>
    <s v="F152"/>
    <x v="4"/>
    <x v="0"/>
    <x v="2"/>
    <s v="N₂O"/>
    <n v="644.96"/>
    <x v="0"/>
  </r>
  <r>
    <s v="F112"/>
    <x v="4"/>
    <x v="3"/>
    <x v="1"/>
    <s v="CH₄"/>
    <n v="1942.26"/>
    <x v="1"/>
  </r>
  <r>
    <s v="F044"/>
    <x v="1"/>
    <x v="3"/>
    <x v="2"/>
    <s v="CH₄"/>
    <n v="1990.87"/>
    <x v="1"/>
  </r>
  <r>
    <s v="F019"/>
    <x v="0"/>
    <x v="2"/>
    <x v="1"/>
    <s v="CO₂"/>
    <n v="3260.58"/>
    <x v="1"/>
  </r>
  <r>
    <s v="F198"/>
    <x v="3"/>
    <x v="3"/>
    <x v="1"/>
    <s v="CH₄"/>
    <n v="1079.0999999999999"/>
    <x v="1"/>
  </r>
  <r>
    <s v="F027"/>
    <x v="4"/>
    <x v="2"/>
    <x v="2"/>
    <s v="CO₂"/>
    <n v="2675.56"/>
    <x v="1"/>
  </r>
  <r>
    <s v="F021"/>
    <x v="1"/>
    <x v="1"/>
    <x v="2"/>
    <s v="CO₂"/>
    <n v="1583.52"/>
    <x v="0"/>
  </r>
  <r>
    <s v="F138"/>
    <x v="0"/>
    <x v="2"/>
    <x v="2"/>
    <s v="CO₂"/>
    <n v="4798.47"/>
    <x v="1"/>
  </r>
  <r>
    <s v="F169"/>
    <x v="2"/>
    <x v="1"/>
    <x v="2"/>
    <s v="N₂O"/>
    <n v="856.9"/>
    <x v="0"/>
  </r>
  <r>
    <s v="F134"/>
    <x v="3"/>
    <x v="0"/>
    <x v="0"/>
    <s v="CH₄"/>
    <n v="1158.6300000000001"/>
    <x v="0"/>
  </r>
  <r>
    <s v="F113"/>
    <x v="3"/>
    <x v="0"/>
    <x v="0"/>
    <s v="CO₂"/>
    <n v="5208.6099999999997"/>
    <x v="0"/>
  </r>
  <r>
    <s v="F011"/>
    <x v="4"/>
    <x v="0"/>
    <x v="2"/>
    <s v="CO₂"/>
    <n v="4745.3"/>
    <x v="0"/>
  </r>
  <r>
    <s v="F098"/>
    <x v="4"/>
    <x v="3"/>
    <x v="0"/>
    <s v="CH₄"/>
    <n v="693.43"/>
    <x v="1"/>
  </r>
  <r>
    <s v="F149"/>
    <x v="1"/>
    <x v="0"/>
    <x v="1"/>
    <s v="CO₂"/>
    <n v="3285.65"/>
    <x v="0"/>
  </r>
  <r>
    <s v="F135"/>
    <x v="3"/>
    <x v="3"/>
    <x v="2"/>
    <s v="N₂O"/>
    <n v="2731.22"/>
    <x v="1"/>
  </r>
  <r>
    <s v="F036"/>
    <x v="3"/>
    <x v="0"/>
    <x v="0"/>
    <s v="CH₄"/>
    <n v="2767.54"/>
    <x v="0"/>
  </r>
  <r>
    <s v="F200"/>
    <x v="1"/>
    <x v="1"/>
    <x v="2"/>
    <s v="N₂O"/>
    <n v="1719.12"/>
    <x v="0"/>
  </r>
  <r>
    <s v="F030"/>
    <x v="0"/>
    <x v="3"/>
    <x v="1"/>
    <s v="N₂O"/>
    <n v="2475.83"/>
    <x v="1"/>
  </r>
  <r>
    <s v="F118"/>
    <x v="0"/>
    <x v="1"/>
    <x v="0"/>
    <s v="CH₄"/>
    <n v="891.04"/>
    <x v="0"/>
  </r>
  <r>
    <s v="F043"/>
    <x v="0"/>
    <x v="3"/>
    <x v="1"/>
    <s v="CH₄"/>
    <n v="4421.93"/>
    <x v="1"/>
  </r>
  <r>
    <s v="F091"/>
    <x v="4"/>
    <x v="2"/>
    <x v="1"/>
    <s v="CH₄"/>
    <n v="3545.18"/>
    <x v="1"/>
  </r>
  <r>
    <s v="F092"/>
    <x v="4"/>
    <x v="3"/>
    <x v="1"/>
    <s v="CO₂"/>
    <n v="3073.82"/>
    <x v="1"/>
  </r>
  <r>
    <s v="F118"/>
    <x v="0"/>
    <x v="1"/>
    <x v="2"/>
    <s v="CO₂"/>
    <n v="1458.83"/>
    <x v="0"/>
  </r>
  <r>
    <s v="F066"/>
    <x v="4"/>
    <x v="0"/>
    <x v="2"/>
    <s v="N₂O"/>
    <n v="3457.1"/>
    <x v="0"/>
  </r>
  <r>
    <s v="F175"/>
    <x v="3"/>
    <x v="0"/>
    <x v="0"/>
    <s v="CO₂"/>
    <n v="1857.37"/>
    <x v="0"/>
  </r>
  <r>
    <s v="F032"/>
    <x v="1"/>
    <x v="3"/>
    <x v="0"/>
    <s v="CH₄"/>
    <n v="877.73"/>
    <x v="1"/>
  </r>
  <r>
    <s v="F125"/>
    <x v="1"/>
    <x v="3"/>
    <x v="0"/>
    <s v="CH₄"/>
    <n v="1349.73"/>
    <x v="1"/>
  </r>
  <r>
    <s v="F042"/>
    <x v="1"/>
    <x v="3"/>
    <x v="0"/>
    <s v="N₂O"/>
    <n v="5028.9399999999996"/>
    <x v="1"/>
  </r>
  <r>
    <s v="F087"/>
    <x v="4"/>
    <x v="3"/>
    <x v="0"/>
    <s v="CO₂"/>
    <n v="4368.43"/>
    <x v="1"/>
  </r>
  <r>
    <s v="F023"/>
    <x v="1"/>
    <x v="2"/>
    <x v="1"/>
    <s v="CO₂"/>
    <n v="3793.84"/>
    <x v="1"/>
  </r>
  <r>
    <s v="F030"/>
    <x v="0"/>
    <x v="0"/>
    <x v="2"/>
    <s v="CO₂"/>
    <n v="944.95"/>
    <x v="0"/>
  </r>
  <r>
    <s v="F054"/>
    <x v="3"/>
    <x v="2"/>
    <x v="0"/>
    <s v="CO₂"/>
    <n v="2973.3"/>
    <x v="1"/>
  </r>
  <r>
    <s v="F064"/>
    <x v="1"/>
    <x v="0"/>
    <x v="0"/>
    <s v="N₂O"/>
    <n v="3422.23"/>
    <x v="0"/>
  </r>
  <r>
    <s v="F121"/>
    <x v="3"/>
    <x v="1"/>
    <x v="2"/>
    <s v="CO₂"/>
    <n v="3754.94"/>
    <x v="0"/>
  </r>
  <r>
    <s v="F185"/>
    <x v="0"/>
    <x v="0"/>
    <x v="0"/>
    <s v="N₂O"/>
    <n v="1213.47"/>
    <x v="0"/>
  </r>
  <r>
    <s v="F099"/>
    <x v="3"/>
    <x v="1"/>
    <x v="2"/>
    <s v="N₂O"/>
    <n v="358.65"/>
    <x v="0"/>
  </r>
  <r>
    <s v="F035"/>
    <x v="4"/>
    <x v="1"/>
    <x v="1"/>
    <s v="N₂O"/>
    <n v="3630.35"/>
    <x v="0"/>
  </r>
  <r>
    <s v="F185"/>
    <x v="0"/>
    <x v="2"/>
    <x v="2"/>
    <s v="CH₄"/>
    <n v="3966.5"/>
    <x v="1"/>
  </r>
  <r>
    <s v="F185"/>
    <x v="0"/>
    <x v="3"/>
    <x v="0"/>
    <s v="CH₄"/>
    <n v="3886.23"/>
    <x v="1"/>
  </r>
  <r>
    <s v="F110"/>
    <x v="4"/>
    <x v="2"/>
    <x v="0"/>
    <s v="CH₄"/>
    <n v="1898.18"/>
    <x v="1"/>
  </r>
  <r>
    <s v="F064"/>
    <x v="1"/>
    <x v="2"/>
    <x v="2"/>
    <s v="CO₂"/>
    <n v="1366.72"/>
    <x v="1"/>
  </r>
  <r>
    <s v="F095"/>
    <x v="2"/>
    <x v="2"/>
    <x v="0"/>
    <s v="N₂O"/>
    <n v="1988.14"/>
    <x v="1"/>
  </r>
  <r>
    <s v="F132"/>
    <x v="4"/>
    <x v="1"/>
    <x v="2"/>
    <s v="CO₂"/>
    <n v="2529.38"/>
    <x v="0"/>
  </r>
  <r>
    <s v="F074"/>
    <x v="1"/>
    <x v="1"/>
    <x v="2"/>
    <s v="CH₄"/>
    <n v="3229.82"/>
    <x v="0"/>
  </r>
  <r>
    <s v="F042"/>
    <x v="1"/>
    <x v="1"/>
    <x v="1"/>
    <s v="N₂O"/>
    <n v="1835.81"/>
    <x v="0"/>
  </r>
  <r>
    <s v="F065"/>
    <x v="1"/>
    <x v="2"/>
    <x v="0"/>
    <s v="N₂O"/>
    <n v="4463.76"/>
    <x v="1"/>
  </r>
  <r>
    <s v="F047"/>
    <x v="0"/>
    <x v="1"/>
    <x v="0"/>
    <s v="CH₄"/>
    <n v="2646.59"/>
    <x v="0"/>
  </r>
  <r>
    <s v="F002"/>
    <x v="4"/>
    <x v="2"/>
    <x v="0"/>
    <s v="N₂O"/>
    <n v="3222.47"/>
    <x v="1"/>
  </r>
  <r>
    <s v="F007"/>
    <x v="4"/>
    <x v="2"/>
    <x v="1"/>
    <s v="CH₄"/>
    <n v="3493.4"/>
    <x v="1"/>
  </r>
  <r>
    <s v="F054"/>
    <x v="3"/>
    <x v="2"/>
    <x v="2"/>
    <s v="N₂O"/>
    <n v="871.61"/>
    <x v="1"/>
  </r>
  <r>
    <s v="F126"/>
    <x v="2"/>
    <x v="2"/>
    <x v="2"/>
    <s v="CO₂"/>
    <n v="407.43"/>
    <x v="1"/>
  </r>
  <r>
    <s v="F019"/>
    <x v="0"/>
    <x v="2"/>
    <x v="2"/>
    <s v="CH₄"/>
    <n v="4341.34"/>
    <x v="1"/>
  </r>
  <r>
    <s v="F178"/>
    <x v="3"/>
    <x v="1"/>
    <x v="0"/>
    <s v="CO₂"/>
    <n v="1935.3"/>
    <x v="0"/>
  </r>
  <r>
    <s v="F038"/>
    <x v="4"/>
    <x v="2"/>
    <x v="1"/>
    <s v="CH₄"/>
    <n v="3547.68"/>
    <x v="1"/>
  </r>
  <r>
    <s v="F095"/>
    <x v="2"/>
    <x v="3"/>
    <x v="1"/>
    <s v="N₂O"/>
    <n v="4904.09"/>
    <x v="1"/>
  </r>
  <r>
    <s v="F101"/>
    <x v="3"/>
    <x v="0"/>
    <x v="1"/>
    <s v="CH₄"/>
    <n v="3391.08"/>
    <x v="0"/>
  </r>
  <r>
    <s v="F077"/>
    <x v="4"/>
    <x v="0"/>
    <x v="2"/>
    <s v="CH₄"/>
    <n v="589.80999999999995"/>
    <x v="0"/>
  </r>
  <r>
    <s v="F014"/>
    <x v="2"/>
    <x v="1"/>
    <x v="2"/>
    <s v="N₂O"/>
    <n v="1487.46"/>
    <x v="0"/>
  </r>
  <r>
    <s v="F065"/>
    <x v="1"/>
    <x v="1"/>
    <x v="1"/>
    <s v="N₂O"/>
    <n v="2879.35"/>
    <x v="0"/>
  </r>
  <r>
    <s v="F030"/>
    <x v="0"/>
    <x v="1"/>
    <x v="2"/>
    <s v="N₂O"/>
    <n v="3544.12"/>
    <x v="0"/>
  </r>
  <r>
    <s v="F065"/>
    <x v="1"/>
    <x v="0"/>
    <x v="1"/>
    <s v="CH₄"/>
    <n v="646.33000000000004"/>
    <x v="0"/>
  </r>
  <r>
    <s v="F006"/>
    <x v="4"/>
    <x v="2"/>
    <x v="1"/>
    <s v="CH₄"/>
    <n v="1569.86"/>
    <x v="1"/>
  </r>
  <r>
    <s v="F109"/>
    <x v="0"/>
    <x v="3"/>
    <x v="2"/>
    <s v="CO₂"/>
    <n v="2728.09"/>
    <x v="1"/>
  </r>
  <r>
    <s v="F197"/>
    <x v="2"/>
    <x v="2"/>
    <x v="2"/>
    <s v="CO₂"/>
    <n v="1865.65"/>
    <x v="1"/>
  </r>
  <r>
    <s v="F114"/>
    <x v="1"/>
    <x v="1"/>
    <x v="2"/>
    <s v="CH₄"/>
    <n v="4048.31"/>
    <x v="0"/>
  </r>
  <r>
    <s v="F139"/>
    <x v="0"/>
    <x v="3"/>
    <x v="2"/>
    <s v="CO₂"/>
    <n v="468.34"/>
    <x v="1"/>
  </r>
  <r>
    <s v="F075"/>
    <x v="3"/>
    <x v="1"/>
    <x v="2"/>
    <s v="CH₄"/>
    <n v="802.1"/>
    <x v="0"/>
  </r>
  <r>
    <s v="F108"/>
    <x v="3"/>
    <x v="3"/>
    <x v="0"/>
    <s v="CH₄"/>
    <n v="3548.26"/>
    <x v="1"/>
  </r>
  <r>
    <s v="F155"/>
    <x v="2"/>
    <x v="0"/>
    <x v="1"/>
    <s v="CO₂"/>
    <n v="647.30999999999995"/>
    <x v="0"/>
  </r>
  <r>
    <s v="F112"/>
    <x v="4"/>
    <x v="3"/>
    <x v="1"/>
    <s v="N₂O"/>
    <n v="1024.8599999999999"/>
    <x v="1"/>
  </r>
  <r>
    <s v="F185"/>
    <x v="0"/>
    <x v="2"/>
    <x v="1"/>
    <s v="N₂O"/>
    <n v="304.14999999999998"/>
    <x v="1"/>
  </r>
  <r>
    <s v="F086"/>
    <x v="4"/>
    <x v="2"/>
    <x v="2"/>
    <s v="N₂O"/>
    <n v="4794.1899999999996"/>
    <x v="1"/>
  </r>
  <r>
    <s v="F115"/>
    <x v="3"/>
    <x v="3"/>
    <x v="2"/>
    <s v="N₂O"/>
    <n v="2331.7399999999998"/>
    <x v="1"/>
  </r>
  <r>
    <s v="F070"/>
    <x v="2"/>
    <x v="1"/>
    <x v="2"/>
    <s v="CH₄"/>
    <n v="4183.93"/>
    <x v="0"/>
  </r>
  <r>
    <s v="F023"/>
    <x v="1"/>
    <x v="1"/>
    <x v="1"/>
    <s v="CO₂"/>
    <n v="1515.76"/>
    <x v="0"/>
  </r>
  <r>
    <s v="F003"/>
    <x v="3"/>
    <x v="2"/>
    <x v="0"/>
    <s v="CH₄"/>
    <n v="4299.7299999999996"/>
    <x v="1"/>
  </r>
  <r>
    <s v="F161"/>
    <x v="2"/>
    <x v="1"/>
    <x v="2"/>
    <s v="N₂O"/>
    <n v="303.22000000000003"/>
    <x v="0"/>
  </r>
  <r>
    <s v="F089"/>
    <x v="4"/>
    <x v="0"/>
    <x v="1"/>
    <s v="CH₄"/>
    <n v="2427.3000000000002"/>
    <x v="0"/>
  </r>
  <r>
    <s v="F076"/>
    <x v="2"/>
    <x v="1"/>
    <x v="1"/>
    <s v="CO₂"/>
    <n v="3481.31"/>
    <x v="0"/>
  </r>
  <r>
    <s v="F036"/>
    <x v="3"/>
    <x v="2"/>
    <x v="2"/>
    <s v="CH₄"/>
    <n v="2451.0100000000002"/>
    <x v="1"/>
  </r>
  <r>
    <s v="F198"/>
    <x v="3"/>
    <x v="0"/>
    <x v="0"/>
    <s v="CH₄"/>
    <n v="2726.59"/>
    <x v="0"/>
  </r>
  <r>
    <s v="F170"/>
    <x v="2"/>
    <x v="1"/>
    <x v="2"/>
    <s v="N₂O"/>
    <n v="4059.4"/>
    <x v="0"/>
  </r>
  <r>
    <s v="F192"/>
    <x v="4"/>
    <x v="3"/>
    <x v="2"/>
    <s v="CH₄"/>
    <n v="3874.1"/>
    <x v="1"/>
  </r>
  <r>
    <s v="F118"/>
    <x v="0"/>
    <x v="3"/>
    <x v="1"/>
    <s v="CH₄"/>
    <n v="870.3"/>
    <x v="1"/>
  </r>
  <r>
    <s v="F170"/>
    <x v="2"/>
    <x v="0"/>
    <x v="2"/>
    <s v="N₂O"/>
    <n v="1471.82"/>
    <x v="0"/>
  </r>
  <r>
    <s v="F136"/>
    <x v="1"/>
    <x v="0"/>
    <x v="0"/>
    <s v="CH₄"/>
    <n v="3436"/>
    <x v="0"/>
  </r>
  <r>
    <s v="F148"/>
    <x v="1"/>
    <x v="1"/>
    <x v="0"/>
    <s v="N₂O"/>
    <n v="479.22"/>
    <x v="0"/>
  </r>
  <r>
    <s v="F043"/>
    <x v="0"/>
    <x v="2"/>
    <x v="1"/>
    <s v="CO₂"/>
    <n v="2840.69"/>
    <x v="1"/>
  </r>
  <r>
    <s v="F019"/>
    <x v="0"/>
    <x v="1"/>
    <x v="2"/>
    <s v="CO₂"/>
    <n v="1808.08"/>
    <x v="0"/>
  </r>
  <r>
    <s v="F143"/>
    <x v="1"/>
    <x v="3"/>
    <x v="2"/>
    <s v="N₂O"/>
    <n v="425.7"/>
    <x v="1"/>
  </r>
  <r>
    <s v="F145"/>
    <x v="4"/>
    <x v="3"/>
    <x v="1"/>
    <s v="CH₄"/>
    <n v="981.92"/>
    <x v="1"/>
  </r>
  <r>
    <s v="F017"/>
    <x v="2"/>
    <x v="0"/>
    <x v="0"/>
    <s v="CO₂"/>
    <n v="1089.29"/>
    <x v="0"/>
  </r>
  <r>
    <s v="F130"/>
    <x v="3"/>
    <x v="3"/>
    <x v="0"/>
    <s v="N₂O"/>
    <n v="4336.6099999999997"/>
    <x v="1"/>
  </r>
  <r>
    <s v="F026"/>
    <x v="2"/>
    <x v="2"/>
    <x v="0"/>
    <s v="CO₂"/>
    <n v="1820.99"/>
    <x v="1"/>
  </r>
  <r>
    <s v="F126"/>
    <x v="2"/>
    <x v="1"/>
    <x v="1"/>
    <s v="CO₂"/>
    <n v="2772.88"/>
    <x v="0"/>
  </r>
  <r>
    <s v="F084"/>
    <x v="3"/>
    <x v="1"/>
    <x v="1"/>
    <s v="N₂O"/>
    <n v="4985.09"/>
    <x v="0"/>
  </r>
  <r>
    <s v="F075"/>
    <x v="3"/>
    <x v="2"/>
    <x v="0"/>
    <s v="CH₄"/>
    <n v="4859.13"/>
    <x v="1"/>
  </r>
  <r>
    <s v="F139"/>
    <x v="0"/>
    <x v="3"/>
    <x v="2"/>
    <s v="CO₂"/>
    <n v="3855.03"/>
    <x v="1"/>
  </r>
  <r>
    <s v="F124"/>
    <x v="3"/>
    <x v="0"/>
    <x v="0"/>
    <s v="N₂O"/>
    <n v="1087.93"/>
    <x v="0"/>
  </r>
  <r>
    <s v="F079"/>
    <x v="2"/>
    <x v="0"/>
    <x v="1"/>
    <s v="CH₄"/>
    <n v="3311.86"/>
    <x v="0"/>
  </r>
  <r>
    <s v="F075"/>
    <x v="3"/>
    <x v="0"/>
    <x v="0"/>
    <s v="N₂O"/>
    <n v="3496.49"/>
    <x v="0"/>
  </r>
  <r>
    <s v="F046"/>
    <x v="4"/>
    <x v="3"/>
    <x v="2"/>
    <s v="CH₄"/>
    <n v="3355.28"/>
    <x v="1"/>
  </r>
  <r>
    <s v="F174"/>
    <x v="3"/>
    <x v="0"/>
    <x v="0"/>
    <s v="CH₄"/>
    <n v="4871.42"/>
    <x v="0"/>
  </r>
  <r>
    <s v="F008"/>
    <x v="3"/>
    <x v="1"/>
    <x v="0"/>
    <s v="CH₄"/>
    <n v="1245.54"/>
    <x v="0"/>
  </r>
  <r>
    <s v="F028"/>
    <x v="4"/>
    <x v="3"/>
    <x v="1"/>
    <s v="CO₂"/>
    <n v="2891.84"/>
    <x v="1"/>
  </r>
  <r>
    <s v="F042"/>
    <x v="1"/>
    <x v="0"/>
    <x v="1"/>
    <s v="CH₄"/>
    <n v="2482.64"/>
    <x v="0"/>
  </r>
  <r>
    <s v="F140"/>
    <x v="4"/>
    <x v="2"/>
    <x v="0"/>
    <s v="CH₄"/>
    <n v="3463.89"/>
    <x v="1"/>
  </r>
  <r>
    <s v="F147"/>
    <x v="1"/>
    <x v="0"/>
    <x v="0"/>
    <s v="N₂O"/>
    <n v="2901.34"/>
    <x v="0"/>
  </r>
  <r>
    <s v="F020"/>
    <x v="2"/>
    <x v="3"/>
    <x v="1"/>
    <s v="CO₂"/>
    <n v="1323.76"/>
    <x v="1"/>
  </r>
  <r>
    <s v="F076"/>
    <x v="2"/>
    <x v="0"/>
    <x v="0"/>
    <s v="N₂O"/>
    <n v="2332.12"/>
    <x v="0"/>
  </r>
  <r>
    <s v="F009"/>
    <x v="0"/>
    <x v="0"/>
    <x v="2"/>
    <s v="N₂O"/>
    <n v="462.78"/>
    <x v="0"/>
  </r>
  <r>
    <s v="F147"/>
    <x v="1"/>
    <x v="2"/>
    <x v="1"/>
    <s v="CO₂"/>
    <n v="1229.33"/>
    <x v="1"/>
  </r>
  <r>
    <s v="F176"/>
    <x v="4"/>
    <x v="1"/>
    <x v="1"/>
    <s v="CO₂"/>
    <n v="3457.79"/>
    <x v="0"/>
  </r>
  <r>
    <s v="F161"/>
    <x v="2"/>
    <x v="0"/>
    <x v="1"/>
    <s v="CO₂"/>
    <n v="3519.41"/>
    <x v="0"/>
  </r>
  <r>
    <s v="F170"/>
    <x v="2"/>
    <x v="0"/>
    <x v="2"/>
    <s v="N₂O"/>
    <n v="2913.47"/>
    <x v="0"/>
  </r>
  <r>
    <s v="F142"/>
    <x v="0"/>
    <x v="3"/>
    <x v="2"/>
    <s v="CO₂"/>
    <n v="1431.51"/>
    <x v="1"/>
  </r>
  <r>
    <s v="F063"/>
    <x v="4"/>
    <x v="3"/>
    <x v="2"/>
    <s v="N₂O"/>
    <n v="2346.0500000000002"/>
    <x v="1"/>
  </r>
  <r>
    <s v="F174"/>
    <x v="3"/>
    <x v="0"/>
    <x v="2"/>
    <s v="CO₂"/>
    <n v="4191.3599999999997"/>
    <x v="0"/>
  </r>
  <r>
    <s v="F193"/>
    <x v="1"/>
    <x v="3"/>
    <x v="0"/>
    <s v="CO₂"/>
    <n v="2422.4699999999998"/>
    <x v="1"/>
  </r>
  <r>
    <s v="F197"/>
    <x v="2"/>
    <x v="1"/>
    <x v="0"/>
    <s v="CH₄"/>
    <n v="3331.66"/>
    <x v="0"/>
  </r>
  <r>
    <s v="F113"/>
    <x v="3"/>
    <x v="3"/>
    <x v="1"/>
    <s v="CO₂"/>
    <n v="1833.49"/>
    <x v="1"/>
  </r>
  <r>
    <s v="F062"/>
    <x v="2"/>
    <x v="2"/>
    <x v="1"/>
    <s v="CH₄"/>
    <n v="4018.22"/>
    <x v="1"/>
  </r>
  <r>
    <s v="F156"/>
    <x v="2"/>
    <x v="2"/>
    <x v="0"/>
    <s v="CH₄"/>
    <n v="2681.92"/>
    <x v="1"/>
  </r>
  <r>
    <s v="F161"/>
    <x v="2"/>
    <x v="1"/>
    <x v="0"/>
    <s v="N₂O"/>
    <n v="1889.49"/>
    <x v="0"/>
  </r>
  <r>
    <s v="F029"/>
    <x v="4"/>
    <x v="3"/>
    <x v="1"/>
    <s v="CH₄"/>
    <n v="1407.92"/>
    <x v="1"/>
  </r>
  <r>
    <s v="F127"/>
    <x v="3"/>
    <x v="3"/>
    <x v="1"/>
    <s v="CO₂"/>
    <n v="4935.72"/>
    <x v="1"/>
  </r>
  <r>
    <s v="F093"/>
    <x v="2"/>
    <x v="0"/>
    <x v="0"/>
    <s v="CO₂"/>
    <n v="2103.19"/>
    <x v="0"/>
  </r>
  <r>
    <s v="F169"/>
    <x v="2"/>
    <x v="2"/>
    <x v="2"/>
    <s v="CH₄"/>
    <n v="2046.76"/>
    <x v="1"/>
  </r>
  <r>
    <s v="F063"/>
    <x v="4"/>
    <x v="0"/>
    <x v="1"/>
    <s v="N₂O"/>
    <n v="3397.43"/>
    <x v="0"/>
  </r>
  <r>
    <s v="F142"/>
    <x v="0"/>
    <x v="1"/>
    <x v="0"/>
    <s v="CH₄"/>
    <n v="3221.57"/>
    <x v="0"/>
  </r>
  <r>
    <s v="F089"/>
    <x v="4"/>
    <x v="1"/>
    <x v="0"/>
    <s v="CO₂"/>
    <n v="4882.47"/>
    <x v="0"/>
  </r>
  <r>
    <s v="F051"/>
    <x v="4"/>
    <x v="1"/>
    <x v="2"/>
    <s v="N₂O"/>
    <n v="2857.09"/>
    <x v="0"/>
  </r>
  <r>
    <s v="F083"/>
    <x v="2"/>
    <x v="0"/>
    <x v="1"/>
    <s v="N₂O"/>
    <n v="1140.1600000000001"/>
    <x v="0"/>
  </r>
  <r>
    <s v="F175"/>
    <x v="3"/>
    <x v="3"/>
    <x v="0"/>
    <s v="N₂O"/>
    <n v="2822.94"/>
    <x v="1"/>
  </r>
  <r>
    <s v="F072"/>
    <x v="2"/>
    <x v="2"/>
    <x v="2"/>
    <s v="CO₂"/>
    <n v="727.78"/>
    <x v="1"/>
  </r>
  <r>
    <s v="F043"/>
    <x v="0"/>
    <x v="0"/>
    <x v="0"/>
    <s v="CH₄"/>
    <n v="367.9"/>
    <x v="0"/>
  </r>
  <r>
    <s v="F123"/>
    <x v="1"/>
    <x v="3"/>
    <x v="1"/>
    <s v="CH₄"/>
    <n v="2303.56"/>
    <x v="1"/>
  </r>
  <r>
    <s v="F168"/>
    <x v="2"/>
    <x v="3"/>
    <x v="1"/>
    <s v="CO₂"/>
    <n v="1650.12"/>
    <x v="1"/>
  </r>
  <r>
    <s v="F047"/>
    <x v="0"/>
    <x v="0"/>
    <x v="0"/>
    <s v="CO₂"/>
    <n v="4564.3999999999996"/>
    <x v="0"/>
  </r>
  <r>
    <s v="F148"/>
    <x v="1"/>
    <x v="0"/>
    <x v="1"/>
    <s v="N₂O"/>
    <n v="3466.51"/>
    <x v="0"/>
  </r>
  <r>
    <s v="F185"/>
    <x v="0"/>
    <x v="1"/>
    <x v="1"/>
    <s v="CO₂"/>
    <n v="4237.8100000000004"/>
    <x v="0"/>
  </r>
  <r>
    <s v="F057"/>
    <x v="1"/>
    <x v="2"/>
    <x v="2"/>
    <s v="N₂O"/>
    <n v="323.04000000000002"/>
    <x v="1"/>
  </r>
  <r>
    <s v="F047"/>
    <x v="0"/>
    <x v="2"/>
    <x v="2"/>
    <s v="N₂O"/>
    <n v="3867.63"/>
    <x v="1"/>
  </r>
  <r>
    <s v="F185"/>
    <x v="0"/>
    <x v="2"/>
    <x v="0"/>
    <s v="CO₂"/>
    <n v="748.11"/>
    <x v="1"/>
  </r>
  <r>
    <s v="F017"/>
    <x v="2"/>
    <x v="2"/>
    <x v="0"/>
    <s v="CO₂"/>
    <n v="654.86"/>
    <x v="1"/>
  </r>
  <r>
    <s v="F198"/>
    <x v="3"/>
    <x v="0"/>
    <x v="1"/>
    <s v="N₂O"/>
    <n v="2241.89"/>
    <x v="0"/>
  </r>
  <r>
    <s v="F121"/>
    <x v="3"/>
    <x v="1"/>
    <x v="2"/>
    <s v="CH₄"/>
    <n v="3489.31"/>
    <x v="0"/>
  </r>
  <r>
    <s v="F028"/>
    <x v="4"/>
    <x v="2"/>
    <x v="1"/>
    <s v="CO₂"/>
    <n v="2200.2199999999998"/>
    <x v="1"/>
  </r>
  <r>
    <s v="F123"/>
    <x v="1"/>
    <x v="2"/>
    <x v="1"/>
    <s v="CO₂"/>
    <n v="3247.72"/>
    <x v="1"/>
  </r>
  <r>
    <s v="F045"/>
    <x v="0"/>
    <x v="1"/>
    <x v="2"/>
    <s v="N₂O"/>
    <n v="3855.39"/>
    <x v="0"/>
  </r>
  <r>
    <s v="F194"/>
    <x v="3"/>
    <x v="0"/>
    <x v="0"/>
    <s v="N₂O"/>
    <n v="3111.26"/>
    <x v="0"/>
  </r>
  <r>
    <s v="F025"/>
    <x v="4"/>
    <x v="3"/>
    <x v="1"/>
    <s v="CH₄"/>
    <n v="2036.83"/>
    <x v="1"/>
  </r>
  <r>
    <s v="F032"/>
    <x v="1"/>
    <x v="0"/>
    <x v="1"/>
    <s v="CO₂"/>
    <n v="4876.37"/>
    <x v="0"/>
  </r>
  <r>
    <s v="F095"/>
    <x v="2"/>
    <x v="0"/>
    <x v="1"/>
    <s v="N₂O"/>
    <n v="4256.16"/>
    <x v="0"/>
  </r>
  <r>
    <s v="F057"/>
    <x v="1"/>
    <x v="1"/>
    <x v="1"/>
    <s v="CO₂"/>
    <n v="4947.18"/>
    <x v="0"/>
  </r>
  <r>
    <s v="F120"/>
    <x v="4"/>
    <x v="3"/>
    <x v="2"/>
    <s v="CH₄"/>
    <n v="425.91"/>
    <x v="1"/>
  </r>
  <r>
    <s v="F200"/>
    <x v="1"/>
    <x v="0"/>
    <x v="2"/>
    <s v="CH₄"/>
    <n v="4620.84"/>
    <x v="0"/>
  </r>
  <r>
    <s v="F193"/>
    <x v="1"/>
    <x v="0"/>
    <x v="0"/>
    <s v="N₂O"/>
    <n v="4302.5"/>
    <x v="0"/>
  </r>
  <r>
    <s v="F033"/>
    <x v="0"/>
    <x v="3"/>
    <x v="1"/>
    <s v="CO₂"/>
    <n v="2571.46"/>
    <x v="1"/>
  </r>
  <r>
    <s v="F061"/>
    <x v="1"/>
    <x v="0"/>
    <x v="1"/>
    <s v="CO₂"/>
    <n v="968.92"/>
    <x v="0"/>
  </r>
  <r>
    <s v="F106"/>
    <x v="3"/>
    <x v="2"/>
    <x v="0"/>
    <s v="N₂O"/>
    <n v="2916.99"/>
    <x v="1"/>
  </r>
  <r>
    <s v="F101"/>
    <x v="3"/>
    <x v="0"/>
    <x v="0"/>
    <s v="CH₄"/>
    <n v="4400.8900000000003"/>
    <x v="0"/>
  </r>
  <r>
    <s v="F142"/>
    <x v="0"/>
    <x v="1"/>
    <x v="0"/>
    <s v="CH₄"/>
    <n v="1791.29"/>
    <x v="0"/>
  </r>
  <r>
    <s v="F024"/>
    <x v="4"/>
    <x v="0"/>
    <x v="1"/>
    <s v="CO₂"/>
    <n v="594.47"/>
    <x v="0"/>
  </r>
  <r>
    <s v="F187"/>
    <x v="2"/>
    <x v="3"/>
    <x v="2"/>
    <s v="CO₂"/>
    <n v="2602.85"/>
    <x v="1"/>
  </r>
  <r>
    <s v="F104"/>
    <x v="4"/>
    <x v="0"/>
    <x v="1"/>
    <s v="N₂O"/>
    <n v="558.53"/>
    <x v="0"/>
  </r>
  <r>
    <s v="F046"/>
    <x v="4"/>
    <x v="2"/>
    <x v="2"/>
    <s v="N₂O"/>
    <n v="3004.54"/>
    <x v="1"/>
  </r>
  <r>
    <s v="F144"/>
    <x v="2"/>
    <x v="3"/>
    <x v="1"/>
    <s v="CO₂"/>
    <n v="1288.92"/>
    <x v="1"/>
  </r>
  <r>
    <s v="F150"/>
    <x v="4"/>
    <x v="0"/>
    <x v="0"/>
    <s v="N₂O"/>
    <n v="4950.7700000000004"/>
    <x v="0"/>
  </r>
  <r>
    <s v="F101"/>
    <x v="3"/>
    <x v="3"/>
    <x v="2"/>
    <s v="N₂O"/>
    <n v="3982.02"/>
    <x v="1"/>
  </r>
  <r>
    <s v="F029"/>
    <x v="4"/>
    <x v="0"/>
    <x v="2"/>
    <s v="N₂O"/>
    <n v="106.32"/>
    <x v="0"/>
  </r>
  <r>
    <s v="F129"/>
    <x v="1"/>
    <x v="3"/>
    <x v="0"/>
    <s v="CH₄"/>
    <n v="1752.03"/>
    <x v="1"/>
  </r>
  <r>
    <s v="F072"/>
    <x v="2"/>
    <x v="1"/>
    <x v="2"/>
    <s v="CO₂"/>
    <n v="2963"/>
    <x v="0"/>
  </r>
  <r>
    <s v="F011"/>
    <x v="4"/>
    <x v="1"/>
    <x v="2"/>
    <s v="CH₄"/>
    <n v="2067.13"/>
    <x v="0"/>
  </r>
  <r>
    <s v="F098"/>
    <x v="4"/>
    <x v="0"/>
    <x v="2"/>
    <s v="CO₂"/>
    <n v="1493.38"/>
    <x v="0"/>
  </r>
  <r>
    <s v="F122"/>
    <x v="4"/>
    <x v="0"/>
    <x v="0"/>
    <s v="N₂O"/>
    <n v="1311.82"/>
    <x v="0"/>
  </r>
  <r>
    <s v="F150"/>
    <x v="4"/>
    <x v="0"/>
    <x v="0"/>
    <s v="CO₂"/>
    <n v="3998.63"/>
    <x v="0"/>
  </r>
  <r>
    <s v="F101"/>
    <x v="3"/>
    <x v="3"/>
    <x v="1"/>
    <s v="CH₄"/>
    <n v="4224.63"/>
    <x v="1"/>
  </r>
  <r>
    <s v="F036"/>
    <x v="3"/>
    <x v="3"/>
    <x v="0"/>
    <s v="CO₂"/>
    <n v="2249.11"/>
    <x v="1"/>
  </r>
  <r>
    <s v="F046"/>
    <x v="4"/>
    <x v="2"/>
    <x v="2"/>
    <s v="N₂O"/>
    <n v="1492.82"/>
    <x v="1"/>
  </r>
  <r>
    <s v="F183"/>
    <x v="3"/>
    <x v="0"/>
    <x v="0"/>
    <s v="N₂O"/>
    <n v="4652.88"/>
    <x v="0"/>
  </r>
  <r>
    <s v="F045"/>
    <x v="0"/>
    <x v="3"/>
    <x v="1"/>
    <s v="CH₄"/>
    <n v="2725.88"/>
    <x v="1"/>
  </r>
  <r>
    <s v="F084"/>
    <x v="3"/>
    <x v="2"/>
    <x v="0"/>
    <s v="N₂O"/>
    <n v="3666.38"/>
    <x v="1"/>
  </r>
  <r>
    <s v="F067"/>
    <x v="1"/>
    <x v="2"/>
    <x v="2"/>
    <s v="CO₂"/>
    <n v="216.52"/>
    <x v="1"/>
  </r>
  <r>
    <s v="F058"/>
    <x v="1"/>
    <x v="3"/>
    <x v="1"/>
    <s v="CH₄"/>
    <n v="1898.59"/>
    <x v="1"/>
  </r>
  <r>
    <s v="F048"/>
    <x v="0"/>
    <x v="2"/>
    <x v="0"/>
    <s v="CH₄"/>
    <n v="3557.57"/>
    <x v="1"/>
  </r>
  <r>
    <s v="F128"/>
    <x v="2"/>
    <x v="1"/>
    <x v="0"/>
    <s v="CO₂"/>
    <n v="1488.08"/>
    <x v="0"/>
  </r>
  <r>
    <s v="F088"/>
    <x v="0"/>
    <x v="2"/>
    <x v="1"/>
    <s v="CH₄"/>
    <n v="4949.0200000000004"/>
    <x v="1"/>
  </r>
  <r>
    <s v="F012"/>
    <x v="3"/>
    <x v="3"/>
    <x v="0"/>
    <s v="CO₂"/>
    <n v="601.16999999999996"/>
    <x v="1"/>
  </r>
  <r>
    <s v="F137"/>
    <x v="0"/>
    <x v="2"/>
    <x v="0"/>
    <s v="CO₂"/>
    <n v="4121.8599999999997"/>
    <x v="1"/>
  </r>
  <r>
    <s v="F036"/>
    <x v="3"/>
    <x v="1"/>
    <x v="2"/>
    <s v="CO₂"/>
    <n v="2038.67"/>
    <x v="0"/>
  </r>
  <r>
    <s v="F149"/>
    <x v="1"/>
    <x v="2"/>
    <x v="1"/>
    <s v="CH₄"/>
    <n v="1823.3"/>
    <x v="1"/>
  </r>
  <r>
    <s v="F160"/>
    <x v="4"/>
    <x v="0"/>
    <x v="0"/>
    <s v="CH₄"/>
    <n v="380.6"/>
    <x v="0"/>
  </r>
  <r>
    <s v="F003"/>
    <x v="3"/>
    <x v="1"/>
    <x v="2"/>
    <s v="CO₂"/>
    <n v="3069.63"/>
    <x v="0"/>
  </r>
  <r>
    <s v="F089"/>
    <x v="4"/>
    <x v="0"/>
    <x v="2"/>
    <s v="CO₂"/>
    <n v="1532.06"/>
    <x v="0"/>
  </r>
  <r>
    <s v="F053"/>
    <x v="0"/>
    <x v="0"/>
    <x v="2"/>
    <s v="CH₄"/>
    <n v="3269.38"/>
    <x v="0"/>
  </r>
  <r>
    <s v="F084"/>
    <x v="3"/>
    <x v="0"/>
    <x v="0"/>
    <s v="CH₄"/>
    <n v="2397.75"/>
    <x v="0"/>
  </r>
  <r>
    <s v="F026"/>
    <x v="2"/>
    <x v="3"/>
    <x v="1"/>
    <s v="CH₄"/>
    <n v="1104.3599999999999"/>
    <x v="1"/>
  </r>
  <r>
    <s v="F161"/>
    <x v="2"/>
    <x v="0"/>
    <x v="0"/>
    <s v="N₂O"/>
    <n v="5406.29"/>
    <x v="0"/>
  </r>
  <r>
    <s v="F078"/>
    <x v="0"/>
    <x v="0"/>
    <x v="2"/>
    <s v="CO₂"/>
    <n v="2419.31"/>
    <x v="0"/>
  </r>
  <r>
    <s v="F096"/>
    <x v="0"/>
    <x v="3"/>
    <x v="0"/>
    <s v="N₂O"/>
    <n v="1984.27"/>
    <x v="1"/>
  </r>
  <r>
    <s v="F162"/>
    <x v="3"/>
    <x v="1"/>
    <x v="2"/>
    <s v="CO₂"/>
    <n v="2554.5100000000002"/>
    <x v="0"/>
  </r>
  <r>
    <s v="F147"/>
    <x v="1"/>
    <x v="2"/>
    <x v="1"/>
    <s v="CH₄"/>
    <n v="2087.4"/>
    <x v="1"/>
  </r>
  <r>
    <s v="F089"/>
    <x v="4"/>
    <x v="3"/>
    <x v="2"/>
    <s v="CO₂"/>
    <n v="3785.96"/>
    <x v="1"/>
  </r>
  <r>
    <s v="F064"/>
    <x v="1"/>
    <x v="2"/>
    <x v="1"/>
    <s v="CO₂"/>
    <n v="4818.79"/>
    <x v="1"/>
  </r>
  <r>
    <s v="F046"/>
    <x v="4"/>
    <x v="1"/>
    <x v="1"/>
    <s v="CO₂"/>
    <n v="4888.34"/>
    <x v="0"/>
  </r>
  <r>
    <s v="F107"/>
    <x v="2"/>
    <x v="3"/>
    <x v="1"/>
    <s v="CO₂"/>
    <n v="3595.37"/>
    <x v="1"/>
  </r>
  <r>
    <s v="F041"/>
    <x v="1"/>
    <x v="3"/>
    <x v="1"/>
    <s v="CH₄"/>
    <n v="4258.79"/>
    <x v="1"/>
  </r>
  <r>
    <s v="F110"/>
    <x v="4"/>
    <x v="3"/>
    <x v="2"/>
    <s v="CO₂"/>
    <n v="2679.07"/>
    <x v="1"/>
  </r>
  <r>
    <s v="F100"/>
    <x v="0"/>
    <x v="0"/>
    <x v="2"/>
    <s v="N₂O"/>
    <n v="3884.75"/>
    <x v="0"/>
  </r>
  <r>
    <s v="F175"/>
    <x v="3"/>
    <x v="3"/>
    <x v="2"/>
    <s v="N₂O"/>
    <n v="3771"/>
    <x v="1"/>
  </r>
  <r>
    <s v="F192"/>
    <x v="4"/>
    <x v="0"/>
    <x v="0"/>
    <s v="CH₄"/>
    <n v="3711.39"/>
    <x v="0"/>
  </r>
  <r>
    <s v="F162"/>
    <x v="3"/>
    <x v="3"/>
    <x v="1"/>
    <s v="CO₂"/>
    <n v="506.34"/>
    <x v="1"/>
  </r>
  <r>
    <s v="F190"/>
    <x v="0"/>
    <x v="0"/>
    <x v="0"/>
    <s v="CH₄"/>
    <n v="2868.75"/>
    <x v="0"/>
  </r>
  <r>
    <s v="F011"/>
    <x v="4"/>
    <x v="1"/>
    <x v="2"/>
    <s v="CO₂"/>
    <n v="4633.6899999999996"/>
    <x v="0"/>
  </r>
  <r>
    <s v="F032"/>
    <x v="1"/>
    <x v="2"/>
    <x v="2"/>
    <s v="CO₂"/>
    <n v="822.11"/>
    <x v="1"/>
  </r>
  <r>
    <s v="F015"/>
    <x v="4"/>
    <x v="3"/>
    <x v="2"/>
    <s v="N₂O"/>
    <n v="381.04"/>
    <x v="1"/>
  </r>
  <r>
    <s v="F152"/>
    <x v="4"/>
    <x v="2"/>
    <x v="1"/>
    <s v="CH₄"/>
    <n v="4854.5"/>
    <x v="1"/>
  </r>
  <r>
    <s v="F120"/>
    <x v="4"/>
    <x v="3"/>
    <x v="1"/>
    <s v="CH₄"/>
    <n v="4069.56"/>
    <x v="1"/>
  </r>
  <r>
    <s v="F009"/>
    <x v="0"/>
    <x v="0"/>
    <x v="2"/>
    <s v="N₂O"/>
    <n v="4573.76"/>
    <x v="0"/>
  </r>
  <r>
    <s v="F038"/>
    <x v="4"/>
    <x v="3"/>
    <x v="2"/>
    <s v="CO₂"/>
    <n v="202.63"/>
    <x v="1"/>
  </r>
  <r>
    <s v="F018"/>
    <x v="4"/>
    <x v="3"/>
    <x v="1"/>
    <s v="CH₄"/>
    <n v="948.57"/>
    <x v="1"/>
  </r>
  <r>
    <s v="F159"/>
    <x v="0"/>
    <x v="2"/>
    <x v="0"/>
    <s v="N₂O"/>
    <n v="1391.94"/>
    <x v="1"/>
  </r>
  <r>
    <s v="F054"/>
    <x v="3"/>
    <x v="0"/>
    <x v="0"/>
    <s v="CH₄"/>
    <n v="262.76"/>
    <x v="0"/>
  </r>
  <r>
    <s v="F100"/>
    <x v="0"/>
    <x v="2"/>
    <x v="2"/>
    <s v="N₂O"/>
    <n v="1987.36"/>
    <x v="1"/>
  </r>
  <r>
    <s v="F112"/>
    <x v="4"/>
    <x v="3"/>
    <x v="1"/>
    <s v="CH₄"/>
    <n v="4710.57"/>
    <x v="1"/>
  </r>
  <r>
    <s v="F081"/>
    <x v="1"/>
    <x v="2"/>
    <x v="0"/>
    <s v="CO₂"/>
    <n v="897.12"/>
    <x v="1"/>
  </r>
  <r>
    <s v="F175"/>
    <x v="3"/>
    <x v="0"/>
    <x v="2"/>
    <s v="CH₄"/>
    <n v="4466.1000000000004"/>
    <x v="0"/>
  </r>
  <r>
    <s v="F173"/>
    <x v="1"/>
    <x v="1"/>
    <x v="2"/>
    <s v="N₂O"/>
    <n v="4306.16"/>
    <x v="0"/>
  </r>
  <r>
    <s v="F117"/>
    <x v="2"/>
    <x v="1"/>
    <x v="2"/>
    <s v="N₂O"/>
    <n v="3510.58"/>
    <x v="0"/>
  </r>
  <r>
    <s v="F198"/>
    <x v="3"/>
    <x v="1"/>
    <x v="1"/>
    <s v="N₂O"/>
    <n v="1053.8399999999999"/>
    <x v="0"/>
  </r>
  <r>
    <s v="F035"/>
    <x v="4"/>
    <x v="1"/>
    <x v="1"/>
    <s v="CO₂"/>
    <n v="1084.81"/>
    <x v="0"/>
  </r>
  <r>
    <s v="F148"/>
    <x v="1"/>
    <x v="3"/>
    <x v="1"/>
    <s v="CH₄"/>
    <n v="618.54"/>
    <x v="1"/>
  </r>
  <r>
    <s v="F114"/>
    <x v="1"/>
    <x v="1"/>
    <x v="2"/>
    <s v="N₂O"/>
    <n v="3730.83"/>
    <x v="0"/>
  </r>
  <r>
    <s v="F112"/>
    <x v="4"/>
    <x v="0"/>
    <x v="0"/>
    <s v="N₂O"/>
    <n v="3608.02"/>
    <x v="0"/>
  </r>
  <r>
    <s v="F072"/>
    <x v="2"/>
    <x v="3"/>
    <x v="1"/>
    <s v="N₂O"/>
    <n v="4037.93"/>
    <x v="1"/>
  </r>
  <r>
    <s v="F194"/>
    <x v="3"/>
    <x v="0"/>
    <x v="0"/>
    <s v="N₂O"/>
    <n v="454.38"/>
    <x v="0"/>
  </r>
  <r>
    <s v="F145"/>
    <x v="4"/>
    <x v="3"/>
    <x v="1"/>
    <s v="N₂O"/>
    <n v="3824.73"/>
    <x v="1"/>
  </r>
  <r>
    <s v="F014"/>
    <x v="2"/>
    <x v="2"/>
    <x v="0"/>
    <s v="CO₂"/>
    <n v="2188.67"/>
    <x v="1"/>
  </r>
  <r>
    <s v="F182"/>
    <x v="3"/>
    <x v="2"/>
    <x v="1"/>
    <s v="N₂O"/>
    <n v="1638.41"/>
    <x v="1"/>
  </r>
  <r>
    <s v="F005"/>
    <x v="4"/>
    <x v="0"/>
    <x v="1"/>
    <s v="CO₂"/>
    <n v="4638.62"/>
    <x v="0"/>
  </r>
  <r>
    <s v="F158"/>
    <x v="3"/>
    <x v="1"/>
    <x v="1"/>
    <s v="CO₂"/>
    <n v="2700.91"/>
    <x v="0"/>
  </r>
  <r>
    <s v="F057"/>
    <x v="1"/>
    <x v="0"/>
    <x v="1"/>
    <s v="N₂O"/>
    <n v="4888.18"/>
    <x v="0"/>
  </r>
  <r>
    <s v="F039"/>
    <x v="2"/>
    <x v="0"/>
    <x v="0"/>
    <s v="CH₄"/>
    <n v="1395.93"/>
    <x v="0"/>
  </r>
  <r>
    <s v="F110"/>
    <x v="4"/>
    <x v="3"/>
    <x v="2"/>
    <s v="N₂O"/>
    <n v="2978"/>
    <x v="1"/>
  </r>
  <r>
    <s v="F043"/>
    <x v="0"/>
    <x v="2"/>
    <x v="1"/>
    <s v="CH₄"/>
    <n v="2047.72"/>
    <x v="1"/>
  </r>
  <r>
    <s v="F080"/>
    <x v="3"/>
    <x v="2"/>
    <x v="1"/>
    <s v="CO₂"/>
    <n v="2384.92"/>
    <x v="1"/>
  </r>
  <r>
    <s v="F126"/>
    <x v="2"/>
    <x v="2"/>
    <x v="0"/>
    <s v="CH₄"/>
    <n v="1560.19"/>
    <x v="1"/>
  </r>
  <r>
    <s v="F077"/>
    <x v="4"/>
    <x v="0"/>
    <x v="1"/>
    <s v="N₂O"/>
    <n v="4290.7299999999996"/>
    <x v="0"/>
  </r>
  <r>
    <s v="F130"/>
    <x v="3"/>
    <x v="0"/>
    <x v="0"/>
    <s v="N₂O"/>
    <n v="2521.88"/>
    <x v="0"/>
  </r>
  <r>
    <s v="F154"/>
    <x v="0"/>
    <x v="1"/>
    <x v="2"/>
    <s v="CO₂"/>
    <n v="3941.05"/>
    <x v="0"/>
  </r>
  <r>
    <s v="F003"/>
    <x v="3"/>
    <x v="2"/>
    <x v="1"/>
    <s v="N₂O"/>
    <n v="992.87"/>
    <x v="1"/>
  </r>
  <r>
    <s v="F162"/>
    <x v="3"/>
    <x v="3"/>
    <x v="1"/>
    <s v="CH₄"/>
    <n v="3998.2"/>
    <x v="1"/>
  </r>
  <r>
    <s v="F128"/>
    <x v="2"/>
    <x v="1"/>
    <x v="2"/>
    <s v="N₂O"/>
    <n v="951.15"/>
    <x v="0"/>
  </r>
  <r>
    <s v="F146"/>
    <x v="2"/>
    <x v="3"/>
    <x v="0"/>
    <s v="CH₄"/>
    <n v="602.29"/>
    <x v="1"/>
  </r>
  <r>
    <s v="F158"/>
    <x v="3"/>
    <x v="1"/>
    <x v="1"/>
    <s v="CO₂"/>
    <n v="4791.01"/>
    <x v="0"/>
  </r>
  <r>
    <s v="F181"/>
    <x v="3"/>
    <x v="2"/>
    <x v="1"/>
    <s v="CO₂"/>
    <n v="2408.38"/>
    <x v="1"/>
  </r>
  <r>
    <s v="F166"/>
    <x v="3"/>
    <x v="1"/>
    <x v="0"/>
    <s v="CH₄"/>
    <n v="2703.07"/>
    <x v="0"/>
  </r>
  <r>
    <s v="F003"/>
    <x v="3"/>
    <x v="3"/>
    <x v="2"/>
    <s v="CO₂"/>
    <n v="4204.6899999999996"/>
    <x v="1"/>
  </r>
  <r>
    <s v="F106"/>
    <x v="3"/>
    <x v="3"/>
    <x v="0"/>
    <s v="N₂O"/>
    <n v="947.61"/>
    <x v="1"/>
  </r>
  <r>
    <s v="F132"/>
    <x v="4"/>
    <x v="1"/>
    <x v="2"/>
    <s v="CH₄"/>
    <n v="3632.9"/>
    <x v="0"/>
  </r>
  <r>
    <s v="F184"/>
    <x v="0"/>
    <x v="0"/>
    <x v="0"/>
    <s v="CO₂"/>
    <n v="3124.89"/>
    <x v="0"/>
  </r>
  <r>
    <s v="F032"/>
    <x v="1"/>
    <x v="3"/>
    <x v="1"/>
    <s v="N₂O"/>
    <n v="4679.05"/>
    <x v="1"/>
  </r>
  <r>
    <s v="F168"/>
    <x v="2"/>
    <x v="0"/>
    <x v="0"/>
    <s v="CH₄"/>
    <n v="4154.1000000000004"/>
    <x v="0"/>
  </r>
  <r>
    <s v="F145"/>
    <x v="4"/>
    <x v="0"/>
    <x v="1"/>
    <s v="CH₄"/>
    <n v="132.24"/>
    <x v="0"/>
  </r>
  <r>
    <s v="F129"/>
    <x v="1"/>
    <x v="3"/>
    <x v="1"/>
    <s v="CO₂"/>
    <n v="3066.65"/>
    <x v="1"/>
  </r>
  <r>
    <s v="F155"/>
    <x v="2"/>
    <x v="2"/>
    <x v="0"/>
    <s v="CO₂"/>
    <n v="1342.88"/>
    <x v="1"/>
  </r>
  <r>
    <s v="F056"/>
    <x v="4"/>
    <x v="2"/>
    <x v="1"/>
    <s v="N₂O"/>
    <n v="3919.95"/>
    <x v="1"/>
  </r>
  <r>
    <s v="F083"/>
    <x v="2"/>
    <x v="0"/>
    <x v="1"/>
    <s v="N₂O"/>
    <n v="4408.78"/>
    <x v="0"/>
  </r>
  <r>
    <s v="F092"/>
    <x v="4"/>
    <x v="3"/>
    <x v="1"/>
    <s v="CO₂"/>
    <n v="4970.6899999999996"/>
    <x v="1"/>
  </r>
  <r>
    <s v="F130"/>
    <x v="3"/>
    <x v="0"/>
    <x v="0"/>
    <s v="CO₂"/>
    <n v="1694.19"/>
    <x v="0"/>
  </r>
  <r>
    <s v="F054"/>
    <x v="3"/>
    <x v="3"/>
    <x v="1"/>
    <s v="CO₂"/>
    <n v="4225.8"/>
    <x v="1"/>
  </r>
  <r>
    <s v="F161"/>
    <x v="2"/>
    <x v="0"/>
    <x v="1"/>
    <s v="CO₂"/>
    <n v="2933.56"/>
    <x v="0"/>
  </r>
  <r>
    <s v="F124"/>
    <x v="3"/>
    <x v="2"/>
    <x v="0"/>
    <s v="CH₄"/>
    <n v="1192.33"/>
    <x v="1"/>
  </r>
  <r>
    <s v="F043"/>
    <x v="0"/>
    <x v="0"/>
    <x v="1"/>
    <s v="N₂O"/>
    <n v="2457.1"/>
    <x v="0"/>
  </r>
  <r>
    <s v="F128"/>
    <x v="2"/>
    <x v="1"/>
    <x v="2"/>
    <s v="N₂O"/>
    <n v="3801.93"/>
    <x v="0"/>
  </r>
  <r>
    <s v="F115"/>
    <x v="3"/>
    <x v="3"/>
    <x v="2"/>
    <s v="N₂O"/>
    <n v="2334.69"/>
    <x v="1"/>
  </r>
  <r>
    <s v="F048"/>
    <x v="0"/>
    <x v="1"/>
    <x v="2"/>
    <s v="CH₄"/>
    <n v="4761.95"/>
    <x v="0"/>
  </r>
  <r>
    <s v="F081"/>
    <x v="1"/>
    <x v="3"/>
    <x v="1"/>
    <s v="N₂O"/>
    <n v="4516.03"/>
    <x v="1"/>
  </r>
  <r>
    <s v="F076"/>
    <x v="2"/>
    <x v="0"/>
    <x v="0"/>
    <s v="N₂O"/>
    <n v="4645.59"/>
    <x v="0"/>
  </r>
  <r>
    <s v="F032"/>
    <x v="1"/>
    <x v="2"/>
    <x v="2"/>
    <s v="N₂O"/>
    <n v="3245.36"/>
    <x v="1"/>
  </r>
  <r>
    <s v="F094"/>
    <x v="3"/>
    <x v="2"/>
    <x v="1"/>
    <s v="CH₄"/>
    <n v="3907.47"/>
    <x v="1"/>
  </r>
  <r>
    <s v="F111"/>
    <x v="3"/>
    <x v="1"/>
    <x v="0"/>
    <s v="CH₄"/>
    <n v="1337.85"/>
    <x v="0"/>
  </r>
  <r>
    <s v="F133"/>
    <x v="2"/>
    <x v="2"/>
    <x v="2"/>
    <s v="CH₄"/>
    <n v="3487.09"/>
    <x v="1"/>
  </r>
  <r>
    <s v="F040"/>
    <x v="0"/>
    <x v="2"/>
    <x v="0"/>
    <s v="CO₂"/>
    <n v="4959.59"/>
    <x v="1"/>
  </r>
  <r>
    <s v="F072"/>
    <x v="2"/>
    <x v="0"/>
    <x v="2"/>
    <s v="CO₂"/>
    <n v="4294.03"/>
    <x v="0"/>
  </r>
  <r>
    <s v="F153"/>
    <x v="3"/>
    <x v="0"/>
    <x v="1"/>
    <s v="CH₄"/>
    <n v="648.78"/>
    <x v="0"/>
  </r>
  <r>
    <s v="F153"/>
    <x v="3"/>
    <x v="1"/>
    <x v="1"/>
    <s v="CH₄"/>
    <n v="3771.9"/>
    <x v="0"/>
  </r>
  <r>
    <s v="F128"/>
    <x v="2"/>
    <x v="3"/>
    <x v="0"/>
    <s v="N₂O"/>
    <n v="3071.55"/>
    <x v="1"/>
  </r>
  <r>
    <s v="F198"/>
    <x v="3"/>
    <x v="1"/>
    <x v="2"/>
    <s v="N₂O"/>
    <n v="2591.1799999999998"/>
    <x v="0"/>
  </r>
  <r>
    <s v="F057"/>
    <x v="1"/>
    <x v="2"/>
    <x v="1"/>
    <s v="CO₂"/>
    <n v="3280.07"/>
    <x v="1"/>
  </r>
  <r>
    <s v="F091"/>
    <x v="4"/>
    <x v="3"/>
    <x v="2"/>
    <s v="CO₂"/>
    <n v="632.11"/>
    <x v="1"/>
  </r>
  <r>
    <s v="F004"/>
    <x v="0"/>
    <x v="1"/>
    <x v="1"/>
    <s v="CH₄"/>
    <n v="2914.08"/>
    <x v="0"/>
  </r>
  <r>
    <s v="F032"/>
    <x v="1"/>
    <x v="3"/>
    <x v="2"/>
    <s v="CH₄"/>
    <n v="637.63"/>
    <x v="1"/>
  </r>
  <r>
    <s v="F078"/>
    <x v="0"/>
    <x v="2"/>
    <x v="1"/>
    <s v="N₂O"/>
    <n v="1996.46"/>
    <x v="1"/>
  </r>
  <r>
    <s v="F121"/>
    <x v="3"/>
    <x v="2"/>
    <x v="1"/>
    <s v="N₂O"/>
    <n v="1059.26"/>
    <x v="1"/>
  </r>
  <r>
    <s v="F057"/>
    <x v="1"/>
    <x v="1"/>
    <x v="0"/>
    <s v="N₂O"/>
    <n v="3555.94"/>
    <x v="0"/>
  </r>
  <r>
    <s v="F127"/>
    <x v="3"/>
    <x v="3"/>
    <x v="1"/>
    <s v="CO₂"/>
    <n v="3698.27"/>
    <x v="1"/>
  </r>
  <r>
    <s v="F004"/>
    <x v="0"/>
    <x v="3"/>
    <x v="1"/>
    <s v="CO₂"/>
    <n v="2286.9699999999998"/>
    <x v="1"/>
  </r>
  <r>
    <s v="F005"/>
    <x v="4"/>
    <x v="3"/>
    <x v="1"/>
    <s v="N₂O"/>
    <n v="3316.45"/>
    <x v="1"/>
  </r>
  <r>
    <s v="F027"/>
    <x v="4"/>
    <x v="2"/>
    <x v="2"/>
    <s v="N₂O"/>
    <n v="1242.96"/>
    <x v="1"/>
  </r>
  <r>
    <s v="F121"/>
    <x v="3"/>
    <x v="3"/>
    <x v="2"/>
    <s v="CH₄"/>
    <n v="3792.28"/>
    <x v="1"/>
  </r>
  <r>
    <s v="F018"/>
    <x v="4"/>
    <x v="3"/>
    <x v="0"/>
    <s v="CO₂"/>
    <n v="4685.3100000000004"/>
    <x v="1"/>
  </r>
  <r>
    <s v="F079"/>
    <x v="2"/>
    <x v="1"/>
    <x v="2"/>
    <s v="N₂O"/>
    <n v="2273.65"/>
    <x v="0"/>
  </r>
  <r>
    <s v="F006"/>
    <x v="4"/>
    <x v="2"/>
    <x v="0"/>
    <s v="N₂O"/>
    <n v="3021.59"/>
    <x v="1"/>
  </r>
  <r>
    <s v="F133"/>
    <x v="2"/>
    <x v="3"/>
    <x v="2"/>
    <s v="N₂O"/>
    <n v="1312.78"/>
    <x v="1"/>
  </r>
  <r>
    <s v="F158"/>
    <x v="3"/>
    <x v="3"/>
    <x v="0"/>
    <s v="CO₂"/>
    <n v="1829.71"/>
    <x v="1"/>
  </r>
  <r>
    <s v="F108"/>
    <x v="3"/>
    <x v="3"/>
    <x v="0"/>
    <s v="CO₂"/>
    <n v="1549.72"/>
    <x v="1"/>
  </r>
  <r>
    <s v="F070"/>
    <x v="2"/>
    <x v="0"/>
    <x v="2"/>
    <s v="CH₄"/>
    <n v="2500.38"/>
    <x v="0"/>
  </r>
  <r>
    <s v="F012"/>
    <x v="3"/>
    <x v="1"/>
    <x v="2"/>
    <s v="N₂O"/>
    <n v="1314.88"/>
    <x v="0"/>
  </r>
  <r>
    <s v="F009"/>
    <x v="0"/>
    <x v="3"/>
    <x v="2"/>
    <s v="N₂O"/>
    <n v="2425.58"/>
    <x v="1"/>
  </r>
  <r>
    <s v="F194"/>
    <x v="3"/>
    <x v="1"/>
    <x v="1"/>
    <s v="CO₂"/>
    <n v="3143.07"/>
    <x v="0"/>
  </r>
  <r>
    <s v="F049"/>
    <x v="0"/>
    <x v="3"/>
    <x v="2"/>
    <s v="CO₂"/>
    <n v="3426.65"/>
    <x v="1"/>
  </r>
  <r>
    <s v="F198"/>
    <x v="3"/>
    <x v="3"/>
    <x v="0"/>
    <s v="CO₂"/>
    <n v="3334.69"/>
    <x v="1"/>
  </r>
  <r>
    <s v="F054"/>
    <x v="3"/>
    <x v="0"/>
    <x v="2"/>
    <s v="N₂O"/>
    <n v="1554.47"/>
    <x v="0"/>
  </r>
  <r>
    <s v="F177"/>
    <x v="3"/>
    <x v="1"/>
    <x v="0"/>
    <s v="N₂O"/>
    <n v="613.22"/>
    <x v="0"/>
  </r>
  <r>
    <s v="F115"/>
    <x v="3"/>
    <x v="3"/>
    <x v="2"/>
    <s v="N₂O"/>
    <n v="2269.8200000000002"/>
    <x v="1"/>
  </r>
  <r>
    <s v="F159"/>
    <x v="0"/>
    <x v="0"/>
    <x v="0"/>
    <s v="N₂O"/>
    <n v="1258.56"/>
    <x v="0"/>
  </r>
  <r>
    <s v="F106"/>
    <x v="3"/>
    <x v="0"/>
    <x v="1"/>
    <s v="CH₄"/>
    <n v="2102.71"/>
    <x v="0"/>
  </r>
  <r>
    <s v="F022"/>
    <x v="4"/>
    <x v="1"/>
    <x v="2"/>
    <s v="CO₂"/>
    <n v="1951.99"/>
    <x v="0"/>
  </r>
  <r>
    <s v="F010"/>
    <x v="0"/>
    <x v="0"/>
    <x v="0"/>
    <s v="CH₄"/>
    <n v="942.66"/>
    <x v="0"/>
  </r>
  <r>
    <s v="F106"/>
    <x v="3"/>
    <x v="0"/>
    <x v="1"/>
    <s v="N₂O"/>
    <n v="4612.42"/>
    <x v="0"/>
  </r>
  <r>
    <s v="F062"/>
    <x v="2"/>
    <x v="2"/>
    <x v="0"/>
    <s v="CO₂"/>
    <n v="5180.6899999999996"/>
    <x v="1"/>
  </r>
  <r>
    <s v="F124"/>
    <x v="3"/>
    <x v="2"/>
    <x v="0"/>
    <s v="CH₄"/>
    <n v="3307.68"/>
    <x v="1"/>
  </r>
  <r>
    <s v="F105"/>
    <x v="0"/>
    <x v="0"/>
    <x v="2"/>
    <s v="N₂O"/>
    <n v="4673.95"/>
    <x v="0"/>
  </r>
  <r>
    <s v="F083"/>
    <x v="2"/>
    <x v="0"/>
    <x v="2"/>
    <s v="N₂O"/>
    <n v="2977.11"/>
    <x v="0"/>
  </r>
  <r>
    <s v="F088"/>
    <x v="0"/>
    <x v="3"/>
    <x v="0"/>
    <s v="CO₂"/>
    <n v="2214.86"/>
    <x v="1"/>
  </r>
  <r>
    <s v="F014"/>
    <x v="2"/>
    <x v="3"/>
    <x v="2"/>
    <s v="CO₂"/>
    <n v="2253.86"/>
    <x v="1"/>
  </r>
  <r>
    <s v="F131"/>
    <x v="4"/>
    <x v="3"/>
    <x v="0"/>
    <s v="CH₄"/>
    <n v="2426.7199999999998"/>
    <x v="1"/>
  </r>
  <r>
    <s v="F099"/>
    <x v="3"/>
    <x v="1"/>
    <x v="1"/>
    <s v="N₂O"/>
    <n v="2903.42"/>
    <x v="0"/>
  </r>
  <r>
    <s v="F067"/>
    <x v="1"/>
    <x v="1"/>
    <x v="0"/>
    <s v="CH₄"/>
    <n v="3101.84"/>
    <x v="0"/>
  </r>
  <r>
    <s v="F050"/>
    <x v="0"/>
    <x v="0"/>
    <x v="0"/>
    <s v="CH₄"/>
    <n v="3483.93"/>
    <x v="0"/>
  </r>
  <r>
    <s v="F005"/>
    <x v="4"/>
    <x v="0"/>
    <x v="2"/>
    <s v="CO₂"/>
    <n v="4798.16"/>
    <x v="0"/>
  </r>
  <r>
    <s v="F075"/>
    <x v="3"/>
    <x v="1"/>
    <x v="2"/>
    <s v="CH₄"/>
    <n v="2226.6"/>
    <x v="0"/>
  </r>
  <r>
    <s v="F151"/>
    <x v="2"/>
    <x v="2"/>
    <x v="0"/>
    <s v="CO₂"/>
    <n v="2848.95"/>
    <x v="1"/>
  </r>
  <r>
    <s v="F021"/>
    <x v="1"/>
    <x v="0"/>
    <x v="1"/>
    <s v="N₂O"/>
    <n v="751.3"/>
    <x v="0"/>
  </r>
  <r>
    <s v="F077"/>
    <x v="4"/>
    <x v="2"/>
    <x v="2"/>
    <s v="CO₂"/>
    <n v="3286.05"/>
    <x v="1"/>
  </r>
  <r>
    <s v="F082"/>
    <x v="0"/>
    <x v="1"/>
    <x v="2"/>
    <s v="CO₂"/>
    <n v="1018.05"/>
    <x v="0"/>
  </r>
  <r>
    <s v="F003"/>
    <x v="3"/>
    <x v="3"/>
    <x v="1"/>
    <s v="N₂O"/>
    <n v="2978.67"/>
    <x v="1"/>
  </r>
  <r>
    <s v="F079"/>
    <x v="2"/>
    <x v="2"/>
    <x v="2"/>
    <s v="CO₂"/>
    <n v="1158.82"/>
    <x v="1"/>
  </r>
  <r>
    <s v="F032"/>
    <x v="1"/>
    <x v="0"/>
    <x v="0"/>
    <s v="CH₄"/>
    <n v="4416.21"/>
    <x v="0"/>
  </r>
  <r>
    <s v="F037"/>
    <x v="3"/>
    <x v="1"/>
    <x v="0"/>
    <s v="CH₄"/>
    <n v="1348.03"/>
    <x v="0"/>
  </r>
  <r>
    <s v="F101"/>
    <x v="3"/>
    <x v="3"/>
    <x v="2"/>
    <s v="CH₄"/>
    <n v="2825.42"/>
    <x v="1"/>
  </r>
  <r>
    <s v="F152"/>
    <x v="4"/>
    <x v="0"/>
    <x v="0"/>
    <s v="N₂O"/>
    <n v="4051.47"/>
    <x v="0"/>
  </r>
  <r>
    <s v="F093"/>
    <x v="2"/>
    <x v="3"/>
    <x v="2"/>
    <s v="N₂O"/>
    <n v="3797.37"/>
    <x v="1"/>
  </r>
  <r>
    <s v="F004"/>
    <x v="0"/>
    <x v="3"/>
    <x v="2"/>
    <s v="N₂O"/>
    <n v="4111.7700000000004"/>
    <x v="1"/>
  </r>
  <r>
    <s v="F142"/>
    <x v="0"/>
    <x v="3"/>
    <x v="0"/>
    <s v="CH₄"/>
    <n v="1444.13"/>
    <x v="1"/>
  </r>
  <r>
    <s v="F159"/>
    <x v="0"/>
    <x v="1"/>
    <x v="2"/>
    <s v="CH₄"/>
    <n v="3062.42"/>
    <x v="0"/>
  </r>
  <r>
    <s v="F197"/>
    <x v="2"/>
    <x v="3"/>
    <x v="1"/>
    <s v="CH₄"/>
    <n v="1226.9100000000001"/>
    <x v="1"/>
  </r>
  <r>
    <s v="F055"/>
    <x v="2"/>
    <x v="1"/>
    <x v="1"/>
    <s v="N₂O"/>
    <n v="1442.19"/>
    <x v="0"/>
  </r>
  <r>
    <s v="F200"/>
    <x v="1"/>
    <x v="1"/>
    <x v="1"/>
    <s v="N₂O"/>
    <n v="3767.87"/>
    <x v="0"/>
  </r>
  <r>
    <s v="F022"/>
    <x v="4"/>
    <x v="2"/>
    <x v="1"/>
    <s v="N₂O"/>
    <n v="1528.64"/>
    <x v="1"/>
  </r>
  <r>
    <s v="F063"/>
    <x v="4"/>
    <x v="2"/>
    <x v="2"/>
    <s v="CO₂"/>
    <n v="438.03"/>
    <x v="1"/>
  </r>
  <r>
    <s v="F015"/>
    <x v="4"/>
    <x v="1"/>
    <x v="1"/>
    <s v="CH₄"/>
    <n v="2291.7800000000002"/>
    <x v="0"/>
  </r>
  <r>
    <s v="F060"/>
    <x v="4"/>
    <x v="1"/>
    <x v="2"/>
    <s v="CH₄"/>
    <n v="4099.03"/>
    <x v="0"/>
  </r>
  <r>
    <s v="F174"/>
    <x v="3"/>
    <x v="2"/>
    <x v="0"/>
    <s v="CH₄"/>
    <n v="2713.32"/>
    <x v="1"/>
  </r>
  <r>
    <s v="F153"/>
    <x v="3"/>
    <x v="1"/>
    <x v="1"/>
    <s v="CO₂"/>
    <n v="769.84"/>
    <x v="0"/>
  </r>
  <r>
    <s v="F082"/>
    <x v="0"/>
    <x v="2"/>
    <x v="2"/>
    <s v="CH₄"/>
    <n v="3217.94"/>
    <x v="1"/>
  </r>
  <r>
    <s v="F138"/>
    <x v="0"/>
    <x v="2"/>
    <x v="0"/>
    <s v="CO₂"/>
    <n v="3817.75"/>
    <x v="1"/>
  </r>
  <r>
    <s v="F038"/>
    <x v="4"/>
    <x v="3"/>
    <x v="1"/>
    <s v="CH₄"/>
    <n v="3796.86"/>
    <x v="1"/>
  </r>
  <r>
    <s v="F177"/>
    <x v="3"/>
    <x v="0"/>
    <x v="2"/>
    <s v="CO₂"/>
    <n v="1722.54"/>
    <x v="0"/>
  </r>
  <r>
    <s v="F076"/>
    <x v="2"/>
    <x v="2"/>
    <x v="1"/>
    <s v="N₂O"/>
    <n v="2472.08"/>
    <x v="1"/>
  </r>
  <r>
    <s v="F072"/>
    <x v="2"/>
    <x v="3"/>
    <x v="2"/>
    <s v="N₂O"/>
    <n v="3592.6"/>
    <x v="1"/>
  </r>
  <r>
    <s v="F126"/>
    <x v="2"/>
    <x v="3"/>
    <x v="2"/>
    <s v="CO₂"/>
    <n v="4482.0600000000004"/>
    <x v="1"/>
  </r>
  <r>
    <s v="F151"/>
    <x v="2"/>
    <x v="2"/>
    <x v="0"/>
    <s v="CO₂"/>
    <n v="3888.63"/>
    <x v="1"/>
  </r>
  <r>
    <s v="F160"/>
    <x v="4"/>
    <x v="3"/>
    <x v="0"/>
    <s v="CO₂"/>
    <n v="1035.25"/>
    <x v="1"/>
  </r>
  <r>
    <s v="F018"/>
    <x v="4"/>
    <x v="3"/>
    <x v="1"/>
    <s v="CO₂"/>
    <n v="93.17"/>
    <x v="1"/>
  </r>
  <r>
    <s v="F077"/>
    <x v="4"/>
    <x v="0"/>
    <x v="1"/>
    <s v="CO₂"/>
    <n v="489.88"/>
    <x v="0"/>
  </r>
  <r>
    <s v="F060"/>
    <x v="4"/>
    <x v="0"/>
    <x v="2"/>
    <s v="N₂O"/>
    <n v="627.29999999999995"/>
    <x v="0"/>
  </r>
  <r>
    <s v="F102"/>
    <x v="1"/>
    <x v="2"/>
    <x v="2"/>
    <s v="N₂O"/>
    <n v="4443.8500000000004"/>
    <x v="1"/>
  </r>
  <r>
    <s v="F075"/>
    <x v="3"/>
    <x v="0"/>
    <x v="1"/>
    <s v="CO₂"/>
    <n v="2192.52"/>
    <x v="0"/>
  </r>
  <r>
    <s v="F194"/>
    <x v="3"/>
    <x v="3"/>
    <x v="0"/>
    <s v="CO₂"/>
    <n v="1166.77"/>
    <x v="1"/>
  </r>
  <r>
    <s v="F151"/>
    <x v="2"/>
    <x v="0"/>
    <x v="0"/>
    <s v="CH₄"/>
    <n v="3803.96"/>
    <x v="0"/>
  </r>
  <r>
    <s v="F121"/>
    <x v="3"/>
    <x v="0"/>
    <x v="1"/>
    <s v="N₂O"/>
    <n v="4902.53"/>
    <x v="0"/>
  </r>
  <r>
    <s v="F147"/>
    <x v="1"/>
    <x v="2"/>
    <x v="2"/>
    <s v="N₂O"/>
    <n v="1144.49"/>
    <x v="1"/>
  </r>
  <r>
    <s v="F190"/>
    <x v="0"/>
    <x v="1"/>
    <x v="0"/>
    <s v="CO₂"/>
    <n v="4243.1099999999997"/>
    <x v="0"/>
  </r>
  <r>
    <s v="F023"/>
    <x v="1"/>
    <x v="0"/>
    <x v="2"/>
    <s v="N₂O"/>
    <n v="2303.31"/>
    <x v="0"/>
  </r>
  <r>
    <s v="F027"/>
    <x v="4"/>
    <x v="2"/>
    <x v="1"/>
    <s v="CH₄"/>
    <n v="3192.9"/>
    <x v="1"/>
  </r>
  <r>
    <s v="F019"/>
    <x v="0"/>
    <x v="1"/>
    <x v="2"/>
    <s v="CO₂"/>
    <n v="3601.52"/>
    <x v="0"/>
  </r>
  <r>
    <s v="F027"/>
    <x v="4"/>
    <x v="1"/>
    <x v="1"/>
    <s v="CO₂"/>
    <n v="4964.3100000000004"/>
    <x v="0"/>
  </r>
  <r>
    <s v="F093"/>
    <x v="2"/>
    <x v="2"/>
    <x v="1"/>
    <s v="CO₂"/>
    <n v="2143.7399999999998"/>
    <x v="1"/>
  </r>
  <r>
    <s v="F113"/>
    <x v="3"/>
    <x v="1"/>
    <x v="1"/>
    <s v="CO₂"/>
    <n v="563.55999999999995"/>
    <x v="0"/>
  </r>
  <r>
    <s v="F027"/>
    <x v="4"/>
    <x v="1"/>
    <x v="0"/>
    <s v="CO₂"/>
    <n v="1541.86"/>
    <x v="0"/>
  </r>
  <r>
    <s v="F091"/>
    <x v="4"/>
    <x v="2"/>
    <x v="1"/>
    <s v="CH₄"/>
    <n v="2191.88"/>
    <x v="1"/>
  </r>
  <r>
    <s v="F030"/>
    <x v="0"/>
    <x v="3"/>
    <x v="2"/>
    <s v="CO₂"/>
    <n v="4804.76"/>
    <x v="1"/>
  </r>
  <r>
    <s v="F189"/>
    <x v="0"/>
    <x v="1"/>
    <x v="1"/>
    <s v="CH₄"/>
    <n v="4966.99"/>
    <x v="0"/>
  </r>
  <r>
    <s v="F127"/>
    <x v="3"/>
    <x v="0"/>
    <x v="2"/>
    <s v="CO₂"/>
    <n v="2346.08"/>
    <x v="0"/>
  </r>
  <r>
    <s v="F156"/>
    <x v="2"/>
    <x v="3"/>
    <x v="2"/>
    <s v="CO₂"/>
    <n v="278.14"/>
    <x v="1"/>
  </r>
  <r>
    <s v="F124"/>
    <x v="3"/>
    <x v="3"/>
    <x v="2"/>
    <s v="CH₄"/>
    <n v="3551.91"/>
    <x v="1"/>
  </r>
  <r>
    <s v="F015"/>
    <x v="4"/>
    <x v="3"/>
    <x v="2"/>
    <s v="CH₄"/>
    <n v="3834.95"/>
    <x v="1"/>
  </r>
  <r>
    <s v="F023"/>
    <x v="1"/>
    <x v="1"/>
    <x v="1"/>
    <s v="CH₄"/>
    <n v="4076.77"/>
    <x v="0"/>
  </r>
  <r>
    <s v="F108"/>
    <x v="3"/>
    <x v="1"/>
    <x v="1"/>
    <s v="CO₂"/>
    <n v="1402.07"/>
    <x v="0"/>
  </r>
  <r>
    <s v="F071"/>
    <x v="4"/>
    <x v="0"/>
    <x v="1"/>
    <s v="CO₂"/>
    <n v="2817.03"/>
    <x v="0"/>
  </r>
  <r>
    <s v="F048"/>
    <x v="0"/>
    <x v="3"/>
    <x v="1"/>
    <s v="N₂O"/>
    <n v="4610.1499999999996"/>
    <x v="1"/>
  </r>
  <r>
    <s v="F136"/>
    <x v="1"/>
    <x v="2"/>
    <x v="0"/>
    <s v="N₂O"/>
    <n v="1197.68"/>
    <x v="1"/>
  </r>
  <r>
    <s v="F126"/>
    <x v="2"/>
    <x v="2"/>
    <x v="1"/>
    <s v="N₂O"/>
    <n v="2154.8200000000002"/>
    <x v="1"/>
  </r>
  <r>
    <s v="F019"/>
    <x v="0"/>
    <x v="2"/>
    <x v="2"/>
    <s v="CO₂"/>
    <n v="1398.72"/>
    <x v="1"/>
  </r>
  <r>
    <s v="F106"/>
    <x v="3"/>
    <x v="2"/>
    <x v="1"/>
    <s v="CO₂"/>
    <n v="2433.64"/>
    <x v="1"/>
  </r>
  <r>
    <s v="F175"/>
    <x v="3"/>
    <x v="2"/>
    <x v="1"/>
    <s v="CH₄"/>
    <n v="1785.88"/>
    <x v="1"/>
  </r>
  <r>
    <s v="F056"/>
    <x v="4"/>
    <x v="0"/>
    <x v="0"/>
    <s v="CH₄"/>
    <n v="4694.88"/>
    <x v="0"/>
  </r>
  <r>
    <s v="F019"/>
    <x v="0"/>
    <x v="0"/>
    <x v="1"/>
    <s v="CH₄"/>
    <n v="3069.11"/>
    <x v="0"/>
  </r>
  <r>
    <s v="F029"/>
    <x v="4"/>
    <x v="1"/>
    <x v="1"/>
    <s v="CO₂"/>
    <n v="2819.92"/>
    <x v="0"/>
  </r>
  <r>
    <s v="F027"/>
    <x v="4"/>
    <x v="1"/>
    <x v="2"/>
    <s v="N₂O"/>
    <n v="1772.23"/>
    <x v="0"/>
  </r>
  <r>
    <s v="F182"/>
    <x v="3"/>
    <x v="0"/>
    <x v="1"/>
    <s v="N₂O"/>
    <n v="2502.25"/>
    <x v="0"/>
  </r>
  <r>
    <s v="F162"/>
    <x v="3"/>
    <x v="0"/>
    <x v="0"/>
    <s v="CO₂"/>
    <n v="3851.93"/>
    <x v="0"/>
  </r>
  <r>
    <s v="F085"/>
    <x v="4"/>
    <x v="1"/>
    <x v="2"/>
    <s v="N₂O"/>
    <n v="3031.48"/>
    <x v="0"/>
  </r>
  <r>
    <s v="F191"/>
    <x v="0"/>
    <x v="2"/>
    <x v="0"/>
    <s v="N₂O"/>
    <n v="601.62"/>
    <x v="1"/>
  </r>
  <r>
    <s v="F086"/>
    <x v="4"/>
    <x v="0"/>
    <x v="2"/>
    <s v="N₂O"/>
    <n v="2060.17"/>
    <x v="0"/>
  </r>
  <r>
    <s v="F127"/>
    <x v="3"/>
    <x v="1"/>
    <x v="2"/>
    <s v="CH₄"/>
    <n v="2452.0300000000002"/>
    <x v="0"/>
  </r>
  <r>
    <s v="F012"/>
    <x v="3"/>
    <x v="0"/>
    <x v="2"/>
    <s v="CH₄"/>
    <n v="1782.21"/>
    <x v="0"/>
  </r>
  <r>
    <s v="F028"/>
    <x v="4"/>
    <x v="2"/>
    <x v="0"/>
    <s v="CO₂"/>
    <n v="103.31"/>
    <x v="1"/>
  </r>
  <r>
    <s v="F170"/>
    <x v="2"/>
    <x v="1"/>
    <x v="1"/>
    <s v="CO₂"/>
    <n v="3568.05"/>
    <x v="0"/>
  </r>
  <r>
    <s v="F190"/>
    <x v="0"/>
    <x v="2"/>
    <x v="0"/>
    <s v="CO₂"/>
    <n v="2290.64"/>
    <x v="1"/>
  </r>
  <r>
    <s v="F046"/>
    <x v="4"/>
    <x v="2"/>
    <x v="1"/>
    <s v="N₂O"/>
    <n v="4937.24"/>
    <x v="1"/>
  </r>
  <r>
    <s v="F171"/>
    <x v="4"/>
    <x v="2"/>
    <x v="0"/>
    <s v="CO₂"/>
    <n v="1728.81"/>
    <x v="1"/>
  </r>
  <r>
    <s v="F141"/>
    <x v="1"/>
    <x v="1"/>
    <x v="1"/>
    <s v="CH₄"/>
    <n v="372.7"/>
    <x v="0"/>
  </r>
  <r>
    <s v="F126"/>
    <x v="2"/>
    <x v="0"/>
    <x v="1"/>
    <s v="N₂O"/>
    <n v="3677.7"/>
    <x v="0"/>
  </r>
  <r>
    <s v="F090"/>
    <x v="2"/>
    <x v="3"/>
    <x v="2"/>
    <s v="CH₄"/>
    <n v="2576.7800000000002"/>
    <x v="1"/>
  </r>
  <r>
    <s v="F124"/>
    <x v="3"/>
    <x v="0"/>
    <x v="2"/>
    <s v="CH₄"/>
    <n v="2972.77"/>
    <x v="0"/>
  </r>
  <r>
    <s v="F193"/>
    <x v="1"/>
    <x v="2"/>
    <x v="2"/>
    <s v="N₂O"/>
    <n v="3995.86"/>
    <x v="1"/>
  </r>
  <r>
    <s v="F196"/>
    <x v="4"/>
    <x v="1"/>
    <x v="1"/>
    <s v="CO₂"/>
    <n v="2798.95"/>
    <x v="0"/>
  </r>
  <r>
    <s v="F057"/>
    <x v="1"/>
    <x v="0"/>
    <x v="2"/>
    <s v="CO₂"/>
    <n v="204.44"/>
    <x v="0"/>
  </r>
  <r>
    <s v="F138"/>
    <x v="0"/>
    <x v="0"/>
    <x v="1"/>
    <s v="CO₂"/>
    <n v="2646.82"/>
    <x v="0"/>
  </r>
  <r>
    <s v="F198"/>
    <x v="3"/>
    <x v="1"/>
    <x v="1"/>
    <s v="CO₂"/>
    <n v="2960.39"/>
    <x v="0"/>
  </r>
  <r>
    <s v="F191"/>
    <x v="0"/>
    <x v="1"/>
    <x v="1"/>
    <s v="N₂O"/>
    <n v="1696.88"/>
    <x v="0"/>
  </r>
  <r>
    <s v="F165"/>
    <x v="4"/>
    <x v="1"/>
    <x v="0"/>
    <s v="N₂O"/>
    <n v="623"/>
    <x v="0"/>
  </r>
  <r>
    <s v="F143"/>
    <x v="1"/>
    <x v="2"/>
    <x v="1"/>
    <s v="N₂O"/>
    <n v="1684.41"/>
    <x v="1"/>
  </r>
  <r>
    <s v="F097"/>
    <x v="1"/>
    <x v="3"/>
    <x v="1"/>
    <s v="N₂O"/>
    <n v="3307.16"/>
    <x v="1"/>
  </r>
  <r>
    <s v="F120"/>
    <x v="4"/>
    <x v="3"/>
    <x v="0"/>
    <s v="CH₄"/>
    <n v="2731.17"/>
    <x v="1"/>
  </r>
  <r>
    <s v="F025"/>
    <x v="4"/>
    <x v="1"/>
    <x v="2"/>
    <s v="N₂O"/>
    <n v="2861.41"/>
    <x v="0"/>
  </r>
  <r>
    <s v="F199"/>
    <x v="0"/>
    <x v="3"/>
    <x v="1"/>
    <s v="CO₂"/>
    <n v="2409.39"/>
    <x v="1"/>
  </r>
  <r>
    <s v="F053"/>
    <x v="0"/>
    <x v="1"/>
    <x v="2"/>
    <s v="N₂O"/>
    <n v="1958.41"/>
    <x v="0"/>
  </r>
  <r>
    <s v="F193"/>
    <x v="1"/>
    <x v="0"/>
    <x v="2"/>
    <s v="CH₄"/>
    <n v="2816.97"/>
    <x v="0"/>
  </r>
  <r>
    <s v="F113"/>
    <x v="3"/>
    <x v="0"/>
    <x v="1"/>
    <s v="N₂O"/>
    <n v="4263.92"/>
    <x v="0"/>
  </r>
  <r>
    <s v="F177"/>
    <x v="3"/>
    <x v="3"/>
    <x v="1"/>
    <s v="N₂O"/>
    <n v="1867.58"/>
    <x v="1"/>
  </r>
  <r>
    <s v="F042"/>
    <x v="1"/>
    <x v="2"/>
    <x v="0"/>
    <s v="CH₄"/>
    <n v="3447.61"/>
    <x v="1"/>
  </r>
  <r>
    <s v="F084"/>
    <x v="3"/>
    <x v="3"/>
    <x v="0"/>
    <s v="CO₂"/>
    <n v="4785.58"/>
    <x v="1"/>
  </r>
  <r>
    <s v="F097"/>
    <x v="1"/>
    <x v="2"/>
    <x v="1"/>
    <s v="CO₂"/>
    <n v="3739.05"/>
    <x v="1"/>
  </r>
  <r>
    <s v="F153"/>
    <x v="3"/>
    <x v="3"/>
    <x v="1"/>
    <s v="CH₄"/>
    <n v="4330.71"/>
    <x v="1"/>
  </r>
  <r>
    <s v="F151"/>
    <x v="2"/>
    <x v="1"/>
    <x v="0"/>
    <s v="N₂O"/>
    <n v="1947.42"/>
    <x v="0"/>
  </r>
  <r>
    <s v="F015"/>
    <x v="4"/>
    <x v="2"/>
    <x v="1"/>
    <s v="N₂O"/>
    <n v="2840.62"/>
    <x v="1"/>
  </r>
  <r>
    <s v="F199"/>
    <x v="0"/>
    <x v="0"/>
    <x v="2"/>
    <s v="N₂O"/>
    <n v="2415.5100000000002"/>
    <x v="0"/>
  </r>
  <r>
    <s v="F156"/>
    <x v="2"/>
    <x v="3"/>
    <x v="0"/>
    <s v="CH₄"/>
    <n v="5161.46"/>
    <x v="1"/>
  </r>
  <r>
    <s v="F009"/>
    <x v="0"/>
    <x v="2"/>
    <x v="1"/>
    <s v="N₂O"/>
    <n v="2359.52"/>
    <x v="1"/>
  </r>
  <r>
    <s v="F011"/>
    <x v="4"/>
    <x v="3"/>
    <x v="1"/>
    <s v="CO₂"/>
    <n v="4799.96"/>
    <x v="1"/>
  </r>
  <r>
    <s v="F156"/>
    <x v="2"/>
    <x v="3"/>
    <x v="2"/>
    <s v="CH₄"/>
    <n v="152.66999999999999"/>
    <x v="1"/>
  </r>
  <r>
    <s v="F187"/>
    <x v="2"/>
    <x v="1"/>
    <x v="0"/>
    <s v="N₂O"/>
    <n v="2461.89"/>
    <x v="0"/>
  </r>
  <r>
    <s v="F007"/>
    <x v="4"/>
    <x v="2"/>
    <x v="1"/>
    <s v="CO₂"/>
    <n v="3223.43"/>
    <x v="1"/>
  </r>
  <r>
    <s v="F026"/>
    <x v="2"/>
    <x v="3"/>
    <x v="2"/>
    <s v="CO₂"/>
    <n v="3987.54"/>
    <x v="1"/>
  </r>
  <r>
    <s v="F137"/>
    <x v="0"/>
    <x v="2"/>
    <x v="1"/>
    <s v="N₂O"/>
    <n v="2592.73"/>
    <x v="1"/>
  </r>
  <r>
    <s v="F121"/>
    <x v="3"/>
    <x v="0"/>
    <x v="2"/>
    <s v="CH₄"/>
    <n v="3770.78"/>
    <x v="0"/>
  </r>
  <r>
    <s v="F042"/>
    <x v="1"/>
    <x v="3"/>
    <x v="1"/>
    <s v="CH₄"/>
    <n v="348.87"/>
    <x v="1"/>
  </r>
  <r>
    <s v="F003"/>
    <x v="3"/>
    <x v="1"/>
    <x v="1"/>
    <s v="CO₂"/>
    <n v="2278.9499999999998"/>
    <x v="0"/>
  </r>
  <r>
    <s v="F063"/>
    <x v="4"/>
    <x v="0"/>
    <x v="2"/>
    <s v="CH₄"/>
    <n v="2550.35"/>
    <x v="0"/>
  </r>
  <r>
    <s v="F018"/>
    <x v="4"/>
    <x v="2"/>
    <x v="1"/>
    <s v="CO₂"/>
    <n v="2694.43"/>
    <x v="1"/>
  </r>
  <r>
    <s v="F085"/>
    <x v="4"/>
    <x v="1"/>
    <x v="2"/>
    <s v="CH₄"/>
    <n v="3868.63"/>
    <x v="0"/>
  </r>
  <r>
    <s v="F181"/>
    <x v="3"/>
    <x v="0"/>
    <x v="0"/>
    <s v="CH₄"/>
    <n v="297.69"/>
    <x v="0"/>
  </r>
  <r>
    <s v="F015"/>
    <x v="4"/>
    <x v="0"/>
    <x v="2"/>
    <s v="N₂O"/>
    <n v="579.69000000000005"/>
    <x v="0"/>
  </r>
  <r>
    <s v="F051"/>
    <x v="4"/>
    <x v="0"/>
    <x v="2"/>
    <s v="CH₄"/>
    <n v="1933.86"/>
    <x v="0"/>
  </r>
  <r>
    <s v="F136"/>
    <x v="1"/>
    <x v="1"/>
    <x v="2"/>
    <s v="CO₂"/>
    <n v="2753.65"/>
    <x v="0"/>
  </r>
  <r>
    <s v="F174"/>
    <x v="3"/>
    <x v="1"/>
    <x v="1"/>
    <s v="CO₂"/>
    <n v="1643.04"/>
    <x v="0"/>
  </r>
  <r>
    <s v="F041"/>
    <x v="1"/>
    <x v="1"/>
    <x v="1"/>
    <s v="CO₂"/>
    <n v="4614.76"/>
    <x v="0"/>
  </r>
  <r>
    <s v="F066"/>
    <x v="4"/>
    <x v="2"/>
    <x v="2"/>
    <s v="CH₄"/>
    <n v="1222.43"/>
    <x v="1"/>
  </r>
  <r>
    <s v="F141"/>
    <x v="1"/>
    <x v="0"/>
    <x v="0"/>
    <s v="N₂O"/>
    <n v="2583.2199999999998"/>
    <x v="0"/>
  </r>
  <r>
    <s v="F042"/>
    <x v="1"/>
    <x v="0"/>
    <x v="2"/>
    <s v="CO₂"/>
    <n v="1562.45"/>
    <x v="0"/>
  </r>
  <r>
    <s v="F106"/>
    <x v="3"/>
    <x v="3"/>
    <x v="0"/>
    <s v="N₂O"/>
    <n v="3844.34"/>
    <x v="1"/>
  </r>
  <r>
    <s v="F073"/>
    <x v="3"/>
    <x v="2"/>
    <x v="0"/>
    <s v="CH₄"/>
    <n v="695.19"/>
    <x v="1"/>
  </r>
  <r>
    <s v="F165"/>
    <x v="4"/>
    <x v="3"/>
    <x v="2"/>
    <s v="CO₂"/>
    <n v="4607.08"/>
    <x v="1"/>
  </r>
  <r>
    <s v="F197"/>
    <x v="2"/>
    <x v="1"/>
    <x v="0"/>
    <s v="CH₄"/>
    <n v="2391.3200000000002"/>
    <x v="0"/>
  </r>
  <r>
    <s v="F110"/>
    <x v="4"/>
    <x v="1"/>
    <x v="1"/>
    <s v="CO₂"/>
    <n v="4313.43"/>
    <x v="0"/>
  </r>
  <r>
    <s v="F018"/>
    <x v="4"/>
    <x v="1"/>
    <x v="1"/>
    <s v="CH₄"/>
    <n v="1094.0999999999999"/>
    <x v="0"/>
  </r>
  <r>
    <s v="F067"/>
    <x v="1"/>
    <x v="1"/>
    <x v="0"/>
    <s v="CH₄"/>
    <n v="5193.72"/>
    <x v="0"/>
  </r>
  <r>
    <s v="F066"/>
    <x v="4"/>
    <x v="1"/>
    <x v="2"/>
    <s v="N₂O"/>
    <n v="3352.59"/>
    <x v="0"/>
  </r>
  <r>
    <s v="F028"/>
    <x v="4"/>
    <x v="2"/>
    <x v="0"/>
    <s v="CH₄"/>
    <n v="3888.52"/>
    <x v="1"/>
  </r>
  <r>
    <s v="F184"/>
    <x v="0"/>
    <x v="2"/>
    <x v="2"/>
    <s v="CO₂"/>
    <n v="3140.95"/>
    <x v="1"/>
  </r>
  <r>
    <s v="F182"/>
    <x v="3"/>
    <x v="1"/>
    <x v="0"/>
    <s v="N₂O"/>
    <n v="1260.77"/>
    <x v="0"/>
  </r>
  <r>
    <s v="F151"/>
    <x v="2"/>
    <x v="2"/>
    <x v="1"/>
    <s v="N₂O"/>
    <n v="416.29"/>
    <x v="1"/>
  </r>
  <r>
    <s v="F083"/>
    <x v="2"/>
    <x v="0"/>
    <x v="1"/>
    <s v="CO₂"/>
    <n v="96.09"/>
    <x v="0"/>
  </r>
  <r>
    <s v="F125"/>
    <x v="1"/>
    <x v="2"/>
    <x v="2"/>
    <s v="CO₂"/>
    <n v="1224.1099999999999"/>
    <x v="1"/>
  </r>
  <r>
    <s v="F017"/>
    <x v="2"/>
    <x v="3"/>
    <x v="1"/>
    <s v="CO₂"/>
    <n v="3899.81"/>
    <x v="1"/>
  </r>
  <r>
    <s v="F199"/>
    <x v="0"/>
    <x v="1"/>
    <x v="2"/>
    <s v="CO₂"/>
    <n v="1065.82"/>
    <x v="0"/>
  </r>
  <r>
    <s v="F154"/>
    <x v="0"/>
    <x v="3"/>
    <x v="2"/>
    <s v="CO₂"/>
    <n v="4448.1899999999996"/>
    <x v="1"/>
  </r>
  <r>
    <s v="F133"/>
    <x v="2"/>
    <x v="2"/>
    <x v="0"/>
    <s v="N₂O"/>
    <n v="2211.09"/>
    <x v="1"/>
  </r>
  <r>
    <s v="F156"/>
    <x v="2"/>
    <x v="2"/>
    <x v="0"/>
    <s v="N₂O"/>
    <n v="3199.41"/>
    <x v="1"/>
  </r>
  <r>
    <s v="F189"/>
    <x v="0"/>
    <x v="3"/>
    <x v="1"/>
    <s v="N₂O"/>
    <n v="2263.6999999999998"/>
    <x v="1"/>
  </r>
  <r>
    <s v="F008"/>
    <x v="3"/>
    <x v="1"/>
    <x v="1"/>
    <s v="CO₂"/>
    <n v="4326.03"/>
    <x v="0"/>
  </r>
  <r>
    <s v="F058"/>
    <x v="1"/>
    <x v="3"/>
    <x v="0"/>
    <s v="N₂O"/>
    <n v="4352.74"/>
    <x v="1"/>
  </r>
  <r>
    <s v="F137"/>
    <x v="0"/>
    <x v="1"/>
    <x v="0"/>
    <s v="CO₂"/>
    <n v="4294.79"/>
    <x v="0"/>
  </r>
  <r>
    <s v="F183"/>
    <x v="3"/>
    <x v="2"/>
    <x v="1"/>
    <s v="CO₂"/>
    <n v="2678.48"/>
    <x v="1"/>
  </r>
  <r>
    <s v="F086"/>
    <x v="4"/>
    <x v="0"/>
    <x v="1"/>
    <s v="CO₂"/>
    <n v="2267.79"/>
    <x v="0"/>
  </r>
  <r>
    <s v="F071"/>
    <x v="4"/>
    <x v="0"/>
    <x v="1"/>
    <s v="N₂O"/>
    <n v="2496.0100000000002"/>
    <x v="0"/>
  </r>
  <r>
    <s v="F107"/>
    <x v="2"/>
    <x v="1"/>
    <x v="1"/>
    <s v="CO₂"/>
    <n v="4601.71"/>
    <x v="0"/>
  </r>
  <r>
    <s v="F105"/>
    <x v="0"/>
    <x v="3"/>
    <x v="2"/>
    <s v="N₂O"/>
    <n v="2739.77"/>
    <x v="1"/>
  </r>
  <r>
    <s v="F127"/>
    <x v="3"/>
    <x v="2"/>
    <x v="0"/>
    <s v="CH₄"/>
    <n v="1410.4"/>
    <x v="1"/>
  </r>
  <r>
    <s v="F170"/>
    <x v="2"/>
    <x v="0"/>
    <x v="0"/>
    <s v="N₂O"/>
    <n v="2563.09"/>
    <x v="0"/>
  </r>
  <r>
    <s v="F094"/>
    <x v="3"/>
    <x v="2"/>
    <x v="1"/>
    <s v="N₂O"/>
    <n v="886.98"/>
    <x v="1"/>
  </r>
  <r>
    <s v="F086"/>
    <x v="4"/>
    <x v="2"/>
    <x v="1"/>
    <s v="CO₂"/>
    <n v="4317.26"/>
    <x v="1"/>
  </r>
  <r>
    <s v="F181"/>
    <x v="3"/>
    <x v="1"/>
    <x v="2"/>
    <s v="CO₂"/>
    <n v="1597.82"/>
    <x v="0"/>
  </r>
  <r>
    <s v="F195"/>
    <x v="1"/>
    <x v="0"/>
    <x v="1"/>
    <s v="CH₄"/>
    <n v="3825.5"/>
    <x v="0"/>
  </r>
  <r>
    <s v="F067"/>
    <x v="1"/>
    <x v="0"/>
    <x v="0"/>
    <s v="CH₄"/>
    <n v="3766.34"/>
    <x v="0"/>
  </r>
  <r>
    <s v="F087"/>
    <x v="4"/>
    <x v="1"/>
    <x v="0"/>
    <s v="CO₂"/>
    <n v="4885.66"/>
    <x v="0"/>
  </r>
  <r>
    <s v="F139"/>
    <x v="0"/>
    <x v="2"/>
    <x v="0"/>
    <s v="N₂O"/>
    <n v="2013.05"/>
    <x v="1"/>
  </r>
  <r>
    <s v="F161"/>
    <x v="2"/>
    <x v="3"/>
    <x v="0"/>
    <s v="N₂O"/>
    <n v="2140.42"/>
    <x v="1"/>
  </r>
  <r>
    <s v="F200"/>
    <x v="1"/>
    <x v="1"/>
    <x v="2"/>
    <s v="CH₄"/>
    <n v="707.7"/>
    <x v="0"/>
  </r>
  <r>
    <s v="F182"/>
    <x v="3"/>
    <x v="2"/>
    <x v="2"/>
    <s v="N₂O"/>
    <n v="1703.95"/>
    <x v="1"/>
  </r>
  <r>
    <s v="F187"/>
    <x v="2"/>
    <x v="0"/>
    <x v="2"/>
    <s v="CH₄"/>
    <n v="3023.57"/>
    <x v="0"/>
  </r>
  <r>
    <s v="F021"/>
    <x v="1"/>
    <x v="2"/>
    <x v="2"/>
    <s v="N₂O"/>
    <n v="2101.7199999999998"/>
    <x v="1"/>
  </r>
  <r>
    <s v="F013"/>
    <x v="2"/>
    <x v="3"/>
    <x v="1"/>
    <s v="CO₂"/>
    <n v="72.97"/>
    <x v="1"/>
  </r>
  <r>
    <s v="F018"/>
    <x v="4"/>
    <x v="3"/>
    <x v="2"/>
    <s v="CH₄"/>
    <n v="1271.98"/>
    <x v="1"/>
  </r>
  <r>
    <s v="F129"/>
    <x v="1"/>
    <x v="0"/>
    <x v="1"/>
    <s v="CH₄"/>
    <n v="1645.13"/>
    <x v="0"/>
  </r>
  <r>
    <s v="F129"/>
    <x v="1"/>
    <x v="0"/>
    <x v="1"/>
    <s v="CO₂"/>
    <n v="1271.48"/>
    <x v="0"/>
  </r>
  <r>
    <s v="F047"/>
    <x v="0"/>
    <x v="2"/>
    <x v="2"/>
    <s v="CO₂"/>
    <n v="1183.23"/>
    <x v="1"/>
  </r>
  <r>
    <s v="F113"/>
    <x v="3"/>
    <x v="1"/>
    <x v="0"/>
    <s v="CH₄"/>
    <n v="3135.29"/>
    <x v="0"/>
  </r>
  <r>
    <s v="F148"/>
    <x v="1"/>
    <x v="2"/>
    <x v="1"/>
    <s v="CO₂"/>
    <n v="2647.47"/>
    <x v="1"/>
  </r>
  <r>
    <s v="F052"/>
    <x v="3"/>
    <x v="1"/>
    <x v="1"/>
    <s v="CO₂"/>
    <n v="1670.25"/>
    <x v="0"/>
  </r>
  <r>
    <s v="F046"/>
    <x v="4"/>
    <x v="1"/>
    <x v="0"/>
    <s v="CO₂"/>
    <n v="3796.74"/>
    <x v="0"/>
  </r>
  <r>
    <s v="F014"/>
    <x v="2"/>
    <x v="0"/>
    <x v="1"/>
    <s v="CO₂"/>
    <n v="2430.6999999999998"/>
    <x v="0"/>
  </r>
  <r>
    <s v="F082"/>
    <x v="0"/>
    <x v="0"/>
    <x v="0"/>
    <s v="CH₄"/>
    <n v="4664.5200000000004"/>
    <x v="0"/>
  </r>
  <r>
    <s v="F181"/>
    <x v="3"/>
    <x v="0"/>
    <x v="1"/>
    <s v="CH₄"/>
    <n v="2563.5500000000002"/>
    <x v="0"/>
  </r>
  <r>
    <s v="F103"/>
    <x v="4"/>
    <x v="1"/>
    <x v="1"/>
    <s v="N₂O"/>
    <n v="2866.4"/>
    <x v="0"/>
  </r>
  <r>
    <s v="F194"/>
    <x v="3"/>
    <x v="3"/>
    <x v="1"/>
    <s v="CH₄"/>
    <n v="4646.07"/>
    <x v="1"/>
  </r>
  <r>
    <s v="F086"/>
    <x v="4"/>
    <x v="2"/>
    <x v="0"/>
    <s v="CH₄"/>
    <n v="858.76"/>
    <x v="1"/>
  </r>
  <r>
    <s v="F124"/>
    <x v="3"/>
    <x v="3"/>
    <x v="1"/>
    <s v="CH₄"/>
    <n v="2645.6"/>
    <x v="1"/>
  </r>
  <r>
    <s v="F096"/>
    <x v="0"/>
    <x v="2"/>
    <x v="0"/>
    <s v="CH₄"/>
    <n v="4396.45"/>
    <x v="1"/>
  </r>
  <r>
    <s v="F077"/>
    <x v="4"/>
    <x v="0"/>
    <x v="0"/>
    <s v="CO₂"/>
    <n v="2468.89"/>
    <x v="0"/>
  </r>
  <r>
    <s v="F184"/>
    <x v="0"/>
    <x v="1"/>
    <x v="1"/>
    <s v="N₂O"/>
    <n v="3901.9"/>
    <x v="0"/>
  </r>
  <r>
    <s v="F147"/>
    <x v="1"/>
    <x v="2"/>
    <x v="0"/>
    <s v="N₂O"/>
    <n v="2711"/>
    <x v="1"/>
  </r>
  <r>
    <s v="F064"/>
    <x v="1"/>
    <x v="1"/>
    <x v="0"/>
    <s v="N₂O"/>
    <n v="1971.3"/>
    <x v="0"/>
  </r>
  <r>
    <s v="F003"/>
    <x v="3"/>
    <x v="1"/>
    <x v="1"/>
    <s v="N₂O"/>
    <n v="4296.74"/>
    <x v="0"/>
  </r>
  <r>
    <s v="F193"/>
    <x v="1"/>
    <x v="2"/>
    <x v="2"/>
    <s v="N₂O"/>
    <n v="3792.89"/>
    <x v="1"/>
  </r>
  <r>
    <s v="F127"/>
    <x v="3"/>
    <x v="3"/>
    <x v="2"/>
    <s v="CO₂"/>
    <n v="1486.21"/>
    <x v="1"/>
  </r>
  <r>
    <s v="F180"/>
    <x v="2"/>
    <x v="3"/>
    <x v="2"/>
    <s v="CO₂"/>
    <n v="2653.12"/>
    <x v="1"/>
  </r>
  <r>
    <s v="F098"/>
    <x v="4"/>
    <x v="2"/>
    <x v="1"/>
    <s v="CO₂"/>
    <n v="4329.05"/>
    <x v="1"/>
  </r>
  <r>
    <s v="F066"/>
    <x v="4"/>
    <x v="1"/>
    <x v="0"/>
    <s v="CH₄"/>
    <n v="3438.48"/>
    <x v="0"/>
  </r>
  <r>
    <s v="F105"/>
    <x v="0"/>
    <x v="3"/>
    <x v="0"/>
    <s v="N₂O"/>
    <n v="4297.03"/>
    <x v="1"/>
  </r>
  <r>
    <s v="F150"/>
    <x v="4"/>
    <x v="3"/>
    <x v="0"/>
    <s v="CH₄"/>
    <n v="1748.19"/>
    <x v="1"/>
  </r>
  <r>
    <s v="F035"/>
    <x v="4"/>
    <x v="3"/>
    <x v="0"/>
    <s v="CO₂"/>
    <n v="2629.36"/>
    <x v="1"/>
  </r>
  <r>
    <s v="F048"/>
    <x v="0"/>
    <x v="1"/>
    <x v="0"/>
    <s v="CH₄"/>
    <n v="4350.96"/>
    <x v="0"/>
  </r>
  <r>
    <s v="F155"/>
    <x v="2"/>
    <x v="3"/>
    <x v="1"/>
    <s v="CH₄"/>
    <n v="400"/>
    <x v="1"/>
  </r>
  <r>
    <s v="F006"/>
    <x v="4"/>
    <x v="2"/>
    <x v="2"/>
    <s v="CO₂"/>
    <n v="4737.45"/>
    <x v="1"/>
  </r>
  <r>
    <s v="F188"/>
    <x v="3"/>
    <x v="2"/>
    <x v="2"/>
    <s v="N₂O"/>
    <n v="2400.9"/>
    <x v="1"/>
  </r>
  <r>
    <s v="F068"/>
    <x v="0"/>
    <x v="3"/>
    <x v="1"/>
    <s v="CH₄"/>
    <n v="3887.35"/>
    <x v="1"/>
  </r>
  <r>
    <s v="F104"/>
    <x v="4"/>
    <x v="1"/>
    <x v="1"/>
    <s v="CH₄"/>
    <n v="3231.03"/>
    <x v="0"/>
  </r>
  <r>
    <s v="F063"/>
    <x v="4"/>
    <x v="3"/>
    <x v="2"/>
    <s v="N₂O"/>
    <n v="1139.33"/>
    <x v="1"/>
  </r>
  <r>
    <s v="F170"/>
    <x v="2"/>
    <x v="3"/>
    <x v="1"/>
    <s v="CO₂"/>
    <n v="4799"/>
    <x v="1"/>
  </r>
  <r>
    <s v="F079"/>
    <x v="2"/>
    <x v="0"/>
    <x v="1"/>
    <s v="N₂O"/>
    <n v="3657.83"/>
    <x v="0"/>
  </r>
  <r>
    <s v="F142"/>
    <x v="0"/>
    <x v="2"/>
    <x v="0"/>
    <s v="CH₄"/>
    <n v="2571.46"/>
    <x v="1"/>
  </r>
  <r>
    <s v="F195"/>
    <x v="1"/>
    <x v="0"/>
    <x v="1"/>
    <s v="N₂O"/>
    <n v="3338"/>
    <x v="0"/>
  </r>
  <r>
    <s v="F099"/>
    <x v="3"/>
    <x v="1"/>
    <x v="2"/>
    <s v="N₂O"/>
    <n v="4623.8100000000004"/>
    <x v="0"/>
  </r>
  <r>
    <s v="F156"/>
    <x v="2"/>
    <x v="1"/>
    <x v="2"/>
    <s v="CO₂"/>
    <n v="3591.86"/>
    <x v="0"/>
  </r>
  <r>
    <s v="F143"/>
    <x v="1"/>
    <x v="0"/>
    <x v="0"/>
    <s v="CO₂"/>
    <n v="2370.4499999999998"/>
    <x v="0"/>
  </r>
  <r>
    <s v="F197"/>
    <x v="2"/>
    <x v="3"/>
    <x v="0"/>
    <s v="CH₄"/>
    <n v="3703.06"/>
    <x v="1"/>
  </r>
  <r>
    <s v="F088"/>
    <x v="0"/>
    <x v="3"/>
    <x v="1"/>
    <s v="CO₂"/>
    <n v="2135.3200000000002"/>
    <x v="1"/>
  </r>
  <r>
    <s v="F138"/>
    <x v="0"/>
    <x v="2"/>
    <x v="0"/>
    <s v="CO₂"/>
    <n v="4016.48"/>
    <x v="1"/>
  </r>
  <r>
    <s v="F049"/>
    <x v="0"/>
    <x v="0"/>
    <x v="2"/>
    <s v="N₂O"/>
    <n v="2536.5"/>
    <x v="0"/>
  </r>
  <r>
    <s v="F068"/>
    <x v="0"/>
    <x v="1"/>
    <x v="1"/>
    <s v="CO₂"/>
    <n v="4254.34"/>
    <x v="0"/>
  </r>
  <r>
    <s v="F016"/>
    <x v="2"/>
    <x v="3"/>
    <x v="1"/>
    <s v="CO₂"/>
    <n v="1897.31"/>
    <x v="1"/>
  </r>
  <r>
    <s v="F016"/>
    <x v="2"/>
    <x v="0"/>
    <x v="1"/>
    <s v="CO₂"/>
    <n v="4286.67"/>
    <x v="0"/>
  </r>
  <r>
    <s v="F059"/>
    <x v="2"/>
    <x v="0"/>
    <x v="2"/>
    <s v="CO₂"/>
    <n v="2709.88"/>
    <x v="0"/>
  </r>
  <r>
    <s v="F022"/>
    <x v="4"/>
    <x v="1"/>
    <x v="2"/>
    <s v="CO₂"/>
    <n v="4482.51"/>
    <x v="0"/>
  </r>
  <r>
    <s v="F103"/>
    <x v="4"/>
    <x v="3"/>
    <x v="2"/>
    <s v="N₂O"/>
    <n v="4156"/>
    <x v="1"/>
  </r>
  <r>
    <s v="F005"/>
    <x v="4"/>
    <x v="3"/>
    <x v="0"/>
    <s v="CH₄"/>
    <n v="2731.89"/>
    <x v="1"/>
  </r>
  <r>
    <s v="F011"/>
    <x v="4"/>
    <x v="0"/>
    <x v="0"/>
    <s v="N₂O"/>
    <n v="84.4"/>
    <x v="0"/>
  </r>
  <r>
    <s v="F109"/>
    <x v="0"/>
    <x v="3"/>
    <x v="1"/>
    <s v="CO₂"/>
    <n v="84.55"/>
    <x v="1"/>
  </r>
  <r>
    <s v="F072"/>
    <x v="2"/>
    <x v="2"/>
    <x v="1"/>
    <s v="CH₄"/>
    <n v="3865.97"/>
    <x v="1"/>
  </r>
  <r>
    <s v="F181"/>
    <x v="3"/>
    <x v="1"/>
    <x v="2"/>
    <s v="N₂O"/>
    <n v="4994.79"/>
    <x v="0"/>
  </r>
  <r>
    <s v="F056"/>
    <x v="4"/>
    <x v="0"/>
    <x v="0"/>
    <s v="N₂O"/>
    <n v="4341.67"/>
    <x v="0"/>
  </r>
  <r>
    <s v="F010"/>
    <x v="0"/>
    <x v="3"/>
    <x v="2"/>
    <s v="CH₄"/>
    <n v="4845.8500000000004"/>
    <x v="1"/>
  </r>
  <r>
    <s v="F023"/>
    <x v="1"/>
    <x v="2"/>
    <x v="1"/>
    <s v="CO₂"/>
    <n v="695.8"/>
    <x v="1"/>
  </r>
  <r>
    <s v="F167"/>
    <x v="2"/>
    <x v="2"/>
    <x v="0"/>
    <s v="N₂O"/>
    <n v="2429.6999999999998"/>
    <x v="1"/>
  </r>
  <r>
    <s v="F196"/>
    <x v="4"/>
    <x v="2"/>
    <x v="2"/>
    <s v="CH₄"/>
    <n v="3517.31"/>
    <x v="1"/>
  </r>
  <r>
    <s v="F012"/>
    <x v="3"/>
    <x v="2"/>
    <x v="2"/>
    <s v="CH₄"/>
    <n v="2893"/>
    <x v="1"/>
  </r>
  <r>
    <s v="F141"/>
    <x v="1"/>
    <x v="1"/>
    <x v="1"/>
    <s v="CH₄"/>
    <n v="4115.76"/>
    <x v="0"/>
  </r>
  <r>
    <s v="F088"/>
    <x v="0"/>
    <x v="3"/>
    <x v="2"/>
    <s v="CO₂"/>
    <n v="1917.42"/>
    <x v="1"/>
  </r>
  <r>
    <s v="F014"/>
    <x v="2"/>
    <x v="3"/>
    <x v="2"/>
    <s v="CH₄"/>
    <n v="1203.1300000000001"/>
    <x v="1"/>
  </r>
  <r>
    <s v="F028"/>
    <x v="4"/>
    <x v="3"/>
    <x v="1"/>
    <s v="CH₄"/>
    <n v="3085.38"/>
    <x v="1"/>
  </r>
  <r>
    <s v="F115"/>
    <x v="3"/>
    <x v="3"/>
    <x v="1"/>
    <s v="N₂O"/>
    <n v="1942.8"/>
    <x v="1"/>
  </r>
  <r>
    <s v="F148"/>
    <x v="1"/>
    <x v="1"/>
    <x v="1"/>
    <s v="CH₄"/>
    <n v="3632.78"/>
    <x v="0"/>
  </r>
  <r>
    <s v="F042"/>
    <x v="1"/>
    <x v="2"/>
    <x v="1"/>
    <s v="CO₂"/>
    <n v="4435.1000000000004"/>
    <x v="1"/>
  </r>
  <r>
    <s v="F129"/>
    <x v="1"/>
    <x v="1"/>
    <x v="1"/>
    <s v="N₂O"/>
    <n v="3104.04"/>
    <x v="0"/>
  </r>
  <r>
    <s v="F140"/>
    <x v="4"/>
    <x v="1"/>
    <x v="1"/>
    <s v="N₂O"/>
    <n v="1562.42"/>
    <x v="0"/>
  </r>
  <r>
    <s v="F083"/>
    <x v="2"/>
    <x v="2"/>
    <x v="0"/>
    <s v="CO₂"/>
    <n v="3968.02"/>
    <x v="1"/>
  </r>
  <r>
    <s v="F073"/>
    <x v="3"/>
    <x v="2"/>
    <x v="2"/>
    <s v="CH₄"/>
    <n v="3813.14"/>
    <x v="1"/>
  </r>
  <r>
    <s v="F003"/>
    <x v="3"/>
    <x v="0"/>
    <x v="1"/>
    <s v="CH₄"/>
    <n v="1512.54"/>
    <x v="0"/>
  </r>
  <r>
    <s v="F162"/>
    <x v="3"/>
    <x v="1"/>
    <x v="0"/>
    <s v="N₂O"/>
    <n v="4044.95"/>
    <x v="0"/>
  </r>
  <r>
    <s v="F150"/>
    <x v="4"/>
    <x v="3"/>
    <x v="1"/>
    <s v="CO₂"/>
    <n v="193.32"/>
    <x v="1"/>
  </r>
  <r>
    <s v="F112"/>
    <x v="4"/>
    <x v="2"/>
    <x v="2"/>
    <s v="N₂O"/>
    <n v="2881.41"/>
    <x v="1"/>
  </r>
  <r>
    <s v="F120"/>
    <x v="4"/>
    <x v="1"/>
    <x v="2"/>
    <s v="CO₂"/>
    <n v="1949.55"/>
    <x v="0"/>
  </r>
  <r>
    <s v="F155"/>
    <x v="2"/>
    <x v="0"/>
    <x v="2"/>
    <s v="N₂O"/>
    <n v="2729.42"/>
    <x v="0"/>
  </r>
  <r>
    <s v="F171"/>
    <x v="4"/>
    <x v="3"/>
    <x v="1"/>
    <s v="CH₄"/>
    <n v="4965.24"/>
    <x v="1"/>
  </r>
  <r>
    <s v="F013"/>
    <x v="2"/>
    <x v="3"/>
    <x v="1"/>
    <s v="N₂O"/>
    <n v="968.64"/>
    <x v="1"/>
  </r>
  <r>
    <s v="F019"/>
    <x v="0"/>
    <x v="2"/>
    <x v="2"/>
    <s v="CH₄"/>
    <n v="2778.34"/>
    <x v="1"/>
  </r>
  <r>
    <s v="F068"/>
    <x v="0"/>
    <x v="1"/>
    <x v="2"/>
    <s v="CH₄"/>
    <n v="901.71"/>
    <x v="0"/>
  </r>
  <r>
    <s v="F134"/>
    <x v="3"/>
    <x v="3"/>
    <x v="1"/>
    <s v="CH₄"/>
    <n v="4031.94"/>
    <x v="1"/>
  </r>
  <r>
    <s v="F148"/>
    <x v="1"/>
    <x v="0"/>
    <x v="2"/>
    <s v="N₂O"/>
    <n v="3868.62"/>
    <x v="0"/>
  </r>
  <r>
    <s v="F081"/>
    <x v="1"/>
    <x v="3"/>
    <x v="1"/>
    <s v="N₂O"/>
    <n v="2670.34"/>
    <x v="1"/>
  </r>
  <r>
    <s v="F182"/>
    <x v="3"/>
    <x v="1"/>
    <x v="2"/>
    <s v="CH₄"/>
    <n v="4061.97"/>
    <x v="0"/>
  </r>
  <r>
    <s v="F024"/>
    <x v="4"/>
    <x v="2"/>
    <x v="1"/>
    <s v="CO₂"/>
    <n v="279.14"/>
    <x v="1"/>
  </r>
  <r>
    <s v="F055"/>
    <x v="2"/>
    <x v="2"/>
    <x v="0"/>
    <s v="N₂O"/>
    <n v="936.92"/>
    <x v="1"/>
  </r>
  <r>
    <s v="F056"/>
    <x v="4"/>
    <x v="0"/>
    <x v="0"/>
    <s v="N₂O"/>
    <n v="1890.57"/>
    <x v="0"/>
  </r>
  <r>
    <s v="F191"/>
    <x v="0"/>
    <x v="1"/>
    <x v="0"/>
    <s v="CH₄"/>
    <n v="4697.92"/>
    <x v="0"/>
  </r>
  <r>
    <s v="F175"/>
    <x v="3"/>
    <x v="3"/>
    <x v="2"/>
    <s v="N₂O"/>
    <n v="3192.85"/>
    <x v="1"/>
  </r>
  <r>
    <s v="F038"/>
    <x v="4"/>
    <x v="1"/>
    <x v="0"/>
    <s v="CH₄"/>
    <n v="3010.17"/>
    <x v="0"/>
  </r>
  <r>
    <s v="F075"/>
    <x v="3"/>
    <x v="2"/>
    <x v="0"/>
    <s v="N₂O"/>
    <n v="4348.8599999999997"/>
    <x v="1"/>
  </r>
  <r>
    <s v="F023"/>
    <x v="1"/>
    <x v="0"/>
    <x v="0"/>
    <s v="CH₄"/>
    <n v="4115.1499999999996"/>
    <x v="0"/>
  </r>
  <r>
    <s v="F142"/>
    <x v="0"/>
    <x v="0"/>
    <x v="2"/>
    <s v="CO₂"/>
    <n v="4352.3"/>
    <x v="0"/>
  </r>
  <r>
    <s v="F012"/>
    <x v="3"/>
    <x v="1"/>
    <x v="0"/>
    <s v="CO₂"/>
    <n v="3591.33"/>
    <x v="0"/>
  </r>
  <r>
    <s v="F193"/>
    <x v="1"/>
    <x v="0"/>
    <x v="2"/>
    <s v="CO₂"/>
    <n v="3260.39"/>
    <x v="0"/>
  </r>
  <r>
    <s v="F022"/>
    <x v="4"/>
    <x v="2"/>
    <x v="1"/>
    <s v="N₂O"/>
    <n v="1083.03"/>
    <x v="1"/>
  </r>
  <r>
    <s v="F013"/>
    <x v="2"/>
    <x v="1"/>
    <x v="2"/>
    <s v="CH₄"/>
    <n v="2051.69"/>
    <x v="0"/>
  </r>
  <r>
    <s v="F101"/>
    <x v="3"/>
    <x v="2"/>
    <x v="2"/>
    <s v="CH₄"/>
    <n v="2402.8200000000002"/>
    <x v="1"/>
  </r>
  <r>
    <s v="F055"/>
    <x v="2"/>
    <x v="1"/>
    <x v="0"/>
    <s v="CH₄"/>
    <n v="1465.51"/>
    <x v="0"/>
  </r>
  <r>
    <s v="F072"/>
    <x v="2"/>
    <x v="0"/>
    <x v="0"/>
    <s v="CH₄"/>
    <n v="4841.54"/>
    <x v="0"/>
  </r>
  <r>
    <s v="F080"/>
    <x v="3"/>
    <x v="3"/>
    <x v="2"/>
    <s v="CH₄"/>
    <n v="3187.8"/>
    <x v="1"/>
  </r>
  <r>
    <s v="F072"/>
    <x v="2"/>
    <x v="3"/>
    <x v="2"/>
    <s v="N₂O"/>
    <n v="4547.92"/>
    <x v="1"/>
  </r>
  <r>
    <s v="F081"/>
    <x v="1"/>
    <x v="1"/>
    <x v="0"/>
    <s v="CH₄"/>
    <n v="4751.75"/>
    <x v="0"/>
  </r>
  <r>
    <s v="F008"/>
    <x v="3"/>
    <x v="1"/>
    <x v="2"/>
    <s v="CH₄"/>
    <n v="3218.33"/>
    <x v="0"/>
  </r>
  <r>
    <s v="F154"/>
    <x v="0"/>
    <x v="2"/>
    <x v="1"/>
    <s v="N₂O"/>
    <n v="107.49"/>
    <x v="1"/>
  </r>
  <r>
    <s v="F033"/>
    <x v="0"/>
    <x v="0"/>
    <x v="2"/>
    <s v="CO₂"/>
    <n v="4162.1899999999996"/>
    <x v="0"/>
  </r>
  <r>
    <s v="F185"/>
    <x v="0"/>
    <x v="1"/>
    <x v="1"/>
    <s v="CH₄"/>
    <n v="1795.35"/>
    <x v="0"/>
  </r>
  <r>
    <s v="F177"/>
    <x v="3"/>
    <x v="1"/>
    <x v="1"/>
    <s v="N₂O"/>
    <n v="930.97"/>
    <x v="0"/>
  </r>
  <r>
    <s v="F083"/>
    <x v="2"/>
    <x v="2"/>
    <x v="0"/>
    <s v="CH₄"/>
    <n v="1962.97"/>
    <x v="1"/>
  </r>
  <r>
    <s v="F098"/>
    <x v="4"/>
    <x v="2"/>
    <x v="1"/>
    <s v="CH₄"/>
    <n v="4615.88"/>
    <x v="1"/>
  </r>
  <r>
    <s v="F118"/>
    <x v="0"/>
    <x v="3"/>
    <x v="2"/>
    <s v="CO₂"/>
    <n v="1530.83"/>
    <x v="1"/>
  </r>
  <r>
    <s v="F122"/>
    <x v="4"/>
    <x v="2"/>
    <x v="0"/>
    <s v="CH₄"/>
    <n v="2440.9899999999998"/>
    <x v="1"/>
  </r>
  <r>
    <s v="F089"/>
    <x v="4"/>
    <x v="0"/>
    <x v="2"/>
    <s v="N₂O"/>
    <n v="1674.72"/>
    <x v="0"/>
  </r>
  <r>
    <s v="F198"/>
    <x v="3"/>
    <x v="1"/>
    <x v="2"/>
    <s v="CO₂"/>
    <n v="3245.74"/>
    <x v="0"/>
  </r>
  <r>
    <s v="F165"/>
    <x v="4"/>
    <x v="0"/>
    <x v="2"/>
    <s v="CO₂"/>
    <n v="3114.72"/>
    <x v="0"/>
  </r>
  <r>
    <s v="F108"/>
    <x v="3"/>
    <x v="1"/>
    <x v="1"/>
    <s v="CO₂"/>
    <n v="2078.6799999999998"/>
    <x v="0"/>
  </r>
  <r>
    <s v="F062"/>
    <x v="2"/>
    <x v="0"/>
    <x v="2"/>
    <s v="CO₂"/>
    <n v="2458.83"/>
    <x v="0"/>
  </r>
  <r>
    <s v="F007"/>
    <x v="4"/>
    <x v="2"/>
    <x v="1"/>
    <s v="CO₂"/>
    <n v="3902.33"/>
    <x v="1"/>
  </r>
  <r>
    <s v="F023"/>
    <x v="1"/>
    <x v="2"/>
    <x v="0"/>
    <s v="CH₄"/>
    <n v="3436.69"/>
    <x v="1"/>
  </r>
  <r>
    <s v="F116"/>
    <x v="2"/>
    <x v="2"/>
    <x v="2"/>
    <s v="N₂O"/>
    <n v="3373.97"/>
    <x v="1"/>
  </r>
  <r>
    <s v="F067"/>
    <x v="1"/>
    <x v="0"/>
    <x v="1"/>
    <s v="CO₂"/>
    <n v="2524.3200000000002"/>
    <x v="0"/>
  </r>
  <r>
    <s v="F190"/>
    <x v="0"/>
    <x v="1"/>
    <x v="2"/>
    <s v="N₂O"/>
    <n v="4152.62"/>
    <x v="0"/>
  </r>
  <r>
    <s v="F033"/>
    <x v="0"/>
    <x v="1"/>
    <x v="0"/>
    <s v="CO₂"/>
    <n v="5429.12"/>
    <x v="0"/>
  </r>
  <r>
    <s v="F147"/>
    <x v="1"/>
    <x v="2"/>
    <x v="0"/>
    <s v="N₂O"/>
    <n v="4835.42"/>
    <x v="1"/>
  </r>
  <r>
    <s v="F108"/>
    <x v="3"/>
    <x v="2"/>
    <x v="2"/>
    <s v="CO₂"/>
    <n v="783.3"/>
    <x v="1"/>
  </r>
  <r>
    <s v="F131"/>
    <x v="4"/>
    <x v="0"/>
    <x v="2"/>
    <s v="N₂O"/>
    <n v="4038.18"/>
    <x v="0"/>
  </r>
  <r>
    <s v="F156"/>
    <x v="2"/>
    <x v="1"/>
    <x v="0"/>
    <s v="CH₄"/>
    <n v="4925.53"/>
    <x v="0"/>
  </r>
  <r>
    <s v="F090"/>
    <x v="2"/>
    <x v="2"/>
    <x v="0"/>
    <s v="CH₄"/>
    <n v="2926.75"/>
    <x v="1"/>
  </r>
  <r>
    <s v="F001"/>
    <x v="1"/>
    <x v="0"/>
    <x v="2"/>
    <s v="CO₂"/>
    <n v="1931.14"/>
    <x v="0"/>
  </r>
  <r>
    <s v="F126"/>
    <x v="2"/>
    <x v="1"/>
    <x v="0"/>
    <s v="N₂O"/>
    <n v="3586.91"/>
    <x v="0"/>
  </r>
  <r>
    <s v="F188"/>
    <x v="3"/>
    <x v="3"/>
    <x v="1"/>
    <s v="CO₂"/>
    <n v="2192.19"/>
    <x v="1"/>
  </r>
  <r>
    <s v="F173"/>
    <x v="1"/>
    <x v="3"/>
    <x v="2"/>
    <s v="CO₂"/>
    <n v="3113.98"/>
    <x v="1"/>
  </r>
  <r>
    <s v="F155"/>
    <x v="2"/>
    <x v="3"/>
    <x v="0"/>
    <s v="CH₄"/>
    <n v="4943.08"/>
    <x v="1"/>
  </r>
  <r>
    <s v="F165"/>
    <x v="4"/>
    <x v="0"/>
    <x v="1"/>
    <s v="CO₂"/>
    <n v="4608.99"/>
    <x v="0"/>
  </r>
  <r>
    <s v="F012"/>
    <x v="3"/>
    <x v="1"/>
    <x v="2"/>
    <s v="CO₂"/>
    <n v="548.27"/>
    <x v="0"/>
  </r>
  <r>
    <s v="F024"/>
    <x v="4"/>
    <x v="0"/>
    <x v="0"/>
    <s v="CH₄"/>
    <n v="2949.12"/>
    <x v="0"/>
  </r>
  <r>
    <s v="F005"/>
    <x v="4"/>
    <x v="3"/>
    <x v="0"/>
    <s v="N₂O"/>
    <n v="2617.0700000000002"/>
    <x v="1"/>
  </r>
  <r>
    <s v="F176"/>
    <x v="4"/>
    <x v="3"/>
    <x v="1"/>
    <s v="CO₂"/>
    <n v="4990.76"/>
    <x v="1"/>
  </r>
  <r>
    <s v="F200"/>
    <x v="1"/>
    <x v="3"/>
    <x v="2"/>
    <s v="CO₂"/>
    <n v="922.25"/>
    <x v="1"/>
  </r>
  <r>
    <s v="F097"/>
    <x v="1"/>
    <x v="2"/>
    <x v="1"/>
    <s v="CO₂"/>
    <n v="1919.35"/>
    <x v="1"/>
  </r>
  <r>
    <s v="F130"/>
    <x v="3"/>
    <x v="3"/>
    <x v="0"/>
    <s v="N₂O"/>
    <n v="3296.98"/>
    <x v="1"/>
  </r>
  <r>
    <s v="F031"/>
    <x v="3"/>
    <x v="1"/>
    <x v="2"/>
    <s v="N₂O"/>
    <n v="3879.07"/>
    <x v="0"/>
  </r>
  <r>
    <s v="F154"/>
    <x v="0"/>
    <x v="2"/>
    <x v="0"/>
    <s v="CO₂"/>
    <n v="3326.96"/>
    <x v="1"/>
  </r>
  <r>
    <s v="F152"/>
    <x v="4"/>
    <x v="1"/>
    <x v="0"/>
    <s v="CO₂"/>
    <n v="2620.38"/>
    <x v="0"/>
  </r>
  <r>
    <s v="F082"/>
    <x v="0"/>
    <x v="2"/>
    <x v="2"/>
    <s v="CH₄"/>
    <n v="3511.53"/>
    <x v="1"/>
  </r>
  <r>
    <s v="F150"/>
    <x v="4"/>
    <x v="0"/>
    <x v="2"/>
    <s v="CO₂"/>
    <n v="402.68"/>
    <x v="0"/>
  </r>
  <r>
    <s v="F168"/>
    <x v="2"/>
    <x v="3"/>
    <x v="1"/>
    <s v="CH₄"/>
    <n v="3834.83"/>
    <x v="1"/>
  </r>
  <r>
    <s v="F028"/>
    <x v="4"/>
    <x v="1"/>
    <x v="1"/>
    <s v="CO₂"/>
    <n v="2705.01"/>
    <x v="0"/>
  </r>
  <r>
    <s v="F149"/>
    <x v="1"/>
    <x v="1"/>
    <x v="1"/>
    <s v="CO₂"/>
    <n v="2242.38"/>
    <x v="0"/>
  </r>
  <r>
    <s v="F026"/>
    <x v="2"/>
    <x v="3"/>
    <x v="0"/>
    <s v="CO₂"/>
    <n v="1860.74"/>
    <x v="1"/>
  </r>
  <r>
    <s v="F172"/>
    <x v="4"/>
    <x v="0"/>
    <x v="2"/>
    <s v="N₂O"/>
    <n v="2978.15"/>
    <x v="0"/>
  </r>
  <r>
    <s v="F051"/>
    <x v="4"/>
    <x v="2"/>
    <x v="2"/>
    <s v="CH₄"/>
    <n v="1338.04"/>
    <x v="1"/>
  </r>
  <r>
    <s v="F056"/>
    <x v="4"/>
    <x v="3"/>
    <x v="2"/>
    <s v="N₂O"/>
    <n v="2538.44"/>
    <x v="1"/>
  </r>
  <r>
    <s v="F049"/>
    <x v="0"/>
    <x v="1"/>
    <x v="2"/>
    <s v="N₂O"/>
    <n v="1644.11"/>
    <x v="0"/>
  </r>
  <r>
    <s v="F109"/>
    <x v="0"/>
    <x v="1"/>
    <x v="1"/>
    <s v="CO₂"/>
    <n v="3858.7"/>
    <x v="0"/>
  </r>
  <r>
    <s v="F131"/>
    <x v="4"/>
    <x v="3"/>
    <x v="2"/>
    <s v="N₂O"/>
    <n v="2079.69"/>
    <x v="1"/>
  </r>
  <r>
    <s v="F186"/>
    <x v="4"/>
    <x v="0"/>
    <x v="2"/>
    <s v="CO₂"/>
    <n v="439.97"/>
    <x v="0"/>
  </r>
  <r>
    <s v="F111"/>
    <x v="3"/>
    <x v="2"/>
    <x v="2"/>
    <s v="CH₄"/>
    <n v="1486"/>
    <x v="1"/>
  </r>
  <r>
    <s v="F138"/>
    <x v="0"/>
    <x v="2"/>
    <x v="0"/>
    <s v="N₂O"/>
    <n v="396.7"/>
    <x v="1"/>
  </r>
  <r>
    <s v="F081"/>
    <x v="1"/>
    <x v="1"/>
    <x v="0"/>
    <s v="CO₂"/>
    <n v="1724.46"/>
    <x v="0"/>
  </r>
  <r>
    <s v="F186"/>
    <x v="4"/>
    <x v="2"/>
    <x v="2"/>
    <s v="CO₂"/>
    <n v="3569.77"/>
    <x v="1"/>
  </r>
  <r>
    <s v="F149"/>
    <x v="1"/>
    <x v="0"/>
    <x v="1"/>
    <s v="CH₄"/>
    <n v="1244.99"/>
    <x v="0"/>
  </r>
  <r>
    <s v="F119"/>
    <x v="2"/>
    <x v="1"/>
    <x v="0"/>
    <s v="CH₄"/>
    <n v="4645.6400000000003"/>
    <x v="0"/>
  </r>
  <r>
    <s v="F061"/>
    <x v="1"/>
    <x v="0"/>
    <x v="0"/>
    <s v="N₂O"/>
    <n v="3635.37"/>
    <x v="0"/>
  </r>
  <r>
    <s v="F193"/>
    <x v="1"/>
    <x v="1"/>
    <x v="0"/>
    <s v="N₂O"/>
    <n v="4563.12"/>
    <x v="0"/>
  </r>
  <r>
    <s v="F090"/>
    <x v="2"/>
    <x v="0"/>
    <x v="0"/>
    <s v="CO₂"/>
    <n v="1337.44"/>
    <x v="0"/>
  </r>
  <r>
    <s v="F070"/>
    <x v="2"/>
    <x v="2"/>
    <x v="0"/>
    <s v="N₂O"/>
    <n v="527.42999999999995"/>
    <x v="1"/>
  </r>
  <r>
    <s v="F076"/>
    <x v="2"/>
    <x v="3"/>
    <x v="1"/>
    <s v="CH₄"/>
    <n v="1979.48"/>
    <x v="1"/>
  </r>
  <r>
    <s v="F127"/>
    <x v="3"/>
    <x v="2"/>
    <x v="0"/>
    <s v="CO₂"/>
    <n v="2025.95"/>
    <x v="1"/>
  </r>
  <r>
    <s v="F090"/>
    <x v="2"/>
    <x v="1"/>
    <x v="2"/>
    <s v="CO₂"/>
    <n v="4195.17"/>
    <x v="0"/>
  </r>
  <r>
    <s v="F053"/>
    <x v="0"/>
    <x v="0"/>
    <x v="2"/>
    <s v="N₂O"/>
    <n v="2104.08"/>
    <x v="0"/>
  </r>
  <r>
    <s v="F008"/>
    <x v="3"/>
    <x v="0"/>
    <x v="2"/>
    <s v="CO₂"/>
    <n v="4229.93"/>
    <x v="0"/>
  </r>
  <r>
    <s v="F083"/>
    <x v="2"/>
    <x v="0"/>
    <x v="1"/>
    <s v="CO₂"/>
    <n v="3136.15"/>
    <x v="0"/>
  </r>
  <r>
    <s v="F200"/>
    <x v="1"/>
    <x v="3"/>
    <x v="0"/>
    <s v="N₂O"/>
    <n v="1959.33"/>
    <x v="1"/>
  </r>
  <r>
    <s v="F047"/>
    <x v="0"/>
    <x v="0"/>
    <x v="0"/>
    <s v="N₂O"/>
    <n v="1221.95"/>
    <x v="0"/>
  </r>
  <r>
    <s v="F176"/>
    <x v="4"/>
    <x v="1"/>
    <x v="2"/>
    <s v="CH₄"/>
    <n v="300.75"/>
    <x v="0"/>
  </r>
  <r>
    <s v="F018"/>
    <x v="4"/>
    <x v="2"/>
    <x v="2"/>
    <s v="N₂O"/>
    <n v="4099.18"/>
    <x v="1"/>
  </r>
  <r>
    <s v="F198"/>
    <x v="3"/>
    <x v="1"/>
    <x v="1"/>
    <s v="CH₄"/>
    <n v="104.53"/>
    <x v="0"/>
  </r>
  <r>
    <s v="F185"/>
    <x v="0"/>
    <x v="3"/>
    <x v="1"/>
    <s v="N₂O"/>
    <n v="2781"/>
    <x v="1"/>
  </r>
  <r>
    <s v="F090"/>
    <x v="2"/>
    <x v="2"/>
    <x v="0"/>
    <s v="N₂O"/>
    <n v="3597.3"/>
    <x v="1"/>
  </r>
  <r>
    <s v="F052"/>
    <x v="3"/>
    <x v="2"/>
    <x v="2"/>
    <s v="N₂O"/>
    <n v="2055.7399999999998"/>
    <x v="1"/>
  </r>
  <r>
    <s v="F034"/>
    <x v="4"/>
    <x v="2"/>
    <x v="1"/>
    <s v="CH₄"/>
    <n v="437.58"/>
    <x v="1"/>
  </r>
  <r>
    <s v="F035"/>
    <x v="4"/>
    <x v="1"/>
    <x v="2"/>
    <s v="CH₄"/>
    <n v="3087.52"/>
    <x v="0"/>
  </r>
  <r>
    <s v="F076"/>
    <x v="2"/>
    <x v="1"/>
    <x v="0"/>
    <s v="CH₄"/>
    <n v="2226.37"/>
    <x v="0"/>
  </r>
  <r>
    <s v="F105"/>
    <x v="0"/>
    <x v="0"/>
    <x v="2"/>
    <s v="CH₄"/>
    <n v="769.29"/>
    <x v="0"/>
  </r>
  <r>
    <s v="F065"/>
    <x v="1"/>
    <x v="2"/>
    <x v="2"/>
    <s v="N₂O"/>
    <n v="3008.89"/>
    <x v="1"/>
  </r>
  <r>
    <s v="F089"/>
    <x v="4"/>
    <x v="3"/>
    <x v="0"/>
    <s v="CH₄"/>
    <n v="1802.3"/>
    <x v="1"/>
  </r>
  <r>
    <s v="F089"/>
    <x v="4"/>
    <x v="3"/>
    <x v="2"/>
    <s v="CH₄"/>
    <n v="3707.94"/>
    <x v="1"/>
  </r>
  <r>
    <s v="F143"/>
    <x v="1"/>
    <x v="1"/>
    <x v="0"/>
    <s v="CH₄"/>
    <n v="3134.24"/>
    <x v="0"/>
  </r>
  <r>
    <s v="F025"/>
    <x v="4"/>
    <x v="2"/>
    <x v="2"/>
    <s v="CO₂"/>
    <n v="1671.05"/>
    <x v="1"/>
  </r>
  <r>
    <s v="F037"/>
    <x v="3"/>
    <x v="0"/>
    <x v="0"/>
    <s v="CO₂"/>
    <n v="456.6"/>
    <x v="0"/>
  </r>
  <r>
    <s v="F156"/>
    <x v="2"/>
    <x v="0"/>
    <x v="1"/>
    <s v="CH₄"/>
    <n v="4237.93"/>
    <x v="0"/>
  </r>
  <r>
    <s v="F058"/>
    <x v="1"/>
    <x v="2"/>
    <x v="0"/>
    <s v="N₂O"/>
    <n v="4750.1899999999996"/>
    <x v="1"/>
  </r>
  <r>
    <s v="F013"/>
    <x v="2"/>
    <x v="2"/>
    <x v="2"/>
    <s v="CH₄"/>
    <n v="3912.43"/>
    <x v="1"/>
  </r>
  <r>
    <s v="F198"/>
    <x v="3"/>
    <x v="2"/>
    <x v="1"/>
    <s v="CO₂"/>
    <n v="349.13"/>
    <x v="1"/>
  </r>
  <r>
    <s v="F194"/>
    <x v="3"/>
    <x v="1"/>
    <x v="2"/>
    <s v="N₂O"/>
    <n v="3133.74"/>
    <x v="0"/>
  </r>
  <r>
    <s v="F198"/>
    <x v="3"/>
    <x v="3"/>
    <x v="2"/>
    <s v="CH₄"/>
    <n v="228.22"/>
    <x v="1"/>
  </r>
  <r>
    <s v="F028"/>
    <x v="4"/>
    <x v="0"/>
    <x v="2"/>
    <s v="CO₂"/>
    <n v="1437.79"/>
    <x v="0"/>
  </r>
  <r>
    <s v="F059"/>
    <x v="2"/>
    <x v="3"/>
    <x v="2"/>
    <s v="N₂O"/>
    <n v="3734.66"/>
    <x v="1"/>
  </r>
  <r>
    <s v="F166"/>
    <x v="3"/>
    <x v="1"/>
    <x v="2"/>
    <s v="CO₂"/>
    <n v="923.68"/>
    <x v="0"/>
  </r>
  <r>
    <s v="F177"/>
    <x v="3"/>
    <x v="3"/>
    <x v="2"/>
    <s v="N₂O"/>
    <n v="1962.58"/>
    <x v="1"/>
  </r>
  <r>
    <s v="F011"/>
    <x v="4"/>
    <x v="0"/>
    <x v="1"/>
    <s v="CO₂"/>
    <n v="690.6"/>
    <x v="0"/>
  </r>
  <r>
    <s v="F004"/>
    <x v="0"/>
    <x v="3"/>
    <x v="0"/>
    <s v="CH₄"/>
    <n v="1785.82"/>
    <x v="1"/>
  </r>
  <r>
    <s v="F120"/>
    <x v="4"/>
    <x v="2"/>
    <x v="2"/>
    <s v="N₂O"/>
    <n v="4949.3"/>
    <x v="1"/>
  </r>
  <r>
    <s v="F176"/>
    <x v="4"/>
    <x v="2"/>
    <x v="0"/>
    <s v="CH₄"/>
    <n v="3153.34"/>
    <x v="1"/>
  </r>
  <r>
    <s v="F072"/>
    <x v="2"/>
    <x v="3"/>
    <x v="1"/>
    <s v="CO₂"/>
    <n v="919.35"/>
    <x v="1"/>
  </r>
  <r>
    <s v="F028"/>
    <x v="4"/>
    <x v="3"/>
    <x v="1"/>
    <s v="CO₂"/>
    <n v="2465.21"/>
    <x v="1"/>
  </r>
  <r>
    <s v="F168"/>
    <x v="2"/>
    <x v="2"/>
    <x v="1"/>
    <s v="CH₄"/>
    <n v="2956.74"/>
    <x v="1"/>
  </r>
  <r>
    <s v="F053"/>
    <x v="0"/>
    <x v="3"/>
    <x v="0"/>
    <s v="CH₄"/>
    <n v="1174.6300000000001"/>
    <x v="1"/>
  </r>
  <r>
    <s v="F125"/>
    <x v="1"/>
    <x v="3"/>
    <x v="1"/>
    <s v="N₂O"/>
    <n v="1574.82"/>
    <x v="1"/>
  </r>
  <r>
    <s v="F031"/>
    <x v="3"/>
    <x v="0"/>
    <x v="0"/>
    <s v="CH₄"/>
    <n v="922.32"/>
    <x v="0"/>
  </r>
  <r>
    <s v="F086"/>
    <x v="4"/>
    <x v="2"/>
    <x v="0"/>
    <s v="CH₄"/>
    <n v="842.92"/>
    <x v="1"/>
  </r>
  <r>
    <s v="F064"/>
    <x v="1"/>
    <x v="0"/>
    <x v="1"/>
    <s v="CH₄"/>
    <n v="3132.1"/>
    <x v="0"/>
  </r>
  <r>
    <s v="F041"/>
    <x v="1"/>
    <x v="1"/>
    <x v="0"/>
    <s v="CH₄"/>
    <n v="3613.5"/>
    <x v="0"/>
  </r>
  <r>
    <s v="F030"/>
    <x v="0"/>
    <x v="3"/>
    <x v="0"/>
    <s v="N₂O"/>
    <n v="1968.52"/>
    <x v="1"/>
  </r>
  <r>
    <s v="F138"/>
    <x v="0"/>
    <x v="2"/>
    <x v="1"/>
    <s v="CH₄"/>
    <n v="70.83"/>
    <x v="1"/>
  </r>
  <r>
    <s v="F138"/>
    <x v="0"/>
    <x v="1"/>
    <x v="1"/>
    <s v="CO₂"/>
    <n v="1698.04"/>
    <x v="0"/>
  </r>
  <r>
    <s v="F122"/>
    <x v="4"/>
    <x v="2"/>
    <x v="2"/>
    <s v="CH₄"/>
    <n v="4151.2"/>
    <x v="1"/>
  </r>
  <r>
    <s v="F174"/>
    <x v="3"/>
    <x v="3"/>
    <x v="2"/>
    <s v="CO₂"/>
    <n v="4411.01"/>
    <x v="1"/>
  </r>
  <r>
    <s v="F159"/>
    <x v="0"/>
    <x v="1"/>
    <x v="2"/>
    <s v="CO₂"/>
    <n v="284.04000000000002"/>
    <x v="0"/>
  </r>
  <r>
    <s v="F150"/>
    <x v="4"/>
    <x v="0"/>
    <x v="0"/>
    <s v="N₂O"/>
    <n v="3725.85"/>
    <x v="0"/>
  </r>
  <r>
    <s v="F136"/>
    <x v="1"/>
    <x v="1"/>
    <x v="2"/>
    <s v="N₂O"/>
    <n v="324.83999999999997"/>
    <x v="0"/>
  </r>
  <r>
    <s v="F087"/>
    <x v="4"/>
    <x v="1"/>
    <x v="2"/>
    <s v="N₂O"/>
    <n v="574.69000000000005"/>
    <x v="0"/>
  </r>
  <r>
    <s v="F123"/>
    <x v="1"/>
    <x v="3"/>
    <x v="0"/>
    <s v="N₂O"/>
    <n v="3034.33"/>
    <x v="1"/>
  </r>
  <r>
    <s v="F128"/>
    <x v="2"/>
    <x v="3"/>
    <x v="2"/>
    <s v="N₂O"/>
    <n v="169.73"/>
    <x v="1"/>
  </r>
  <r>
    <s v="F155"/>
    <x v="2"/>
    <x v="1"/>
    <x v="1"/>
    <s v="N₂O"/>
    <n v="1309.6199999999999"/>
    <x v="0"/>
  </r>
  <r>
    <s v="F095"/>
    <x v="2"/>
    <x v="0"/>
    <x v="2"/>
    <s v="N₂O"/>
    <n v="2624.96"/>
    <x v="0"/>
  </r>
  <r>
    <s v="F152"/>
    <x v="4"/>
    <x v="0"/>
    <x v="1"/>
    <s v="CO₂"/>
    <n v="1753.99"/>
    <x v="0"/>
  </r>
  <r>
    <s v="F048"/>
    <x v="0"/>
    <x v="1"/>
    <x v="0"/>
    <s v="CH₄"/>
    <n v="4506.3500000000004"/>
    <x v="0"/>
  </r>
  <r>
    <s v="F195"/>
    <x v="1"/>
    <x v="1"/>
    <x v="0"/>
    <s v="N₂O"/>
    <n v="1399.94"/>
    <x v="0"/>
  </r>
  <r>
    <s v="F054"/>
    <x v="3"/>
    <x v="2"/>
    <x v="0"/>
    <s v="CO₂"/>
    <n v="3722.06"/>
    <x v="1"/>
  </r>
  <r>
    <s v="F172"/>
    <x v="4"/>
    <x v="2"/>
    <x v="0"/>
    <s v="N₂O"/>
    <n v="4854.66"/>
    <x v="1"/>
  </r>
  <r>
    <s v="F055"/>
    <x v="2"/>
    <x v="1"/>
    <x v="0"/>
    <s v="N₂O"/>
    <n v="3995.71"/>
    <x v="0"/>
  </r>
  <r>
    <s v="F043"/>
    <x v="0"/>
    <x v="2"/>
    <x v="0"/>
    <s v="CH₄"/>
    <n v="1233.93"/>
    <x v="1"/>
  </r>
  <r>
    <s v="F033"/>
    <x v="0"/>
    <x v="2"/>
    <x v="1"/>
    <s v="CO₂"/>
    <n v="2802.78"/>
    <x v="1"/>
  </r>
  <r>
    <s v="F105"/>
    <x v="0"/>
    <x v="0"/>
    <x v="1"/>
    <s v="CO₂"/>
    <n v="2330.0300000000002"/>
    <x v="0"/>
  </r>
  <r>
    <s v="F165"/>
    <x v="4"/>
    <x v="0"/>
    <x v="2"/>
    <s v="N₂O"/>
    <n v="4895.2700000000004"/>
    <x v="0"/>
  </r>
  <r>
    <s v="F175"/>
    <x v="3"/>
    <x v="1"/>
    <x v="1"/>
    <s v="N₂O"/>
    <n v="804.58"/>
    <x v="0"/>
  </r>
  <r>
    <s v="F024"/>
    <x v="4"/>
    <x v="1"/>
    <x v="0"/>
    <s v="CH₄"/>
    <n v="5233.95"/>
    <x v="0"/>
  </r>
  <r>
    <s v="F200"/>
    <x v="1"/>
    <x v="2"/>
    <x v="1"/>
    <s v="CH₄"/>
    <n v="2997.09"/>
    <x v="1"/>
  </r>
  <r>
    <s v="F157"/>
    <x v="0"/>
    <x v="0"/>
    <x v="0"/>
    <s v="CH₄"/>
    <n v="964.92"/>
    <x v="0"/>
  </r>
  <r>
    <s v="F011"/>
    <x v="4"/>
    <x v="0"/>
    <x v="0"/>
    <s v="N₂O"/>
    <n v="3145.31"/>
    <x v="0"/>
  </r>
  <r>
    <s v="F120"/>
    <x v="4"/>
    <x v="1"/>
    <x v="2"/>
    <s v="CO₂"/>
    <n v="2135.2800000000002"/>
    <x v="0"/>
  </r>
  <r>
    <s v="F143"/>
    <x v="1"/>
    <x v="3"/>
    <x v="0"/>
    <s v="N₂O"/>
    <n v="4359.51"/>
    <x v="1"/>
  </r>
  <r>
    <s v="F127"/>
    <x v="3"/>
    <x v="2"/>
    <x v="1"/>
    <s v="CO₂"/>
    <n v="4094.25"/>
    <x v="1"/>
  </r>
  <r>
    <s v="F043"/>
    <x v="0"/>
    <x v="3"/>
    <x v="0"/>
    <s v="CO₂"/>
    <n v="1200.6199999999999"/>
    <x v="1"/>
  </r>
  <r>
    <s v="F117"/>
    <x v="2"/>
    <x v="2"/>
    <x v="0"/>
    <s v="N₂O"/>
    <n v="2599.94"/>
    <x v="1"/>
  </r>
  <r>
    <s v="F187"/>
    <x v="2"/>
    <x v="3"/>
    <x v="1"/>
    <s v="CH₄"/>
    <n v="3672.52"/>
    <x v="1"/>
  </r>
  <r>
    <s v="F029"/>
    <x v="4"/>
    <x v="2"/>
    <x v="2"/>
    <s v="N₂O"/>
    <n v="787.76"/>
    <x v="1"/>
  </r>
  <r>
    <s v="F195"/>
    <x v="1"/>
    <x v="0"/>
    <x v="1"/>
    <s v="CH₄"/>
    <n v="4418.3"/>
    <x v="0"/>
  </r>
  <r>
    <s v="F164"/>
    <x v="0"/>
    <x v="2"/>
    <x v="2"/>
    <s v="N₂O"/>
    <n v="1918.45"/>
    <x v="1"/>
  </r>
  <r>
    <s v="F094"/>
    <x v="3"/>
    <x v="2"/>
    <x v="2"/>
    <s v="CH₄"/>
    <n v="4411.78"/>
    <x v="1"/>
  </r>
  <r>
    <s v="F154"/>
    <x v="0"/>
    <x v="2"/>
    <x v="0"/>
    <s v="CH₄"/>
    <n v="755.84"/>
    <x v="1"/>
  </r>
  <r>
    <s v="F109"/>
    <x v="0"/>
    <x v="1"/>
    <x v="0"/>
    <s v="CH₄"/>
    <n v="868.51"/>
    <x v="0"/>
  </r>
  <r>
    <s v="F079"/>
    <x v="2"/>
    <x v="3"/>
    <x v="1"/>
    <s v="CH₄"/>
    <n v="3296.99"/>
    <x v="1"/>
  </r>
  <r>
    <s v="F108"/>
    <x v="3"/>
    <x v="3"/>
    <x v="2"/>
    <s v="N₂O"/>
    <n v="4240.42"/>
    <x v="1"/>
  </r>
  <r>
    <s v="F020"/>
    <x v="2"/>
    <x v="1"/>
    <x v="0"/>
    <s v="CH₄"/>
    <n v="1409.82"/>
    <x v="0"/>
  </r>
  <r>
    <s v="F174"/>
    <x v="3"/>
    <x v="3"/>
    <x v="1"/>
    <s v="CH₄"/>
    <n v="3970.76"/>
    <x v="1"/>
  </r>
  <r>
    <s v="F031"/>
    <x v="3"/>
    <x v="0"/>
    <x v="2"/>
    <s v="CO₂"/>
    <n v="549.77"/>
    <x v="0"/>
  </r>
  <r>
    <s v="F045"/>
    <x v="0"/>
    <x v="1"/>
    <x v="1"/>
    <s v="CH₄"/>
    <n v="104.29"/>
    <x v="0"/>
  </r>
  <r>
    <s v="F189"/>
    <x v="0"/>
    <x v="1"/>
    <x v="1"/>
    <s v="CH₄"/>
    <n v="1468.86"/>
    <x v="0"/>
  </r>
  <r>
    <s v="F177"/>
    <x v="3"/>
    <x v="1"/>
    <x v="1"/>
    <s v="CO₂"/>
    <n v="2876.13"/>
    <x v="0"/>
  </r>
  <r>
    <s v="F195"/>
    <x v="1"/>
    <x v="1"/>
    <x v="2"/>
    <s v="N₂O"/>
    <n v="1825.34"/>
    <x v="0"/>
  </r>
  <r>
    <s v="F148"/>
    <x v="1"/>
    <x v="2"/>
    <x v="1"/>
    <s v="CO₂"/>
    <n v="3246.39"/>
    <x v="1"/>
  </r>
  <r>
    <s v="F060"/>
    <x v="4"/>
    <x v="0"/>
    <x v="2"/>
    <s v="CH₄"/>
    <n v="1846.98"/>
    <x v="0"/>
  </r>
  <r>
    <s v="F047"/>
    <x v="0"/>
    <x v="2"/>
    <x v="1"/>
    <s v="N₂O"/>
    <n v="4193.53"/>
    <x v="1"/>
  </r>
  <r>
    <s v="F081"/>
    <x v="1"/>
    <x v="3"/>
    <x v="2"/>
    <s v="CH₄"/>
    <n v="1402.57"/>
    <x v="1"/>
  </r>
  <r>
    <s v="F126"/>
    <x v="2"/>
    <x v="0"/>
    <x v="0"/>
    <s v="CH₄"/>
    <n v="2860.15"/>
    <x v="0"/>
  </r>
  <r>
    <s v="F103"/>
    <x v="4"/>
    <x v="1"/>
    <x v="2"/>
    <s v="CO₂"/>
    <n v="1019.13"/>
    <x v="0"/>
  </r>
  <r>
    <s v="F075"/>
    <x v="3"/>
    <x v="0"/>
    <x v="2"/>
    <s v="CO₂"/>
    <n v="3886.16"/>
    <x v="0"/>
  </r>
  <r>
    <s v="F053"/>
    <x v="0"/>
    <x v="3"/>
    <x v="0"/>
    <s v="CO₂"/>
    <n v="2913.93"/>
    <x v="1"/>
  </r>
  <r>
    <s v="F194"/>
    <x v="3"/>
    <x v="0"/>
    <x v="1"/>
    <s v="CH₄"/>
    <n v="4929.24"/>
    <x v="0"/>
  </r>
  <r>
    <s v="F121"/>
    <x v="3"/>
    <x v="1"/>
    <x v="1"/>
    <s v="CH₄"/>
    <n v="197.22"/>
    <x v="0"/>
  </r>
  <r>
    <s v="F117"/>
    <x v="2"/>
    <x v="3"/>
    <x v="2"/>
    <s v="CH₄"/>
    <n v="3407.21"/>
    <x v="1"/>
  </r>
  <r>
    <s v="F164"/>
    <x v="0"/>
    <x v="1"/>
    <x v="2"/>
    <s v="N₂O"/>
    <n v="538.5"/>
    <x v="0"/>
  </r>
  <r>
    <s v="F046"/>
    <x v="4"/>
    <x v="1"/>
    <x v="2"/>
    <s v="CH₄"/>
    <n v="4976.37"/>
    <x v="0"/>
  </r>
  <r>
    <s v="F167"/>
    <x v="2"/>
    <x v="0"/>
    <x v="1"/>
    <s v="N₂O"/>
    <n v="1334.36"/>
    <x v="0"/>
  </r>
  <r>
    <s v="F185"/>
    <x v="0"/>
    <x v="2"/>
    <x v="1"/>
    <s v="CH₄"/>
    <n v="2641.31"/>
    <x v="1"/>
  </r>
  <r>
    <s v="F029"/>
    <x v="4"/>
    <x v="1"/>
    <x v="0"/>
    <s v="N₂O"/>
    <n v="3466.63"/>
    <x v="0"/>
  </r>
  <r>
    <s v="F192"/>
    <x v="4"/>
    <x v="0"/>
    <x v="1"/>
    <s v="N₂O"/>
    <n v="4682.5600000000004"/>
    <x v="0"/>
  </r>
  <r>
    <s v="F067"/>
    <x v="1"/>
    <x v="1"/>
    <x v="1"/>
    <s v="N₂O"/>
    <n v="272.64"/>
    <x v="0"/>
  </r>
  <r>
    <s v="F128"/>
    <x v="2"/>
    <x v="2"/>
    <x v="1"/>
    <s v="N₂O"/>
    <n v="4584.96"/>
    <x v="1"/>
  </r>
  <r>
    <s v="F004"/>
    <x v="0"/>
    <x v="2"/>
    <x v="1"/>
    <s v="CO₂"/>
    <n v="3965.06"/>
    <x v="1"/>
  </r>
  <r>
    <s v="F097"/>
    <x v="1"/>
    <x v="0"/>
    <x v="0"/>
    <s v="N₂O"/>
    <n v="1855"/>
    <x v="0"/>
  </r>
  <r>
    <s v="F026"/>
    <x v="2"/>
    <x v="3"/>
    <x v="0"/>
    <s v="CH₄"/>
    <n v="1170.49"/>
    <x v="1"/>
  </r>
  <r>
    <s v="F037"/>
    <x v="3"/>
    <x v="2"/>
    <x v="1"/>
    <s v="CH₄"/>
    <n v="2881.56"/>
    <x v="1"/>
  </r>
  <r>
    <s v="F086"/>
    <x v="4"/>
    <x v="3"/>
    <x v="1"/>
    <s v="N₂O"/>
    <n v="4820.21"/>
    <x v="1"/>
  </r>
  <r>
    <s v="F174"/>
    <x v="3"/>
    <x v="0"/>
    <x v="1"/>
    <s v="CO₂"/>
    <n v="2635.84"/>
    <x v="0"/>
  </r>
  <r>
    <s v="F153"/>
    <x v="3"/>
    <x v="3"/>
    <x v="2"/>
    <s v="CO₂"/>
    <n v="3933.16"/>
    <x v="1"/>
  </r>
  <r>
    <s v="F101"/>
    <x v="3"/>
    <x v="2"/>
    <x v="1"/>
    <s v="N₂O"/>
    <n v="425.14"/>
    <x v="1"/>
  </r>
  <r>
    <s v="F070"/>
    <x v="2"/>
    <x v="2"/>
    <x v="2"/>
    <s v="N₂O"/>
    <n v="3494.61"/>
    <x v="1"/>
  </r>
  <r>
    <s v="F160"/>
    <x v="4"/>
    <x v="2"/>
    <x v="0"/>
    <s v="CH₄"/>
    <n v="3199.76"/>
    <x v="1"/>
  </r>
  <r>
    <s v="F043"/>
    <x v="0"/>
    <x v="0"/>
    <x v="1"/>
    <s v="CO₂"/>
    <n v="290.08999999999997"/>
    <x v="0"/>
  </r>
  <r>
    <s v="F109"/>
    <x v="0"/>
    <x v="2"/>
    <x v="2"/>
    <s v="CO₂"/>
    <n v="1123.56"/>
    <x v="1"/>
  </r>
  <r>
    <s v="F080"/>
    <x v="3"/>
    <x v="0"/>
    <x v="2"/>
    <s v="CH₄"/>
    <n v="1109.47"/>
    <x v="0"/>
  </r>
  <r>
    <s v="F002"/>
    <x v="4"/>
    <x v="3"/>
    <x v="0"/>
    <s v="CH₄"/>
    <n v="1044.92"/>
    <x v="1"/>
  </r>
  <r>
    <s v="F198"/>
    <x v="3"/>
    <x v="1"/>
    <x v="0"/>
    <s v="CO₂"/>
    <n v="5387.67"/>
    <x v="0"/>
  </r>
  <r>
    <s v="F125"/>
    <x v="1"/>
    <x v="1"/>
    <x v="0"/>
    <s v="CH₄"/>
    <n v="3244.17"/>
    <x v="0"/>
  </r>
  <r>
    <s v="F053"/>
    <x v="0"/>
    <x v="3"/>
    <x v="1"/>
    <s v="CO₂"/>
    <n v="3954.01"/>
    <x v="1"/>
  </r>
  <r>
    <s v="F168"/>
    <x v="2"/>
    <x v="3"/>
    <x v="1"/>
    <s v="N₂O"/>
    <n v="1475.99"/>
    <x v="1"/>
  </r>
  <r>
    <s v="F092"/>
    <x v="4"/>
    <x v="3"/>
    <x v="0"/>
    <s v="N₂O"/>
    <n v="4669.9799999999996"/>
    <x v="1"/>
  </r>
  <r>
    <s v="F114"/>
    <x v="1"/>
    <x v="1"/>
    <x v="0"/>
    <s v="CO₂"/>
    <n v="502.57"/>
    <x v="0"/>
  </r>
  <r>
    <s v="F109"/>
    <x v="0"/>
    <x v="0"/>
    <x v="1"/>
    <s v="CH₄"/>
    <n v="2663.13"/>
    <x v="0"/>
  </r>
  <r>
    <s v="F075"/>
    <x v="3"/>
    <x v="1"/>
    <x v="1"/>
    <s v="CO₂"/>
    <n v="3327.22"/>
    <x v="0"/>
  </r>
  <r>
    <s v="F123"/>
    <x v="1"/>
    <x v="2"/>
    <x v="1"/>
    <s v="CH₄"/>
    <n v="441.04"/>
    <x v="1"/>
  </r>
  <r>
    <s v="F104"/>
    <x v="4"/>
    <x v="1"/>
    <x v="0"/>
    <s v="CH₄"/>
    <n v="1466.47"/>
    <x v="0"/>
  </r>
  <r>
    <s v="F027"/>
    <x v="4"/>
    <x v="3"/>
    <x v="0"/>
    <s v="CH₄"/>
    <n v="5076.01"/>
    <x v="1"/>
  </r>
  <r>
    <s v="F005"/>
    <x v="4"/>
    <x v="3"/>
    <x v="2"/>
    <s v="CH₄"/>
    <n v="3971.86"/>
    <x v="1"/>
  </r>
  <r>
    <s v="F003"/>
    <x v="3"/>
    <x v="2"/>
    <x v="2"/>
    <s v="CH₄"/>
    <n v="3120.88"/>
    <x v="1"/>
  </r>
  <r>
    <s v="F153"/>
    <x v="3"/>
    <x v="2"/>
    <x v="1"/>
    <s v="CO₂"/>
    <n v="3407.69"/>
    <x v="1"/>
  </r>
  <r>
    <s v="F054"/>
    <x v="3"/>
    <x v="0"/>
    <x v="0"/>
    <s v="CH₄"/>
    <n v="4867.8900000000003"/>
    <x v="0"/>
  </r>
  <r>
    <s v="F012"/>
    <x v="3"/>
    <x v="1"/>
    <x v="1"/>
    <s v="CO₂"/>
    <n v="1080.8399999999999"/>
    <x v="0"/>
  </r>
  <r>
    <s v="F170"/>
    <x v="2"/>
    <x v="2"/>
    <x v="0"/>
    <s v="N₂O"/>
    <n v="1196.42"/>
    <x v="1"/>
  </r>
  <r>
    <s v="F111"/>
    <x v="3"/>
    <x v="3"/>
    <x v="1"/>
    <s v="CO₂"/>
    <n v="2634.83"/>
    <x v="1"/>
  </r>
  <r>
    <s v="F098"/>
    <x v="4"/>
    <x v="2"/>
    <x v="0"/>
    <s v="CH₄"/>
    <n v="3396.58"/>
    <x v="1"/>
  </r>
  <r>
    <s v="F110"/>
    <x v="4"/>
    <x v="1"/>
    <x v="1"/>
    <s v="CO₂"/>
    <n v="4067.32"/>
    <x v="0"/>
  </r>
  <r>
    <s v="F043"/>
    <x v="0"/>
    <x v="1"/>
    <x v="0"/>
    <s v="CH₄"/>
    <n v="1241.4100000000001"/>
    <x v="0"/>
  </r>
  <r>
    <s v="F175"/>
    <x v="3"/>
    <x v="2"/>
    <x v="1"/>
    <s v="N₂O"/>
    <n v="3737.92"/>
    <x v="1"/>
  </r>
  <r>
    <s v="F181"/>
    <x v="3"/>
    <x v="3"/>
    <x v="0"/>
    <s v="N₂O"/>
    <n v="443.27"/>
    <x v="1"/>
  </r>
  <r>
    <s v="F004"/>
    <x v="0"/>
    <x v="1"/>
    <x v="1"/>
    <s v="N₂O"/>
    <n v="179.8"/>
    <x v="0"/>
  </r>
  <r>
    <s v="F039"/>
    <x v="2"/>
    <x v="1"/>
    <x v="0"/>
    <s v="CO₂"/>
    <n v="253.08"/>
    <x v="0"/>
  </r>
  <r>
    <s v="F074"/>
    <x v="1"/>
    <x v="0"/>
    <x v="2"/>
    <s v="N₂O"/>
    <n v="584.44000000000005"/>
    <x v="0"/>
  </r>
  <r>
    <s v="F063"/>
    <x v="4"/>
    <x v="0"/>
    <x v="0"/>
    <s v="CH₄"/>
    <n v="858.27"/>
    <x v="0"/>
  </r>
  <r>
    <s v="F104"/>
    <x v="4"/>
    <x v="1"/>
    <x v="2"/>
    <s v="CO₂"/>
    <n v="220.63"/>
    <x v="0"/>
  </r>
  <r>
    <s v="F019"/>
    <x v="0"/>
    <x v="1"/>
    <x v="1"/>
    <s v="N₂O"/>
    <n v="4665.38"/>
    <x v="0"/>
  </r>
  <r>
    <s v="F189"/>
    <x v="0"/>
    <x v="1"/>
    <x v="1"/>
    <s v="CO₂"/>
    <n v="3677.45"/>
    <x v="0"/>
  </r>
  <r>
    <s v="F107"/>
    <x v="2"/>
    <x v="1"/>
    <x v="2"/>
    <s v="CH₄"/>
    <n v="3434.59"/>
    <x v="0"/>
  </r>
  <r>
    <s v="F166"/>
    <x v="3"/>
    <x v="3"/>
    <x v="0"/>
    <s v="N₂O"/>
    <n v="1175.5899999999999"/>
    <x v="1"/>
  </r>
  <r>
    <s v="F094"/>
    <x v="3"/>
    <x v="3"/>
    <x v="0"/>
    <s v="CO₂"/>
    <n v="5155.3999999999996"/>
    <x v="1"/>
  </r>
  <r>
    <s v="F169"/>
    <x v="2"/>
    <x v="3"/>
    <x v="1"/>
    <s v="CH₄"/>
    <n v="4426.07"/>
    <x v="1"/>
  </r>
  <r>
    <s v="F090"/>
    <x v="2"/>
    <x v="0"/>
    <x v="1"/>
    <s v="N₂O"/>
    <n v="4487.54"/>
    <x v="0"/>
  </r>
  <r>
    <s v="F040"/>
    <x v="0"/>
    <x v="1"/>
    <x v="2"/>
    <s v="CO₂"/>
    <n v="844.07"/>
    <x v="0"/>
  </r>
  <r>
    <s v="F132"/>
    <x v="4"/>
    <x v="3"/>
    <x v="2"/>
    <s v="N₂O"/>
    <n v="808.96"/>
    <x v="1"/>
  </r>
  <r>
    <s v="F042"/>
    <x v="1"/>
    <x v="2"/>
    <x v="0"/>
    <s v="CH₄"/>
    <n v="4896.92"/>
    <x v="1"/>
  </r>
  <r>
    <s v="F149"/>
    <x v="1"/>
    <x v="0"/>
    <x v="0"/>
    <s v="CH₄"/>
    <n v="191.17"/>
    <x v="0"/>
  </r>
  <r>
    <s v="F062"/>
    <x v="2"/>
    <x v="3"/>
    <x v="1"/>
    <s v="CH₄"/>
    <n v="1697.2"/>
    <x v="1"/>
  </r>
  <r>
    <s v="F182"/>
    <x v="3"/>
    <x v="0"/>
    <x v="0"/>
    <s v="N₂O"/>
    <n v="4105.01"/>
    <x v="0"/>
  </r>
  <r>
    <s v="F126"/>
    <x v="2"/>
    <x v="1"/>
    <x v="2"/>
    <s v="CH₄"/>
    <n v="4095.94"/>
    <x v="0"/>
  </r>
  <r>
    <s v="F127"/>
    <x v="3"/>
    <x v="0"/>
    <x v="1"/>
    <s v="N₂O"/>
    <n v="1094.42"/>
    <x v="0"/>
  </r>
  <r>
    <s v="F112"/>
    <x v="4"/>
    <x v="3"/>
    <x v="0"/>
    <s v="CO₂"/>
    <n v="2501.4699999999998"/>
    <x v="1"/>
  </r>
  <r>
    <s v="F114"/>
    <x v="1"/>
    <x v="3"/>
    <x v="1"/>
    <s v="N₂O"/>
    <n v="1137.71"/>
    <x v="1"/>
  </r>
  <r>
    <s v="F152"/>
    <x v="4"/>
    <x v="2"/>
    <x v="2"/>
    <s v="CO₂"/>
    <n v="2685.34"/>
    <x v="1"/>
  </r>
  <r>
    <s v="F066"/>
    <x v="4"/>
    <x v="1"/>
    <x v="1"/>
    <s v="N₂O"/>
    <n v="3561.14"/>
    <x v="0"/>
  </r>
  <r>
    <s v="F173"/>
    <x v="1"/>
    <x v="2"/>
    <x v="0"/>
    <s v="CH₄"/>
    <n v="135.57"/>
    <x v="1"/>
  </r>
  <r>
    <s v="F129"/>
    <x v="1"/>
    <x v="0"/>
    <x v="2"/>
    <s v="CO₂"/>
    <n v="651.62"/>
    <x v="0"/>
  </r>
  <r>
    <s v="F003"/>
    <x v="3"/>
    <x v="3"/>
    <x v="0"/>
    <s v="CH₄"/>
    <n v="243.88"/>
    <x v="1"/>
  </r>
  <r>
    <s v="F013"/>
    <x v="2"/>
    <x v="3"/>
    <x v="2"/>
    <s v="N₂O"/>
    <n v="2204.12"/>
    <x v="1"/>
  </r>
  <r>
    <s v="F186"/>
    <x v="4"/>
    <x v="3"/>
    <x v="0"/>
    <s v="N₂O"/>
    <n v="4031.31"/>
    <x v="1"/>
  </r>
  <r>
    <s v="F017"/>
    <x v="2"/>
    <x v="0"/>
    <x v="1"/>
    <s v="N₂O"/>
    <n v="1311.25"/>
    <x v="0"/>
  </r>
  <r>
    <s v="F036"/>
    <x v="3"/>
    <x v="0"/>
    <x v="0"/>
    <s v="CH₄"/>
    <n v="496"/>
    <x v="0"/>
  </r>
  <r>
    <s v="F070"/>
    <x v="2"/>
    <x v="0"/>
    <x v="1"/>
    <s v="CH₄"/>
    <n v="3182.6"/>
    <x v="0"/>
  </r>
  <r>
    <s v="F200"/>
    <x v="1"/>
    <x v="2"/>
    <x v="1"/>
    <s v="CO₂"/>
    <n v="1935.31"/>
    <x v="1"/>
  </r>
  <r>
    <s v="F054"/>
    <x v="3"/>
    <x v="3"/>
    <x v="0"/>
    <s v="CH₄"/>
    <n v="4354.08"/>
    <x v="1"/>
  </r>
  <r>
    <s v="F006"/>
    <x v="4"/>
    <x v="1"/>
    <x v="2"/>
    <s v="CO₂"/>
    <n v="4545.6899999999996"/>
    <x v="0"/>
  </r>
  <r>
    <s v="F007"/>
    <x v="4"/>
    <x v="1"/>
    <x v="2"/>
    <s v="CH₄"/>
    <n v="1019.91"/>
    <x v="0"/>
  </r>
  <r>
    <s v="F117"/>
    <x v="2"/>
    <x v="3"/>
    <x v="0"/>
    <s v="N₂O"/>
    <n v="3313.08"/>
    <x v="1"/>
  </r>
  <r>
    <s v="F115"/>
    <x v="3"/>
    <x v="3"/>
    <x v="2"/>
    <s v="N₂O"/>
    <n v="2988.27"/>
    <x v="1"/>
  </r>
  <r>
    <s v="F118"/>
    <x v="0"/>
    <x v="3"/>
    <x v="0"/>
    <s v="N₂O"/>
    <n v="4688.47"/>
    <x v="1"/>
  </r>
  <r>
    <s v="F197"/>
    <x v="2"/>
    <x v="3"/>
    <x v="0"/>
    <s v="N₂O"/>
    <n v="4159.3599999999997"/>
    <x v="1"/>
  </r>
  <r>
    <s v="F118"/>
    <x v="0"/>
    <x v="1"/>
    <x v="1"/>
    <s v="N₂O"/>
    <n v="3142.22"/>
    <x v="0"/>
  </r>
  <r>
    <s v="F147"/>
    <x v="1"/>
    <x v="3"/>
    <x v="0"/>
    <s v="CO₂"/>
    <n v="4654.5600000000004"/>
    <x v="1"/>
  </r>
  <r>
    <s v="F197"/>
    <x v="2"/>
    <x v="1"/>
    <x v="0"/>
    <s v="CO₂"/>
    <n v="348.73"/>
    <x v="0"/>
  </r>
  <r>
    <s v="F041"/>
    <x v="1"/>
    <x v="2"/>
    <x v="1"/>
    <s v="CO₂"/>
    <n v="4243.12"/>
    <x v="1"/>
  </r>
  <r>
    <s v="F175"/>
    <x v="3"/>
    <x v="0"/>
    <x v="1"/>
    <s v="N₂O"/>
    <n v="4673.26"/>
    <x v="0"/>
  </r>
  <r>
    <s v="F063"/>
    <x v="4"/>
    <x v="0"/>
    <x v="2"/>
    <s v="CH₄"/>
    <n v="1127.24"/>
    <x v="0"/>
  </r>
  <r>
    <s v="F035"/>
    <x v="4"/>
    <x v="3"/>
    <x v="0"/>
    <s v="N₂O"/>
    <n v="884.52"/>
    <x v="1"/>
  </r>
  <r>
    <s v="F167"/>
    <x v="2"/>
    <x v="3"/>
    <x v="0"/>
    <s v="N₂O"/>
    <n v="692.69"/>
    <x v="1"/>
  </r>
  <r>
    <s v="F095"/>
    <x v="2"/>
    <x v="0"/>
    <x v="0"/>
    <s v="CO₂"/>
    <n v="1097.77"/>
    <x v="0"/>
  </r>
  <r>
    <s v="F005"/>
    <x v="4"/>
    <x v="0"/>
    <x v="0"/>
    <s v="CO₂"/>
    <n v="3601.71"/>
    <x v="0"/>
  </r>
  <r>
    <s v="F125"/>
    <x v="1"/>
    <x v="2"/>
    <x v="1"/>
    <s v="CO₂"/>
    <n v="4661.5"/>
    <x v="1"/>
  </r>
  <r>
    <s v="F153"/>
    <x v="3"/>
    <x v="2"/>
    <x v="1"/>
    <s v="CH₄"/>
    <n v="4163.95"/>
    <x v="1"/>
  </r>
  <r>
    <s v="F166"/>
    <x v="3"/>
    <x v="2"/>
    <x v="1"/>
    <s v="CO₂"/>
    <n v="2018.59"/>
    <x v="1"/>
  </r>
  <r>
    <s v="F145"/>
    <x v="4"/>
    <x v="1"/>
    <x v="2"/>
    <s v="CH₄"/>
    <n v="1373.09"/>
    <x v="0"/>
  </r>
  <r>
    <s v="F056"/>
    <x v="4"/>
    <x v="1"/>
    <x v="1"/>
    <s v="CH₄"/>
    <n v="1419.59"/>
    <x v="0"/>
  </r>
  <r>
    <s v="F002"/>
    <x v="4"/>
    <x v="3"/>
    <x v="1"/>
    <s v="N₂O"/>
    <n v="3946.93"/>
    <x v="1"/>
  </r>
  <r>
    <s v="F137"/>
    <x v="0"/>
    <x v="3"/>
    <x v="1"/>
    <s v="N₂O"/>
    <n v="685.73"/>
    <x v="1"/>
  </r>
  <r>
    <s v="F184"/>
    <x v="0"/>
    <x v="0"/>
    <x v="1"/>
    <s v="CH₄"/>
    <n v="4879.25"/>
    <x v="0"/>
  </r>
  <r>
    <s v="F077"/>
    <x v="4"/>
    <x v="0"/>
    <x v="0"/>
    <s v="CH₄"/>
    <n v="3667.49"/>
    <x v="0"/>
  </r>
  <r>
    <s v="F171"/>
    <x v="4"/>
    <x v="1"/>
    <x v="2"/>
    <s v="CO₂"/>
    <n v="1085.32"/>
    <x v="0"/>
  </r>
  <r>
    <s v="F004"/>
    <x v="0"/>
    <x v="2"/>
    <x v="1"/>
    <s v="CH₄"/>
    <n v="4510.42"/>
    <x v="1"/>
  </r>
  <r>
    <s v="F196"/>
    <x v="4"/>
    <x v="3"/>
    <x v="1"/>
    <s v="N₂O"/>
    <n v="499.33"/>
    <x v="1"/>
  </r>
  <r>
    <s v="F096"/>
    <x v="0"/>
    <x v="0"/>
    <x v="0"/>
    <s v="CO₂"/>
    <n v="1951.92"/>
    <x v="0"/>
  </r>
  <r>
    <s v="F071"/>
    <x v="4"/>
    <x v="2"/>
    <x v="0"/>
    <s v="CO₂"/>
    <n v="1473.59"/>
    <x v="1"/>
  </r>
  <r>
    <s v="F078"/>
    <x v="0"/>
    <x v="1"/>
    <x v="1"/>
    <s v="CO₂"/>
    <n v="3545.05"/>
    <x v="0"/>
  </r>
  <r>
    <s v="F099"/>
    <x v="3"/>
    <x v="3"/>
    <x v="2"/>
    <s v="N₂O"/>
    <n v="84.78"/>
    <x v="1"/>
  </r>
  <r>
    <s v="F031"/>
    <x v="3"/>
    <x v="2"/>
    <x v="2"/>
    <s v="CH₄"/>
    <n v="1941.65"/>
    <x v="1"/>
  </r>
  <r>
    <s v="F136"/>
    <x v="1"/>
    <x v="3"/>
    <x v="1"/>
    <s v="CH₄"/>
    <n v="2646.36"/>
    <x v="1"/>
  </r>
  <r>
    <s v="F108"/>
    <x v="3"/>
    <x v="2"/>
    <x v="0"/>
    <s v="N₂O"/>
    <n v="1257.08"/>
    <x v="1"/>
  </r>
  <r>
    <s v="F008"/>
    <x v="3"/>
    <x v="1"/>
    <x v="1"/>
    <s v="CH₄"/>
    <n v="4445.1499999999996"/>
    <x v="0"/>
  </r>
  <r>
    <s v="F196"/>
    <x v="4"/>
    <x v="1"/>
    <x v="2"/>
    <s v="CO₂"/>
    <n v="3717.99"/>
    <x v="0"/>
  </r>
  <r>
    <s v="F029"/>
    <x v="4"/>
    <x v="2"/>
    <x v="0"/>
    <s v="N₂O"/>
    <n v="4588.6400000000003"/>
    <x v="1"/>
  </r>
  <r>
    <s v="F157"/>
    <x v="0"/>
    <x v="0"/>
    <x v="0"/>
    <s v="CH₄"/>
    <n v="1806.88"/>
    <x v="0"/>
  </r>
  <r>
    <s v="F059"/>
    <x v="2"/>
    <x v="0"/>
    <x v="0"/>
    <s v="CO₂"/>
    <n v="1893.45"/>
    <x v="0"/>
  </r>
  <r>
    <s v="F193"/>
    <x v="1"/>
    <x v="2"/>
    <x v="2"/>
    <s v="CO₂"/>
    <n v="2906.15"/>
    <x v="1"/>
  </r>
  <r>
    <s v="F117"/>
    <x v="2"/>
    <x v="2"/>
    <x v="0"/>
    <s v="CH₄"/>
    <n v="4352.62"/>
    <x v="1"/>
  </r>
  <r>
    <s v="F166"/>
    <x v="3"/>
    <x v="0"/>
    <x v="1"/>
    <s v="CH₄"/>
    <n v="750.01"/>
    <x v="0"/>
  </r>
  <r>
    <s v="F191"/>
    <x v="0"/>
    <x v="1"/>
    <x v="2"/>
    <s v="CO₂"/>
    <n v="1435.13"/>
    <x v="0"/>
  </r>
  <r>
    <s v="F098"/>
    <x v="4"/>
    <x v="1"/>
    <x v="1"/>
    <s v="N₂O"/>
    <n v="3346.28"/>
    <x v="0"/>
  </r>
  <r>
    <s v="F162"/>
    <x v="3"/>
    <x v="0"/>
    <x v="0"/>
    <s v="CO₂"/>
    <n v="3975.69"/>
    <x v="0"/>
  </r>
  <r>
    <s v="F068"/>
    <x v="0"/>
    <x v="2"/>
    <x v="1"/>
    <s v="N₂O"/>
    <n v="3453.13"/>
    <x v="1"/>
  </r>
  <r>
    <s v="F149"/>
    <x v="1"/>
    <x v="3"/>
    <x v="0"/>
    <s v="N₂O"/>
    <n v="626.03"/>
    <x v="1"/>
  </r>
  <r>
    <s v="F028"/>
    <x v="4"/>
    <x v="1"/>
    <x v="1"/>
    <s v="CO₂"/>
    <n v="3255.93"/>
    <x v="0"/>
  </r>
  <r>
    <s v="F179"/>
    <x v="1"/>
    <x v="0"/>
    <x v="2"/>
    <s v="N₂O"/>
    <n v="4437.74"/>
    <x v="0"/>
  </r>
  <r>
    <s v="F103"/>
    <x v="4"/>
    <x v="2"/>
    <x v="2"/>
    <s v="CH₄"/>
    <n v="1531"/>
    <x v="1"/>
  </r>
  <r>
    <s v="F155"/>
    <x v="2"/>
    <x v="0"/>
    <x v="2"/>
    <s v="N₂O"/>
    <n v="3938.07"/>
    <x v="0"/>
  </r>
  <r>
    <s v="F009"/>
    <x v="0"/>
    <x v="1"/>
    <x v="1"/>
    <s v="CH₄"/>
    <n v="1999.93"/>
    <x v="0"/>
  </r>
  <r>
    <s v="F165"/>
    <x v="4"/>
    <x v="1"/>
    <x v="0"/>
    <s v="CO₂"/>
    <n v="379.85"/>
    <x v="0"/>
  </r>
  <r>
    <s v="F173"/>
    <x v="1"/>
    <x v="1"/>
    <x v="0"/>
    <s v="N₂O"/>
    <n v="4069.54"/>
    <x v="0"/>
  </r>
  <r>
    <s v="F170"/>
    <x v="2"/>
    <x v="3"/>
    <x v="2"/>
    <s v="CO₂"/>
    <n v="2664.95"/>
    <x v="1"/>
  </r>
  <r>
    <s v="F038"/>
    <x v="4"/>
    <x v="3"/>
    <x v="0"/>
    <s v="CO₂"/>
    <n v="1975.28"/>
    <x v="1"/>
  </r>
  <r>
    <s v="F013"/>
    <x v="2"/>
    <x v="0"/>
    <x v="1"/>
    <s v="N₂O"/>
    <n v="4697.13"/>
    <x v="0"/>
  </r>
  <r>
    <s v="F160"/>
    <x v="4"/>
    <x v="1"/>
    <x v="1"/>
    <s v="CO₂"/>
    <n v="2932.94"/>
    <x v="0"/>
  </r>
  <r>
    <s v="F076"/>
    <x v="2"/>
    <x v="0"/>
    <x v="2"/>
    <s v="CO₂"/>
    <n v="1869.13"/>
    <x v="0"/>
  </r>
  <r>
    <s v="F193"/>
    <x v="1"/>
    <x v="0"/>
    <x v="1"/>
    <s v="CO₂"/>
    <n v="3433.46"/>
    <x v="0"/>
  </r>
  <r>
    <s v="F119"/>
    <x v="2"/>
    <x v="2"/>
    <x v="1"/>
    <s v="CH₄"/>
    <n v="3234.84"/>
    <x v="1"/>
  </r>
  <r>
    <s v="F104"/>
    <x v="4"/>
    <x v="0"/>
    <x v="1"/>
    <s v="N₂O"/>
    <n v="2947.36"/>
    <x v="0"/>
  </r>
  <r>
    <s v="F160"/>
    <x v="4"/>
    <x v="3"/>
    <x v="0"/>
    <s v="N₂O"/>
    <n v="4189.46"/>
    <x v="1"/>
  </r>
  <r>
    <s v="F104"/>
    <x v="4"/>
    <x v="0"/>
    <x v="1"/>
    <s v="CO₂"/>
    <n v="4346.51"/>
    <x v="0"/>
  </r>
  <r>
    <s v="F148"/>
    <x v="1"/>
    <x v="3"/>
    <x v="1"/>
    <s v="CO₂"/>
    <n v="1356.94"/>
    <x v="1"/>
  </r>
  <r>
    <s v="F051"/>
    <x v="4"/>
    <x v="0"/>
    <x v="2"/>
    <s v="CH₄"/>
    <n v="50.06"/>
    <x v="0"/>
  </r>
  <r>
    <s v="F067"/>
    <x v="1"/>
    <x v="1"/>
    <x v="2"/>
    <s v="CO₂"/>
    <n v="3795.55"/>
    <x v="0"/>
  </r>
  <r>
    <s v="F074"/>
    <x v="1"/>
    <x v="3"/>
    <x v="0"/>
    <s v="CH₄"/>
    <n v="4134.21"/>
    <x v="1"/>
  </r>
  <r>
    <s v="F165"/>
    <x v="4"/>
    <x v="3"/>
    <x v="0"/>
    <s v="N₂O"/>
    <n v="2597.36"/>
    <x v="1"/>
  </r>
  <r>
    <s v="F179"/>
    <x v="1"/>
    <x v="0"/>
    <x v="1"/>
    <s v="N₂O"/>
    <n v="2151.91"/>
    <x v="0"/>
  </r>
  <r>
    <s v="F113"/>
    <x v="3"/>
    <x v="3"/>
    <x v="1"/>
    <s v="CH₄"/>
    <n v="3338.56"/>
    <x v="1"/>
  </r>
  <r>
    <s v="F028"/>
    <x v="4"/>
    <x v="2"/>
    <x v="0"/>
    <s v="CO₂"/>
    <n v="284.86"/>
    <x v="1"/>
  </r>
  <r>
    <s v="F095"/>
    <x v="2"/>
    <x v="3"/>
    <x v="1"/>
    <s v="CO₂"/>
    <n v="4418.62"/>
    <x v="1"/>
  </r>
  <r>
    <s v="F020"/>
    <x v="2"/>
    <x v="2"/>
    <x v="1"/>
    <s v="N₂O"/>
    <n v="1452.21"/>
    <x v="1"/>
  </r>
  <r>
    <s v="F194"/>
    <x v="3"/>
    <x v="2"/>
    <x v="2"/>
    <s v="CO₂"/>
    <n v="1001.43"/>
    <x v="1"/>
  </r>
  <r>
    <s v="F028"/>
    <x v="4"/>
    <x v="0"/>
    <x v="2"/>
    <s v="CO₂"/>
    <n v="3280.78"/>
    <x v="0"/>
  </r>
  <r>
    <s v="F040"/>
    <x v="0"/>
    <x v="0"/>
    <x v="1"/>
    <s v="N₂O"/>
    <n v="2429.6"/>
    <x v="0"/>
  </r>
  <r>
    <s v="F054"/>
    <x v="3"/>
    <x v="1"/>
    <x v="0"/>
    <s v="CH₄"/>
    <n v="4025.99"/>
    <x v="0"/>
  </r>
  <r>
    <s v="F040"/>
    <x v="0"/>
    <x v="1"/>
    <x v="1"/>
    <s v="CO₂"/>
    <n v="1880.25"/>
    <x v="0"/>
  </r>
  <r>
    <s v="F183"/>
    <x v="3"/>
    <x v="2"/>
    <x v="2"/>
    <s v="CO₂"/>
    <n v="3107.51"/>
    <x v="1"/>
  </r>
  <r>
    <s v="F018"/>
    <x v="4"/>
    <x v="2"/>
    <x v="0"/>
    <s v="CO₂"/>
    <n v="1430.94"/>
    <x v="1"/>
  </r>
  <r>
    <s v="F102"/>
    <x v="1"/>
    <x v="3"/>
    <x v="2"/>
    <s v="CO₂"/>
    <n v="4735.9399999999996"/>
    <x v="1"/>
  </r>
  <r>
    <s v="F154"/>
    <x v="0"/>
    <x v="0"/>
    <x v="2"/>
    <s v="CO₂"/>
    <n v="419.21"/>
    <x v="0"/>
  </r>
  <r>
    <s v="F094"/>
    <x v="3"/>
    <x v="3"/>
    <x v="0"/>
    <s v="N₂O"/>
    <n v="3952.79"/>
    <x v="1"/>
  </r>
  <r>
    <s v="F001"/>
    <x v="1"/>
    <x v="0"/>
    <x v="2"/>
    <s v="CH₄"/>
    <n v="2905.28"/>
    <x v="0"/>
  </r>
  <r>
    <s v="F108"/>
    <x v="3"/>
    <x v="1"/>
    <x v="2"/>
    <s v="N₂O"/>
    <n v="2595.02"/>
    <x v="0"/>
  </r>
  <r>
    <s v="F071"/>
    <x v="4"/>
    <x v="3"/>
    <x v="0"/>
    <s v="CO₂"/>
    <n v="4395.49"/>
    <x v="1"/>
  </r>
  <r>
    <s v="F022"/>
    <x v="4"/>
    <x v="2"/>
    <x v="1"/>
    <s v="N₂O"/>
    <n v="969.03"/>
    <x v="1"/>
  </r>
  <r>
    <s v="F119"/>
    <x v="2"/>
    <x v="3"/>
    <x v="1"/>
    <s v="CO₂"/>
    <n v="4736.7"/>
    <x v="1"/>
  </r>
  <r>
    <s v="F190"/>
    <x v="0"/>
    <x v="0"/>
    <x v="0"/>
    <s v="CO₂"/>
    <n v="3116.27"/>
    <x v="0"/>
  </r>
  <r>
    <s v="F171"/>
    <x v="4"/>
    <x v="3"/>
    <x v="2"/>
    <s v="CO₂"/>
    <n v="3048.92"/>
    <x v="1"/>
  </r>
  <r>
    <s v="F084"/>
    <x v="3"/>
    <x v="3"/>
    <x v="0"/>
    <s v="CO₂"/>
    <n v="4792.2"/>
    <x v="1"/>
  </r>
  <r>
    <s v="F117"/>
    <x v="2"/>
    <x v="3"/>
    <x v="1"/>
    <s v="CO₂"/>
    <n v="1851.08"/>
    <x v="1"/>
  </r>
  <r>
    <s v="F039"/>
    <x v="2"/>
    <x v="3"/>
    <x v="1"/>
    <s v="CH₄"/>
    <n v="331.53"/>
    <x v="1"/>
  </r>
  <r>
    <s v="F138"/>
    <x v="0"/>
    <x v="1"/>
    <x v="2"/>
    <s v="N₂O"/>
    <n v="2756.07"/>
    <x v="0"/>
  </r>
  <r>
    <s v="F114"/>
    <x v="1"/>
    <x v="1"/>
    <x v="0"/>
    <s v="CO₂"/>
    <n v="1185.1400000000001"/>
    <x v="0"/>
  </r>
  <r>
    <s v="F104"/>
    <x v="4"/>
    <x v="1"/>
    <x v="1"/>
    <s v="CO₂"/>
    <n v="770.82"/>
    <x v="0"/>
  </r>
  <r>
    <s v="F045"/>
    <x v="0"/>
    <x v="0"/>
    <x v="1"/>
    <s v="N₂O"/>
    <n v="1735.38"/>
    <x v="0"/>
  </r>
  <r>
    <s v="F105"/>
    <x v="0"/>
    <x v="0"/>
    <x v="0"/>
    <s v="CO₂"/>
    <n v="2191.31"/>
    <x v="0"/>
  </r>
  <r>
    <s v="F189"/>
    <x v="0"/>
    <x v="1"/>
    <x v="2"/>
    <s v="CO₂"/>
    <n v="759.32"/>
    <x v="0"/>
  </r>
  <r>
    <s v="F146"/>
    <x v="2"/>
    <x v="2"/>
    <x v="1"/>
    <s v="CO₂"/>
    <n v="1954.05"/>
    <x v="1"/>
  </r>
  <r>
    <s v="F006"/>
    <x v="4"/>
    <x v="3"/>
    <x v="0"/>
    <s v="CO₂"/>
    <n v="4153"/>
    <x v="1"/>
  </r>
  <r>
    <s v="F019"/>
    <x v="0"/>
    <x v="2"/>
    <x v="0"/>
    <s v="CO₂"/>
    <n v="3571.76"/>
    <x v="1"/>
  </r>
  <r>
    <s v="F147"/>
    <x v="1"/>
    <x v="0"/>
    <x v="2"/>
    <s v="N₂O"/>
    <n v="3705.85"/>
    <x v="0"/>
  </r>
  <r>
    <s v="F069"/>
    <x v="4"/>
    <x v="1"/>
    <x v="1"/>
    <s v="CO₂"/>
    <n v="4393.54"/>
    <x v="0"/>
  </r>
  <r>
    <s v="F089"/>
    <x v="4"/>
    <x v="0"/>
    <x v="0"/>
    <s v="N₂O"/>
    <n v="1303.24"/>
    <x v="0"/>
  </r>
  <r>
    <s v="F060"/>
    <x v="4"/>
    <x v="0"/>
    <x v="2"/>
    <s v="CO₂"/>
    <n v="1709.14"/>
    <x v="0"/>
  </r>
  <r>
    <s v="F006"/>
    <x v="4"/>
    <x v="3"/>
    <x v="0"/>
    <s v="CO₂"/>
    <n v="4816.54"/>
    <x v="1"/>
  </r>
  <r>
    <s v="F132"/>
    <x v="4"/>
    <x v="2"/>
    <x v="0"/>
    <s v="N₂O"/>
    <n v="4237.91"/>
    <x v="1"/>
  </r>
  <r>
    <s v="F013"/>
    <x v="2"/>
    <x v="3"/>
    <x v="1"/>
    <s v="N₂O"/>
    <n v="2911.32"/>
    <x v="1"/>
  </r>
  <r>
    <s v="F133"/>
    <x v="2"/>
    <x v="1"/>
    <x v="1"/>
    <s v="CH₄"/>
    <n v="1512.18"/>
    <x v="0"/>
  </r>
  <r>
    <s v="F158"/>
    <x v="3"/>
    <x v="3"/>
    <x v="2"/>
    <s v="CO₂"/>
    <n v="2308.83"/>
    <x v="1"/>
  </r>
  <r>
    <s v="F006"/>
    <x v="4"/>
    <x v="0"/>
    <x v="2"/>
    <s v="CO₂"/>
    <n v="4743.8500000000004"/>
    <x v="0"/>
  </r>
  <r>
    <s v="F028"/>
    <x v="4"/>
    <x v="2"/>
    <x v="0"/>
    <s v="N₂O"/>
    <n v="3863.8"/>
    <x v="1"/>
  </r>
  <r>
    <s v="F149"/>
    <x v="1"/>
    <x v="3"/>
    <x v="1"/>
    <s v="CH₄"/>
    <n v="1928.39"/>
    <x v="1"/>
  </r>
  <r>
    <s v="F128"/>
    <x v="2"/>
    <x v="2"/>
    <x v="2"/>
    <s v="N₂O"/>
    <n v="2001.66"/>
    <x v="1"/>
  </r>
  <r>
    <s v="F034"/>
    <x v="4"/>
    <x v="2"/>
    <x v="1"/>
    <s v="CH₄"/>
    <n v="1031.08"/>
    <x v="1"/>
  </r>
  <r>
    <s v="F200"/>
    <x v="1"/>
    <x v="3"/>
    <x v="1"/>
    <s v="CH₄"/>
    <n v="4637.72"/>
    <x v="1"/>
  </r>
  <r>
    <s v="F153"/>
    <x v="3"/>
    <x v="3"/>
    <x v="1"/>
    <s v="CO₂"/>
    <n v="2119.1"/>
    <x v="1"/>
  </r>
  <r>
    <s v="F185"/>
    <x v="0"/>
    <x v="0"/>
    <x v="0"/>
    <s v="CH₄"/>
    <n v="672.59"/>
    <x v="0"/>
  </r>
  <r>
    <s v="F092"/>
    <x v="4"/>
    <x v="0"/>
    <x v="0"/>
    <s v="CO₂"/>
    <n v="1187.17"/>
    <x v="0"/>
  </r>
  <r>
    <s v="F126"/>
    <x v="2"/>
    <x v="1"/>
    <x v="1"/>
    <s v="CO₂"/>
    <n v="3253.86"/>
    <x v="0"/>
  </r>
  <r>
    <s v="F079"/>
    <x v="2"/>
    <x v="2"/>
    <x v="1"/>
    <s v="CH₄"/>
    <n v="276.16000000000003"/>
    <x v="1"/>
  </r>
  <r>
    <s v="F087"/>
    <x v="4"/>
    <x v="3"/>
    <x v="0"/>
    <s v="CO₂"/>
    <n v="1988.31"/>
    <x v="1"/>
  </r>
  <r>
    <s v="F190"/>
    <x v="0"/>
    <x v="1"/>
    <x v="2"/>
    <s v="CH₄"/>
    <n v="1459.49"/>
    <x v="0"/>
  </r>
  <r>
    <s v="F152"/>
    <x v="4"/>
    <x v="1"/>
    <x v="1"/>
    <s v="CO₂"/>
    <n v="4054.68"/>
    <x v="0"/>
  </r>
  <r>
    <s v="F002"/>
    <x v="4"/>
    <x v="1"/>
    <x v="1"/>
    <s v="N₂O"/>
    <n v="270.88"/>
    <x v="0"/>
  </r>
  <r>
    <s v="F101"/>
    <x v="3"/>
    <x v="0"/>
    <x v="1"/>
    <s v="CH₄"/>
    <n v="1234.77"/>
    <x v="0"/>
  </r>
  <r>
    <s v="F088"/>
    <x v="0"/>
    <x v="2"/>
    <x v="1"/>
    <s v="CO₂"/>
    <n v="4028.89"/>
    <x v="1"/>
  </r>
  <r>
    <s v="F108"/>
    <x v="3"/>
    <x v="2"/>
    <x v="0"/>
    <s v="CO₂"/>
    <n v="4303.8500000000004"/>
    <x v="1"/>
  </r>
  <r>
    <s v="F122"/>
    <x v="4"/>
    <x v="3"/>
    <x v="1"/>
    <s v="N₂O"/>
    <n v="2941.43"/>
    <x v="1"/>
  </r>
  <r>
    <s v="F130"/>
    <x v="3"/>
    <x v="0"/>
    <x v="1"/>
    <s v="N₂O"/>
    <n v="125.18"/>
    <x v="0"/>
  </r>
  <r>
    <s v="F171"/>
    <x v="4"/>
    <x v="3"/>
    <x v="1"/>
    <s v="CO₂"/>
    <n v="2302.58"/>
    <x v="1"/>
  </r>
  <r>
    <s v="F154"/>
    <x v="0"/>
    <x v="2"/>
    <x v="1"/>
    <s v="CH₄"/>
    <n v="365.22"/>
    <x v="1"/>
  </r>
  <r>
    <s v="F167"/>
    <x v="2"/>
    <x v="3"/>
    <x v="2"/>
    <s v="N₂O"/>
    <n v="93.15"/>
    <x v="1"/>
  </r>
  <r>
    <s v="F001"/>
    <x v="1"/>
    <x v="1"/>
    <x v="2"/>
    <s v="CO₂"/>
    <n v="807.86"/>
    <x v="0"/>
  </r>
  <r>
    <s v="F058"/>
    <x v="1"/>
    <x v="0"/>
    <x v="2"/>
    <s v="N₂O"/>
    <n v="3779.13"/>
    <x v="0"/>
  </r>
  <r>
    <s v="F080"/>
    <x v="3"/>
    <x v="1"/>
    <x v="0"/>
    <s v="CH₄"/>
    <n v="4998.3900000000003"/>
    <x v="0"/>
  </r>
  <r>
    <s v="F107"/>
    <x v="2"/>
    <x v="3"/>
    <x v="1"/>
    <s v="N₂O"/>
    <n v="2268.11"/>
    <x v="1"/>
  </r>
  <r>
    <s v="F003"/>
    <x v="3"/>
    <x v="0"/>
    <x v="1"/>
    <s v="N₂O"/>
    <n v="1247.71"/>
    <x v="0"/>
  </r>
  <r>
    <s v="F114"/>
    <x v="1"/>
    <x v="3"/>
    <x v="2"/>
    <s v="N₂O"/>
    <n v="2941.25"/>
    <x v="1"/>
  </r>
  <r>
    <s v="F032"/>
    <x v="1"/>
    <x v="1"/>
    <x v="2"/>
    <s v="N₂O"/>
    <n v="1210.07"/>
    <x v="0"/>
  </r>
  <r>
    <s v="F153"/>
    <x v="3"/>
    <x v="3"/>
    <x v="2"/>
    <s v="CO₂"/>
    <n v="4451"/>
    <x v="1"/>
  </r>
  <r>
    <s v="F090"/>
    <x v="2"/>
    <x v="2"/>
    <x v="2"/>
    <s v="N₂O"/>
    <n v="867.35"/>
    <x v="1"/>
  </r>
  <r>
    <s v="F063"/>
    <x v="4"/>
    <x v="2"/>
    <x v="1"/>
    <s v="CH₄"/>
    <n v="3856.1"/>
    <x v="1"/>
  </r>
  <r>
    <s v="F025"/>
    <x v="4"/>
    <x v="3"/>
    <x v="2"/>
    <s v="CH₄"/>
    <n v="1963.47"/>
    <x v="1"/>
  </r>
  <r>
    <s v="F106"/>
    <x v="3"/>
    <x v="1"/>
    <x v="1"/>
    <s v="CH₄"/>
    <n v="4776.8"/>
    <x v="0"/>
  </r>
  <r>
    <s v="F171"/>
    <x v="4"/>
    <x v="2"/>
    <x v="1"/>
    <s v="N₂O"/>
    <n v="1736.71"/>
    <x v="1"/>
  </r>
  <r>
    <s v="F181"/>
    <x v="3"/>
    <x v="0"/>
    <x v="1"/>
    <s v="CO₂"/>
    <n v="4367.4799999999996"/>
    <x v="0"/>
  </r>
  <r>
    <s v="F083"/>
    <x v="2"/>
    <x v="2"/>
    <x v="2"/>
    <s v="CO₂"/>
    <n v="700.15"/>
    <x v="1"/>
  </r>
  <r>
    <s v="F149"/>
    <x v="1"/>
    <x v="3"/>
    <x v="2"/>
    <s v="CO₂"/>
    <n v="4667.1400000000003"/>
    <x v="1"/>
  </r>
  <r>
    <s v="F118"/>
    <x v="0"/>
    <x v="3"/>
    <x v="0"/>
    <s v="N₂O"/>
    <n v="2262.4299999999998"/>
    <x v="1"/>
  </r>
  <r>
    <s v="F096"/>
    <x v="0"/>
    <x v="1"/>
    <x v="2"/>
    <s v="CH₄"/>
    <n v="4898.1499999999996"/>
    <x v="0"/>
  </r>
  <r>
    <s v="F094"/>
    <x v="3"/>
    <x v="1"/>
    <x v="1"/>
    <s v="CO₂"/>
    <n v="2735.09"/>
    <x v="0"/>
  </r>
  <r>
    <s v="F137"/>
    <x v="0"/>
    <x v="1"/>
    <x v="2"/>
    <s v="CO₂"/>
    <n v="129.43"/>
    <x v="0"/>
  </r>
  <r>
    <s v="F058"/>
    <x v="1"/>
    <x v="3"/>
    <x v="2"/>
    <s v="CO₂"/>
    <n v="556.38"/>
    <x v="1"/>
  </r>
  <r>
    <s v="F190"/>
    <x v="0"/>
    <x v="2"/>
    <x v="1"/>
    <s v="CH₄"/>
    <n v="358.08"/>
    <x v="1"/>
  </r>
  <r>
    <s v="F193"/>
    <x v="1"/>
    <x v="3"/>
    <x v="0"/>
    <s v="N₂O"/>
    <n v="5236.84"/>
    <x v="1"/>
  </r>
  <r>
    <s v="F049"/>
    <x v="0"/>
    <x v="3"/>
    <x v="2"/>
    <s v="N₂O"/>
    <n v="2820.63"/>
    <x v="1"/>
  </r>
  <r>
    <s v="F194"/>
    <x v="3"/>
    <x v="3"/>
    <x v="0"/>
    <s v="CO₂"/>
    <n v="1652.63"/>
    <x v="1"/>
  </r>
  <r>
    <s v="F080"/>
    <x v="3"/>
    <x v="3"/>
    <x v="0"/>
    <s v="CO₂"/>
    <n v="4298.4799999999996"/>
    <x v="1"/>
  </r>
  <r>
    <s v="F102"/>
    <x v="1"/>
    <x v="3"/>
    <x v="1"/>
    <s v="CH₄"/>
    <n v="2188.52"/>
    <x v="1"/>
  </r>
  <r>
    <s v="F009"/>
    <x v="0"/>
    <x v="0"/>
    <x v="2"/>
    <s v="CO₂"/>
    <n v="228.37"/>
    <x v="0"/>
  </r>
  <r>
    <s v="F102"/>
    <x v="1"/>
    <x v="3"/>
    <x v="0"/>
    <s v="CH₄"/>
    <n v="3425.06"/>
    <x v="1"/>
  </r>
  <r>
    <s v="F156"/>
    <x v="2"/>
    <x v="3"/>
    <x v="2"/>
    <s v="N₂O"/>
    <n v="3780.56"/>
    <x v="1"/>
  </r>
  <r>
    <s v="F152"/>
    <x v="4"/>
    <x v="1"/>
    <x v="2"/>
    <s v="N₂O"/>
    <n v="1026.45"/>
    <x v="0"/>
  </r>
  <r>
    <s v="F086"/>
    <x v="4"/>
    <x v="0"/>
    <x v="0"/>
    <s v="CO₂"/>
    <n v="1973.14"/>
    <x v="0"/>
  </r>
  <r>
    <s v="F058"/>
    <x v="1"/>
    <x v="1"/>
    <x v="0"/>
    <s v="CO₂"/>
    <n v="3828.41"/>
    <x v="0"/>
  </r>
  <r>
    <s v="F032"/>
    <x v="1"/>
    <x v="2"/>
    <x v="2"/>
    <s v="CH₄"/>
    <n v="3883.26"/>
    <x v="1"/>
  </r>
  <r>
    <s v="F186"/>
    <x v="4"/>
    <x v="0"/>
    <x v="0"/>
    <s v="CO₂"/>
    <n v="4934.97"/>
    <x v="0"/>
  </r>
  <r>
    <s v="F090"/>
    <x v="2"/>
    <x v="1"/>
    <x v="1"/>
    <s v="N₂O"/>
    <n v="336.58"/>
    <x v="0"/>
  </r>
  <r>
    <s v="F052"/>
    <x v="3"/>
    <x v="1"/>
    <x v="2"/>
    <s v="CH₄"/>
    <n v="3817.85"/>
    <x v="0"/>
  </r>
  <r>
    <s v="F027"/>
    <x v="4"/>
    <x v="1"/>
    <x v="2"/>
    <s v="CO₂"/>
    <n v="1089.25"/>
    <x v="0"/>
  </r>
  <r>
    <s v="F097"/>
    <x v="1"/>
    <x v="2"/>
    <x v="0"/>
    <s v="CH₄"/>
    <n v="316.08"/>
    <x v="1"/>
  </r>
  <r>
    <s v="F173"/>
    <x v="1"/>
    <x v="1"/>
    <x v="1"/>
    <s v="CO₂"/>
    <n v="2112.3200000000002"/>
    <x v="0"/>
  </r>
  <r>
    <s v="F093"/>
    <x v="2"/>
    <x v="2"/>
    <x v="0"/>
    <s v="CH₄"/>
    <n v="892.44"/>
    <x v="1"/>
  </r>
  <r>
    <s v="F097"/>
    <x v="1"/>
    <x v="1"/>
    <x v="1"/>
    <s v="CH₄"/>
    <n v="1569.2"/>
    <x v="0"/>
  </r>
  <r>
    <s v="F050"/>
    <x v="0"/>
    <x v="3"/>
    <x v="0"/>
    <s v="CO₂"/>
    <n v="1407.45"/>
    <x v="1"/>
  </r>
  <r>
    <s v="F196"/>
    <x v="4"/>
    <x v="1"/>
    <x v="0"/>
    <s v="N₂O"/>
    <n v="4401.59"/>
    <x v="0"/>
  </r>
  <r>
    <s v="F148"/>
    <x v="1"/>
    <x v="3"/>
    <x v="2"/>
    <s v="CH₄"/>
    <n v="4331.4399999999996"/>
    <x v="1"/>
  </r>
  <r>
    <s v="F050"/>
    <x v="0"/>
    <x v="2"/>
    <x v="1"/>
    <s v="CO₂"/>
    <n v="191.28"/>
    <x v="1"/>
  </r>
  <r>
    <s v="F115"/>
    <x v="3"/>
    <x v="0"/>
    <x v="1"/>
    <s v="CH₄"/>
    <n v="3002.77"/>
    <x v="0"/>
  </r>
  <r>
    <s v="F017"/>
    <x v="2"/>
    <x v="0"/>
    <x v="2"/>
    <s v="N₂O"/>
    <n v="2511.59"/>
    <x v="0"/>
  </r>
  <r>
    <s v="F048"/>
    <x v="0"/>
    <x v="2"/>
    <x v="0"/>
    <s v="CO₂"/>
    <n v="2282.1799999999998"/>
    <x v="1"/>
  </r>
  <r>
    <s v="F119"/>
    <x v="2"/>
    <x v="0"/>
    <x v="2"/>
    <s v="CH₄"/>
    <n v="4726.1099999999997"/>
    <x v="0"/>
  </r>
  <r>
    <s v="F054"/>
    <x v="3"/>
    <x v="1"/>
    <x v="1"/>
    <s v="N₂O"/>
    <n v="252.05"/>
    <x v="0"/>
  </r>
  <r>
    <s v="F027"/>
    <x v="4"/>
    <x v="2"/>
    <x v="2"/>
    <s v="N₂O"/>
    <n v="3693.42"/>
    <x v="1"/>
  </r>
  <r>
    <s v="F160"/>
    <x v="4"/>
    <x v="1"/>
    <x v="0"/>
    <s v="CH₄"/>
    <n v="2670.53"/>
    <x v="0"/>
  </r>
  <r>
    <s v="F102"/>
    <x v="1"/>
    <x v="1"/>
    <x v="2"/>
    <s v="CO₂"/>
    <n v="1186.4000000000001"/>
    <x v="0"/>
  </r>
  <r>
    <s v="F175"/>
    <x v="3"/>
    <x v="2"/>
    <x v="0"/>
    <s v="CH₄"/>
    <n v="1201.0999999999999"/>
    <x v="1"/>
  </r>
  <r>
    <s v="F058"/>
    <x v="1"/>
    <x v="0"/>
    <x v="0"/>
    <s v="CH₄"/>
    <n v="1093.3900000000001"/>
    <x v="0"/>
  </r>
  <r>
    <s v="F188"/>
    <x v="3"/>
    <x v="1"/>
    <x v="1"/>
    <s v="N₂O"/>
    <n v="4636.55"/>
    <x v="0"/>
  </r>
  <r>
    <s v="F132"/>
    <x v="4"/>
    <x v="0"/>
    <x v="0"/>
    <s v="CO₂"/>
    <n v="1840.53"/>
    <x v="0"/>
  </r>
  <r>
    <s v="F188"/>
    <x v="3"/>
    <x v="2"/>
    <x v="1"/>
    <s v="CO₂"/>
    <n v="1036.07"/>
    <x v="1"/>
  </r>
  <r>
    <s v="F147"/>
    <x v="1"/>
    <x v="1"/>
    <x v="0"/>
    <s v="CO₂"/>
    <n v="390.78"/>
    <x v="0"/>
  </r>
  <r>
    <s v="F154"/>
    <x v="0"/>
    <x v="2"/>
    <x v="2"/>
    <s v="CH₄"/>
    <n v="4126.71"/>
    <x v="1"/>
  </r>
  <r>
    <s v="F036"/>
    <x v="3"/>
    <x v="2"/>
    <x v="2"/>
    <s v="CH₄"/>
    <n v="4171.8100000000004"/>
    <x v="1"/>
  </r>
  <r>
    <s v="F164"/>
    <x v="0"/>
    <x v="0"/>
    <x v="1"/>
    <s v="N₂O"/>
    <n v="3571.47"/>
    <x v="0"/>
  </r>
  <r>
    <s v="F195"/>
    <x v="1"/>
    <x v="3"/>
    <x v="2"/>
    <s v="CH₄"/>
    <n v="1961.65"/>
    <x v="1"/>
  </r>
  <r>
    <s v="F085"/>
    <x v="4"/>
    <x v="3"/>
    <x v="1"/>
    <s v="CH₄"/>
    <n v="3905.64"/>
    <x v="1"/>
  </r>
  <r>
    <s v="F122"/>
    <x v="4"/>
    <x v="1"/>
    <x v="0"/>
    <s v="CO₂"/>
    <n v="2192.9699999999998"/>
    <x v="0"/>
  </r>
  <r>
    <s v="F129"/>
    <x v="1"/>
    <x v="2"/>
    <x v="1"/>
    <s v="CO₂"/>
    <n v="369.5"/>
    <x v="1"/>
  </r>
  <r>
    <s v="F097"/>
    <x v="1"/>
    <x v="1"/>
    <x v="1"/>
    <s v="CO₂"/>
    <n v="2277.1799999999998"/>
    <x v="0"/>
  </r>
  <r>
    <s v="F109"/>
    <x v="0"/>
    <x v="0"/>
    <x v="1"/>
    <s v="CH₄"/>
    <n v="4278.8900000000003"/>
    <x v="0"/>
  </r>
  <r>
    <s v="F028"/>
    <x v="4"/>
    <x v="1"/>
    <x v="1"/>
    <s v="CO₂"/>
    <n v="3665.62"/>
    <x v="0"/>
  </r>
  <r>
    <s v="F130"/>
    <x v="3"/>
    <x v="1"/>
    <x v="0"/>
    <s v="CO₂"/>
    <n v="4127.2299999999996"/>
    <x v="0"/>
  </r>
  <r>
    <s v="F173"/>
    <x v="1"/>
    <x v="2"/>
    <x v="1"/>
    <s v="N₂O"/>
    <n v="1251.29"/>
    <x v="1"/>
  </r>
  <r>
    <s v="F146"/>
    <x v="2"/>
    <x v="1"/>
    <x v="2"/>
    <s v="CO₂"/>
    <n v="3935.94"/>
    <x v="0"/>
  </r>
  <r>
    <s v="F060"/>
    <x v="4"/>
    <x v="3"/>
    <x v="2"/>
    <s v="CO₂"/>
    <n v="1012.81"/>
    <x v="1"/>
  </r>
  <r>
    <s v="F117"/>
    <x v="2"/>
    <x v="2"/>
    <x v="2"/>
    <s v="CO₂"/>
    <n v="817.03"/>
    <x v="1"/>
  </r>
  <r>
    <s v="F001"/>
    <x v="1"/>
    <x v="1"/>
    <x v="2"/>
    <s v="CO₂"/>
    <n v="4733.58"/>
    <x v="0"/>
  </r>
  <r>
    <s v="F131"/>
    <x v="4"/>
    <x v="2"/>
    <x v="1"/>
    <s v="CH₄"/>
    <n v="4851.63"/>
    <x v="1"/>
  </r>
  <r>
    <s v="F122"/>
    <x v="4"/>
    <x v="3"/>
    <x v="2"/>
    <s v="CH₄"/>
    <n v="2889.59"/>
    <x v="1"/>
  </r>
  <r>
    <s v="F007"/>
    <x v="4"/>
    <x v="3"/>
    <x v="1"/>
    <s v="CH₄"/>
    <n v="2545.79"/>
    <x v="1"/>
  </r>
  <r>
    <s v="F080"/>
    <x v="3"/>
    <x v="2"/>
    <x v="0"/>
    <s v="N₂O"/>
    <n v="3857.37"/>
    <x v="1"/>
  </r>
  <r>
    <s v="F025"/>
    <x v="4"/>
    <x v="0"/>
    <x v="0"/>
    <s v="CH₄"/>
    <n v="1399.19"/>
    <x v="0"/>
  </r>
  <r>
    <s v="F099"/>
    <x v="3"/>
    <x v="0"/>
    <x v="2"/>
    <s v="CH₄"/>
    <n v="1563.76"/>
    <x v="0"/>
  </r>
  <r>
    <s v="F119"/>
    <x v="2"/>
    <x v="1"/>
    <x v="1"/>
    <s v="CH₄"/>
    <n v="2518.31"/>
    <x v="0"/>
  </r>
  <r>
    <s v="F019"/>
    <x v="0"/>
    <x v="2"/>
    <x v="1"/>
    <s v="CO₂"/>
    <n v="4134.78"/>
    <x v="1"/>
  </r>
  <r>
    <s v="F112"/>
    <x v="4"/>
    <x v="0"/>
    <x v="2"/>
    <s v="CH₄"/>
    <n v="2532.84"/>
    <x v="0"/>
  </r>
  <r>
    <s v="F064"/>
    <x v="1"/>
    <x v="0"/>
    <x v="1"/>
    <s v="CH₄"/>
    <n v="2192.7800000000002"/>
    <x v="0"/>
  </r>
  <r>
    <s v="F055"/>
    <x v="2"/>
    <x v="2"/>
    <x v="2"/>
    <s v="N₂O"/>
    <n v="2433.0700000000002"/>
    <x v="1"/>
  </r>
  <r>
    <s v="F076"/>
    <x v="2"/>
    <x v="0"/>
    <x v="2"/>
    <s v="CH₄"/>
    <n v="3760.84"/>
    <x v="0"/>
  </r>
  <r>
    <s v="F077"/>
    <x v="4"/>
    <x v="0"/>
    <x v="0"/>
    <s v="CH₄"/>
    <n v="3726.94"/>
    <x v="0"/>
  </r>
  <r>
    <s v="F110"/>
    <x v="4"/>
    <x v="0"/>
    <x v="1"/>
    <s v="CH₄"/>
    <n v="3670.96"/>
    <x v="0"/>
  </r>
  <r>
    <s v="F078"/>
    <x v="0"/>
    <x v="1"/>
    <x v="0"/>
    <s v="CH₄"/>
    <n v="1821.13"/>
    <x v="0"/>
  </r>
  <r>
    <s v="F177"/>
    <x v="3"/>
    <x v="2"/>
    <x v="2"/>
    <s v="CH₄"/>
    <n v="231.16"/>
    <x v="1"/>
  </r>
  <r>
    <s v="F010"/>
    <x v="0"/>
    <x v="1"/>
    <x v="0"/>
    <s v="CO₂"/>
    <n v="1503.89"/>
    <x v="0"/>
  </r>
  <r>
    <s v="F056"/>
    <x v="4"/>
    <x v="2"/>
    <x v="2"/>
    <s v="N₂O"/>
    <n v="1448.62"/>
    <x v="1"/>
  </r>
  <r>
    <s v="F027"/>
    <x v="4"/>
    <x v="1"/>
    <x v="1"/>
    <s v="CH₄"/>
    <n v="3712.48"/>
    <x v="0"/>
  </r>
  <r>
    <s v="F073"/>
    <x v="3"/>
    <x v="2"/>
    <x v="2"/>
    <s v="CH₄"/>
    <n v="4843.3"/>
    <x v="1"/>
  </r>
  <r>
    <s v="F062"/>
    <x v="2"/>
    <x v="2"/>
    <x v="1"/>
    <s v="CO₂"/>
    <n v="2038.87"/>
    <x v="1"/>
  </r>
  <r>
    <s v="F119"/>
    <x v="2"/>
    <x v="0"/>
    <x v="2"/>
    <s v="N₂O"/>
    <n v="501.53"/>
    <x v="0"/>
  </r>
  <r>
    <s v="F009"/>
    <x v="0"/>
    <x v="3"/>
    <x v="1"/>
    <s v="N₂O"/>
    <n v="2494.41"/>
    <x v="1"/>
  </r>
  <r>
    <s v="F039"/>
    <x v="2"/>
    <x v="0"/>
    <x v="1"/>
    <s v="N₂O"/>
    <n v="3410.79"/>
    <x v="0"/>
  </r>
  <r>
    <s v="F161"/>
    <x v="2"/>
    <x v="0"/>
    <x v="0"/>
    <s v="CO₂"/>
    <n v="4596.05"/>
    <x v="0"/>
  </r>
  <r>
    <s v="F038"/>
    <x v="4"/>
    <x v="0"/>
    <x v="2"/>
    <s v="N₂O"/>
    <n v="2175.48"/>
    <x v="0"/>
  </r>
  <r>
    <s v="F122"/>
    <x v="4"/>
    <x v="0"/>
    <x v="2"/>
    <s v="CH₄"/>
    <n v="4410.9799999999996"/>
    <x v="0"/>
  </r>
  <r>
    <s v="F190"/>
    <x v="0"/>
    <x v="0"/>
    <x v="0"/>
    <s v="CO₂"/>
    <n v="4785.2299999999996"/>
    <x v="0"/>
  </r>
  <r>
    <s v="F030"/>
    <x v="0"/>
    <x v="2"/>
    <x v="2"/>
    <s v="CO₂"/>
    <n v="3604.55"/>
    <x v="1"/>
  </r>
  <r>
    <s v="F041"/>
    <x v="1"/>
    <x v="1"/>
    <x v="2"/>
    <s v="CO₂"/>
    <n v="3470.96"/>
    <x v="0"/>
  </r>
  <r>
    <s v="F131"/>
    <x v="4"/>
    <x v="2"/>
    <x v="1"/>
    <s v="CH₄"/>
    <n v="3506.46"/>
    <x v="1"/>
  </r>
  <r>
    <s v="F004"/>
    <x v="0"/>
    <x v="1"/>
    <x v="0"/>
    <s v="N₂O"/>
    <n v="2058.13"/>
    <x v="0"/>
  </r>
  <r>
    <s v="F048"/>
    <x v="0"/>
    <x v="3"/>
    <x v="2"/>
    <s v="N₂O"/>
    <n v="1643.92"/>
    <x v="1"/>
  </r>
  <r>
    <s v="F188"/>
    <x v="3"/>
    <x v="2"/>
    <x v="2"/>
    <s v="CH₄"/>
    <n v="2080.0300000000002"/>
    <x v="1"/>
  </r>
  <r>
    <s v="F105"/>
    <x v="0"/>
    <x v="0"/>
    <x v="1"/>
    <s v="N₂O"/>
    <n v="2465.4499999999998"/>
    <x v="0"/>
  </r>
  <r>
    <s v="F126"/>
    <x v="2"/>
    <x v="1"/>
    <x v="1"/>
    <s v="N₂O"/>
    <n v="2931.16"/>
    <x v="0"/>
  </r>
  <r>
    <s v="F199"/>
    <x v="0"/>
    <x v="2"/>
    <x v="2"/>
    <s v="N₂O"/>
    <n v="1925.79"/>
    <x v="1"/>
  </r>
  <r>
    <s v="F135"/>
    <x v="3"/>
    <x v="0"/>
    <x v="1"/>
    <s v="N₂O"/>
    <n v="1331.9"/>
    <x v="0"/>
  </r>
  <r>
    <s v="F106"/>
    <x v="3"/>
    <x v="0"/>
    <x v="0"/>
    <s v="CO₂"/>
    <n v="3932.23"/>
    <x v="0"/>
  </r>
  <r>
    <s v="F106"/>
    <x v="3"/>
    <x v="1"/>
    <x v="2"/>
    <s v="N₂O"/>
    <n v="1414.52"/>
    <x v="0"/>
  </r>
  <r>
    <s v="F057"/>
    <x v="1"/>
    <x v="1"/>
    <x v="0"/>
    <s v="N₂O"/>
    <n v="3472.69"/>
    <x v="0"/>
  </r>
  <r>
    <s v="F011"/>
    <x v="4"/>
    <x v="3"/>
    <x v="2"/>
    <s v="N₂O"/>
    <n v="1357.85"/>
    <x v="1"/>
  </r>
  <r>
    <s v="F085"/>
    <x v="4"/>
    <x v="0"/>
    <x v="2"/>
    <s v="CH₄"/>
    <n v="347.5"/>
    <x v="0"/>
  </r>
  <r>
    <s v="F165"/>
    <x v="4"/>
    <x v="1"/>
    <x v="0"/>
    <s v="N₂O"/>
    <n v="4534.2299999999996"/>
    <x v="0"/>
  </r>
  <r>
    <s v="F122"/>
    <x v="4"/>
    <x v="3"/>
    <x v="1"/>
    <s v="CH₄"/>
    <n v="3600.52"/>
    <x v="1"/>
  </r>
  <r>
    <s v="F130"/>
    <x v="3"/>
    <x v="3"/>
    <x v="2"/>
    <s v="N₂O"/>
    <n v="4875.1000000000004"/>
    <x v="1"/>
  </r>
  <r>
    <s v="F144"/>
    <x v="2"/>
    <x v="0"/>
    <x v="0"/>
    <s v="CH₄"/>
    <n v="1708.84"/>
    <x v="0"/>
  </r>
  <r>
    <s v="F183"/>
    <x v="3"/>
    <x v="3"/>
    <x v="2"/>
    <s v="CH₄"/>
    <n v="126.6"/>
    <x v="1"/>
  </r>
  <r>
    <s v="F077"/>
    <x v="4"/>
    <x v="2"/>
    <x v="2"/>
    <s v="N₂O"/>
    <n v="1749.03"/>
    <x v="1"/>
  </r>
  <r>
    <s v="F024"/>
    <x v="4"/>
    <x v="0"/>
    <x v="0"/>
    <s v="N₂O"/>
    <n v="2617.52"/>
    <x v="0"/>
  </r>
  <r>
    <s v="F191"/>
    <x v="0"/>
    <x v="1"/>
    <x v="0"/>
    <s v="CH₄"/>
    <n v="351.56"/>
    <x v="0"/>
  </r>
  <r>
    <s v="F029"/>
    <x v="4"/>
    <x v="3"/>
    <x v="2"/>
    <s v="CH₄"/>
    <n v="1743.41"/>
    <x v="1"/>
  </r>
  <r>
    <s v="F097"/>
    <x v="1"/>
    <x v="3"/>
    <x v="0"/>
    <s v="N₂O"/>
    <n v="4857.87"/>
    <x v="1"/>
  </r>
  <r>
    <s v="F066"/>
    <x v="4"/>
    <x v="3"/>
    <x v="1"/>
    <s v="N₂O"/>
    <n v="2816.93"/>
    <x v="1"/>
  </r>
  <r>
    <s v="F121"/>
    <x v="3"/>
    <x v="1"/>
    <x v="1"/>
    <s v="CO₂"/>
    <n v="2641.98"/>
    <x v="0"/>
  </r>
  <r>
    <s v="F014"/>
    <x v="2"/>
    <x v="3"/>
    <x v="1"/>
    <s v="CO₂"/>
    <n v="2924.31"/>
    <x v="1"/>
  </r>
  <r>
    <s v="F131"/>
    <x v="4"/>
    <x v="1"/>
    <x v="0"/>
    <s v="CO₂"/>
    <n v="2885.09"/>
    <x v="0"/>
  </r>
  <r>
    <s v="F013"/>
    <x v="2"/>
    <x v="3"/>
    <x v="2"/>
    <s v="N₂O"/>
    <n v="4563.34"/>
    <x v="1"/>
  </r>
  <r>
    <s v="F024"/>
    <x v="4"/>
    <x v="0"/>
    <x v="1"/>
    <s v="CO₂"/>
    <n v="3703.75"/>
    <x v="0"/>
  </r>
  <r>
    <s v="F192"/>
    <x v="4"/>
    <x v="1"/>
    <x v="2"/>
    <s v="CH₄"/>
    <n v="3328.72"/>
    <x v="0"/>
  </r>
  <r>
    <s v="F151"/>
    <x v="2"/>
    <x v="2"/>
    <x v="2"/>
    <s v="CH₄"/>
    <n v="4650.1400000000003"/>
    <x v="1"/>
  </r>
  <r>
    <s v="F106"/>
    <x v="3"/>
    <x v="0"/>
    <x v="0"/>
    <s v="CH₄"/>
    <n v="1410.9"/>
    <x v="0"/>
  </r>
  <r>
    <s v="F016"/>
    <x v="2"/>
    <x v="1"/>
    <x v="1"/>
    <s v="CH₄"/>
    <n v="802.15"/>
    <x v="0"/>
  </r>
  <r>
    <s v="F179"/>
    <x v="1"/>
    <x v="3"/>
    <x v="1"/>
    <s v="CO₂"/>
    <n v="3338.5"/>
    <x v="1"/>
  </r>
  <r>
    <s v="F192"/>
    <x v="4"/>
    <x v="2"/>
    <x v="2"/>
    <s v="N₂O"/>
    <n v="1108.8800000000001"/>
    <x v="1"/>
  </r>
  <r>
    <s v="F136"/>
    <x v="1"/>
    <x v="1"/>
    <x v="1"/>
    <s v="N₂O"/>
    <n v="350.22"/>
    <x v="0"/>
  </r>
  <r>
    <s v="F110"/>
    <x v="4"/>
    <x v="1"/>
    <x v="1"/>
    <s v="CO₂"/>
    <n v="1884.68"/>
    <x v="0"/>
  </r>
  <r>
    <s v="F055"/>
    <x v="2"/>
    <x v="1"/>
    <x v="0"/>
    <s v="CH₄"/>
    <n v="2634.76"/>
    <x v="0"/>
  </r>
  <r>
    <s v="F004"/>
    <x v="0"/>
    <x v="1"/>
    <x v="1"/>
    <s v="CH₄"/>
    <n v="1677.52"/>
    <x v="0"/>
  </r>
  <r>
    <s v="F059"/>
    <x v="2"/>
    <x v="0"/>
    <x v="2"/>
    <s v="CH₄"/>
    <n v="2395.0100000000002"/>
    <x v="0"/>
  </r>
  <r>
    <s v="F118"/>
    <x v="0"/>
    <x v="2"/>
    <x v="0"/>
    <s v="CO₂"/>
    <n v="2603.0100000000002"/>
    <x v="1"/>
  </r>
  <r>
    <s v="F027"/>
    <x v="4"/>
    <x v="1"/>
    <x v="0"/>
    <s v="CO₂"/>
    <n v="1656.44"/>
    <x v="0"/>
  </r>
  <r>
    <s v="F061"/>
    <x v="1"/>
    <x v="2"/>
    <x v="0"/>
    <s v="CH₄"/>
    <n v="274.58999999999997"/>
    <x v="1"/>
  </r>
  <r>
    <s v="F159"/>
    <x v="0"/>
    <x v="0"/>
    <x v="0"/>
    <s v="CH₄"/>
    <n v="1298.28"/>
    <x v="0"/>
  </r>
  <r>
    <s v="F070"/>
    <x v="2"/>
    <x v="3"/>
    <x v="2"/>
    <s v="CO₂"/>
    <n v="814.66"/>
    <x v="1"/>
  </r>
  <r>
    <s v="F023"/>
    <x v="1"/>
    <x v="2"/>
    <x v="1"/>
    <s v="CH₄"/>
    <n v="4037.11"/>
    <x v="1"/>
  </r>
  <r>
    <s v="F125"/>
    <x v="1"/>
    <x v="2"/>
    <x v="0"/>
    <s v="CO₂"/>
    <n v="1604.81"/>
    <x v="1"/>
  </r>
  <r>
    <s v="F182"/>
    <x v="3"/>
    <x v="2"/>
    <x v="1"/>
    <s v="N₂O"/>
    <n v="2667.56"/>
    <x v="1"/>
  </r>
  <r>
    <s v="F173"/>
    <x v="1"/>
    <x v="1"/>
    <x v="1"/>
    <s v="CH₄"/>
    <n v="1194.52"/>
    <x v="0"/>
  </r>
  <r>
    <s v="F147"/>
    <x v="1"/>
    <x v="0"/>
    <x v="2"/>
    <s v="CH₄"/>
    <n v="4059.51"/>
    <x v="0"/>
  </r>
  <r>
    <s v="F110"/>
    <x v="4"/>
    <x v="2"/>
    <x v="1"/>
    <s v="CO₂"/>
    <n v="1051.4000000000001"/>
    <x v="1"/>
  </r>
  <r>
    <s v="F097"/>
    <x v="1"/>
    <x v="1"/>
    <x v="0"/>
    <s v="N₂O"/>
    <n v="1810.54"/>
    <x v="0"/>
  </r>
  <r>
    <s v="F106"/>
    <x v="3"/>
    <x v="3"/>
    <x v="1"/>
    <s v="N₂O"/>
    <n v="2916.42"/>
    <x v="1"/>
  </r>
  <r>
    <s v="F087"/>
    <x v="4"/>
    <x v="3"/>
    <x v="2"/>
    <s v="CO₂"/>
    <n v="3852.61"/>
    <x v="1"/>
  </r>
  <r>
    <s v="F113"/>
    <x v="3"/>
    <x v="3"/>
    <x v="2"/>
    <s v="CH₄"/>
    <n v="4795.1400000000003"/>
    <x v="1"/>
  </r>
  <r>
    <s v="F147"/>
    <x v="1"/>
    <x v="2"/>
    <x v="2"/>
    <s v="CO₂"/>
    <n v="1445.25"/>
    <x v="1"/>
  </r>
  <r>
    <s v="F071"/>
    <x v="4"/>
    <x v="1"/>
    <x v="2"/>
    <s v="CO₂"/>
    <n v="869.01"/>
    <x v="0"/>
  </r>
  <r>
    <s v="F058"/>
    <x v="1"/>
    <x v="2"/>
    <x v="2"/>
    <s v="CO₂"/>
    <n v="4077.29"/>
    <x v="1"/>
  </r>
  <r>
    <s v="F092"/>
    <x v="4"/>
    <x v="0"/>
    <x v="1"/>
    <s v="CH₄"/>
    <n v="2770.18"/>
    <x v="0"/>
  </r>
  <r>
    <s v="F009"/>
    <x v="0"/>
    <x v="3"/>
    <x v="0"/>
    <s v="CH₄"/>
    <n v="2004.7"/>
    <x v="1"/>
  </r>
  <r>
    <s v="F147"/>
    <x v="1"/>
    <x v="3"/>
    <x v="2"/>
    <s v="CO₂"/>
    <n v="4717.47"/>
    <x v="1"/>
  </r>
  <r>
    <s v="F099"/>
    <x v="3"/>
    <x v="1"/>
    <x v="0"/>
    <s v="CH₄"/>
    <n v="1392.48"/>
    <x v="0"/>
  </r>
  <r>
    <s v="F169"/>
    <x v="2"/>
    <x v="2"/>
    <x v="0"/>
    <s v="CO₂"/>
    <n v="2563.33"/>
    <x v="1"/>
  </r>
  <r>
    <s v="F125"/>
    <x v="1"/>
    <x v="3"/>
    <x v="0"/>
    <s v="CO₂"/>
    <n v="503.86"/>
    <x v="1"/>
  </r>
  <r>
    <s v="F113"/>
    <x v="3"/>
    <x v="0"/>
    <x v="2"/>
    <s v="N₂O"/>
    <n v="897.2"/>
    <x v="0"/>
  </r>
  <r>
    <s v="F192"/>
    <x v="4"/>
    <x v="2"/>
    <x v="1"/>
    <s v="CO₂"/>
    <n v="2988.56"/>
    <x v="1"/>
  </r>
  <r>
    <s v="F135"/>
    <x v="3"/>
    <x v="3"/>
    <x v="0"/>
    <s v="CO₂"/>
    <n v="1067.23"/>
    <x v="1"/>
  </r>
  <r>
    <s v="F014"/>
    <x v="2"/>
    <x v="3"/>
    <x v="0"/>
    <s v="CH₄"/>
    <n v="2128.88"/>
    <x v="1"/>
  </r>
  <r>
    <s v="F083"/>
    <x v="2"/>
    <x v="1"/>
    <x v="2"/>
    <s v="CO₂"/>
    <n v="569.36"/>
    <x v="0"/>
  </r>
  <r>
    <s v="F010"/>
    <x v="0"/>
    <x v="0"/>
    <x v="1"/>
    <s v="CO₂"/>
    <n v="2763.46"/>
    <x v="0"/>
  </r>
  <r>
    <s v="F026"/>
    <x v="2"/>
    <x v="1"/>
    <x v="0"/>
    <s v="CH₄"/>
    <n v="889.01"/>
    <x v="0"/>
  </r>
  <r>
    <s v="F114"/>
    <x v="1"/>
    <x v="3"/>
    <x v="0"/>
    <s v="N₂O"/>
    <n v="565.20000000000005"/>
    <x v="1"/>
  </r>
  <r>
    <s v="F159"/>
    <x v="0"/>
    <x v="3"/>
    <x v="2"/>
    <s v="CO₂"/>
    <n v="4475.2700000000004"/>
    <x v="1"/>
  </r>
  <r>
    <s v="F147"/>
    <x v="1"/>
    <x v="1"/>
    <x v="1"/>
    <s v="CH₄"/>
    <n v="3884.64"/>
    <x v="0"/>
  </r>
  <r>
    <s v="F159"/>
    <x v="0"/>
    <x v="3"/>
    <x v="0"/>
    <s v="CO₂"/>
    <n v="1548.15"/>
    <x v="1"/>
  </r>
  <r>
    <s v="F119"/>
    <x v="2"/>
    <x v="2"/>
    <x v="1"/>
    <s v="CH₄"/>
    <n v="1310.02"/>
    <x v="1"/>
  </r>
  <r>
    <s v="F080"/>
    <x v="3"/>
    <x v="1"/>
    <x v="1"/>
    <s v="N₂O"/>
    <n v="1833.43"/>
    <x v="0"/>
  </r>
  <r>
    <s v="F075"/>
    <x v="3"/>
    <x v="1"/>
    <x v="1"/>
    <s v="CO₂"/>
    <n v="1039.8399999999999"/>
    <x v="0"/>
  </r>
  <r>
    <s v="F064"/>
    <x v="1"/>
    <x v="1"/>
    <x v="2"/>
    <s v="CO₂"/>
    <n v="3297.47"/>
    <x v="0"/>
  </r>
  <r>
    <s v="F012"/>
    <x v="3"/>
    <x v="1"/>
    <x v="1"/>
    <s v="CH₄"/>
    <n v="3091.2"/>
    <x v="0"/>
  </r>
  <r>
    <s v="F035"/>
    <x v="4"/>
    <x v="3"/>
    <x v="2"/>
    <s v="CO₂"/>
    <n v="301.86"/>
    <x v="1"/>
  </r>
  <r>
    <s v="F112"/>
    <x v="4"/>
    <x v="2"/>
    <x v="1"/>
    <s v="N₂O"/>
    <n v="4171.41"/>
    <x v="1"/>
  </r>
  <r>
    <s v="F179"/>
    <x v="1"/>
    <x v="3"/>
    <x v="1"/>
    <s v="CH₄"/>
    <n v="4337.95"/>
    <x v="1"/>
  </r>
  <r>
    <s v="F171"/>
    <x v="4"/>
    <x v="3"/>
    <x v="0"/>
    <s v="N₂O"/>
    <n v="3830.1"/>
    <x v="1"/>
  </r>
  <r>
    <s v="F022"/>
    <x v="4"/>
    <x v="0"/>
    <x v="2"/>
    <s v="N₂O"/>
    <n v="3808.17"/>
    <x v="0"/>
  </r>
  <r>
    <s v="F090"/>
    <x v="2"/>
    <x v="0"/>
    <x v="1"/>
    <s v="CH₄"/>
    <n v="3167.4"/>
    <x v="0"/>
  </r>
  <r>
    <s v="F139"/>
    <x v="0"/>
    <x v="1"/>
    <x v="0"/>
    <s v="CO₂"/>
    <n v="742.11"/>
    <x v="0"/>
  </r>
  <r>
    <s v="F043"/>
    <x v="0"/>
    <x v="3"/>
    <x v="1"/>
    <s v="CO₂"/>
    <n v="4632.6400000000003"/>
    <x v="1"/>
  </r>
  <r>
    <s v="F158"/>
    <x v="3"/>
    <x v="1"/>
    <x v="1"/>
    <s v="CH₄"/>
    <n v="1268.8"/>
    <x v="0"/>
  </r>
  <r>
    <s v="F171"/>
    <x v="4"/>
    <x v="0"/>
    <x v="2"/>
    <s v="CO₂"/>
    <n v="3546.58"/>
    <x v="0"/>
  </r>
  <r>
    <s v="F153"/>
    <x v="3"/>
    <x v="2"/>
    <x v="2"/>
    <s v="CH₄"/>
    <n v="1609.6"/>
    <x v="1"/>
  </r>
  <r>
    <s v="F040"/>
    <x v="0"/>
    <x v="3"/>
    <x v="0"/>
    <s v="CO₂"/>
    <n v="3630.71"/>
    <x v="1"/>
  </r>
  <r>
    <s v="F098"/>
    <x v="4"/>
    <x v="3"/>
    <x v="1"/>
    <s v="CH₄"/>
    <n v="999.48"/>
    <x v="1"/>
  </r>
  <r>
    <s v="F014"/>
    <x v="2"/>
    <x v="1"/>
    <x v="1"/>
    <s v="CO₂"/>
    <n v="4553.04"/>
    <x v="0"/>
  </r>
  <r>
    <s v="F028"/>
    <x v="4"/>
    <x v="0"/>
    <x v="0"/>
    <s v="N₂O"/>
    <n v="1345.95"/>
    <x v="0"/>
  </r>
  <r>
    <s v="F161"/>
    <x v="2"/>
    <x v="3"/>
    <x v="2"/>
    <s v="CH₄"/>
    <n v="1432.5"/>
    <x v="1"/>
  </r>
  <r>
    <s v="F190"/>
    <x v="0"/>
    <x v="3"/>
    <x v="2"/>
    <s v="CH₄"/>
    <n v="2537.5"/>
    <x v="1"/>
  </r>
  <r>
    <s v="F020"/>
    <x v="2"/>
    <x v="1"/>
    <x v="1"/>
    <s v="CH₄"/>
    <n v="4832.05"/>
    <x v="0"/>
  </r>
  <r>
    <s v="F011"/>
    <x v="4"/>
    <x v="1"/>
    <x v="1"/>
    <s v="CH₄"/>
    <n v="3935.58"/>
    <x v="0"/>
  </r>
  <r>
    <s v="F040"/>
    <x v="0"/>
    <x v="1"/>
    <x v="0"/>
    <s v="N₂O"/>
    <n v="3258.29"/>
    <x v="0"/>
  </r>
  <r>
    <s v="F052"/>
    <x v="3"/>
    <x v="3"/>
    <x v="1"/>
    <s v="CO₂"/>
    <n v="1512.13"/>
    <x v="1"/>
  </r>
  <r>
    <s v="F060"/>
    <x v="4"/>
    <x v="1"/>
    <x v="1"/>
    <s v="CH₄"/>
    <n v="245.71"/>
    <x v="0"/>
  </r>
  <r>
    <s v="F104"/>
    <x v="4"/>
    <x v="0"/>
    <x v="1"/>
    <s v="N₂O"/>
    <n v="3387.13"/>
    <x v="0"/>
  </r>
  <r>
    <s v="F186"/>
    <x v="4"/>
    <x v="0"/>
    <x v="2"/>
    <s v="CO₂"/>
    <n v="1014.2"/>
    <x v="0"/>
  </r>
  <r>
    <s v="F161"/>
    <x v="2"/>
    <x v="1"/>
    <x v="2"/>
    <s v="CH₄"/>
    <n v="269.87"/>
    <x v="0"/>
  </r>
  <r>
    <s v="F157"/>
    <x v="0"/>
    <x v="1"/>
    <x v="1"/>
    <s v="CH₄"/>
    <n v="2444.67"/>
    <x v="0"/>
  </r>
  <r>
    <s v="F087"/>
    <x v="4"/>
    <x v="2"/>
    <x v="1"/>
    <s v="CH₄"/>
    <n v="1734.64"/>
    <x v="1"/>
  </r>
  <r>
    <s v="F086"/>
    <x v="4"/>
    <x v="3"/>
    <x v="1"/>
    <s v="CH₄"/>
    <n v="4948.8500000000004"/>
    <x v="1"/>
  </r>
  <r>
    <s v="F146"/>
    <x v="2"/>
    <x v="0"/>
    <x v="0"/>
    <s v="CO₂"/>
    <n v="2924.78"/>
    <x v="0"/>
  </r>
  <r>
    <s v="F168"/>
    <x v="2"/>
    <x v="0"/>
    <x v="1"/>
    <s v="CH₄"/>
    <n v="1898.32"/>
    <x v="0"/>
  </r>
  <r>
    <s v="F137"/>
    <x v="0"/>
    <x v="1"/>
    <x v="2"/>
    <s v="CO₂"/>
    <n v="1296.76"/>
    <x v="0"/>
  </r>
  <r>
    <s v="F084"/>
    <x v="3"/>
    <x v="2"/>
    <x v="1"/>
    <s v="N₂O"/>
    <n v="1414.37"/>
    <x v="1"/>
  </r>
  <r>
    <s v="F199"/>
    <x v="0"/>
    <x v="3"/>
    <x v="0"/>
    <s v="CO₂"/>
    <n v="4136.07"/>
    <x v="1"/>
  </r>
  <r>
    <s v="F068"/>
    <x v="0"/>
    <x v="2"/>
    <x v="2"/>
    <s v="N₂O"/>
    <n v="3952.36"/>
    <x v="1"/>
  </r>
  <r>
    <s v="F147"/>
    <x v="1"/>
    <x v="3"/>
    <x v="1"/>
    <s v="CH₄"/>
    <n v="4563.3599999999997"/>
    <x v="1"/>
  </r>
  <r>
    <s v="F017"/>
    <x v="2"/>
    <x v="2"/>
    <x v="0"/>
    <s v="CO₂"/>
    <n v="2084.5700000000002"/>
    <x v="1"/>
  </r>
  <r>
    <s v="F165"/>
    <x v="4"/>
    <x v="3"/>
    <x v="1"/>
    <s v="CH₄"/>
    <n v="4081.51"/>
    <x v="1"/>
  </r>
  <r>
    <s v="F029"/>
    <x v="4"/>
    <x v="1"/>
    <x v="2"/>
    <s v="CO₂"/>
    <n v="4483.63"/>
    <x v="0"/>
  </r>
  <r>
    <s v="F135"/>
    <x v="3"/>
    <x v="3"/>
    <x v="1"/>
    <s v="N₂O"/>
    <n v="3368.54"/>
    <x v="1"/>
  </r>
  <r>
    <s v="F067"/>
    <x v="1"/>
    <x v="1"/>
    <x v="1"/>
    <s v="N₂O"/>
    <n v="82.35"/>
    <x v="0"/>
  </r>
  <r>
    <s v="F170"/>
    <x v="2"/>
    <x v="3"/>
    <x v="2"/>
    <s v="CO₂"/>
    <n v="4175.62"/>
    <x v="1"/>
  </r>
  <r>
    <s v="F174"/>
    <x v="3"/>
    <x v="3"/>
    <x v="1"/>
    <s v="CH₄"/>
    <n v="1796.14"/>
    <x v="1"/>
  </r>
  <r>
    <s v="F126"/>
    <x v="2"/>
    <x v="3"/>
    <x v="2"/>
    <s v="CO₂"/>
    <n v="3373.26"/>
    <x v="1"/>
  </r>
  <r>
    <s v="F068"/>
    <x v="0"/>
    <x v="1"/>
    <x v="1"/>
    <s v="N₂O"/>
    <n v="3051.55"/>
    <x v="0"/>
  </r>
  <r>
    <s v="F099"/>
    <x v="3"/>
    <x v="0"/>
    <x v="2"/>
    <s v="CO₂"/>
    <n v="3770.37"/>
    <x v="0"/>
  </r>
  <r>
    <s v="F171"/>
    <x v="4"/>
    <x v="3"/>
    <x v="2"/>
    <s v="CO₂"/>
    <n v="3887.64"/>
    <x v="1"/>
  </r>
  <r>
    <s v="F200"/>
    <x v="1"/>
    <x v="0"/>
    <x v="1"/>
    <s v="CH₄"/>
    <n v="4523.25"/>
    <x v="0"/>
  </r>
  <r>
    <s v="F024"/>
    <x v="4"/>
    <x v="2"/>
    <x v="2"/>
    <s v="CO₂"/>
    <n v="4229.33"/>
    <x v="1"/>
  </r>
  <r>
    <s v="F105"/>
    <x v="0"/>
    <x v="2"/>
    <x v="1"/>
    <s v="N₂O"/>
    <n v="1909.18"/>
    <x v="1"/>
  </r>
  <r>
    <s v="F142"/>
    <x v="0"/>
    <x v="1"/>
    <x v="1"/>
    <s v="N₂O"/>
    <n v="1689.24"/>
    <x v="0"/>
  </r>
  <r>
    <s v="F037"/>
    <x v="3"/>
    <x v="1"/>
    <x v="1"/>
    <s v="N₂O"/>
    <n v="1270.1199999999999"/>
    <x v="0"/>
  </r>
  <r>
    <s v="F077"/>
    <x v="4"/>
    <x v="0"/>
    <x v="0"/>
    <s v="CO₂"/>
    <n v="1816.03"/>
    <x v="0"/>
  </r>
  <r>
    <s v="F169"/>
    <x v="2"/>
    <x v="3"/>
    <x v="1"/>
    <s v="CO₂"/>
    <n v="1943.87"/>
    <x v="1"/>
  </r>
  <r>
    <s v="F195"/>
    <x v="1"/>
    <x v="0"/>
    <x v="2"/>
    <s v="CO₂"/>
    <n v="2832.16"/>
    <x v="0"/>
  </r>
  <r>
    <s v="F179"/>
    <x v="1"/>
    <x v="1"/>
    <x v="2"/>
    <s v="CH₄"/>
    <n v="4684.57"/>
    <x v="0"/>
  </r>
  <r>
    <s v="F153"/>
    <x v="3"/>
    <x v="0"/>
    <x v="0"/>
    <s v="CH₄"/>
    <n v="785.42"/>
    <x v="0"/>
  </r>
  <r>
    <s v="F050"/>
    <x v="0"/>
    <x v="0"/>
    <x v="0"/>
    <s v="N₂O"/>
    <n v="828.31"/>
    <x v="0"/>
  </r>
  <r>
    <s v="F179"/>
    <x v="1"/>
    <x v="0"/>
    <x v="1"/>
    <s v="CH₄"/>
    <n v="4960.6099999999997"/>
    <x v="0"/>
  </r>
  <r>
    <s v="F076"/>
    <x v="2"/>
    <x v="1"/>
    <x v="2"/>
    <s v="CH₄"/>
    <n v="4377.79"/>
    <x v="0"/>
  </r>
  <r>
    <s v="F022"/>
    <x v="4"/>
    <x v="1"/>
    <x v="0"/>
    <s v="CO₂"/>
    <n v="2535.3000000000002"/>
    <x v="0"/>
  </r>
  <r>
    <s v="F063"/>
    <x v="4"/>
    <x v="2"/>
    <x v="1"/>
    <s v="CH₄"/>
    <n v="2251.6"/>
    <x v="1"/>
  </r>
  <r>
    <s v="F004"/>
    <x v="0"/>
    <x v="0"/>
    <x v="0"/>
    <s v="N₂O"/>
    <n v="733.13"/>
    <x v="0"/>
  </r>
  <r>
    <s v="F189"/>
    <x v="0"/>
    <x v="0"/>
    <x v="2"/>
    <s v="CO₂"/>
    <n v="1054.48"/>
    <x v="0"/>
  </r>
  <r>
    <s v="F175"/>
    <x v="3"/>
    <x v="1"/>
    <x v="1"/>
    <s v="CO₂"/>
    <n v="4429.91"/>
    <x v="0"/>
  </r>
  <r>
    <s v="F104"/>
    <x v="4"/>
    <x v="2"/>
    <x v="0"/>
    <s v="N₂O"/>
    <n v="3923.15"/>
    <x v="1"/>
  </r>
  <r>
    <s v="F062"/>
    <x v="2"/>
    <x v="1"/>
    <x v="0"/>
    <s v="CH₄"/>
    <n v="767.46"/>
    <x v="0"/>
  </r>
  <r>
    <s v="F173"/>
    <x v="1"/>
    <x v="3"/>
    <x v="0"/>
    <s v="N₂O"/>
    <n v="592.72"/>
    <x v="1"/>
  </r>
  <r>
    <s v="F017"/>
    <x v="2"/>
    <x v="0"/>
    <x v="1"/>
    <s v="CH₄"/>
    <n v="3539.99"/>
    <x v="0"/>
  </r>
  <r>
    <s v="F024"/>
    <x v="4"/>
    <x v="0"/>
    <x v="0"/>
    <s v="N₂O"/>
    <n v="2579.19"/>
    <x v="0"/>
  </r>
  <r>
    <s v="F160"/>
    <x v="4"/>
    <x v="3"/>
    <x v="2"/>
    <s v="N₂O"/>
    <n v="4158.7700000000004"/>
    <x v="1"/>
  </r>
  <r>
    <s v="F165"/>
    <x v="4"/>
    <x v="1"/>
    <x v="0"/>
    <s v="CO₂"/>
    <n v="687.46"/>
    <x v="0"/>
  </r>
  <r>
    <s v="F135"/>
    <x v="3"/>
    <x v="2"/>
    <x v="1"/>
    <s v="N₂O"/>
    <n v="2922.31"/>
    <x v="1"/>
  </r>
  <r>
    <s v="F137"/>
    <x v="0"/>
    <x v="3"/>
    <x v="1"/>
    <s v="CO₂"/>
    <n v="584.58000000000004"/>
    <x v="1"/>
  </r>
  <r>
    <s v="F001"/>
    <x v="1"/>
    <x v="1"/>
    <x v="1"/>
    <s v="CO₂"/>
    <n v="87.51"/>
    <x v="0"/>
  </r>
  <r>
    <s v="F183"/>
    <x v="3"/>
    <x v="2"/>
    <x v="1"/>
    <s v="N₂O"/>
    <n v="3948.45"/>
    <x v="1"/>
  </r>
  <r>
    <s v="F172"/>
    <x v="4"/>
    <x v="3"/>
    <x v="0"/>
    <s v="CO₂"/>
    <n v="3846.63"/>
    <x v="1"/>
  </r>
  <r>
    <s v="F141"/>
    <x v="1"/>
    <x v="0"/>
    <x v="0"/>
    <s v="N₂O"/>
    <n v="4673.8"/>
    <x v="0"/>
  </r>
  <r>
    <s v="F170"/>
    <x v="2"/>
    <x v="3"/>
    <x v="2"/>
    <s v="N₂O"/>
    <n v="4711.6899999999996"/>
    <x v="1"/>
  </r>
  <r>
    <s v="F017"/>
    <x v="2"/>
    <x v="1"/>
    <x v="0"/>
    <s v="CO₂"/>
    <n v="2670.52"/>
    <x v="0"/>
  </r>
  <r>
    <s v="F166"/>
    <x v="3"/>
    <x v="3"/>
    <x v="0"/>
    <s v="CO₂"/>
    <n v="919.4"/>
    <x v="1"/>
  </r>
  <r>
    <s v="F153"/>
    <x v="3"/>
    <x v="2"/>
    <x v="1"/>
    <s v="N₂O"/>
    <n v="4514.75"/>
    <x v="1"/>
  </r>
  <r>
    <s v="F161"/>
    <x v="2"/>
    <x v="3"/>
    <x v="0"/>
    <s v="CO₂"/>
    <n v="3766.6"/>
    <x v="1"/>
  </r>
  <r>
    <s v="F130"/>
    <x v="3"/>
    <x v="2"/>
    <x v="2"/>
    <s v="CH₄"/>
    <n v="730.13"/>
    <x v="1"/>
  </r>
  <r>
    <s v="F141"/>
    <x v="1"/>
    <x v="1"/>
    <x v="1"/>
    <s v="N₂O"/>
    <n v="2811.95"/>
    <x v="0"/>
  </r>
  <r>
    <s v="F017"/>
    <x v="2"/>
    <x v="1"/>
    <x v="0"/>
    <s v="CO₂"/>
    <n v="5044.2"/>
    <x v="0"/>
  </r>
  <r>
    <s v="F190"/>
    <x v="0"/>
    <x v="0"/>
    <x v="2"/>
    <s v="CO₂"/>
    <n v="4074.33"/>
    <x v="0"/>
  </r>
  <r>
    <s v="F117"/>
    <x v="2"/>
    <x v="0"/>
    <x v="2"/>
    <s v="CO₂"/>
    <n v="1048.08"/>
    <x v="0"/>
  </r>
  <r>
    <s v="F038"/>
    <x v="4"/>
    <x v="3"/>
    <x v="0"/>
    <s v="CO₂"/>
    <n v="3290.44"/>
    <x v="1"/>
  </r>
  <r>
    <s v="F006"/>
    <x v="4"/>
    <x v="1"/>
    <x v="0"/>
    <s v="CH₄"/>
    <n v="1966.43"/>
    <x v="0"/>
  </r>
  <r>
    <s v="F078"/>
    <x v="0"/>
    <x v="0"/>
    <x v="2"/>
    <s v="CO₂"/>
    <n v="2842.86"/>
    <x v="0"/>
  </r>
  <r>
    <s v="F003"/>
    <x v="3"/>
    <x v="1"/>
    <x v="1"/>
    <s v="CO₂"/>
    <n v="2556.0500000000002"/>
    <x v="0"/>
  </r>
  <r>
    <s v="F118"/>
    <x v="0"/>
    <x v="2"/>
    <x v="2"/>
    <s v="CO₂"/>
    <n v="3688.09"/>
    <x v="1"/>
  </r>
  <r>
    <s v="F012"/>
    <x v="3"/>
    <x v="0"/>
    <x v="0"/>
    <s v="CH₄"/>
    <n v="3222.35"/>
    <x v="0"/>
  </r>
  <r>
    <s v="F063"/>
    <x v="4"/>
    <x v="2"/>
    <x v="1"/>
    <s v="N₂O"/>
    <n v="475.84"/>
    <x v="1"/>
  </r>
  <r>
    <s v="F150"/>
    <x v="4"/>
    <x v="0"/>
    <x v="1"/>
    <s v="CO₂"/>
    <n v="258.93"/>
    <x v="0"/>
  </r>
  <r>
    <s v="F028"/>
    <x v="4"/>
    <x v="0"/>
    <x v="0"/>
    <s v="N₂O"/>
    <n v="850.45"/>
    <x v="0"/>
  </r>
  <r>
    <s v="F171"/>
    <x v="4"/>
    <x v="3"/>
    <x v="1"/>
    <s v="N₂O"/>
    <n v="1887.87"/>
    <x v="1"/>
  </r>
  <r>
    <s v="F082"/>
    <x v="0"/>
    <x v="3"/>
    <x v="2"/>
    <s v="N₂O"/>
    <n v="533.01"/>
    <x v="1"/>
  </r>
  <r>
    <s v="F183"/>
    <x v="3"/>
    <x v="0"/>
    <x v="2"/>
    <s v="CH₄"/>
    <n v="572.46"/>
    <x v="0"/>
  </r>
  <r>
    <s v="F090"/>
    <x v="2"/>
    <x v="1"/>
    <x v="2"/>
    <s v="N₂O"/>
    <n v="4635.99"/>
    <x v="0"/>
  </r>
  <r>
    <s v="F131"/>
    <x v="4"/>
    <x v="3"/>
    <x v="1"/>
    <s v="N₂O"/>
    <n v="4891.97"/>
    <x v="1"/>
  </r>
  <r>
    <s v="F200"/>
    <x v="1"/>
    <x v="2"/>
    <x v="2"/>
    <s v="CH₄"/>
    <n v="1184.1400000000001"/>
    <x v="1"/>
  </r>
  <r>
    <s v="F028"/>
    <x v="4"/>
    <x v="1"/>
    <x v="1"/>
    <s v="CO₂"/>
    <n v="802.03"/>
    <x v="0"/>
  </r>
  <r>
    <s v="F042"/>
    <x v="1"/>
    <x v="1"/>
    <x v="0"/>
    <s v="CH₄"/>
    <n v="2408.48"/>
    <x v="0"/>
  </r>
  <r>
    <s v="F157"/>
    <x v="0"/>
    <x v="1"/>
    <x v="0"/>
    <s v="CO₂"/>
    <n v="3733.16"/>
    <x v="0"/>
  </r>
  <r>
    <s v="F010"/>
    <x v="0"/>
    <x v="2"/>
    <x v="0"/>
    <s v="N₂O"/>
    <n v="163.44999999999999"/>
    <x v="1"/>
  </r>
  <r>
    <s v="F053"/>
    <x v="0"/>
    <x v="2"/>
    <x v="1"/>
    <s v="CO₂"/>
    <n v="106.8"/>
    <x v="1"/>
  </r>
  <r>
    <s v="F174"/>
    <x v="3"/>
    <x v="3"/>
    <x v="1"/>
    <s v="CO₂"/>
    <n v="2626.92"/>
    <x v="1"/>
  </r>
  <r>
    <s v="F139"/>
    <x v="0"/>
    <x v="0"/>
    <x v="1"/>
    <s v="CO₂"/>
    <n v="4932.7299999999996"/>
    <x v="0"/>
  </r>
  <r>
    <s v="F123"/>
    <x v="1"/>
    <x v="0"/>
    <x v="2"/>
    <s v="N₂O"/>
    <n v="2097.4"/>
    <x v="0"/>
  </r>
  <r>
    <s v="F003"/>
    <x v="3"/>
    <x v="1"/>
    <x v="0"/>
    <s v="CO₂"/>
    <n v="3185.28"/>
    <x v="0"/>
  </r>
  <r>
    <s v="F148"/>
    <x v="1"/>
    <x v="3"/>
    <x v="1"/>
    <s v="CH₄"/>
    <n v="3081.68"/>
    <x v="1"/>
  </r>
  <r>
    <s v="F040"/>
    <x v="0"/>
    <x v="1"/>
    <x v="2"/>
    <s v="CO₂"/>
    <n v="1531.36"/>
    <x v="0"/>
  </r>
  <r>
    <s v="F067"/>
    <x v="1"/>
    <x v="3"/>
    <x v="1"/>
    <s v="CH₄"/>
    <n v="1564.12"/>
    <x v="1"/>
  </r>
  <r>
    <s v="F108"/>
    <x v="3"/>
    <x v="2"/>
    <x v="2"/>
    <s v="CH₄"/>
    <n v="3016.94"/>
    <x v="1"/>
  </r>
  <r>
    <s v="F012"/>
    <x v="3"/>
    <x v="3"/>
    <x v="0"/>
    <s v="CO₂"/>
    <n v="3853.19"/>
    <x v="1"/>
  </r>
  <r>
    <s v="F170"/>
    <x v="2"/>
    <x v="2"/>
    <x v="2"/>
    <s v="CH₄"/>
    <n v="459.36"/>
    <x v="1"/>
  </r>
  <r>
    <s v="F180"/>
    <x v="2"/>
    <x v="2"/>
    <x v="1"/>
    <s v="CO₂"/>
    <n v="2792.22"/>
    <x v="1"/>
  </r>
  <r>
    <s v="F100"/>
    <x v="0"/>
    <x v="3"/>
    <x v="2"/>
    <s v="CO₂"/>
    <n v="4129.93"/>
    <x v="1"/>
  </r>
  <r>
    <s v="F130"/>
    <x v="3"/>
    <x v="3"/>
    <x v="2"/>
    <s v="CO₂"/>
    <n v="2515.67"/>
    <x v="1"/>
  </r>
  <r>
    <s v="F017"/>
    <x v="2"/>
    <x v="1"/>
    <x v="0"/>
    <s v="CH₄"/>
    <n v="1577.95"/>
    <x v="0"/>
  </r>
  <r>
    <s v="F031"/>
    <x v="3"/>
    <x v="1"/>
    <x v="0"/>
    <s v="N₂O"/>
    <n v="4224.2"/>
    <x v="0"/>
  </r>
  <r>
    <s v="F108"/>
    <x v="3"/>
    <x v="2"/>
    <x v="0"/>
    <s v="N₂O"/>
    <n v="4932.3999999999996"/>
    <x v="1"/>
  </r>
  <r>
    <s v="F189"/>
    <x v="0"/>
    <x v="1"/>
    <x v="2"/>
    <s v="CH₄"/>
    <n v="1505.22"/>
    <x v="0"/>
  </r>
  <r>
    <s v="F009"/>
    <x v="0"/>
    <x v="2"/>
    <x v="0"/>
    <s v="CO₂"/>
    <n v="2186.84"/>
    <x v="1"/>
  </r>
  <r>
    <s v="F010"/>
    <x v="0"/>
    <x v="1"/>
    <x v="1"/>
    <s v="CH₄"/>
    <n v="1236.5999999999999"/>
    <x v="0"/>
  </r>
  <r>
    <s v="F102"/>
    <x v="1"/>
    <x v="3"/>
    <x v="1"/>
    <s v="CH₄"/>
    <n v="950.62"/>
    <x v="1"/>
  </r>
  <r>
    <s v="F189"/>
    <x v="0"/>
    <x v="3"/>
    <x v="0"/>
    <s v="CH₄"/>
    <n v="1417.73"/>
    <x v="1"/>
  </r>
  <r>
    <s v="F096"/>
    <x v="0"/>
    <x v="0"/>
    <x v="1"/>
    <s v="CH₄"/>
    <n v="1840.6"/>
    <x v="0"/>
  </r>
  <r>
    <s v="F022"/>
    <x v="4"/>
    <x v="3"/>
    <x v="2"/>
    <s v="CO₂"/>
    <n v="136.41"/>
    <x v="1"/>
  </r>
  <r>
    <s v="F139"/>
    <x v="0"/>
    <x v="2"/>
    <x v="1"/>
    <s v="N₂O"/>
    <n v="2167.6999999999998"/>
    <x v="1"/>
  </r>
  <r>
    <s v="F097"/>
    <x v="1"/>
    <x v="1"/>
    <x v="2"/>
    <s v="N₂O"/>
    <n v="3755.45"/>
    <x v="0"/>
  </r>
  <r>
    <s v="F064"/>
    <x v="1"/>
    <x v="1"/>
    <x v="2"/>
    <s v="CH₄"/>
    <n v="1313.84"/>
    <x v="0"/>
  </r>
  <r>
    <s v="F155"/>
    <x v="2"/>
    <x v="1"/>
    <x v="0"/>
    <s v="CH₄"/>
    <n v="460.08"/>
    <x v="0"/>
  </r>
  <r>
    <s v="F098"/>
    <x v="4"/>
    <x v="1"/>
    <x v="0"/>
    <s v="N₂O"/>
    <n v="2230.08"/>
    <x v="0"/>
  </r>
  <r>
    <s v="F158"/>
    <x v="3"/>
    <x v="0"/>
    <x v="1"/>
    <s v="N₂O"/>
    <n v="324.83"/>
    <x v="0"/>
  </r>
  <r>
    <s v="F119"/>
    <x v="2"/>
    <x v="2"/>
    <x v="0"/>
    <s v="CH₄"/>
    <n v="621.27"/>
    <x v="1"/>
  </r>
  <r>
    <s v="F178"/>
    <x v="3"/>
    <x v="2"/>
    <x v="2"/>
    <s v="CH₄"/>
    <n v="1054.75"/>
    <x v="1"/>
  </r>
  <r>
    <s v="F082"/>
    <x v="0"/>
    <x v="1"/>
    <x v="0"/>
    <s v="CO₂"/>
    <n v="5086.7299999999996"/>
    <x v="0"/>
  </r>
  <r>
    <s v="F080"/>
    <x v="3"/>
    <x v="2"/>
    <x v="2"/>
    <s v="N₂O"/>
    <n v="733.07"/>
    <x v="1"/>
  </r>
  <r>
    <s v="F184"/>
    <x v="0"/>
    <x v="1"/>
    <x v="1"/>
    <s v="N₂O"/>
    <n v="4608.12"/>
    <x v="0"/>
  </r>
  <r>
    <s v="F134"/>
    <x v="3"/>
    <x v="2"/>
    <x v="2"/>
    <s v="CH₄"/>
    <n v="3092.45"/>
    <x v="1"/>
  </r>
  <r>
    <s v="F024"/>
    <x v="4"/>
    <x v="3"/>
    <x v="1"/>
    <s v="CO₂"/>
    <n v="824.2"/>
    <x v="1"/>
  </r>
  <r>
    <s v="F026"/>
    <x v="2"/>
    <x v="0"/>
    <x v="2"/>
    <s v="CH₄"/>
    <n v="1816.62"/>
    <x v="0"/>
  </r>
  <r>
    <s v="F155"/>
    <x v="2"/>
    <x v="1"/>
    <x v="0"/>
    <s v="CO₂"/>
    <n v="1750.32"/>
    <x v="0"/>
  </r>
  <r>
    <s v="F043"/>
    <x v="0"/>
    <x v="1"/>
    <x v="0"/>
    <s v="CH₄"/>
    <n v="4387.17"/>
    <x v="0"/>
  </r>
  <r>
    <s v="F179"/>
    <x v="1"/>
    <x v="2"/>
    <x v="2"/>
    <s v="N₂O"/>
    <n v="3959.46"/>
    <x v="1"/>
  </r>
  <r>
    <s v="F120"/>
    <x v="4"/>
    <x v="2"/>
    <x v="2"/>
    <s v="N₂O"/>
    <n v="976.87"/>
    <x v="1"/>
  </r>
  <r>
    <s v="F037"/>
    <x v="3"/>
    <x v="0"/>
    <x v="1"/>
    <s v="N₂O"/>
    <n v="836.5"/>
    <x v="0"/>
  </r>
  <r>
    <s v="F066"/>
    <x v="4"/>
    <x v="3"/>
    <x v="1"/>
    <s v="CO₂"/>
    <n v="4095.46"/>
    <x v="1"/>
  </r>
  <r>
    <s v="F041"/>
    <x v="1"/>
    <x v="2"/>
    <x v="2"/>
    <s v="CO₂"/>
    <n v="3574.84"/>
    <x v="1"/>
  </r>
  <r>
    <s v="F110"/>
    <x v="4"/>
    <x v="3"/>
    <x v="2"/>
    <s v="N₂O"/>
    <n v="4705.34"/>
    <x v="1"/>
  </r>
  <r>
    <s v="F154"/>
    <x v="0"/>
    <x v="1"/>
    <x v="1"/>
    <s v="N₂O"/>
    <n v="4617.59"/>
    <x v="0"/>
  </r>
  <r>
    <s v="F117"/>
    <x v="2"/>
    <x v="0"/>
    <x v="1"/>
    <s v="CH₄"/>
    <n v="3378.57"/>
    <x v="0"/>
  </r>
  <r>
    <s v="F106"/>
    <x v="3"/>
    <x v="2"/>
    <x v="2"/>
    <s v="CH₄"/>
    <n v="1071.83"/>
    <x v="1"/>
  </r>
  <r>
    <s v="F140"/>
    <x v="4"/>
    <x v="1"/>
    <x v="0"/>
    <s v="N₂O"/>
    <n v="958.65"/>
    <x v="0"/>
  </r>
  <r>
    <s v="F017"/>
    <x v="2"/>
    <x v="2"/>
    <x v="0"/>
    <s v="N₂O"/>
    <n v="1194.6400000000001"/>
    <x v="1"/>
  </r>
  <r>
    <s v="F151"/>
    <x v="2"/>
    <x v="3"/>
    <x v="0"/>
    <s v="N₂O"/>
    <n v="1366.75"/>
    <x v="1"/>
  </r>
  <r>
    <s v="F056"/>
    <x v="4"/>
    <x v="2"/>
    <x v="1"/>
    <s v="CO₂"/>
    <n v="1936.56"/>
    <x v="1"/>
  </r>
  <r>
    <s v="F065"/>
    <x v="1"/>
    <x v="1"/>
    <x v="0"/>
    <s v="CH₄"/>
    <n v="872.02"/>
    <x v="0"/>
  </r>
  <r>
    <s v="F026"/>
    <x v="2"/>
    <x v="3"/>
    <x v="2"/>
    <s v="CO₂"/>
    <n v="4730.6899999999996"/>
    <x v="1"/>
  </r>
  <r>
    <s v="F036"/>
    <x v="3"/>
    <x v="1"/>
    <x v="0"/>
    <s v="CH₄"/>
    <n v="3135.12"/>
    <x v="0"/>
  </r>
  <r>
    <s v="F076"/>
    <x v="2"/>
    <x v="2"/>
    <x v="0"/>
    <s v="CO₂"/>
    <n v="1288.69"/>
    <x v="1"/>
  </r>
  <r>
    <s v="F172"/>
    <x v="4"/>
    <x v="0"/>
    <x v="1"/>
    <s v="CH₄"/>
    <n v="3302.89"/>
    <x v="0"/>
  </r>
  <r>
    <s v="F136"/>
    <x v="1"/>
    <x v="1"/>
    <x v="2"/>
    <s v="CO₂"/>
    <n v="1167.23"/>
    <x v="0"/>
  </r>
  <r>
    <s v="F101"/>
    <x v="3"/>
    <x v="3"/>
    <x v="0"/>
    <s v="CH₄"/>
    <n v="1716.99"/>
    <x v="1"/>
  </r>
  <r>
    <s v="F133"/>
    <x v="2"/>
    <x v="1"/>
    <x v="2"/>
    <s v="N₂O"/>
    <n v="2018.44"/>
    <x v="0"/>
  </r>
  <r>
    <s v="F174"/>
    <x v="3"/>
    <x v="2"/>
    <x v="0"/>
    <s v="CH₄"/>
    <n v="5025.54"/>
    <x v="1"/>
  </r>
  <r>
    <s v="F062"/>
    <x v="2"/>
    <x v="3"/>
    <x v="0"/>
    <s v="CO₂"/>
    <n v="2513.3000000000002"/>
    <x v="1"/>
  </r>
  <r>
    <s v="F109"/>
    <x v="0"/>
    <x v="0"/>
    <x v="1"/>
    <s v="CO₂"/>
    <n v="2145.48"/>
    <x v="0"/>
  </r>
  <r>
    <s v="F025"/>
    <x v="4"/>
    <x v="1"/>
    <x v="1"/>
    <s v="CH₄"/>
    <n v="1701.79"/>
    <x v="0"/>
  </r>
  <r>
    <s v="F127"/>
    <x v="3"/>
    <x v="3"/>
    <x v="2"/>
    <s v="CO₂"/>
    <n v="1017.33"/>
    <x v="1"/>
  </r>
  <r>
    <s v="F062"/>
    <x v="2"/>
    <x v="0"/>
    <x v="2"/>
    <s v="CO₂"/>
    <n v="4417.58"/>
    <x v="0"/>
  </r>
  <r>
    <s v="F153"/>
    <x v="3"/>
    <x v="0"/>
    <x v="1"/>
    <s v="CH₄"/>
    <n v="2948.39"/>
    <x v="0"/>
  </r>
  <r>
    <s v="F029"/>
    <x v="4"/>
    <x v="2"/>
    <x v="2"/>
    <s v="N₂O"/>
    <n v="2543.38"/>
    <x v="1"/>
  </r>
  <r>
    <s v="F038"/>
    <x v="4"/>
    <x v="1"/>
    <x v="0"/>
    <s v="CO₂"/>
    <n v="3031.49"/>
    <x v="0"/>
  </r>
  <r>
    <s v="F128"/>
    <x v="2"/>
    <x v="3"/>
    <x v="0"/>
    <s v="CO₂"/>
    <n v="4209.3500000000004"/>
    <x v="1"/>
  </r>
  <r>
    <s v="F015"/>
    <x v="4"/>
    <x v="0"/>
    <x v="1"/>
    <s v="N₂O"/>
    <n v="3571.08"/>
    <x v="0"/>
  </r>
  <r>
    <s v="F005"/>
    <x v="4"/>
    <x v="0"/>
    <x v="2"/>
    <s v="CO₂"/>
    <n v="887.49"/>
    <x v="0"/>
  </r>
  <r>
    <s v="F147"/>
    <x v="1"/>
    <x v="0"/>
    <x v="2"/>
    <s v="CH₄"/>
    <n v="1618.49"/>
    <x v="0"/>
  </r>
  <r>
    <s v="F192"/>
    <x v="4"/>
    <x v="0"/>
    <x v="0"/>
    <s v="CH₄"/>
    <n v="4625.46"/>
    <x v="0"/>
  </r>
  <r>
    <s v="F153"/>
    <x v="3"/>
    <x v="3"/>
    <x v="2"/>
    <s v="CH₄"/>
    <n v="968.64"/>
    <x v="1"/>
  </r>
  <r>
    <s v="F095"/>
    <x v="2"/>
    <x v="2"/>
    <x v="0"/>
    <s v="CO₂"/>
    <n v="2182.06"/>
    <x v="1"/>
  </r>
  <r>
    <s v="F054"/>
    <x v="3"/>
    <x v="2"/>
    <x v="0"/>
    <s v="N₂O"/>
    <n v="2401.34"/>
    <x v="1"/>
  </r>
  <r>
    <s v="F045"/>
    <x v="0"/>
    <x v="3"/>
    <x v="0"/>
    <s v="CH₄"/>
    <n v="1887.97"/>
    <x v="1"/>
  </r>
  <r>
    <s v="F046"/>
    <x v="4"/>
    <x v="3"/>
    <x v="1"/>
    <s v="CO₂"/>
    <n v="1740.85"/>
    <x v="1"/>
  </r>
  <r>
    <s v="F176"/>
    <x v="4"/>
    <x v="0"/>
    <x v="0"/>
    <s v="N₂O"/>
    <n v="4524.0200000000004"/>
    <x v="0"/>
  </r>
  <r>
    <s v="F175"/>
    <x v="3"/>
    <x v="3"/>
    <x v="0"/>
    <s v="CH₄"/>
    <n v="4975.54"/>
    <x v="1"/>
  </r>
  <r>
    <s v="F168"/>
    <x v="2"/>
    <x v="1"/>
    <x v="2"/>
    <s v="CH₄"/>
    <n v="1573"/>
    <x v="0"/>
  </r>
  <r>
    <s v="F141"/>
    <x v="1"/>
    <x v="3"/>
    <x v="2"/>
    <s v="CH₄"/>
    <n v="1578.72"/>
    <x v="1"/>
  </r>
  <r>
    <s v="F196"/>
    <x v="4"/>
    <x v="3"/>
    <x v="0"/>
    <s v="N₂O"/>
    <n v="3818.5"/>
    <x v="1"/>
  </r>
  <r>
    <s v="F197"/>
    <x v="2"/>
    <x v="2"/>
    <x v="2"/>
    <s v="N₂O"/>
    <n v="2731.54"/>
    <x v="1"/>
  </r>
  <r>
    <s v="F156"/>
    <x v="2"/>
    <x v="0"/>
    <x v="1"/>
    <s v="N₂O"/>
    <n v="156.84"/>
    <x v="0"/>
  </r>
  <r>
    <s v="F063"/>
    <x v="4"/>
    <x v="2"/>
    <x v="2"/>
    <s v="CH₄"/>
    <n v="300.70999999999998"/>
    <x v="1"/>
  </r>
  <r>
    <s v="F162"/>
    <x v="3"/>
    <x v="3"/>
    <x v="2"/>
    <s v="CH₄"/>
    <n v="4929.3599999999997"/>
    <x v="1"/>
  </r>
  <r>
    <s v="F184"/>
    <x v="0"/>
    <x v="1"/>
    <x v="0"/>
    <s v="CH₄"/>
    <n v="2623.47"/>
    <x v="0"/>
  </r>
  <r>
    <s v="F144"/>
    <x v="2"/>
    <x v="2"/>
    <x v="0"/>
    <s v="CH₄"/>
    <n v="3247.07"/>
    <x v="1"/>
  </r>
  <r>
    <s v="F151"/>
    <x v="2"/>
    <x v="2"/>
    <x v="2"/>
    <s v="N₂O"/>
    <n v="1917.71"/>
    <x v="1"/>
  </r>
  <r>
    <s v="F159"/>
    <x v="0"/>
    <x v="1"/>
    <x v="2"/>
    <s v="N₂O"/>
    <n v="3841.45"/>
    <x v="0"/>
  </r>
  <r>
    <s v="F089"/>
    <x v="4"/>
    <x v="3"/>
    <x v="2"/>
    <s v="CH₄"/>
    <n v="4035.07"/>
    <x v="1"/>
  </r>
  <r>
    <s v="F004"/>
    <x v="0"/>
    <x v="3"/>
    <x v="1"/>
    <s v="CO₂"/>
    <n v="3477.6"/>
    <x v="1"/>
  </r>
  <r>
    <s v="F110"/>
    <x v="4"/>
    <x v="0"/>
    <x v="1"/>
    <s v="N₂O"/>
    <n v="1743.67"/>
    <x v="0"/>
  </r>
  <r>
    <s v="F124"/>
    <x v="3"/>
    <x v="0"/>
    <x v="0"/>
    <s v="N₂O"/>
    <n v="2351.44"/>
    <x v="0"/>
  </r>
  <r>
    <s v="F105"/>
    <x v="0"/>
    <x v="0"/>
    <x v="1"/>
    <s v="CH₄"/>
    <n v="4335.1400000000003"/>
    <x v="0"/>
  </r>
  <r>
    <s v="F197"/>
    <x v="2"/>
    <x v="0"/>
    <x v="2"/>
    <s v="CO₂"/>
    <n v="4697.66"/>
    <x v="0"/>
  </r>
  <r>
    <s v="F085"/>
    <x v="4"/>
    <x v="2"/>
    <x v="2"/>
    <s v="CO₂"/>
    <n v="3378.49"/>
    <x v="1"/>
  </r>
  <r>
    <s v="F191"/>
    <x v="0"/>
    <x v="3"/>
    <x v="1"/>
    <s v="CH₄"/>
    <n v="4068.86"/>
    <x v="1"/>
  </r>
  <r>
    <s v="F134"/>
    <x v="3"/>
    <x v="3"/>
    <x v="0"/>
    <s v="CH₄"/>
    <n v="4658.54"/>
    <x v="1"/>
  </r>
  <r>
    <s v="F126"/>
    <x v="2"/>
    <x v="0"/>
    <x v="0"/>
    <s v="CH₄"/>
    <n v="3516.45"/>
    <x v="0"/>
  </r>
  <r>
    <s v="F044"/>
    <x v="1"/>
    <x v="3"/>
    <x v="0"/>
    <s v="CO₂"/>
    <n v="3133.83"/>
    <x v="1"/>
  </r>
  <r>
    <s v="F025"/>
    <x v="4"/>
    <x v="1"/>
    <x v="2"/>
    <s v="CO₂"/>
    <n v="1951.82"/>
    <x v="0"/>
  </r>
  <r>
    <s v="F028"/>
    <x v="4"/>
    <x v="3"/>
    <x v="0"/>
    <s v="CH₄"/>
    <n v="2056.02"/>
    <x v="1"/>
  </r>
  <r>
    <s v="F103"/>
    <x v="4"/>
    <x v="2"/>
    <x v="1"/>
    <s v="CH₄"/>
    <n v="377.76"/>
    <x v="1"/>
  </r>
  <r>
    <s v="F043"/>
    <x v="0"/>
    <x v="0"/>
    <x v="1"/>
    <s v="N₂O"/>
    <n v="4676.8"/>
    <x v="0"/>
  </r>
  <r>
    <s v="F123"/>
    <x v="1"/>
    <x v="2"/>
    <x v="0"/>
    <s v="CO₂"/>
    <n v="3984.46"/>
    <x v="1"/>
  </r>
  <r>
    <s v="F117"/>
    <x v="2"/>
    <x v="1"/>
    <x v="0"/>
    <s v="CO₂"/>
    <n v="1346.68"/>
    <x v="0"/>
  </r>
  <r>
    <s v="F007"/>
    <x v="4"/>
    <x v="1"/>
    <x v="0"/>
    <s v="N₂O"/>
    <n v="4869.82"/>
    <x v="0"/>
  </r>
  <r>
    <s v="F043"/>
    <x v="0"/>
    <x v="3"/>
    <x v="0"/>
    <s v="CO₂"/>
    <n v="2329.09"/>
    <x v="1"/>
  </r>
  <r>
    <s v="F188"/>
    <x v="3"/>
    <x v="0"/>
    <x v="0"/>
    <s v="CO₂"/>
    <n v="4828.6000000000004"/>
    <x v="0"/>
  </r>
  <r>
    <s v="F125"/>
    <x v="1"/>
    <x v="0"/>
    <x v="2"/>
    <s v="CH₄"/>
    <n v="3423.67"/>
    <x v="0"/>
  </r>
  <r>
    <s v="F123"/>
    <x v="1"/>
    <x v="3"/>
    <x v="1"/>
    <s v="CH₄"/>
    <n v="2957.49"/>
    <x v="1"/>
  </r>
  <r>
    <s v="F051"/>
    <x v="4"/>
    <x v="1"/>
    <x v="1"/>
    <s v="CO₂"/>
    <n v="3128.34"/>
    <x v="0"/>
  </r>
  <r>
    <s v="F174"/>
    <x v="3"/>
    <x v="3"/>
    <x v="0"/>
    <s v="N₂O"/>
    <n v="4548.07"/>
    <x v="1"/>
  </r>
  <r>
    <s v="F010"/>
    <x v="0"/>
    <x v="2"/>
    <x v="1"/>
    <s v="CO₂"/>
    <n v="3929.66"/>
    <x v="1"/>
  </r>
  <r>
    <s v="F028"/>
    <x v="4"/>
    <x v="1"/>
    <x v="0"/>
    <s v="CH₄"/>
    <n v="3790.62"/>
    <x v="0"/>
  </r>
  <r>
    <s v="F155"/>
    <x v="2"/>
    <x v="1"/>
    <x v="2"/>
    <s v="N₂O"/>
    <n v="4480.07"/>
    <x v="0"/>
  </r>
  <r>
    <s v="F103"/>
    <x v="4"/>
    <x v="2"/>
    <x v="2"/>
    <s v="CH₄"/>
    <n v="4123.79"/>
    <x v="1"/>
  </r>
  <r>
    <s v="F037"/>
    <x v="3"/>
    <x v="1"/>
    <x v="1"/>
    <s v="CH₄"/>
    <n v="100.8"/>
    <x v="0"/>
  </r>
  <r>
    <s v="F082"/>
    <x v="0"/>
    <x v="2"/>
    <x v="2"/>
    <s v="CH₄"/>
    <n v="4783.3999999999996"/>
    <x v="1"/>
  </r>
  <r>
    <s v="F167"/>
    <x v="2"/>
    <x v="2"/>
    <x v="0"/>
    <s v="CH₄"/>
    <n v="2568.52"/>
    <x v="1"/>
  </r>
  <r>
    <s v="F008"/>
    <x v="3"/>
    <x v="1"/>
    <x v="2"/>
    <s v="CO₂"/>
    <n v="246.64"/>
    <x v="0"/>
  </r>
  <r>
    <s v="F019"/>
    <x v="0"/>
    <x v="0"/>
    <x v="1"/>
    <s v="CO₂"/>
    <n v="498.61"/>
    <x v="0"/>
  </r>
  <r>
    <s v="F050"/>
    <x v="0"/>
    <x v="0"/>
    <x v="1"/>
    <s v="CH₄"/>
    <n v="3705.73"/>
    <x v="0"/>
  </r>
  <r>
    <s v="F001"/>
    <x v="1"/>
    <x v="2"/>
    <x v="2"/>
    <s v="N₂O"/>
    <n v="470.38"/>
    <x v="1"/>
  </r>
  <r>
    <s v="F132"/>
    <x v="4"/>
    <x v="2"/>
    <x v="2"/>
    <s v="CH₄"/>
    <n v="2355.87"/>
    <x v="1"/>
  </r>
  <r>
    <s v="F138"/>
    <x v="0"/>
    <x v="1"/>
    <x v="1"/>
    <s v="CH₄"/>
    <n v="484.51"/>
    <x v="0"/>
  </r>
  <r>
    <s v="F106"/>
    <x v="3"/>
    <x v="2"/>
    <x v="1"/>
    <s v="CO₂"/>
    <n v="3299.33"/>
    <x v="1"/>
  </r>
  <r>
    <s v="F064"/>
    <x v="1"/>
    <x v="3"/>
    <x v="2"/>
    <s v="CH₄"/>
    <n v="3312.29"/>
    <x v="1"/>
  </r>
  <r>
    <s v="F071"/>
    <x v="4"/>
    <x v="0"/>
    <x v="2"/>
    <s v="CO₂"/>
    <n v="2017.59"/>
    <x v="0"/>
  </r>
  <r>
    <s v="F027"/>
    <x v="4"/>
    <x v="3"/>
    <x v="0"/>
    <s v="CH₄"/>
    <n v="3564.21"/>
    <x v="1"/>
  </r>
  <r>
    <s v="F174"/>
    <x v="3"/>
    <x v="1"/>
    <x v="0"/>
    <s v="N₂O"/>
    <n v="4913.54"/>
    <x v="0"/>
  </r>
  <r>
    <s v="F066"/>
    <x v="4"/>
    <x v="3"/>
    <x v="0"/>
    <s v="CH₄"/>
    <n v="1184.8599999999999"/>
    <x v="1"/>
  </r>
  <r>
    <s v="F088"/>
    <x v="0"/>
    <x v="3"/>
    <x v="1"/>
    <s v="N₂O"/>
    <n v="3845.16"/>
    <x v="1"/>
  </r>
  <r>
    <s v="F173"/>
    <x v="1"/>
    <x v="3"/>
    <x v="2"/>
    <s v="CH₄"/>
    <n v="2288.2800000000002"/>
    <x v="1"/>
  </r>
  <r>
    <s v="F182"/>
    <x v="3"/>
    <x v="3"/>
    <x v="2"/>
    <s v="CO₂"/>
    <n v="751.28"/>
    <x v="1"/>
  </r>
  <r>
    <s v="F116"/>
    <x v="2"/>
    <x v="3"/>
    <x v="2"/>
    <s v="N₂O"/>
    <n v="2159.65"/>
    <x v="1"/>
  </r>
  <r>
    <s v="F099"/>
    <x v="3"/>
    <x v="3"/>
    <x v="2"/>
    <s v="CO₂"/>
    <n v="3251.65"/>
    <x v="1"/>
  </r>
  <r>
    <s v="F156"/>
    <x v="2"/>
    <x v="2"/>
    <x v="0"/>
    <s v="N₂O"/>
    <n v="4889.75"/>
    <x v="1"/>
  </r>
  <r>
    <s v="F052"/>
    <x v="3"/>
    <x v="2"/>
    <x v="2"/>
    <s v="CH₄"/>
    <n v="608.37"/>
    <x v="1"/>
  </r>
  <r>
    <s v="F173"/>
    <x v="1"/>
    <x v="1"/>
    <x v="0"/>
    <s v="CH₄"/>
    <n v="3246.99"/>
    <x v="0"/>
  </r>
  <r>
    <s v="F017"/>
    <x v="2"/>
    <x v="3"/>
    <x v="1"/>
    <s v="CH₄"/>
    <n v="4214.38"/>
    <x v="1"/>
  </r>
  <r>
    <s v="F065"/>
    <x v="1"/>
    <x v="1"/>
    <x v="2"/>
    <s v="CH₄"/>
    <n v="2178.11"/>
    <x v="0"/>
  </r>
  <r>
    <s v="F026"/>
    <x v="2"/>
    <x v="2"/>
    <x v="2"/>
    <s v="CH₄"/>
    <n v="4250.24"/>
    <x v="1"/>
  </r>
  <r>
    <s v="F132"/>
    <x v="4"/>
    <x v="3"/>
    <x v="1"/>
    <s v="CH₄"/>
    <n v="1294.92"/>
    <x v="1"/>
  </r>
  <r>
    <s v="F156"/>
    <x v="2"/>
    <x v="1"/>
    <x v="1"/>
    <s v="N₂O"/>
    <n v="498.85"/>
    <x v="0"/>
  </r>
  <r>
    <s v="F032"/>
    <x v="1"/>
    <x v="2"/>
    <x v="2"/>
    <s v="CO₂"/>
    <n v="4605.3599999999997"/>
    <x v="1"/>
  </r>
  <r>
    <s v="F155"/>
    <x v="2"/>
    <x v="2"/>
    <x v="1"/>
    <s v="N₂O"/>
    <n v="4590.9799999999996"/>
    <x v="1"/>
  </r>
  <r>
    <s v="F001"/>
    <x v="1"/>
    <x v="1"/>
    <x v="2"/>
    <s v="CO₂"/>
    <n v="2454.27"/>
    <x v="0"/>
  </r>
  <r>
    <s v="F127"/>
    <x v="3"/>
    <x v="1"/>
    <x v="0"/>
    <s v="N₂O"/>
    <n v="2083"/>
    <x v="0"/>
  </r>
  <r>
    <s v="F035"/>
    <x v="4"/>
    <x v="0"/>
    <x v="0"/>
    <s v="N₂O"/>
    <n v="3207.76"/>
    <x v="0"/>
  </r>
  <r>
    <s v="F055"/>
    <x v="2"/>
    <x v="0"/>
    <x v="0"/>
    <s v="CH₄"/>
    <n v="4200.42"/>
    <x v="0"/>
  </r>
  <r>
    <s v="F097"/>
    <x v="1"/>
    <x v="2"/>
    <x v="0"/>
    <s v="CH₄"/>
    <n v="4705.21"/>
    <x v="1"/>
  </r>
  <r>
    <s v="F194"/>
    <x v="3"/>
    <x v="1"/>
    <x v="1"/>
    <s v="N₂O"/>
    <n v="171.51"/>
    <x v="0"/>
  </r>
  <r>
    <s v="F001"/>
    <x v="1"/>
    <x v="3"/>
    <x v="0"/>
    <s v="N₂O"/>
    <n v="2210.63"/>
    <x v="1"/>
  </r>
  <r>
    <s v="F021"/>
    <x v="1"/>
    <x v="2"/>
    <x v="0"/>
    <s v="N₂O"/>
    <n v="4978.93"/>
    <x v="1"/>
  </r>
  <r>
    <s v="F199"/>
    <x v="0"/>
    <x v="0"/>
    <x v="2"/>
    <s v="CO₂"/>
    <n v="3657.98"/>
    <x v="0"/>
  </r>
  <r>
    <s v="F090"/>
    <x v="2"/>
    <x v="2"/>
    <x v="2"/>
    <s v="N₂O"/>
    <n v="1516.4"/>
    <x v="1"/>
  </r>
  <r>
    <s v="F008"/>
    <x v="3"/>
    <x v="2"/>
    <x v="2"/>
    <s v="CH₄"/>
    <n v="1707.15"/>
    <x v="1"/>
  </r>
  <r>
    <s v="F073"/>
    <x v="3"/>
    <x v="3"/>
    <x v="1"/>
    <s v="N₂O"/>
    <n v="526.19000000000005"/>
    <x v="1"/>
  </r>
  <r>
    <s v="F119"/>
    <x v="2"/>
    <x v="0"/>
    <x v="0"/>
    <s v="N₂O"/>
    <n v="5253.41"/>
    <x v="0"/>
  </r>
  <r>
    <s v="F028"/>
    <x v="4"/>
    <x v="0"/>
    <x v="0"/>
    <s v="CO₂"/>
    <n v="3617.9"/>
    <x v="0"/>
  </r>
  <r>
    <s v="F004"/>
    <x v="0"/>
    <x v="1"/>
    <x v="2"/>
    <s v="CH₄"/>
    <n v="698.65"/>
    <x v="0"/>
  </r>
  <r>
    <s v="F021"/>
    <x v="1"/>
    <x v="2"/>
    <x v="0"/>
    <s v="N₂O"/>
    <n v="4671.97"/>
    <x v="1"/>
  </r>
  <r>
    <s v="F122"/>
    <x v="4"/>
    <x v="2"/>
    <x v="1"/>
    <s v="CO₂"/>
    <n v="4339.82"/>
    <x v="1"/>
  </r>
  <r>
    <s v="F127"/>
    <x v="3"/>
    <x v="1"/>
    <x v="0"/>
    <s v="N₂O"/>
    <n v="132.41999999999999"/>
    <x v="0"/>
  </r>
  <r>
    <s v="F101"/>
    <x v="3"/>
    <x v="3"/>
    <x v="1"/>
    <s v="CH₄"/>
    <n v="1388.99"/>
    <x v="1"/>
  </r>
  <r>
    <s v="F177"/>
    <x v="3"/>
    <x v="2"/>
    <x v="1"/>
    <s v="CH₄"/>
    <n v="3966.31"/>
    <x v="1"/>
  </r>
  <r>
    <s v="F039"/>
    <x v="2"/>
    <x v="1"/>
    <x v="2"/>
    <s v="CO₂"/>
    <n v="2647.7"/>
    <x v="0"/>
  </r>
  <r>
    <s v="F004"/>
    <x v="0"/>
    <x v="1"/>
    <x v="2"/>
    <s v="N₂O"/>
    <n v="3541.47"/>
    <x v="0"/>
  </r>
  <r>
    <s v="F166"/>
    <x v="3"/>
    <x v="2"/>
    <x v="2"/>
    <s v="CH₄"/>
    <n v="2083.98"/>
    <x v="1"/>
  </r>
  <r>
    <s v="F031"/>
    <x v="3"/>
    <x v="2"/>
    <x v="0"/>
    <s v="CO₂"/>
    <n v="3597.22"/>
    <x v="1"/>
  </r>
  <r>
    <s v="F075"/>
    <x v="3"/>
    <x v="0"/>
    <x v="2"/>
    <s v="N₂O"/>
    <n v="3828.14"/>
    <x v="0"/>
  </r>
  <r>
    <s v="F115"/>
    <x v="3"/>
    <x v="2"/>
    <x v="0"/>
    <s v="CH₄"/>
    <n v="3705.62"/>
    <x v="1"/>
  </r>
  <r>
    <s v="F034"/>
    <x v="4"/>
    <x v="0"/>
    <x v="0"/>
    <s v="CO₂"/>
    <n v="2912.25"/>
    <x v="0"/>
  </r>
  <r>
    <s v="F175"/>
    <x v="3"/>
    <x v="3"/>
    <x v="2"/>
    <s v="N₂O"/>
    <n v="1004.91"/>
    <x v="1"/>
  </r>
  <r>
    <s v="F082"/>
    <x v="0"/>
    <x v="3"/>
    <x v="1"/>
    <s v="CH₄"/>
    <n v="4429.63"/>
    <x v="1"/>
  </r>
  <r>
    <s v="F184"/>
    <x v="0"/>
    <x v="1"/>
    <x v="0"/>
    <s v="CH₄"/>
    <n v="4951.92"/>
    <x v="0"/>
  </r>
  <r>
    <s v="F107"/>
    <x v="2"/>
    <x v="0"/>
    <x v="0"/>
    <s v="N₂O"/>
    <n v="2036.07"/>
    <x v="0"/>
  </r>
  <r>
    <s v="F157"/>
    <x v="0"/>
    <x v="0"/>
    <x v="2"/>
    <s v="CH₄"/>
    <n v="4936.1400000000003"/>
    <x v="0"/>
  </r>
  <r>
    <s v="F088"/>
    <x v="0"/>
    <x v="3"/>
    <x v="2"/>
    <s v="CO₂"/>
    <n v="2419.77"/>
    <x v="1"/>
  </r>
  <r>
    <s v="F015"/>
    <x v="4"/>
    <x v="3"/>
    <x v="0"/>
    <s v="CO₂"/>
    <n v="574.96"/>
    <x v="1"/>
  </r>
  <r>
    <s v="F136"/>
    <x v="1"/>
    <x v="1"/>
    <x v="2"/>
    <s v="CH₄"/>
    <n v="2530.5"/>
    <x v="0"/>
  </r>
  <r>
    <s v="F114"/>
    <x v="1"/>
    <x v="3"/>
    <x v="2"/>
    <s v="CH₄"/>
    <n v="4691.6499999999996"/>
    <x v="1"/>
  </r>
  <r>
    <s v="F157"/>
    <x v="0"/>
    <x v="2"/>
    <x v="2"/>
    <s v="CO₂"/>
    <n v="3798.92"/>
    <x v="1"/>
  </r>
  <r>
    <s v="F006"/>
    <x v="4"/>
    <x v="0"/>
    <x v="1"/>
    <s v="N₂O"/>
    <n v="473.15"/>
    <x v="0"/>
  </r>
  <r>
    <s v="F162"/>
    <x v="3"/>
    <x v="3"/>
    <x v="2"/>
    <s v="CO₂"/>
    <n v="2684.5"/>
    <x v="1"/>
  </r>
  <r>
    <s v="F168"/>
    <x v="2"/>
    <x v="3"/>
    <x v="0"/>
    <s v="CH₄"/>
    <n v="3207.97"/>
    <x v="1"/>
  </r>
  <r>
    <s v="F004"/>
    <x v="0"/>
    <x v="2"/>
    <x v="0"/>
    <s v="CO₂"/>
    <n v="2986.02"/>
    <x v="1"/>
  </r>
  <r>
    <s v="F132"/>
    <x v="4"/>
    <x v="0"/>
    <x v="2"/>
    <s v="CH₄"/>
    <n v="862.55"/>
    <x v="0"/>
  </r>
  <r>
    <s v="F021"/>
    <x v="1"/>
    <x v="3"/>
    <x v="1"/>
    <s v="CO₂"/>
    <n v="827.65"/>
    <x v="1"/>
  </r>
  <r>
    <s v="F125"/>
    <x v="1"/>
    <x v="0"/>
    <x v="2"/>
    <s v="CH₄"/>
    <n v="1683.73"/>
    <x v="0"/>
  </r>
  <r>
    <s v="F027"/>
    <x v="4"/>
    <x v="1"/>
    <x v="1"/>
    <s v="N₂O"/>
    <n v="1942.34"/>
    <x v="0"/>
  </r>
  <r>
    <s v="F001"/>
    <x v="1"/>
    <x v="3"/>
    <x v="1"/>
    <s v="CH₄"/>
    <n v="4550.1099999999997"/>
    <x v="1"/>
  </r>
  <r>
    <s v="F094"/>
    <x v="3"/>
    <x v="0"/>
    <x v="0"/>
    <s v="CO₂"/>
    <n v="3667.99"/>
    <x v="0"/>
  </r>
  <r>
    <s v="F034"/>
    <x v="4"/>
    <x v="2"/>
    <x v="1"/>
    <s v="N₂O"/>
    <n v="4318.42"/>
    <x v="1"/>
  </r>
  <r>
    <s v="F175"/>
    <x v="3"/>
    <x v="2"/>
    <x v="1"/>
    <s v="CH₄"/>
    <n v="3660.75"/>
    <x v="1"/>
  </r>
  <r>
    <s v="F195"/>
    <x v="1"/>
    <x v="1"/>
    <x v="1"/>
    <s v="CO₂"/>
    <n v="1074.46"/>
    <x v="0"/>
  </r>
  <r>
    <s v="F152"/>
    <x v="4"/>
    <x v="2"/>
    <x v="1"/>
    <s v="N₂O"/>
    <n v="4228.88"/>
    <x v="1"/>
  </r>
  <r>
    <s v="F124"/>
    <x v="3"/>
    <x v="3"/>
    <x v="1"/>
    <s v="N₂O"/>
    <n v="2827.96"/>
    <x v="1"/>
  </r>
  <r>
    <s v="F181"/>
    <x v="3"/>
    <x v="0"/>
    <x v="0"/>
    <s v="CH₄"/>
    <n v="1375.52"/>
    <x v="0"/>
  </r>
  <r>
    <s v="F197"/>
    <x v="2"/>
    <x v="1"/>
    <x v="0"/>
    <s v="CO₂"/>
    <n v="3501.6"/>
    <x v="0"/>
  </r>
  <r>
    <s v="F166"/>
    <x v="3"/>
    <x v="2"/>
    <x v="0"/>
    <s v="CO₂"/>
    <n v="3492.98"/>
    <x v="1"/>
  </r>
  <r>
    <s v="F160"/>
    <x v="4"/>
    <x v="1"/>
    <x v="0"/>
    <s v="N₂O"/>
    <n v="1594.78"/>
    <x v="0"/>
  </r>
  <r>
    <s v="F100"/>
    <x v="0"/>
    <x v="0"/>
    <x v="0"/>
    <s v="CO₂"/>
    <n v="4328.83"/>
    <x v="0"/>
  </r>
  <r>
    <s v="F068"/>
    <x v="0"/>
    <x v="3"/>
    <x v="0"/>
    <s v="CH₄"/>
    <n v="3820.76"/>
    <x v="1"/>
  </r>
  <r>
    <s v="F049"/>
    <x v="0"/>
    <x v="0"/>
    <x v="1"/>
    <s v="CH₄"/>
    <n v="2495.33"/>
    <x v="0"/>
  </r>
  <r>
    <s v="F051"/>
    <x v="4"/>
    <x v="2"/>
    <x v="2"/>
    <s v="CH₄"/>
    <n v="286.39"/>
    <x v="1"/>
  </r>
  <r>
    <s v="F056"/>
    <x v="4"/>
    <x v="3"/>
    <x v="1"/>
    <s v="CH₄"/>
    <n v="1994.05"/>
    <x v="1"/>
  </r>
  <r>
    <s v="F141"/>
    <x v="1"/>
    <x v="1"/>
    <x v="1"/>
    <s v="CH₄"/>
    <n v="2165.4299999999998"/>
    <x v="0"/>
  </r>
  <r>
    <s v="F107"/>
    <x v="2"/>
    <x v="2"/>
    <x v="2"/>
    <s v="CO₂"/>
    <n v="4197.01"/>
    <x v="1"/>
  </r>
  <r>
    <s v="F191"/>
    <x v="0"/>
    <x v="3"/>
    <x v="0"/>
    <s v="CH₄"/>
    <n v="1921.28"/>
    <x v="1"/>
  </r>
  <r>
    <s v="F161"/>
    <x v="2"/>
    <x v="1"/>
    <x v="2"/>
    <s v="N₂O"/>
    <n v="3491.72"/>
    <x v="0"/>
  </r>
  <r>
    <s v="F044"/>
    <x v="1"/>
    <x v="3"/>
    <x v="0"/>
    <s v="CH₄"/>
    <n v="2500.0700000000002"/>
    <x v="1"/>
  </r>
  <r>
    <s v="F189"/>
    <x v="0"/>
    <x v="1"/>
    <x v="2"/>
    <s v="CH₄"/>
    <n v="818.77"/>
    <x v="0"/>
  </r>
  <r>
    <s v="F035"/>
    <x v="4"/>
    <x v="0"/>
    <x v="2"/>
    <s v="CO₂"/>
    <n v="316.76"/>
    <x v="0"/>
  </r>
  <r>
    <s v="F067"/>
    <x v="1"/>
    <x v="1"/>
    <x v="2"/>
    <s v="CO₂"/>
    <n v="2524.56"/>
    <x v="0"/>
  </r>
  <r>
    <s v="F146"/>
    <x v="2"/>
    <x v="3"/>
    <x v="0"/>
    <s v="CO₂"/>
    <n v="1374.22"/>
    <x v="1"/>
  </r>
  <r>
    <s v="F157"/>
    <x v="0"/>
    <x v="1"/>
    <x v="2"/>
    <s v="CH₄"/>
    <n v="3494.63"/>
    <x v="0"/>
  </r>
  <r>
    <s v="F015"/>
    <x v="4"/>
    <x v="1"/>
    <x v="0"/>
    <s v="N₂O"/>
    <n v="1436.94"/>
    <x v="0"/>
  </r>
  <r>
    <s v="F188"/>
    <x v="3"/>
    <x v="1"/>
    <x v="2"/>
    <s v="CH₄"/>
    <n v="1993.57"/>
    <x v="0"/>
  </r>
  <r>
    <s v="F027"/>
    <x v="4"/>
    <x v="0"/>
    <x v="1"/>
    <s v="CO₂"/>
    <n v="2563.0100000000002"/>
    <x v="0"/>
  </r>
  <r>
    <s v="F145"/>
    <x v="4"/>
    <x v="1"/>
    <x v="2"/>
    <s v="CH₄"/>
    <n v="3772.31"/>
    <x v="0"/>
  </r>
  <r>
    <s v="F051"/>
    <x v="4"/>
    <x v="0"/>
    <x v="2"/>
    <s v="CO₂"/>
    <n v="1624.65"/>
    <x v="0"/>
  </r>
  <r>
    <s v="F138"/>
    <x v="0"/>
    <x v="1"/>
    <x v="2"/>
    <s v="CH₄"/>
    <n v="4535.0200000000004"/>
    <x v="0"/>
  </r>
  <r>
    <s v="F004"/>
    <x v="0"/>
    <x v="1"/>
    <x v="0"/>
    <s v="N₂O"/>
    <n v="3532.27"/>
    <x v="0"/>
  </r>
  <r>
    <s v="F096"/>
    <x v="0"/>
    <x v="1"/>
    <x v="1"/>
    <s v="CO₂"/>
    <n v="2581.0300000000002"/>
    <x v="0"/>
  </r>
  <r>
    <s v="F020"/>
    <x v="2"/>
    <x v="3"/>
    <x v="0"/>
    <s v="CO₂"/>
    <n v="4518.38"/>
    <x v="1"/>
  </r>
  <r>
    <s v="F055"/>
    <x v="2"/>
    <x v="1"/>
    <x v="2"/>
    <s v="N₂O"/>
    <n v="4506.08"/>
    <x v="0"/>
  </r>
  <r>
    <s v="F113"/>
    <x v="3"/>
    <x v="0"/>
    <x v="0"/>
    <s v="CO₂"/>
    <n v="3055.51"/>
    <x v="0"/>
  </r>
  <r>
    <s v="F063"/>
    <x v="4"/>
    <x v="0"/>
    <x v="1"/>
    <s v="CO₂"/>
    <n v="1376.96"/>
    <x v="0"/>
  </r>
  <r>
    <s v="F054"/>
    <x v="3"/>
    <x v="0"/>
    <x v="0"/>
    <s v="CO₂"/>
    <n v="3798.95"/>
    <x v="0"/>
  </r>
  <r>
    <s v="F033"/>
    <x v="0"/>
    <x v="0"/>
    <x v="2"/>
    <s v="CO₂"/>
    <n v="1881.41"/>
    <x v="0"/>
  </r>
  <r>
    <s v="F145"/>
    <x v="4"/>
    <x v="3"/>
    <x v="1"/>
    <s v="N₂O"/>
    <n v="1308.54"/>
    <x v="1"/>
  </r>
  <r>
    <s v="F056"/>
    <x v="4"/>
    <x v="1"/>
    <x v="2"/>
    <s v="CO₂"/>
    <n v="706.73"/>
    <x v="0"/>
  </r>
  <r>
    <s v="F051"/>
    <x v="4"/>
    <x v="2"/>
    <x v="0"/>
    <s v="N₂O"/>
    <n v="3595.4"/>
    <x v="1"/>
  </r>
  <r>
    <s v="F167"/>
    <x v="2"/>
    <x v="2"/>
    <x v="1"/>
    <s v="CH₄"/>
    <n v="1990.59"/>
    <x v="1"/>
  </r>
  <r>
    <s v="F112"/>
    <x v="4"/>
    <x v="0"/>
    <x v="0"/>
    <s v="N₂O"/>
    <n v="4212.5"/>
    <x v="0"/>
  </r>
  <r>
    <s v="F030"/>
    <x v="0"/>
    <x v="0"/>
    <x v="0"/>
    <s v="CO₂"/>
    <n v="2388.2399999999998"/>
    <x v="0"/>
  </r>
  <r>
    <s v="F181"/>
    <x v="3"/>
    <x v="3"/>
    <x v="0"/>
    <s v="N₂O"/>
    <n v="318.92"/>
    <x v="1"/>
  </r>
  <r>
    <s v="F107"/>
    <x v="2"/>
    <x v="1"/>
    <x v="1"/>
    <s v="CH₄"/>
    <n v="365.96"/>
    <x v="0"/>
  </r>
  <r>
    <s v="F105"/>
    <x v="0"/>
    <x v="3"/>
    <x v="2"/>
    <s v="CH₄"/>
    <n v="1353.72"/>
    <x v="1"/>
  </r>
  <r>
    <s v="F141"/>
    <x v="1"/>
    <x v="3"/>
    <x v="1"/>
    <s v="N₂O"/>
    <n v="3026.73"/>
    <x v="1"/>
  </r>
  <r>
    <s v="F138"/>
    <x v="0"/>
    <x v="1"/>
    <x v="1"/>
    <s v="CH₄"/>
    <n v="4344.96"/>
    <x v="0"/>
  </r>
  <r>
    <s v="F027"/>
    <x v="4"/>
    <x v="0"/>
    <x v="0"/>
    <s v="CH₄"/>
    <n v="2412.9"/>
    <x v="0"/>
  </r>
  <r>
    <s v="F064"/>
    <x v="1"/>
    <x v="1"/>
    <x v="2"/>
    <s v="N₂O"/>
    <n v="4239.84"/>
    <x v="0"/>
  </r>
  <r>
    <s v="F157"/>
    <x v="0"/>
    <x v="1"/>
    <x v="0"/>
    <s v="CO₂"/>
    <n v="3759.01"/>
    <x v="0"/>
  </r>
  <r>
    <s v="F062"/>
    <x v="2"/>
    <x v="2"/>
    <x v="1"/>
    <s v="CH₄"/>
    <n v="3558.82"/>
    <x v="1"/>
  </r>
  <r>
    <s v="F083"/>
    <x v="2"/>
    <x v="1"/>
    <x v="2"/>
    <s v="CO₂"/>
    <n v="2610.12"/>
    <x v="0"/>
  </r>
  <r>
    <s v="F011"/>
    <x v="4"/>
    <x v="3"/>
    <x v="2"/>
    <s v="CH₄"/>
    <n v="2651.33"/>
    <x v="1"/>
  </r>
  <r>
    <s v="F071"/>
    <x v="4"/>
    <x v="2"/>
    <x v="2"/>
    <s v="N₂O"/>
    <n v="1018.53"/>
    <x v="1"/>
  </r>
  <r>
    <s v="F064"/>
    <x v="1"/>
    <x v="2"/>
    <x v="0"/>
    <s v="CO₂"/>
    <n v="503.93"/>
    <x v="1"/>
  </r>
  <r>
    <s v="F120"/>
    <x v="4"/>
    <x v="1"/>
    <x v="0"/>
    <s v="CH₄"/>
    <n v="3013.45"/>
    <x v="0"/>
  </r>
  <r>
    <s v="F044"/>
    <x v="1"/>
    <x v="1"/>
    <x v="2"/>
    <s v="CH₄"/>
    <n v="1639.95"/>
    <x v="0"/>
  </r>
  <r>
    <s v="F053"/>
    <x v="0"/>
    <x v="2"/>
    <x v="1"/>
    <s v="N₂O"/>
    <n v="4092.48"/>
    <x v="1"/>
  </r>
  <r>
    <s v="F035"/>
    <x v="4"/>
    <x v="1"/>
    <x v="1"/>
    <s v="CO₂"/>
    <n v="730.62"/>
    <x v="0"/>
  </r>
  <r>
    <s v="F143"/>
    <x v="1"/>
    <x v="0"/>
    <x v="0"/>
    <s v="N₂O"/>
    <n v="5247.89"/>
    <x v="0"/>
  </r>
  <r>
    <s v="F129"/>
    <x v="1"/>
    <x v="3"/>
    <x v="1"/>
    <s v="N₂O"/>
    <n v="2947.53"/>
    <x v="1"/>
  </r>
  <r>
    <s v="F072"/>
    <x v="2"/>
    <x v="0"/>
    <x v="2"/>
    <s v="N₂O"/>
    <n v="571.92999999999995"/>
    <x v="0"/>
  </r>
  <r>
    <s v="F031"/>
    <x v="3"/>
    <x v="0"/>
    <x v="0"/>
    <s v="CO₂"/>
    <n v="4065.74"/>
    <x v="0"/>
  </r>
  <r>
    <s v="F139"/>
    <x v="0"/>
    <x v="0"/>
    <x v="0"/>
    <s v="CH₄"/>
    <n v="1983.3"/>
    <x v="0"/>
  </r>
  <r>
    <s v="F047"/>
    <x v="0"/>
    <x v="3"/>
    <x v="1"/>
    <s v="N₂O"/>
    <n v="3226.08"/>
    <x v="1"/>
  </r>
  <r>
    <s v="F027"/>
    <x v="4"/>
    <x v="0"/>
    <x v="0"/>
    <s v="CO₂"/>
    <n v="885.44"/>
    <x v="0"/>
  </r>
  <r>
    <s v="F029"/>
    <x v="4"/>
    <x v="1"/>
    <x v="1"/>
    <s v="CO₂"/>
    <n v="3998.24"/>
    <x v="0"/>
  </r>
  <r>
    <s v="F113"/>
    <x v="3"/>
    <x v="2"/>
    <x v="1"/>
    <s v="CO₂"/>
    <n v="2639.81"/>
    <x v="1"/>
  </r>
  <r>
    <s v="F187"/>
    <x v="2"/>
    <x v="3"/>
    <x v="1"/>
    <s v="CH₄"/>
    <n v="2835.04"/>
    <x v="1"/>
  </r>
  <r>
    <s v="F158"/>
    <x v="3"/>
    <x v="2"/>
    <x v="1"/>
    <s v="CH₄"/>
    <n v="2182.6999999999998"/>
    <x v="1"/>
  </r>
  <r>
    <s v="F173"/>
    <x v="1"/>
    <x v="1"/>
    <x v="2"/>
    <s v="CH₄"/>
    <n v="3507.39"/>
    <x v="0"/>
  </r>
  <r>
    <s v="F040"/>
    <x v="0"/>
    <x v="1"/>
    <x v="1"/>
    <s v="N₂O"/>
    <n v="4743.79"/>
    <x v="0"/>
  </r>
  <r>
    <s v="F020"/>
    <x v="2"/>
    <x v="1"/>
    <x v="2"/>
    <s v="CH₄"/>
    <n v="2798.51"/>
    <x v="0"/>
  </r>
  <r>
    <s v="F138"/>
    <x v="0"/>
    <x v="0"/>
    <x v="1"/>
    <s v="CO₂"/>
    <n v="2111.5100000000002"/>
    <x v="0"/>
  </r>
  <r>
    <s v="F018"/>
    <x v="4"/>
    <x v="0"/>
    <x v="2"/>
    <s v="CO₂"/>
    <n v="440.45"/>
    <x v="0"/>
  </r>
  <r>
    <s v="F084"/>
    <x v="3"/>
    <x v="1"/>
    <x v="1"/>
    <s v="CO₂"/>
    <n v="2532.06"/>
    <x v="0"/>
  </r>
  <r>
    <s v="F116"/>
    <x v="2"/>
    <x v="1"/>
    <x v="0"/>
    <s v="CO₂"/>
    <n v="3682.33"/>
    <x v="0"/>
  </r>
  <r>
    <s v="F003"/>
    <x v="3"/>
    <x v="2"/>
    <x v="2"/>
    <s v="CO₂"/>
    <n v="1546.78"/>
    <x v="1"/>
  </r>
  <r>
    <s v="F053"/>
    <x v="0"/>
    <x v="2"/>
    <x v="2"/>
    <s v="CO₂"/>
    <n v="2135.9699999999998"/>
    <x v="1"/>
  </r>
  <r>
    <s v="F011"/>
    <x v="4"/>
    <x v="1"/>
    <x v="2"/>
    <s v="CH₄"/>
    <n v="1344"/>
    <x v="0"/>
  </r>
  <r>
    <s v="F083"/>
    <x v="2"/>
    <x v="2"/>
    <x v="2"/>
    <s v="CH₄"/>
    <n v="1009.35"/>
    <x v="1"/>
  </r>
  <r>
    <s v="F120"/>
    <x v="4"/>
    <x v="0"/>
    <x v="2"/>
    <s v="N₂O"/>
    <n v="1620.64"/>
    <x v="0"/>
  </r>
  <r>
    <s v="F063"/>
    <x v="4"/>
    <x v="3"/>
    <x v="1"/>
    <s v="CH₄"/>
    <n v="3874.19"/>
    <x v="1"/>
  </r>
  <r>
    <s v="F176"/>
    <x v="4"/>
    <x v="0"/>
    <x v="2"/>
    <s v="CO₂"/>
    <n v="3045.93"/>
    <x v="0"/>
  </r>
  <r>
    <s v="F074"/>
    <x v="1"/>
    <x v="0"/>
    <x v="2"/>
    <s v="N₂O"/>
    <n v="1476.28"/>
    <x v="0"/>
  </r>
  <r>
    <s v="F199"/>
    <x v="0"/>
    <x v="2"/>
    <x v="0"/>
    <s v="CO₂"/>
    <n v="3862.25"/>
    <x v="1"/>
  </r>
  <r>
    <s v="F116"/>
    <x v="2"/>
    <x v="1"/>
    <x v="1"/>
    <s v="N₂O"/>
    <n v="2517.98"/>
    <x v="0"/>
  </r>
  <r>
    <s v="F069"/>
    <x v="4"/>
    <x v="2"/>
    <x v="1"/>
    <s v="CH₄"/>
    <n v="3737.89"/>
    <x v="1"/>
  </r>
  <r>
    <s v="F009"/>
    <x v="0"/>
    <x v="1"/>
    <x v="1"/>
    <s v="CH₄"/>
    <n v="1111.82"/>
    <x v="0"/>
  </r>
  <r>
    <s v="F054"/>
    <x v="3"/>
    <x v="2"/>
    <x v="1"/>
    <s v="N₂O"/>
    <n v="4547.9799999999996"/>
    <x v="1"/>
  </r>
  <r>
    <s v="F180"/>
    <x v="2"/>
    <x v="1"/>
    <x v="0"/>
    <s v="N₂O"/>
    <n v="5035.87"/>
    <x v="0"/>
  </r>
  <r>
    <s v="F061"/>
    <x v="1"/>
    <x v="0"/>
    <x v="1"/>
    <s v="CO₂"/>
    <n v="666.62"/>
    <x v="0"/>
  </r>
  <r>
    <s v="F144"/>
    <x v="2"/>
    <x v="0"/>
    <x v="2"/>
    <s v="N₂O"/>
    <n v="4848.67"/>
    <x v="0"/>
  </r>
  <r>
    <s v="F098"/>
    <x v="4"/>
    <x v="1"/>
    <x v="2"/>
    <s v="N₂O"/>
    <n v="965.26"/>
    <x v="0"/>
  </r>
  <r>
    <s v="F031"/>
    <x v="3"/>
    <x v="3"/>
    <x v="0"/>
    <s v="N₂O"/>
    <n v="3352.88"/>
    <x v="1"/>
  </r>
  <r>
    <s v="F163"/>
    <x v="1"/>
    <x v="2"/>
    <x v="0"/>
    <s v="N₂O"/>
    <n v="3960.69"/>
    <x v="1"/>
  </r>
  <r>
    <s v="F035"/>
    <x v="4"/>
    <x v="0"/>
    <x v="2"/>
    <s v="N₂O"/>
    <n v="4162.58"/>
    <x v="0"/>
  </r>
  <r>
    <s v="F183"/>
    <x v="3"/>
    <x v="1"/>
    <x v="2"/>
    <s v="N₂O"/>
    <n v="3555.25"/>
    <x v="0"/>
  </r>
  <r>
    <s v="F173"/>
    <x v="1"/>
    <x v="3"/>
    <x v="0"/>
    <s v="N₂O"/>
    <n v="4585.8900000000003"/>
    <x v="1"/>
  </r>
  <r>
    <s v="F128"/>
    <x v="2"/>
    <x v="0"/>
    <x v="0"/>
    <s v="N₂O"/>
    <n v="875.53"/>
    <x v="0"/>
  </r>
  <r>
    <s v="F123"/>
    <x v="1"/>
    <x v="0"/>
    <x v="0"/>
    <s v="N₂O"/>
    <n v="3686.68"/>
    <x v="0"/>
  </r>
  <r>
    <s v="F122"/>
    <x v="4"/>
    <x v="0"/>
    <x v="1"/>
    <s v="N₂O"/>
    <n v="2899.46"/>
    <x v="0"/>
  </r>
  <r>
    <s v="F025"/>
    <x v="4"/>
    <x v="2"/>
    <x v="2"/>
    <s v="CO₂"/>
    <n v="429.01"/>
    <x v="1"/>
  </r>
  <r>
    <s v="F128"/>
    <x v="2"/>
    <x v="1"/>
    <x v="0"/>
    <s v="CH₄"/>
    <n v="1770.19"/>
    <x v="0"/>
  </r>
  <r>
    <s v="F019"/>
    <x v="0"/>
    <x v="2"/>
    <x v="2"/>
    <s v="CO₂"/>
    <n v="2143.0300000000002"/>
    <x v="1"/>
  </r>
  <r>
    <s v="F166"/>
    <x v="3"/>
    <x v="0"/>
    <x v="1"/>
    <s v="CO₂"/>
    <n v="81.83"/>
    <x v="0"/>
  </r>
  <r>
    <s v="F116"/>
    <x v="2"/>
    <x v="2"/>
    <x v="0"/>
    <s v="N₂O"/>
    <n v="2577.6"/>
    <x v="1"/>
  </r>
  <r>
    <s v="F074"/>
    <x v="1"/>
    <x v="0"/>
    <x v="0"/>
    <s v="CO₂"/>
    <n v="5027.8599999999997"/>
    <x v="0"/>
  </r>
  <r>
    <s v="F148"/>
    <x v="1"/>
    <x v="2"/>
    <x v="2"/>
    <s v="CO₂"/>
    <n v="3269.61"/>
    <x v="1"/>
  </r>
  <r>
    <s v="F123"/>
    <x v="1"/>
    <x v="1"/>
    <x v="0"/>
    <s v="CH₄"/>
    <n v="3769.66"/>
    <x v="0"/>
  </r>
  <r>
    <s v="F011"/>
    <x v="4"/>
    <x v="2"/>
    <x v="1"/>
    <s v="CH₄"/>
    <n v="3970.3"/>
    <x v="1"/>
  </r>
  <r>
    <s v="F167"/>
    <x v="2"/>
    <x v="2"/>
    <x v="1"/>
    <s v="CH₄"/>
    <n v="2665.16"/>
    <x v="1"/>
  </r>
  <r>
    <s v="F200"/>
    <x v="1"/>
    <x v="2"/>
    <x v="1"/>
    <s v="N₂O"/>
    <n v="374.88"/>
    <x v="1"/>
  </r>
  <r>
    <s v="F165"/>
    <x v="4"/>
    <x v="1"/>
    <x v="0"/>
    <s v="CH₄"/>
    <n v="1106.08"/>
    <x v="0"/>
  </r>
  <r>
    <s v="F146"/>
    <x v="2"/>
    <x v="0"/>
    <x v="0"/>
    <s v="CO₂"/>
    <n v="2876.48"/>
    <x v="0"/>
  </r>
  <r>
    <s v="F190"/>
    <x v="0"/>
    <x v="3"/>
    <x v="1"/>
    <s v="N₂O"/>
    <n v="4394.3599999999997"/>
    <x v="1"/>
  </r>
  <r>
    <s v="F136"/>
    <x v="1"/>
    <x v="3"/>
    <x v="2"/>
    <s v="CH₄"/>
    <n v="3682.56"/>
    <x v="1"/>
  </r>
  <r>
    <s v="F138"/>
    <x v="0"/>
    <x v="2"/>
    <x v="1"/>
    <s v="N₂O"/>
    <n v="2576.87"/>
    <x v="1"/>
  </r>
  <r>
    <s v="F188"/>
    <x v="3"/>
    <x v="2"/>
    <x v="1"/>
    <s v="CO₂"/>
    <n v="4625.6000000000004"/>
    <x v="1"/>
  </r>
  <r>
    <s v="F157"/>
    <x v="0"/>
    <x v="2"/>
    <x v="1"/>
    <s v="N₂O"/>
    <n v="3554.21"/>
    <x v="1"/>
  </r>
  <r>
    <s v="F040"/>
    <x v="0"/>
    <x v="3"/>
    <x v="1"/>
    <s v="N₂O"/>
    <n v="2525.88"/>
    <x v="1"/>
  </r>
  <r>
    <s v="F197"/>
    <x v="2"/>
    <x v="0"/>
    <x v="0"/>
    <s v="CO₂"/>
    <n v="2134.8000000000002"/>
    <x v="0"/>
  </r>
  <r>
    <s v="F126"/>
    <x v="2"/>
    <x v="3"/>
    <x v="2"/>
    <s v="CH₄"/>
    <n v="798.55"/>
    <x v="1"/>
  </r>
  <r>
    <s v="F146"/>
    <x v="2"/>
    <x v="0"/>
    <x v="2"/>
    <s v="N₂O"/>
    <n v="4426.58"/>
    <x v="0"/>
  </r>
  <r>
    <s v="F196"/>
    <x v="4"/>
    <x v="3"/>
    <x v="1"/>
    <s v="CO₂"/>
    <n v="2921.55"/>
    <x v="1"/>
  </r>
  <r>
    <s v="F111"/>
    <x v="3"/>
    <x v="3"/>
    <x v="1"/>
    <s v="N₂O"/>
    <n v="1534.55"/>
    <x v="1"/>
  </r>
  <r>
    <s v="F021"/>
    <x v="1"/>
    <x v="1"/>
    <x v="0"/>
    <s v="CO₂"/>
    <n v="3062.35"/>
    <x v="0"/>
  </r>
  <r>
    <s v="F035"/>
    <x v="4"/>
    <x v="0"/>
    <x v="0"/>
    <s v="CO₂"/>
    <n v="1828.37"/>
    <x v="0"/>
  </r>
  <r>
    <s v="F098"/>
    <x v="4"/>
    <x v="0"/>
    <x v="0"/>
    <s v="CO₂"/>
    <n v="2945.04"/>
    <x v="0"/>
  </r>
  <r>
    <s v="F025"/>
    <x v="4"/>
    <x v="3"/>
    <x v="2"/>
    <s v="CH₄"/>
    <n v="2905.61"/>
    <x v="1"/>
  </r>
  <r>
    <s v="F187"/>
    <x v="2"/>
    <x v="2"/>
    <x v="2"/>
    <s v="N₂O"/>
    <n v="3354.34"/>
    <x v="1"/>
  </r>
  <r>
    <s v="F055"/>
    <x v="2"/>
    <x v="2"/>
    <x v="1"/>
    <s v="CH₄"/>
    <n v="4622.8599999999997"/>
    <x v="1"/>
  </r>
  <r>
    <s v="F078"/>
    <x v="0"/>
    <x v="1"/>
    <x v="0"/>
    <s v="N₂O"/>
    <n v="4374"/>
    <x v="0"/>
  </r>
  <r>
    <s v="F027"/>
    <x v="4"/>
    <x v="3"/>
    <x v="2"/>
    <s v="CH₄"/>
    <n v="1375.43"/>
    <x v="1"/>
  </r>
  <r>
    <s v="F072"/>
    <x v="2"/>
    <x v="0"/>
    <x v="0"/>
    <s v="N₂O"/>
    <n v="4136.82"/>
    <x v="0"/>
  </r>
  <r>
    <s v="F082"/>
    <x v="0"/>
    <x v="1"/>
    <x v="0"/>
    <s v="CH₄"/>
    <n v="2988.46"/>
    <x v="0"/>
  </r>
  <r>
    <s v="F015"/>
    <x v="4"/>
    <x v="2"/>
    <x v="0"/>
    <s v="CO₂"/>
    <n v="724.74"/>
    <x v="1"/>
  </r>
  <r>
    <s v="F135"/>
    <x v="3"/>
    <x v="0"/>
    <x v="2"/>
    <s v="CO₂"/>
    <n v="4727.37"/>
    <x v="0"/>
  </r>
  <r>
    <s v="F067"/>
    <x v="1"/>
    <x v="1"/>
    <x v="2"/>
    <s v="N₂O"/>
    <n v="78.44"/>
    <x v="0"/>
  </r>
  <r>
    <s v="F141"/>
    <x v="1"/>
    <x v="0"/>
    <x v="1"/>
    <s v="N₂O"/>
    <n v="4289.21"/>
    <x v="0"/>
  </r>
  <r>
    <s v="F163"/>
    <x v="1"/>
    <x v="3"/>
    <x v="1"/>
    <s v="CO₂"/>
    <n v="1666.98"/>
    <x v="1"/>
  </r>
  <r>
    <s v="F194"/>
    <x v="3"/>
    <x v="1"/>
    <x v="1"/>
    <s v="CO₂"/>
    <n v="1277.3399999999999"/>
    <x v="0"/>
  </r>
  <r>
    <s v="F145"/>
    <x v="4"/>
    <x v="1"/>
    <x v="2"/>
    <s v="N₂O"/>
    <n v="371.36"/>
    <x v="0"/>
  </r>
  <r>
    <s v="F083"/>
    <x v="2"/>
    <x v="1"/>
    <x v="0"/>
    <s v="CO₂"/>
    <n v="4247.17"/>
    <x v="0"/>
  </r>
  <r>
    <s v="F053"/>
    <x v="0"/>
    <x v="1"/>
    <x v="1"/>
    <s v="CO₂"/>
    <n v="3150.39"/>
    <x v="0"/>
  </r>
  <r>
    <s v="F014"/>
    <x v="2"/>
    <x v="1"/>
    <x v="0"/>
    <s v="CO₂"/>
    <n v="3071.44"/>
    <x v="0"/>
  </r>
  <r>
    <s v="F026"/>
    <x v="2"/>
    <x v="1"/>
    <x v="1"/>
    <s v="CO₂"/>
    <n v="341.64"/>
    <x v="0"/>
  </r>
  <r>
    <s v="F045"/>
    <x v="0"/>
    <x v="1"/>
    <x v="2"/>
    <s v="N₂O"/>
    <n v="4075.39"/>
    <x v="0"/>
  </r>
  <r>
    <s v="F155"/>
    <x v="2"/>
    <x v="0"/>
    <x v="2"/>
    <s v="N₂O"/>
    <n v="4062.72"/>
    <x v="0"/>
  </r>
  <r>
    <s v="F077"/>
    <x v="4"/>
    <x v="1"/>
    <x v="2"/>
    <s v="CO₂"/>
    <n v="3930.54"/>
    <x v="0"/>
  </r>
  <r>
    <s v="F129"/>
    <x v="1"/>
    <x v="2"/>
    <x v="1"/>
    <s v="CH₄"/>
    <n v="1919.26"/>
    <x v="1"/>
  </r>
  <r>
    <s v="F049"/>
    <x v="0"/>
    <x v="1"/>
    <x v="1"/>
    <s v="CH₄"/>
    <n v="3554.23"/>
    <x v="0"/>
  </r>
  <r>
    <s v="F102"/>
    <x v="1"/>
    <x v="1"/>
    <x v="0"/>
    <s v="N₂O"/>
    <n v="493.58"/>
    <x v="0"/>
  </r>
  <r>
    <s v="F193"/>
    <x v="1"/>
    <x v="2"/>
    <x v="0"/>
    <s v="CH₄"/>
    <n v="2362.16"/>
    <x v="1"/>
  </r>
  <r>
    <s v="F058"/>
    <x v="1"/>
    <x v="1"/>
    <x v="1"/>
    <s v="CO₂"/>
    <n v="984.26"/>
    <x v="0"/>
  </r>
  <r>
    <s v="F177"/>
    <x v="3"/>
    <x v="2"/>
    <x v="2"/>
    <s v="N₂O"/>
    <n v="2223.0500000000002"/>
    <x v="1"/>
  </r>
  <r>
    <s v="F042"/>
    <x v="1"/>
    <x v="3"/>
    <x v="0"/>
    <s v="N₂O"/>
    <n v="2498.85"/>
    <x v="1"/>
  </r>
  <r>
    <s v="F158"/>
    <x v="3"/>
    <x v="0"/>
    <x v="0"/>
    <s v="CH₄"/>
    <n v="857.66"/>
    <x v="0"/>
  </r>
  <r>
    <s v="F100"/>
    <x v="0"/>
    <x v="0"/>
    <x v="1"/>
    <s v="CO₂"/>
    <n v="2079.4"/>
    <x v="0"/>
  </r>
  <r>
    <s v="F057"/>
    <x v="1"/>
    <x v="1"/>
    <x v="2"/>
    <s v="CO₂"/>
    <n v="2644.71"/>
    <x v="0"/>
  </r>
  <r>
    <s v="F064"/>
    <x v="1"/>
    <x v="0"/>
    <x v="1"/>
    <s v="CO₂"/>
    <n v="813.42"/>
    <x v="0"/>
  </r>
  <r>
    <s v="F186"/>
    <x v="4"/>
    <x v="2"/>
    <x v="0"/>
    <s v="CO₂"/>
    <n v="1500.74"/>
    <x v="1"/>
  </r>
  <r>
    <s v="F199"/>
    <x v="0"/>
    <x v="3"/>
    <x v="1"/>
    <s v="N₂O"/>
    <n v="2099.7800000000002"/>
    <x v="1"/>
  </r>
  <r>
    <s v="F053"/>
    <x v="0"/>
    <x v="1"/>
    <x v="0"/>
    <s v="CH₄"/>
    <n v="3573.18"/>
    <x v="0"/>
  </r>
  <r>
    <s v="F070"/>
    <x v="2"/>
    <x v="2"/>
    <x v="0"/>
    <s v="CO₂"/>
    <n v="3666.98"/>
    <x v="1"/>
  </r>
  <r>
    <s v="F166"/>
    <x v="3"/>
    <x v="1"/>
    <x v="2"/>
    <s v="CO₂"/>
    <n v="4772.12"/>
    <x v="0"/>
  </r>
  <r>
    <s v="F073"/>
    <x v="3"/>
    <x v="2"/>
    <x v="0"/>
    <s v="N₂O"/>
    <n v="4691.37"/>
    <x v="1"/>
  </r>
  <r>
    <s v="F038"/>
    <x v="4"/>
    <x v="2"/>
    <x v="1"/>
    <s v="CO₂"/>
    <n v="2731.04"/>
    <x v="1"/>
  </r>
  <r>
    <s v="F060"/>
    <x v="4"/>
    <x v="0"/>
    <x v="1"/>
    <s v="N₂O"/>
    <n v="3020.79"/>
    <x v="0"/>
  </r>
  <r>
    <s v="F131"/>
    <x v="4"/>
    <x v="3"/>
    <x v="2"/>
    <s v="N₂O"/>
    <n v="1086.79"/>
    <x v="1"/>
  </r>
  <r>
    <s v="F125"/>
    <x v="1"/>
    <x v="2"/>
    <x v="0"/>
    <s v="N₂O"/>
    <n v="5115.13"/>
    <x v="1"/>
  </r>
  <r>
    <s v="F128"/>
    <x v="2"/>
    <x v="2"/>
    <x v="1"/>
    <s v="CH₄"/>
    <n v="2958.7"/>
    <x v="1"/>
  </r>
  <r>
    <s v="F071"/>
    <x v="4"/>
    <x v="2"/>
    <x v="0"/>
    <s v="CH₄"/>
    <n v="1571.97"/>
    <x v="1"/>
  </r>
  <r>
    <s v="F009"/>
    <x v="0"/>
    <x v="1"/>
    <x v="2"/>
    <s v="CO₂"/>
    <n v="2745.85"/>
    <x v="0"/>
  </r>
  <r>
    <s v="F151"/>
    <x v="2"/>
    <x v="2"/>
    <x v="2"/>
    <s v="N₂O"/>
    <n v="1531"/>
    <x v="1"/>
  </r>
  <r>
    <s v="F146"/>
    <x v="2"/>
    <x v="0"/>
    <x v="0"/>
    <s v="CH₄"/>
    <n v="4709.8"/>
    <x v="0"/>
  </r>
  <r>
    <s v="F170"/>
    <x v="2"/>
    <x v="3"/>
    <x v="2"/>
    <s v="N₂O"/>
    <n v="830.08"/>
    <x v="1"/>
  </r>
  <r>
    <s v="F058"/>
    <x v="1"/>
    <x v="0"/>
    <x v="2"/>
    <s v="CO₂"/>
    <n v="4453.8999999999996"/>
    <x v="0"/>
  </r>
  <r>
    <s v="F181"/>
    <x v="3"/>
    <x v="1"/>
    <x v="2"/>
    <s v="N₂O"/>
    <n v="4791.93"/>
    <x v="0"/>
  </r>
  <r>
    <s v="F062"/>
    <x v="2"/>
    <x v="1"/>
    <x v="0"/>
    <s v="CH₄"/>
    <n v="2280.11"/>
    <x v="0"/>
  </r>
  <r>
    <s v="F108"/>
    <x v="3"/>
    <x v="3"/>
    <x v="0"/>
    <s v="N₂O"/>
    <n v="4839.8100000000004"/>
    <x v="1"/>
  </r>
  <r>
    <s v="F196"/>
    <x v="4"/>
    <x v="1"/>
    <x v="1"/>
    <s v="N₂O"/>
    <n v="506.81"/>
    <x v="0"/>
  </r>
  <r>
    <s v="F194"/>
    <x v="3"/>
    <x v="1"/>
    <x v="0"/>
    <s v="CO₂"/>
    <n v="3907.24"/>
    <x v="0"/>
  </r>
  <r>
    <s v="F180"/>
    <x v="2"/>
    <x v="1"/>
    <x v="0"/>
    <s v="CO₂"/>
    <n v="2483.8200000000002"/>
    <x v="0"/>
  </r>
  <r>
    <s v="F116"/>
    <x v="2"/>
    <x v="2"/>
    <x v="2"/>
    <s v="CH₄"/>
    <n v="139.57"/>
    <x v="1"/>
  </r>
  <r>
    <s v="F066"/>
    <x v="4"/>
    <x v="1"/>
    <x v="0"/>
    <s v="CO₂"/>
    <n v="2912.66"/>
    <x v="0"/>
  </r>
  <r>
    <s v="F061"/>
    <x v="1"/>
    <x v="3"/>
    <x v="1"/>
    <s v="CO₂"/>
    <n v="479.83"/>
    <x v="1"/>
  </r>
  <r>
    <s v="F145"/>
    <x v="4"/>
    <x v="3"/>
    <x v="0"/>
    <s v="CO₂"/>
    <n v="5275.24"/>
    <x v="1"/>
  </r>
  <r>
    <s v="F128"/>
    <x v="2"/>
    <x v="0"/>
    <x v="1"/>
    <s v="CO₂"/>
    <n v="3515.66"/>
    <x v="0"/>
  </r>
  <r>
    <s v="F064"/>
    <x v="1"/>
    <x v="3"/>
    <x v="0"/>
    <s v="CO₂"/>
    <n v="771.45"/>
    <x v="1"/>
  </r>
  <r>
    <s v="F185"/>
    <x v="0"/>
    <x v="3"/>
    <x v="2"/>
    <s v="CO₂"/>
    <n v="705.84"/>
    <x v="1"/>
  </r>
  <r>
    <s v="F007"/>
    <x v="4"/>
    <x v="2"/>
    <x v="0"/>
    <s v="CH₄"/>
    <n v="3398.71"/>
    <x v="1"/>
  </r>
  <r>
    <s v="F018"/>
    <x v="4"/>
    <x v="3"/>
    <x v="2"/>
    <s v="N₂O"/>
    <n v="2433.0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F088"/>
    <x v="0"/>
    <s v="2022 Q1"/>
    <s v="Scope 3"/>
    <x v="0"/>
    <n v="2435.6"/>
    <n v="77330"/>
    <n v="6936.58"/>
    <n v="82.3"/>
    <n v="264.23"/>
    <n v="28.19"/>
  </r>
  <r>
    <s v="F021"/>
    <x v="1"/>
    <s v="2022 Q2"/>
    <s v="Scope 1"/>
    <x v="1"/>
    <n v="835.45"/>
    <n v="44657"/>
    <n v="7867.98"/>
    <n v="96.01"/>
    <n v="694.92"/>
    <n v="26.24"/>
  </r>
  <r>
    <s v="F107"/>
    <x v="2"/>
    <s v="2022 Q2"/>
    <s v="Scope 1"/>
    <x v="1"/>
    <n v="3430.45"/>
    <n v="43512"/>
    <n v="5352.18"/>
    <n v="6.17"/>
    <n v="311.36"/>
    <n v="28.72"/>
  </r>
  <r>
    <s v="F106"/>
    <x v="3"/>
    <s v="2022 Q1"/>
    <s v="Scope 1"/>
    <x v="1"/>
    <n v="4214.24"/>
    <n v="98682"/>
    <n v="6220.56"/>
    <n v="70.099999999999994"/>
    <n v="724.63"/>
    <n v="27.81"/>
  </r>
  <r>
    <s v="F090"/>
    <x v="2"/>
    <s v="2022 Q2"/>
    <s v="Scope 3"/>
    <x v="0"/>
    <n v="605.59"/>
    <n v="29895"/>
    <n v="1631.08"/>
    <n v="39.93"/>
    <n v="959.2"/>
    <n v="38.840000000000003"/>
  </r>
  <r>
    <s v="F158"/>
    <x v="3"/>
    <s v="2022 Q2"/>
    <s v="Scope 1"/>
    <x v="0"/>
    <n v="656.33"/>
    <n v="61157"/>
    <n v="7331.54"/>
    <n v="55.52"/>
    <n v="783.77"/>
    <n v="31.59"/>
  </r>
  <r>
    <s v="F023"/>
    <x v="1"/>
    <s v="2023 Q2"/>
    <s v="Scope 3"/>
    <x v="2"/>
    <n v="4455.93"/>
    <n v="47484"/>
    <n v="3396.39"/>
    <n v="19.510000000000002"/>
    <n v="790.74"/>
    <n v="12.77"/>
  </r>
  <r>
    <s v="F153"/>
    <x v="3"/>
    <s v="2022 Q2"/>
    <s v="Scope 3"/>
    <x v="0"/>
    <n v="660.2"/>
    <n v="95306"/>
    <n v="9037.76"/>
    <n v="13.35"/>
    <n v="724.63"/>
    <n v="21.2"/>
  </r>
  <r>
    <s v="F079"/>
    <x v="2"/>
    <s v="2023 Q2"/>
    <s v="Scope 3"/>
    <x v="0"/>
    <n v="1883.3"/>
    <n v="17311"/>
    <n v="2257.38"/>
    <n v="91.07"/>
    <n v="341.24"/>
    <n v="80.69"/>
  </r>
  <r>
    <s v="F065"/>
    <x v="1"/>
    <s v="2022 Q1"/>
    <s v="Scope 2"/>
    <x v="2"/>
    <n v="221.01"/>
    <n v="91031"/>
    <n v="1783.57"/>
    <n v="32.049999999999997"/>
    <n v="532.27"/>
    <n v="15.2"/>
  </r>
  <r>
    <s v="F025"/>
    <x v="4"/>
    <s v="2022 Q1"/>
    <s v="Scope 2"/>
    <x v="0"/>
    <n v="4737.0600000000004"/>
    <n v="32131"/>
    <n v="1474.23"/>
    <n v="45.47"/>
    <n v="830.73"/>
    <n v="17.97"/>
  </r>
  <r>
    <s v="F104"/>
    <x v="4"/>
    <s v="2022 Q1"/>
    <s v="Scope 3"/>
    <x v="2"/>
    <n v="1951.28"/>
    <n v="84851"/>
    <n v="560.75"/>
    <n v="80.23"/>
    <n v="610.79999999999995"/>
    <n v="26.58"/>
  </r>
  <r>
    <s v="F137"/>
    <x v="0"/>
    <s v="2022 Q2"/>
    <s v="Scope 2"/>
    <x v="0"/>
    <n v="4320.1099999999997"/>
    <n v="10933"/>
    <n v="9004.3700000000008"/>
    <n v="26.84"/>
    <s v=""/>
    <s v=""/>
  </r>
  <r>
    <s v="F158"/>
    <x v="3"/>
    <s v="2022 Q1"/>
    <s v="Scope 2"/>
    <x v="1"/>
    <n v="2179.33"/>
    <n v="61157"/>
    <n v="7331.54"/>
    <n v="55.52"/>
    <n v="783.77"/>
    <n v="31.59"/>
  </r>
  <r>
    <s v="F101"/>
    <x v="3"/>
    <s v="2023 Q1"/>
    <s v="Scope 1"/>
    <x v="0"/>
    <n v="3612.19"/>
    <n v="65719"/>
    <n v="9362.41"/>
    <n v="86.55"/>
    <n v="932.3"/>
    <n v="28.9"/>
  </r>
  <r>
    <s v="F194"/>
    <x v="3"/>
    <s v="2022 Q1"/>
    <s v="Scope 2"/>
    <x v="2"/>
    <n v="1270.3599999999999"/>
    <n v="42382"/>
    <n v="5116.6899999999996"/>
    <n v="80.42"/>
    <n v="626.54"/>
    <n v="70.540000000000006"/>
  </r>
  <r>
    <s v="F057"/>
    <x v="1"/>
    <s v="2023 Q2"/>
    <s v="Scope 2"/>
    <x v="0"/>
    <n v="1630.06"/>
    <n v="40226"/>
    <n v="7868.86"/>
    <n v="80.53"/>
    <n v="231.68"/>
    <n v="15.92"/>
  </r>
  <r>
    <s v="F017"/>
    <x v="2"/>
    <s v="2023 Q1"/>
    <s v="Scope 3"/>
    <x v="2"/>
    <n v="3063.61"/>
    <n v="71747"/>
    <n v="9838.66"/>
    <n v="7.25"/>
    <n v="224.5"/>
    <n v="39.29"/>
  </r>
  <r>
    <s v="F120"/>
    <x v="4"/>
    <s v="2022 Q1"/>
    <s v="Scope 3"/>
    <x v="2"/>
    <n v="2447.42"/>
    <n v="57215"/>
    <n v="3227.1"/>
    <n v="32.909999999999997"/>
    <n v="951.35"/>
    <n v="33.299999999999997"/>
  </r>
  <r>
    <s v="F139"/>
    <x v="0"/>
    <s v="2022 Q2"/>
    <s v="Scope 2"/>
    <x v="2"/>
    <n v="4170.13"/>
    <n v="80904"/>
    <n v="3263.09"/>
    <n v="58.37"/>
    <n v="756.78"/>
    <n v="35.950000000000003"/>
  </r>
  <r>
    <s v="F166"/>
    <x v="3"/>
    <s v="2023 Q2"/>
    <s v="Scope 3"/>
    <x v="1"/>
    <n v="2099.64"/>
    <n v="96474"/>
    <n v="7574.39"/>
    <n v="95.54"/>
    <n v="886.71"/>
    <n v="24.84"/>
  </r>
  <r>
    <s v="F005"/>
    <x v="4"/>
    <s v="2023 Q2"/>
    <s v="Scope 2"/>
    <x v="1"/>
    <n v="3701.02"/>
    <n v="61743"/>
    <n v="7426.75"/>
    <n v="26.39"/>
    <n v="527.37"/>
    <n v="39.28"/>
  </r>
  <r>
    <s v="F060"/>
    <x v="4"/>
    <s v="2023 Q2"/>
    <s v="Scope 2"/>
    <x v="0"/>
    <n v="1262.77"/>
    <n v="41539"/>
    <n v="982.8"/>
    <n v="79.7"/>
    <n v="851.48"/>
    <n v="13.07"/>
  </r>
  <r>
    <s v="F133"/>
    <x v="2"/>
    <s v="2022 Q1"/>
    <s v="Scope 1"/>
    <x v="2"/>
    <n v="2741.92"/>
    <n v="41168"/>
    <n v="8226.77"/>
    <n v="42.55"/>
    <n v="724.63"/>
    <n v="12.64"/>
  </r>
  <r>
    <s v="F025"/>
    <x v="4"/>
    <s v="2022 Q1"/>
    <s v="Scope 1"/>
    <x v="2"/>
    <n v="1824.14"/>
    <n v="32131"/>
    <n v="1474.23"/>
    <n v="45.47"/>
    <n v="830.73"/>
    <n v="17.97"/>
  </r>
  <r>
    <s v="F134"/>
    <x v="3"/>
    <s v="2023 Q2"/>
    <s v="Scope 3"/>
    <x v="0"/>
    <n v="738.44"/>
    <n v="16256"/>
    <n v="2127.1799999999998"/>
    <n v="38.94"/>
    <n v="796.34"/>
    <n v="66.41"/>
  </r>
  <r>
    <s v="F030"/>
    <x v="0"/>
    <s v="2022 Q2"/>
    <s v="Scope 3"/>
    <x v="1"/>
    <n v="2856.76"/>
    <n v="49924"/>
    <n v="2199.16"/>
    <n v="75.48"/>
    <n v="432.23"/>
    <n v="13.54"/>
  </r>
  <r>
    <s v="F091"/>
    <x v="4"/>
    <s v="2022 Q2"/>
    <s v="Scope 1"/>
    <x v="2"/>
    <n v="1787.35"/>
    <n v="43490"/>
    <n v="9300.8799999999992"/>
    <n v="58.43"/>
    <n v="264.23"/>
    <n v="11.71"/>
  </r>
  <r>
    <s v="F002"/>
    <x v="4"/>
    <s v="2023 Q2"/>
    <s v="Scope 3"/>
    <x v="1"/>
    <n v="5138.83"/>
    <n v="53661"/>
    <n v="6965.81"/>
    <n v="69.400000000000006"/>
    <n v="610.79999999999995"/>
    <n v="29.15"/>
  </r>
  <r>
    <s v="F121"/>
    <x v="3"/>
    <s v="2022 Q1"/>
    <s v="Scope 3"/>
    <x v="0"/>
    <n v="5005.4399999999996"/>
    <n v="11952"/>
    <n v="4637.74"/>
    <n v="63.78"/>
    <n v="886.71"/>
    <n v="29.53"/>
  </r>
  <r>
    <s v="F008"/>
    <x v="3"/>
    <s v="2023 Q2"/>
    <s v="Scope 2"/>
    <x v="2"/>
    <n v="4053.3"/>
    <n v="50306"/>
    <n v="7031.37"/>
    <n v="13.27"/>
    <s v=""/>
    <s v=""/>
  </r>
  <r>
    <s v="F198"/>
    <x v="3"/>
    <s v="2023 Q2"/>
    <s v="Scope 2"/>
    <x v="2"/>
    <n v="280.72000000000003"/>
    <n v="40577"/>
    <n v="4280.82"/>
    <n v="79.88"/>
    <n v="932.3"/>
    <n v="10.19"/>
  </r>
  <r>
    <s v="F087"/>
    <x v="4"/>
    <s v="2023 Q2"/>
    <s v="Scope 1"/>
    <x v="2"/>
    <n v="329.41"/>
    <n v="44164"/>
    <n v="3869.32"/>
    <n v="13.81"/>
    <n v="943.59"/>
    <n v="16.02"/>
  </r>
  <r>
    <s v="F175"/>
    <x v="3"/>
    <s v="2022 Q2"/>
    <s v="Scope 1"/>
    <x v="1"/>
    <n v="4133.74"/>
    <n v="94949"/>
    <n v="9714.76"/>
    <n v="64.900000000000006"/>
    <n v="241.41"/>
    <n v="20.62"/>
  </r>
  <r>
    <s v="F100"/>
    <x v="0"/>
    <s v="2023 Q1"/>
    <s v="Scope 2"/>
    <x v="1"/>
    <n v="2773.3"/>
    <n v="90632"/>
    <n v="5292.17"/>
    <n v="78.45"/>
    <n v="571.88"/>
    <n v="20.93"/>
  </r>
  <r>
    <s v="F042"/>
    <x v="1"/>
    <s v="2022 Q2"/>
    <s v="Scope 3"/>
    <x v="0"/>
    <n v="3482.08"/>
    <n v="58111"/>
    <n v="4610.8999999999996"/>
    <n v="21.53"/>
    <n v="268.16000000000003"/>
    <n v="13.78"/>
  </r>
  <r>
    <s v="F173"/>
    <x v="1"/>
    <s v="2023 Q1"/>
    <s v="Scope 3"/>
    <x v="0"/>
    <n v="1953.71"/>
    <n v="38181"/>
    <n v="691.84"/>
    <n v="33.53"/>
    <n v="114.57"/>
    <n v="9.9600000000000009"/>
  </r>
  <r>
    <s v="F025"/>
    <x v="4"/>
    <s v="2023 Q1"/>
    <s v="Scope 1"/>
    <x v="1"/>
    <n v="4444.76"/>
    <n v="32131"/>
    <n v="1474.23"/>
    <n v="45.47"/>
    <n v="830.73"/>
    <n v="17.97"/>
  </r>
  <r>
    <s v="F173"/>
    <x v="1"/>
    <s v="2023 Q2"/>
    <s v="Scope 2"/>
    <x v="1"/>
    <n v="1836.99"/>
    <n v="38181"/>
    <n v="691.84"/>
    <n v="33.53"/>
    <n v="114.57"/>
    <n v="9.9600000000000009"/>
  </r>
  <r>
    <s v="F012"/>
    <x v="3"/>
    <s v="2022 Q1"/>
    <s v="Scope 1"/>
    <x v="1"/>
    <n v="793.9"/>
    <n v="43747"/>
    <n v="3453.48"/>
    <n v="98.78"/>
    <n v="459.56"/>
    <n v="23.81"/>
  </r>
  <r>
    <s v="F182"/>
    <x v="3"/>
    <s v="2023 Q1"/>
    <s v="Scope 2"/>
    <x v="2"/>
    <n v="1445.28"/>
    <n v="41027"/>
    <n v="7285.85"/>
    <n v="59.87"/>
    <n v="763.97"/>
    <n v="34.14"/>
  </r>
  <r>
    <s v="F026"/>
    <x v="2"/>
    <s v="2023 Q1"/>
    <s v="Scope 3"/>
    <x v="2"/>
    <n v="1246.73"/>
    <n v="32246"/>
    <n v="7903.93"/>
    <n v="42.12"/>
    <n v="459.56"/>
    <n v="28.62"/>
  </r>
  <r>
    <s v="F093"/>
    <x v="2"/>
    <s v="2023 Q1"/>
    <s v="Scope 1"/>
    <x v="0"/>
    <n v="527.16999999999996"/>
    <n v="15553"/>
    <n v="3909.51"/>
    <n v="46.44"/>
    <s v=""/>
    <s v=""/>
  </r>
  <r>
    <s v="F074"/>
    <x v="1"/>
    <s v="2023 Q1"/>
    <s v="Scope 1"/>
    <x v="1"/>
    <n v="542.33000000000004"/>
    <n v="25148"/>
    <n v="9604.5499999999993"/>
    <n v="63.47"/>
    <n v="209.33"/>
    <n v="30.01"/>
  </r>
  <r>
    <s v="F024"/>
    <x v="4"/>
    <s v="2023 Q1"/>
    <s v="Scope 2"/>
    <x v="2"/>
    <n v="636.07000000000005"/>
    <n v="95718"/>
    <n v="2443.12"/>
    <n v="35.49"/>
    <n v="818.45"/>
    <n v="9.9499999999999993"/>
  </r>
  <r>
    <s v="F103"/>
    <x v="4"/>
    <s v="2023 Q1"/>
    <s v="Scope 3"/>
    <x v="1"/>
    <n v="3898.2"/>
    <n v="22309"/>
    <n v="3656.29"/>
    <n v="75.25"/>
    <n v="795.74"/>
    <n v="26.99"/>
  </r>
  <r>
    <s v="F032"/>
    <x v="1"/>
    <s v="2023 Q1"/>
    <s v="Scope 3"/>
    <x v="2"/>
    <n v="525.25"/>
    <n v="33688"/>
    <n v="9495.48"/>
    <n v="55.55"/>
    <n v="780.4"/>
    <n v="30.98"/>
  </r>
  <r>
    <s v="F077"/>
    <x v="4"/>
    <s v="2022 Q1"/>
    <s v="Scope 1"/>
    <x v="1"/>
    <n v="1135.03"/>
    <n v="52836"/>
    <n v="9330.2999999999993"/>
    <n v="87.27"/>
    <s v=""/>
    <s v=""/>
  </r>
  <r>
    <s v="F017"/>
    <x v="2"/>
    <s v="2023 Q2"/>
    <s v="Scope 3"/>
    <x v="2"/>
    <n v="1670.51"/>
    <n v="71747"/>
    <n v="9838.66"/>
    <n v="7.25"/>
    <n v="224.5"/>
    <n v="39.29"/>
  </r>
  <r>
    <s v="F056"/>
    <x v="4"/>
    <s v="2022 Q2"/>
    <s v="Scope 3"/>
    <x v="0"/>
    <n v="939.61"/>
    <n v="99026"/>
    <n v="5453.2"/>
    <n v="57.49"/>
    <n v="231.68"/>
    <n v="24.26"/>
  </r>
  <r>
    <s v="F008"/>
    <x v="3"/>
    <s v="2023 Q1"/>
    <s v="Scope 2"/>
    <x v="0"/>
    <n v="1436.13"/>
    <n v="50306"/>
    <n v="7031.37"/>
    <n v="13.27"/>
    <s v=""/>
    <s v=""/>
  </r>
  <r>
    <s v="F172"/>
    <x v="4"/>
    <s v="2023 Q1"/>
    <s v="Scope 3"/>
    <x v="2"/>
    <n v="3950"/>
    <n v="98396"/>
    <n v="5174.07"/>
    <n v="63.38"/>
    <n v="714.03"/>
    <n v="36.89"/>
  </r>
  <r>
    <s v="F190"/>
    <x v="0"/>
    <s v="2022 Q1"/>
    <s v="Scope 3"/>
    <x v="0"/>
    <n v="4777.7700000000004"/>
    <n v="70582"/>
    <n v="7517.59"/>
    <n v="95.71"/>
    <s v=""/>
    <s v=""/>
  </r>
  <r>
    <s v="F097"/>
    <x v="1"/>
    <s v="2022 Q2"/>
    <s v="Scope 3"/>
    <x v="0"/>
    <n v="739.48"/>
    <n v="69100"/>
    <n v="9356.02"/>
    <n v="16.5"/>
    <n v="694.92"/>
    <n v="23.67"/>
  </r>
  <r>
    <s v="F045"/>
    <x v="0"/>
    <s v="2023 Q2"/>
    <s v="Scope 1"/>
    <x v="0"/>
    <n v="2957.08"/>
    <n v="34725"/>
    <n v="3269.89"/>
    <n v="78.86"/>
    <n v="436.04"/>
    <n v="31.8"/>
  </r>
  <r>
    <s v="F181"/>
    <x v="3"/>
    <s v="2022 Q2"/>
    <s v="Scope 2"/>
    <x v="2"/>
    <n v="4782.28"/>
    <n v="42485"/>
    <n v="4755.75"/>
    <n v="10.19"/>
    <n v="662.74"/>
    <n v="36.79"/>
  </r>
  <r>
    <s v="F100"/>
    <x v="0"/>
    <s v="2023 Q1"/>
    <s v="Scope 1"/>
    <x v="1"/>
    <n v="3836.23"/>
    <n v="90632"/>
    <n v="5292.17"/>
    <n v="78.45"/>
    <n v="571.88"/>
    <n v="20.93"/>
  </r>
  <r>
    <s v="F019"/>
    <x v="0"/>
    <s v="2022 Q2"/>
    <s v="Scope 2"/>
    <x v="0"/>
    <n v="4410.6400000000003"/>
    <n v="68018"/>
    <n v="3523.4"/>
    <n v="92.26"/>
    <n v="111.84"/>
    <n v="15.85"/>
  </r>
  <r>
    <s v="F181"/>
    <x v="3"/>
    <s v="2023 Q1"/>
    <s v="Scope 2"/>
    <x v="2"/>
    <n v="1861.93"/>
    <n v="42485"/>
    <n v="4755.75"/>
    <n v="10.19"/>
    <n v="662.74"/>
    <n v="36.79"/>
  </r>
  <r>
    <s v="F115"/>
    <x v="3"/>
    <s v="2022 Q1"/>
    <s v="Scope 1"/>
    <x v="0"/>
    <n v="3332.83"/>
    <n v="29318"/>
    <n v="9860.6200000000008"/>
    <n v="14.58"/>
    <n v="571.66"/>
    <n v="6.78"/>
  </r>
  <r>
    <s v="F086"/>
    <x v="4"/>
    <s v="2023 Q1"/>
    <s v="Scope 2"/>
    <x v="2"/>
    <n v="2649.83"/>
    <n v="55974"/>
    <n v="7542.28"/>
    <n v="72.430000000000007"/>
    <n v="626.54"/>
    <n v="29.46"/>
  </r>
  <r>
    <s v="F162"/>
    <x v="3"/>
    <s v="2022 Q1"/>
    <s v="Scope 1"/>
    <x v="2"/>
    <n v="3224.33"/>
    <n v="18175"/>
    <n v="8349.49"/>
    <n v="39.97"/>
    <n v="818.45"/>
    <n v="19.04"/>
  </r>
  <r>
    <s v="F023"/>
    <x v="1"/>
    <s v="2023 Q2"/>
    <s v="Scope 3"/>
    <x v="0"/>
    <n v="881.22"/>
    <n v="47484"/>
    <n v="3396.39"/>
    <n v="19.510000000000002"/>
    <n v="790.74"/>
    <n v="12.77"/>
  </r>
  <r>
    <s v="F084"/>
    <x v="3"/>
    <s v="2022 Q2"/>
    <s v="Scope 3"/>
    <x v="1"/>
    <n v="5563.32"/>
    <n v="54136"/>
    <n v="2775.38"/>
    <n v="75.459999999999994"/>
    <n v="932.3"/>
    <n v="16.93"/>
  </r>
  <r>
    <s v="F197"/>
    <x v="2"/>
    <s v="2023 Q1"/>
    <s v="Scope 2"/>
    <x v="2"/>
    <n v="2558.1799999999998"/>
    <n v="59617"/>
    <n v="5000.95"/>
    <n v="80.36"/>
    <n v="532.27"/>
    <n v="25.24"/>
  </r>
  <r>
    <s v="F186"/>
    <x v="4"/>
    <s v="2023 Q2"/>
    <s v="Scope 3"/>
    <x v="0"/>
    <n v="2013.87"/>
    <n v="61942"/>
    <n v="4891.32"/>
    <n v="91.59"/>
    <n v="785.8"/>
    <n v="8.84"/>
  </r>
  <r>
    <s v="F191"/>
    <x v="0"/>
    <s v="2023 Q2"/>
    <s v="Scope 2"/>
    <x v="1"/>
    <n v="1752.18"/>
    <n v="86557"/>
    <n v="8631.2800000000007"/>
    <n v="69.53"/>
    <s v=""/>
    <s v=""/>
  </r>
  <r>
    <s v="F039"/>
    <x v="2"/>
    <s v="2022 Q2"/>
    <s v="Scope 2"/>
    <x v="2"/>
    <n v="4152.92"/>
    <n v="40503"/>
    <n v="7447.46"/>
    <n v="98.27"/>
    <n v="209.33"/>
    <n v="39.549999999999997"/>
  </r>
  <r>
    <s v="F126"/>
    <x v="2"/>
    <s v="2022 Q2"/>
    <s v="Scope 2"/>
    <x v="1"/>
    <n v="61.94"/>
    <n v="75508"/>
    <n v="6856.22"/>
    <n v="18.2"/>
    <n v="991.03"/>
    <n v="13.32"/>
  </r>
  <r>
    <s v="F172"/>
    <x v="4"/>
    <s v="2023 Q1"/>
    <s v="Scope 3"/>
    <x v="1"/>
    <n v="4862.4399999999996"/>
    <n v="98396"/>
    <n v="5174.07"/>
    <n v="63.38"/>
    <n v="714.03"/>
    <n v="36.89"/>
  </r>
  <r>
    <s v="F044"/>
    <x v="1"/>
    <s v="2023 Q2"/>
    <s v="Scope 3"/>
    <x v="0"/>
    <n v="1930.13"/>
    <n v="93661"/>
    <n v="7324.58"/>
    <n v="23.55"/>
    <n v="390.06"/>
    <n v="23.14"/>
  </r>
  <r>
    <s v="F016"/>
    <x v="2"/>
    <s v="2023 Q1"/>
    <s v="Scope 2"/>
    <x v="2"/>
    <n v="2818.75"/>
    <n v="93409"/>
    <n v="2375.83"/>
    <n v="5.83"/>
    <s v=""/>
    <s v=""/>
  </r>
  <r>
    <s v="F059"/>
    <x v="2"/>
    <s v="2022 Q1"/>
    <s v="Scope 3"/>
    <x v="2"/>
    <n v="2368.67"/>
    <n v="30934"/>
    <n v="4175.6499999999996"/>
    <n v="77.290000000000006"/>
    <n v="610.79999999999995"/>
    <n v="14.23"/>
  </r>
  <r>
    <s v="F042"/>
    <x v="1"/>
    <s v="2023 Q1"/>
    <s v="Scope 1"/>
    <x v="1"/>
    <n v="1533.98"/>
    <n v="58111"/>
    <n v="4610.8999999999996"/>
    <n v="21.53"/>
    <n v="268.16000000000003"/>
    <n v="13.78"/>
  </r>
  <r>
    <s v="F097"/>
    <x v="1"/>
    <s v="2023 Q1"/>
    <s v="Scope 1"/>
    <x v="2"/>
    <n v="249.89"/>
    <n v="69100"/>
    <n v="9356.02"/>
    <n v="16.5"/>
    <n v="694.92"/>
    <n v="23.67"/>
  </r>
  <r>
    <s v="F196"/>
    <x v="4"/>
    <s v="2022 Q2"/>
    <s v="Scope 3"/>
    <x v="1"/>
    <n v="4797.88"/>
    <n v="85444"/>
    <n v="852.57"/>
    <n v="72.650000000000006"/>
    <n v="319.93"/>
    <n v="34.35"/>
  </r>
  <r>
    <s v="F063"/>
    <x v="4"/>
    <s v="2023 Q2"/>
    <s v="Scope 1"/>
    <x v="2"/>
    <n v="534.05999999999995"/>
    <n v="45519"/>
    <n v="7987.69"/>
    <n v="10.86"/>
    <n v="638.89"/>
    <n v="35.04"/>
  </r>
  <r>
    <s v="F135"/>
    <x v="3"/>
    <s v="2022 Q2"/>
    <s v="Scope 1"/>
    <x v="0"/>
    <n v="4285.8999999999996"/>
    <n v="56531"/>
    <n v="8958.07"/>
    <n v="83.44"/>
    <n v="943.59"/>
    <n v="23.54"/>
  </r>
  <r>
    <s v="F193"/>
    <x v="1"/>
    <s v="2023 Q1"/>
    <s v="Scope 2"/>
    <x v="0"/>
    <n v="1042.25"/>
    <n v="15333"/>
    <n v="2570.54"/>
    <n v="41.07"/>
    <n v="390.06"/>
    <n v="31.43"/>
  </r>
  <r>
    <s v="F068"/>
    <x v="0"/>
    <s v="2023 Q1"/>
    <s v="Scope 3"/>
    <x v="2"/>
    <n v="1836.69"/>
    <n v="44825"/>
    <n v="6023.03"/>
    <n v="27.2"/>
    <n v="436.04"/>
    <n v="19.36"/>
  </r>
  <r>
    <s v="F161"/>
    <x v="2"/>
    <s v="2022 Q2"/>
    <s v="Scope 2"/>
    <x v="1"/>
    <n v="3337.6"/>
    <n v="36171"/>
    <n v="6864.38"/>
    <n v="37.03"/>
    <n v="181.54"/>
    <n v="55.69"/>
  </r>
  <r>
    <s v="F137"/>
    <x v="0"/>
    <s v="2023 Q1"/>
    <s v="Scope 1"/>
    <x v="1"/>
    <n v="2632.11"/>
    <n v="10933"/>
    <n v="9004.3700000000008"/>
    <n v="26.84"/>
    <s v=""/>
    <s v=""/>
  </r>
  <r>
    <s v="F037"/>
    <x v="3"/>
    <s v="2023 Q2"/>
    <s v="Scope 2"/>
    <x v="2"/>
    <n v="2011.5"/>
    <n v="97337"/>
    <n v="3362.06"/>
    <n v="55.46"/>
    <n v="459.56"/>
    <n v="10.31"/>
  </r>
  <r>
    <s v="F022"/>
    <x v="4"/>
    <s v="2023 Q2"/>
    <s v="Scope 2"/>
    <x v="1"/>
    <n v="724.26"/>
    <n v="20207"/>
    <n v="5369.46"/>
    <n v="57.51"/>
    <n v="847.51"/>
    <n v="28.45"/>
  </r>
  <r>
    <s v="F088"/>
    <x v="0"/>
    <s v="2023 Q2"/>
    <s v="Scope 1"/>
    <x v="2"/>
    <n v="2373.2600000000002"/>
    <n v="77330"/>
    <n v="6936.58"/>
    <n v="82.3"/>
    <n v="264.23"/>
    <n v="28.19"/>
  </r>
  <r>
    <s v="F002"/>
    <x v="4"/>
    <s v="2023 Q1"/>
    <s v="Scope 2"/>
    <x v="2"/>
    <n v="1440.9"/>
    <n v="53661"/>
    <n v="6965.81"/>
    <n v="69.400000000000006"/>
    <n v="610.79999999999995"/>
    <n v="29.15"/>
  </r>
  <r>
    <s v="F176"/>
    <x v="4"/>
    <s v="2022 Q2"/>
    <s v="Scope 2"/>
    <x v="0"/>
    <n v="569.39"/>
    <n v="18726"/>
    <n v="5099.54"/>
    <n v="71.05"/>
    <n v="714.03"/>
    <n v="32.29"/>
  </r>
  <r>
    <s v="F133"/>
    <x v="2"/>
    <s v="2023 Q2"/>
    <s v="Scope 1"/>
    <x v="2"/>
    <n v="1161.74"/>
    <n v="41168"/>
    <n v="8226.77"/>
    <n v="42.55"/>
    <n v="724.63"/>
    <n v="12.64"/>
  </r>
  <r>
    <s v="F017"/>
    <x v="2"/>
    <s v="2022 Q1"/>
    <s v="Scope 3"/>
    <x v="2"/>
    <n v="4200.5"/>
    <n v="71747"/>
    <n v="9838.66"/>
    <n v="7.25"/>
    <n v="224.5"/>
    <n v="39.29"/>
  </r>
  <r>
    <s v="F173"/>
    <x v="1"/>
    <s v="2022 Q1"/>
    <s v="Scope 1"/>
    <x v="1"/>
    <n v="2311.5500000000002"/>
    <n v="38181"/>
    <n v="691.84"/>
    <n v="33.53"/>
    <n v="114.57"/>
    <n v="9.9600000000000009"/>
  </r>
  <r>
    <s v="F071"/>
    <x v="4"/>
    <s v="2022 Q1"/>
    <s v="Scope 2"/>
    <x v="1"/>
    <n v="2116.64"/>
    <n v="26378"/>
    <n v="2915.44"/>
    <n v="29.84"/>
    <n v="311.36"/>
    <n v="26.09"/>
  </r>
  <r>
    <s v="F048"/>
    <x v="0"/>
    <s v="2022 Q2"/>
    <s v="Scope 2"/>
    <x v="1"/>
    <n v="2833.88"/>
    <n v="26338"/>
    <n v="578.73"/>
    <n v="72.52"/>
    <n v="991.36"/>
    <n v="35.39"/>
  </r>
  <r>
    <s v="F027"/>
    <x v="4"/>
    <s v="2022 Q1"/>
    <s v="Scope 2"/>
    <x v="0"/>
    <n v="2605.96"/>
    <n v="51800"/>
    <n v="3042.95"/>
    <n v="71.87"/>
    <n v="714.03"/>
    <n v="10.84"/>
  </r>
  <r>
    <s v="F045"/>
    <x v="0"/>
    <s v="2023 Q1"/>
    <s v="Scope 3"/>
    <x v="2"/>
    <n v="532.45000000000005"/>
    <n v="34725"/>
    <n v="3269.89"/>
    <n v="78.86"/>
    <n v="436.04"/>
    <n v="31.8"/>
  </r>
  <r>
    <s v="F036"/>
    <x v="3"/>
    <s v="2022 Q2"/>
    <s v="Scope 3"/>
    <x v="2"/>
    <n v="1876.96"/>
    <n v="53942"/>
    <n v="5904.31"/>
    <n v="32.78"/>
    <n v="553.44000000000005"/>
    <n v="29.01"/>
  </r>
  <r>
    <s v="F078"/>
    <x v="0"/>
    <s v="2022 Q2"/>
    <s v="Scope 1"/>
    <x v="1"/>
    <n v="522.41"/>
    <n v="78624"/>
    <n v="2373.27"/>
    <n v="25.07"/>
    <s v=""/>
    <s v=""/>
  </r>
  <r>
    <s v="F073"/>
    <x v="3"/>
    <s v="2023 Q2"/>
    <s v="Scope 3"/>
    <x v="0"/>
    <n v="4953.9799999999996"/>
    <n v="26170"/>
    <n v="8057.54"/>
    <n v="63.71"/>
    <s v=""/>
    <s v=""/>
  </r>
  <r>
    <s v="F127"/>
    <x v="3"/>
    <s v="2022 Q2"/>
    <s v="Scope 3"/>
    <x v="1"/>
    <n v="2322.96"/>
    <n v="77400"/>
    <n v="7504.8"/>
    <n v="68.819999999999993"/>
    <s v=""/>
    <s v=""/>
  </r>
  <r>
    <s v="F126"/>
    <x v="2"/>
    <s v="2023 Q1"/>
    <s v="Scope 2"/>
    <x v="2"/>
    <n v="4662.91"/>
    <n v="75508"/>
    <n v="6856.22"/>
    <n v="18.2"/>
    <n v="991.03"/>
    <n v="13.32"/>
  </r>
  <r>
    <s v="F082"/>
    <x v="0"/>
    <s v="2023 Q2"/>
    <s v="Scope 2"/>
    <x v="2"/>
    <n v="1907.29"/>
    <n v="17468"/>
    <n v="6359.73"/>
    <n v="5.22"/>
    <n v="959.2"/>
    <n v="36.92"/>
  </r>
  <r>
    <s v="F108"/>
    <x v="3"/>
    <s v="2022 Q2"/>
    <s v="Scope 3"/>
    <x v="1"/>
    <n v="1668.59"/>
    <n v="39050"/>
    <n v="5885.73"/>
    <n v="93.04"/>
    <n v="318.55"/>
    <n v="39.81"/>
  </r>
  <r>
    <s v="F031"/>
    <x v="3"/>
    <s v="2023 Q1"/>
    <s v="Scope 1"/>
    <x v="2"/>
    <n v="3260.51"/>
    <n v="86263"/>
    <n v="3213.71"/>
    <n v="98.39"/>
    <n v="662.74"/>
    <n v="20.66"/>
  </r>
  <r>
    <s v="F054"/>
    <x v="3"/>
    <s v="2022 Q1"/>
    <s v="Scope 1"/>
    <x v="0"/>
    <n v="2218.4699999999998"/>
    <n v="38869"/>
    <n v="5109.76"/>
    <n v="35.270000000000003"/>
    <n v="986.62"/>
    <n v="40.86"/>
  </r>
  <r>
    <s v="F191"/>
    <x v="0"/>
    <s v="2023 Q1"/>
    <s v="Scope 1"/>
    <x v="0"/>
    <n v="479.85"/>
    <n v="86557"/>
    <n v="8631.2800000000007"/>
    <n v="69.53"/>
    <s v=""/>
    <s v=""/>
  </r>
  <r>
    <s v="F144"/>
    <x v="2"/>
    <s v="2022 Q1"/>
    <s v="Scope 2"/>
    <x v="1"/>
    <n v="401.65"/>
    <n v="16868"/>
    <n v="1378.01"/>
    <n v="47.52"/>
    <s v=""/>
    <s v=""/>
  </r>
  <r>
    <s v="F046"/>
    <x v="4"/>
    <s v="2023 Q1"/>
    <s v="Scope 2"/>
    <x v="2"/>
    <n v="4844.9399999999996"/>
    <n v="87337"/>
    <n v="3603.06"/>
    <n v="67.13"/>
    <s v=""/>
    <s v=""/>
  </r>
  <r>
    <s v="F061"/>
    <x v="1"/>
    <s v="2023 Q1"/>
    <s v="Scope 1"/>
    <x v="0"/>
    <n v="1954.31"/>
    <n v="21386"/>
    <n v="2271.92"/>
    <n v="49.67"/>
    <s v=""/>
    <s v=""/>
  </r>
  <r>
    <s v="F172"/>
    <x v="4"/>
    <s v="2023 Q2"/>
    <s v="Scope 2"/>
    <x v="1"/>
    <n v="2094.86"/>
    <n v="98396"/>
    <n v="5174.07"/>
    <n v="63.38"/>
    <n v="714.03"/>
    <n v="36.89"/>
  </r>
  <r>
    <s v="F018"/>
    <x v="4"/>
    <s v="2022 Q1"/>
    <s v="Scope 2"/>
    <x v="2"/>
    <n v="3876.8"/>
    <n v="69305"/>
    <n v="3203.67"/>
    <n v="83.65"/>
    <n v="173.67"/>
    <n v="67.040000000000006"/>
  </r>
  <r>
    <s v="F030"/>
    <x v="0"/>
    <s v="2023 Q1"/>
    <s v="Scope 2"/>
    <x v="0"/>
    <n v="3209.34"/>
    <n v="49924"/>
    <n v="2199.16"/>
    <n v="75.48"/>
    <n v="432.23"/>
    <n v="13.54"/>
  </r>
  <r>
    <s v="F184"/>
    <x v="0"/>
    <s v="2022 Q1"/>
    <s v="Scope 2"/>
    <x v="2"/>
    <n v="1290.4100000000001"/>
    <n v="22201"/>
    <n v="2853.66"/>
    <n v="71.94"/>
    <n v="991.03"/>
    <n v="21.4"/>
  </r>
  <r>
    <s v="F060"/>
    <x v="4"/>
    <s v="2022 Q2"/>
    <s v="Scope 1"/>
    <x v="2"/>
    <n v="3768.03"/>
    <n v="41539"/>
    <n v="982.8"/>
    <n v="79.7"/>
    <n v="851.48"/>
    <n v="13.07"/>
  </r>
  <r>
    <s v="F041"/>
    <x v="1"/>
    <s v="2022 Q1"/>
    <s v="Scope 2"/>
    <x v="0"/>
    <n v="2209.6"/>
    <n v="84721"/>
    <n v="2278.9699999999998"/>
    <n v="68.53"/>
    <n v="796.34"/>
    <n v="33.590000000000003"/>
  </r>
  <r>
    <s v="F064"/>
    <x v="1"/>
    <s v="2023 Q1"/>
    <s v="Scope 3"/>
    <x v="2"/>
    <n v="3789.17"/>
    <n v="70481"/>
    <n v="4452.83"/>
    <n v="91.26"/>
    <s v=""/>
    <s v=""/>
  </r>
  <r>
    <s v="F124"/>
    <x v="3"/>
    <s v="2022 Q1"/>
    <s v="Scope 2"/>
    <x v="0"/>
    <n v="2970.05"/>
    <n v="37309"/>
    <n v="4508.54"/>
    <n v="47.15"/>
    <n v="951.35"/>
    <n v="47.12"/>
  </r>
  <r>
    <s v="F131"/>
    <x v="4"/>
    <s v="2023 Q2"/>
    <s v="Scope 2"/>
    <x v="0"/>
    <n v="1858.31"/>
    <n v="43294"/>
    <n v="3802.13"/>
    <n v="45.84"/>
    <n v="756.78"/>
    <n v="28.42"/>
  </r>
  <r>
    <s v="F103"/>
    <x v="4"/>
    <s v="2022 Q1"/>
    <s v="Scope 3"/>
    <x v="0"/>
    <n v="3702.95"/>
    <n v="22309"/>
    <n v="3656.29"/>
    <n v="75.25"/>
    <n v="795.74"/>
    <n v="26.99"/>
  </r>
  <r>
    <s v="F152"/>
    <x v="4"/>
    <s v="2023 Q2"/>
    <s v="Scope 2"/>
    <x v="0"/>
    <n v="3276"/>
    <n v="90679"/>
    <n v="7266.82"/>
    <n v="23.3"/>
    <n v="943.59"/>
    <n v="15.81"/>
  </r>
  <r>
    <s v="F085"/>
    <x v="4"/>
    <s v="2022 Q1"/>
    <s v="Scope 1"/>
    <x v="2"/>
    <n v="526.37"/>
    <n v="29264"/>
    <n v="8362.7199999999993"/>
    <n v="61.93"/>
    <s v=""/>
    <s v=""/>
  </r>
  <r>
    <s v="F099"/>
    <x v="3"/>
    <s v="2022 Q2"/>
    <s v="Scope 1"/>
    <x v="0"/>
    <n v="445.6"/>
    <n v="17162"/>
    <n v="5079.95"/>
    <n v="19.239999999999998"/>
    <n v="769.39"/>
    <n v="35.29"/>
  </r>
  <r>
    <s v="F128"/>
    <x v="2"/>
    <s v="2023 Q1"/>
    <s v="Scope 3"/>
    <x v="1"/>
    <n v="4486.2700000000004"/>
    <n v="68216"/>
    <n v="9562.33"/>
    <n v="63.59"/>
    <n v="830.73"/>
    <n v="46.68"/>
  </r>
  <r>
    <s v="F124"/>
    <x v="3"/>
    <s v="2022 Q2"/>
    <s v="Scope 3"/>
    <x v="1"/>
    <n v="1770.54"/>
    <n v="37309"/>
    <n v="4508.54"/>
    <n v="47.15"/>
    <n v="951.35"/>
    <n v="47.12"/>
  </r>
  <r>
    <s v="F031"/>
    <x v="3"/>
    <s v="2023 Q1"/>
    <s v="Scope 3"/>
    <x v="2"/>
    <n v="2762.19"/>
    <n v="86263"/>
    <n v="3213.71"/>
    <n v="98.39"/>
    <n v="662.74"/>
    <n v="20.66"/>
  </r>
  <r>
    <s v="F198"/>
    <x v="3"/>
    <s v="2023 Q1"/>
    <s v="Scope 1"/>
    <x v="1"/>
    <n v="1531.3"/>
    <n v="40577"/>
    <n v="4280.82"/>
    <n v="79.88"/>
    <n v="932.3"/>
    <n v="10.19"/>
  </r>
  <r>
    <s v="F135"/>
    <x v="3"/>
    <s v="2023 Q1"/>
    <s v="Scope 3"/>
    <x v="1"/>
    <n v="4453.37"/>
    <n v="56531"/>
    <n v="8958.07"/>
    <n v="83.44"/>
    <n v="943.59"/>
    <n v="23.54"/>
  </r>
  <r>
    <s v="F019"/>
    <x v="0"/>
    <s v="2023 Q2"/>
    <s v="Scope 2"/>
    <x v="0"/>
    <n v="4934.5600000000004"/>
    <n v="68018"/>
    <n v="3523.4"/>
    <n v="92.26"/>
    <n v="111.84"/>
    <n v="15.85"/>
  </r>
  <r>
    <s v="F199"/>
    <x v="0"/>
    <s v="2022 Q2"/>
    <s v="Scope 1"/>
    <x v="0"/>
    <n v="1164.7"/>
    <n v="89321"/>
    <n v="9836.34"/>
    <n v="16.989999999999998"/>
    <n v="105.67"/>
    <n v="15.41"/>
  </r>
  <r>
    <s v="F145"/>
    <x v="4"/>
    <s v="2022 Q2"/>
    <s v="Scope 1"/>
    <x v="2"/>
    <n v="2732.08"/>
    <n v="68492"/>
    <n v="3533.88"/>
    <n v="52.99"/>
    <n v="847.51"/>
    <n v="7.14"/>
  </r>
  <r>
    <s v="F196"/>
    <x v="4"/>
    <s v="2022 Q2"/>
    <s v="Scope 3"/>
    <x v="0"/>
    <n v="3114.5"/>
    <n v="85444"/>
    <n v="852.57"/>
    <n v="72.650000000000006"/>
    <n v="319.93"/>
    <n v="34.35"/>
  </r>
  <r>
    <s v="F015"/>
    <x v="4"/>
    <s v="2023 Q2"/>
    <s v="Scope 1"/>
    <x v="0"/>
    <n v="3329.18"/>
    <n v="80488"/>
    <n v="7629.95"/>
    <n v="63.83"/>
    <n v="847.51"/>
    <n v="9.9"/>
  </r>
  <r>
    <s v="F092"/>
    <x v="4"/>
    <s v="2023 Q2"/>
    <s v="Scope 2"/>
    <x v="0"/>
    <n v="3195.93"/>
    <n v="79495"/>
    <n v="7157.48"/>
    <n v="26.84"/>
    <n v="114.57"/>
    <n v="9.83"/>
  </r>
  <r>
    <s v="F022"/>
    <x v="4"/>
    <s v="2022 Q1"/>
    <s v="Scope 2"/>
    <x v="1"/>
    <n v="1246.5"/>
    <n v="20207"/>
    <n v="5369.46"/>
    <n v="57.51"/>
    <n v="847.51"/>
    <n v="28.45"/>
  </r>
  <r>
    <s v="F089"/>
    <x v="4"/>
    <s v="2022 Q1"/>
    <s v="Scope 2"/>
    <x v="0"/>
    <n v="2737.6"/>
    <n v="58895"/>
    <n v="3039.17"/>
    <n v="59.82"/>
    <n v="785.8"/>
    <n v="22.92"/>
  </r>
  <r>
    <s v="F174"/>
    <x v="3"/>
    <s v="2023 Q1"/>
    <s v="Scope 2"/>
    <x v="1"/>
    <n v="1722.2"/>
    <n v="95962"/>
    <n v="524.72"/>
    <n v="49.55"/>
    <n v="991.36"/>
    <n v="18.28"/>
  </r>
  <r>
    <s v="F028"/>
    <x v="4"/>
    <s v="2022 Q1"/>
    <s v="Scope 1"/>
    <x v="1"/>
    <n v="4036.12"/>
    <n v="73977"/>
    <n v="1646.75"/>
    <n v="43.77"/>
    <s v=""/>
    <s v=""/>
  </r>
  <r>
    <s v="F148"/>
    <x v="1"/>
    <s v="2023 Q2"/>
    <s v="Scope 2"/>
    <x v="0"/>
    <n v="897.74"/>
    <n v="47491"/>
    <n v="5781.05"/>
    <n v="92.18"/>
    <n v="344.93"/>
    <n v="36.229999999999997"/>
  </r>
  <r>
    <s v="F053"/>
    <x v="0"/>
    <s v="2023 Q2"/>
    <s v="Scope 1"/>
    <x v="0"/>
    <n v="1853.54"/>
    <n v="56392"/>
    <n v="5703.76"/>
    <n v="23.04"/>
    <n v="991.03"/>
    <n v="27.62"/>
  </r>
  <r>
    <s v="F089"/>
    <x v="4"/>
    <s v="2023 Q1"/>
    <s v="Scope 1"/>
    <x v="1"/>
    <n v="4674.16"/>
    <n v="58895"/>
    <n v="3039.17"/>
    <n v="59.82"/>
    <n v="785.8"/>
    <n v="22.92"/>
  </r>
  <r>
    <s v="F028"/>
    <x v="4"/>
    <s v="2022 Q2"/>
    <s v="Scope 3"/>
    <x v="1"/>
    <n v="4723.6000000000004"/>
    <n v="73977"/>
    <n v="1646.75"/>
    <n v="43.77"/>
    <s v=""/>
    <s v=""/>
  </r>
  <r>
    <s v="F199"/>
    <x v="0"/>
    <s v="2023 Q2"/>
    <s v="Scope 3"/>
    <x v="0"/>
    <n v="3244.21"/>
    <n v="89321"/>
    <n v="9836.34"/>
    <n v="16.989999999999998"/>
    <n v="105.67"/>
    <n v="15.41"/>
  </r>
  <r>
    <s v="F106"/>
    <x v="3"/>
    <s v="2022 Q2"/>
    <s v="Scope 1"/>
    <x v="2"/>
    <n v="980.22"/>
    <n v="98682"/>
    <n v="6220.56"/>
    <n v="70.099999999999994"/>
    <n v="724.63"/>
    <n v="27.81"/>
  </r>
  <r>
    <s v="F007"/>
    <x v="4"/>
    <s v="2022 Q1"/>
    <s v="Scope 2"/>
    <x v="1"/>
    <n v="4810.13"/>
    <n v="35506"/>
    <n v="1892.04"/>
    <n v="61.53"/>
    <s v=""/>
    <s v=""/>
  </r>
  <r>
    <s v="F014"/>
    <x v="2"/>
    <s v="2023 Q2"/>
    <s v="Scope 2"/>
    <x v="2"/>
    <n v="3868.27"/>
    <n v="17416"/>
    <n v="812.06"/>
    <n v="5.7"/>
    <n v="568.27"/>
    <n v="18.03"/>
  </r>
  <r>
    <s v="F085"/>
    <x v="4"/>
    <s v="2022 Q1"/>
    <s v="Scope 2"/>
    <x v="2"/>
    <n v="714.41"/>
    <n v="29264"/>
    <n v="8362.7199999999993"/>
    <n v="61.93"/>
    <s v=""/>
    <s v=""/>
  </r>
  <r>
    <s v="F199"/>
    <x v="0"/>
    <s v="2022 Q2"/>
    <s v="Scope 3"/>
    <x v="0"/>
    <n v="1121.06"/>
    <n v="89321"/>
    <n v="9836.34"/>
    <n v="16.989999999999998"/>
    <n v="105.67"/>
    <n v="15.41"/>
  </r>
  <r>
    <s v="F143"/>
    <x v="1"/>
    <s v="2022 Q2"/>
    <s v="Scope 3"/>
    <x v="2"/>
    <n v="1645.67"/>
    <n v="29406"/>
    <n v="5281.69"/>
    <n v="27.01"/>
    <n v="231.68"/>
    <n v="13.88"/>
  </r>
  <r>
    <s v="F072"/>
    <x v="2"/>
    <s v="2023 Q1"/>
    <s v="Scope 3"/>
    <x v="1"/>
    <n v="3519.74"/>
    <n v="95292"/>
    <n v="697.47"/>
    <n v="88.35"/>
    <n v="114.57"/>
    <n v="36.04"/>
  </r>
  <r>
    <s v="F016"/>
    <x v="2"/>
    <s v="2023 Q1"/>
    <s v="Scope 3"/>
    <x v="2"/>
    <n v="2222.6799999999998"/>
    <n v="93409"/>
    <n v="2375.83"/>
    <n v="5.83"/>
    <s v=""/>
    <s v=""/>
  </r>
  <r>
    <s v="F126"/>
    <x v="2"/>
    <s v="2023 Q1"/>
    <s v="Scope 1"/>
    <x v="1"/>
    <n v="261.56"/>
    <n v="75508"/>
    <n v="6856.22"/>
    <n v="18.2"/>
    <n v="991.03"/>
    <n v="13.32"/>
  </r>
  <r>
    <s v="F032"/>
    <x v="1"/>
    <s v="2023 Q1"/>
    <s v="Scope 3"/>
    <x v="2"/>
    <n v="4724.5600000000004"/>
    <n v="33688"/>
    <n v="9495.48"/>
    <n v="55.55"/>
    <n v="780.4"/>
    <n v="30.98"/>
  </r>
  <r>
    <s v="F125"/>
    <x v="1"/>
    <s v="2022 Q2"/>
    <s v="Scope 1"/>
    <x v="0"/>
    <n v="1696.11"/>
    <n v="82332"/>
    <n v="7134.86"/>
    <n v="22.44"/>
    <n v="553.44000000000005"/>
    <n v="13.24"/>
  </r>
  <r>
    <s v="F167"/>
    <x v="2"/>
    <s v="2022 Q2"/>
    <s v="Scope 2"/>
    <x v="2"/>
    <n v="1447.34"/>
    <n v="94128"/>
    <n v="8117.82"/>
    <n v="73.83"/>
    <n v="532.27"/>
    <n v="31.74"/>
  </r>
  <r>
    <s v="F183"/>
    <x v="3"/>
    <s v="2022 Q2"/>
    <s v="Scope 1"/>
    <x v="2"/>
    <n v="3456.69"/>
    <n v="29860"/>
    <n v="3956.23"/>
    <n v="57.5"/>
    <n v="432.23"/>
    <n v="17.78"/>
  </r>
  <r>
    <s v="F002"/>
    <x v="4"/>
    <s v="2023 Q1"/>
    <s v="Scope 2"/>
    <x v="0"/>
    <n v="1842.07"/>
    <n v="53661"/>
    <n v="6965.81"/>
    <n v="69.400000000000006"/>
    <n v="610.79999999999995"/>
    <n v="29.15"/>
  </r>
  <r>
    <s v="F116"/>
    <x v="2"/>
    <s v="2022 Q2"/>
    <s v="Scope 3"/>
    <x v="1"/>
    <n v="670.69"/>
    <n v="48501"/>
    <n v="7209.77"/>
    <n v="92.51"/>
    <s v=""/>
    <s v=""/>
  </r>
  <r>
    <s v="F047"/>
    <x v="0"/>
    <s v="2023 Q2"/>
    <s v="Scope 3"/>
    <x v="1"/>
    <n v="1143.2"/>
    <n v="39568"/>
    <n v="3580.54"/>
    <n v="78.08"/>
    <n v="635.72"/>
    <n v="67.36"/>
  </r>
  <r>
    <s v="F126"/>
    <x v="2"/>
    <s v="2023 Q2"/>
    <s v="Scope 3"/>
    <x v="0"/>
    <n v="3475.51"/>
    <n v="75508"/>
    <n v="6856.22"/>
    <n v="18.2"/>
    <n v="991.03"/>
    <n v="13.32"/>
  </r>
  <r>
    <s v="F176"/>
    <x v="4"/>
    <s v="2023 Q1"/>
    <s v="Scope 2"/>
    <x v="0"/>
    <n v="1313.1"/>
    <n v="18726"/>
    <n v="5099.54"/>
    <n v="71.05"/>
    <n v="714.03"/>
    <n v="32.29"/>
  </r>
  <r>
    <s v="F037"/>
    <x v="3"/>
    <s v="2022 Q2"/>
    <s v="Scope 1"/>
    <x v="2"/>
    <n v="2271.65"/>
    <n v="97337"/>
    <n v="3362.06"/>
    <n v="55.46"/>
    <n v="459.56"/>
    <n v="10.31"/>
  </r>
  <r>
    <s v="F126"/>
    <x v="2"/>
    <s v="2022 Q1"/>
    <s v="Scope 3"/>
    <x v="1"/>
    <n v="4185.75"/>
    <n v="75508"/>
    <n v="6856.22"/>
    <n v="18.2"/>
    <n v="991.03"/>
    <n v="13.32"/>
  </r>
  <r>
    <s v="F135"/>
    <x v="3"/>
    <s v="2022 Q2"/>
    <s v="Scope 3"/>
    <x v="0"/>
    <n v="704.34"/>
    <n v="56531"/>
    <n v="8958.07"/>
    <n v="83.44"/>
    <n v="943.59"/>
    <n v="23.54"/>
  </r>
  <r>
    <s v="F081"/>
    <x v="1"/>
    <s v="2022 Q1"/>
    <s v="Scope 3"/>
    <x v="2"/>
    <n v="801.11"/>
    <n v="39560"/>
    <n v="8380.77"/>
    <n v="94.01"/>
    <s v=""/>
    <s v=""/>
  </r>
  <r>
    <s v="F158"/>
    <x v="3"/>
    <s v="2022 Q2"/>
    <s v="Scope 1"/>
    <x v="0"/>
    <n v="1685.02"/>
    <n v="61157"/>
    <n v="7331.54"/>
    <n v="55.52"/>
    <n v="783.77"/>
    <n v="31.59"/>
  </r>
  <r>
    <s v="F183"/>
    <x v="3"/>
    <s v="2022 Q1"/>
    <s v="Scope 1"/>
    <x v="0"/>
    <n v="4811.95"/>
    <n v="29860"/>
    <n v="3956.23"/>
    <n v="57.5"/>
    <n v="432.23"/>
    <n v="17.78"/>
  </r>
  <r>
    <s v="F070"/>
    <x v="2"/>
    <s v="2023 Q2"/>
    <s v="Scope 3"/>
    <x v="2"/>
    <n v="5093.5200000000004"/>
    <n v="15128"/>
    <n v="8847.09"/>
    <n v="5.25"/>
    <n v="230.57"/>
    <n v="60.48"/>
  </r>
  <r>
    <s v="F092"/>
    <x v="4"/>
    <s v="2023 Q2"/>
    <s v="Scope 3"/>
    <x v="2"/>
    <n v="4205.37"/>
    <n v="79495"/>
    <n v="7157.48"/>
    <n v="26.84"/>
    <n v="114.57"/>
    <n v="9.83"/>
  </r>
  <r>
    <s v="F012"/>
    <x v="3"/>
    <s v="2023 Q2"/>
    <s v="Scope 3"/>
    <x v="1"/>
    <n v="1288.3499999999999"/>
    <n v="43747"/>
    <n v="3453.48"/>
    <n v="98.78"/>
    <n v="459.56"/>
    <n v="23.81"/>
  </r>
  <r>
    <s v="F071"/>
    <x v="4"/>
    <s v="2022 Q1"/>
    <s v="Scope 1"/>
    <x v="2"/>
    <n v="2663.02"/>
    <n v="26378"/>
    <n v="2915.44"/>
    <n v="29.84"/>
    <n v="311.36"/>
    <n v="26.09"/>
  </r>
  <r>
    <s v="F070"/>
    <x v="2"/>
    <s v="2022 Q1"/>
    <s v="Scope 1"/>
    <x v="0"/>
    <n v="2844.55"/>
    <n v="15128"/>
    <n v="8847.09"/>
    <n v="5.25"/>
    <n v="230.57"/>
    <n v="60.48"/>
  </r>
  <r>
    <s v="F062"/>
    <x v="2"/>
    <s v="2022 Q2"/>
    <s v="Scope 2"/>
    <x v="0"/>
    <n v="1998.08"/>
    <n v="19265"/>
    <n v="776.6"/>
    <n v="39.75"/>
    <n v="289.77"/>
    <n v="37.270000000000003"/>
  </r>
  <r>
    <s v="F100"/>
    <x v="0"/>
    <s v="2023 Q2"/>
    <s v="Scope 1"/>
    <x v="0"/>
    <n v="241.97"/>
    <n v="90632"/>
    <n v="5292.17"/>
    <n v="78.45"/>
    <n v="571.88"/>
    <n v="20.93"/>
  </r>
  <r>
    <s v="F114"/>
    <x v="1"/>
    <s v="2022 Q2"/>
    <s v="Scope 3"/>
    <x v="1"/>
    <n v="2907.89"/>
    <n v="57353"/>
    <n v="2274.71"/>
    <n v="65.34"/>
    <n v="931.73"/>
    <n v="46.27"/>
  </r>
  <r>
    <s v="F077"/>
    <x v="4"/>
    <s v="2023 Q2"/>
    <s v="Scope 3"/>
    <x v="1"/>
    <n v="4728.95"/>
    <n v="52836"/>
    <n v="9330.2999999999993"/>
    <n v="87.27"/>
    <s v=""/>
    <s v=""/>
  </r>
  <r>
    <s v="F198"/>
    <x v="3"/>
    <s v="2022 Q2"/>
    <s v="Scope 1"/>
    <x v="2"/>
    <n v="4265.8500000000004"/>
    <n v="40577"/>
    <n v="4280.82"/>
    <n v="79.88"/>
    <n v="932.3"/>
    <n v="10.19"/>
  </r>
  <r>
    <s v="F050"/>
    <x v="0"/>
    <s v="2023 Q2"/>
    <s v="Scope 3"/>
    <x v="2"/>
    <n v="2361.5500000000002"/>
    <n v="10067"/>
    <n v="1953.33"/>
    <n v="25.15"/>
    <n v="785.8"/>
    <n v="19.649999999999999"/>
  </r>
  <r>
    <s v="F026"/>
    <x v="2"/>
    <s v="2023 Q2"/>
    <s v="Scope 1"/>
    <x v="0"/>
    <n v="235.74"/>
    <n v="32246"/>
    <n v="7903.93"/>
    <n v="42.12"/>
    <n v="459.56"/>
    <n v="28.62"/>
  </r>
  <r>
    <s v="F068"/>
    <x v="0"/>
    <s v="2023 Q2"/>
    <s v="Scope 2"/>
    <x v="0"/>
    <n v="2737"/>
    <n v="44825"/>
    <n v="6023.03"/>
    <n v="27.2"/>
    <n v="436.04"/>
    <n v="19.36"/>
  </r>
  <r>
    <s v="F156"/>
    <x v="2"/>
    <s v="2022 Q1"/>
    <s v="Scope 2"/>
    <x v="1"/>
    <n v="1539.15"/>
    <n v="88308"/>
    <n v="7802.07"/>
    <n v="36.130000000000003"/>
    <n v="557.72"/>
    <n v="62.75"/>
  </r>
  <r>
    <s v="F016"/>
    <x v="2"/>
    <s v="2022 Q1"/>
    <s v="Scope 2"/>
    <x v="0"/>
    <n v="502.47"/>
    <n v="93409"/>
    <n v="2375.83"/>
    <n v="5.83"/>
    <s v=""/>
    <s v=""/>
  </r>
  <r>
    <s v="F092"/>
    <x v="4"/>
    <s v="2022 Q1"/>
    <s v="Scope 1"/>
    <x v="1"/>
    <n v="2710.93"/>
    <n v="79495"/>
    <n v="7157.48"/>
    <n v="26.84"/>
    <n v="114.57"/>
    <n v="9.83"/>
  </r>
  <r>
    <s v="F009"/>
    <x v="0"/>
    <s v="2023 Q1"/>
    <s v="Scope 3"/>
    <x v="0"/>
    <n v="2286.2399999999998"/>
    <n v="45644"/>
    <n v="7724.73"/>
    <n v="31"/>
    <n v="685.27"/>
    <n v="33.94"/>
  </r>
  <r>
    <s v="F158"/>
    <x v="3"/>
    <s v="2023 Q2"/>
    <s v="Scope 3"/>
    <x v="0"/>
    <n v="3819.98"/>
    <n v="61157"/>
    <n v="7331.54"/>
    <n v="55.52"/>
    <n v="783.77"/>
    <n v="31.59"/>
  </r>
  <r>
    <s v="F103"/>
    <x v="4"/>
    <s v="2022 Q1"/>
    <s v="Scope 1"/>
    <x v="1"/>
    <n v="2138.08"/>
    <n v="22309"/>
    <n v="3656.29"/>
    <n v="75.25"/>
    <n v="795.74"/>
    <n v="26.99"/>
  </r>
  <r>
    <s v="F155"/>
    <x v="2"/>
    <s v="2022 Q1"/>
    <s v="Scope 2"/>
    <x v="2"/>
    <n v="747.74"/>
    <n v="75736"/>
    <n v="6287.07"/>
    <n v="63.11"/>
    <n v="851.48"/>
    <n v="25.39"/>
  </r>
  <r>
    <s v="F083"/>
    <x v="2"/>
    <s v="2023 Q1"/>
    <s v="Scope 2"/>
    <x v="2"/>
    <n v="1025.55"/>
    <n v="94704"/>
    <n v="6632.95"/>
    <n v="14.76"/>
    <n v="459.56"/>
    <n v="7.54"/>
  </r>
  <r>
    <s v="F006"/>
    <x v="4"/>
    <s v="2022 Q1"/>
    <s v="Scope 3"/>
    <x v="1"/>
    <n v="3382"/>
    <n v="11426"/>
    <n v="4439.5600000000004"/>
    <n v="52.71"/>
    <s v=""/>
    <s v=""/>
  </r>
  <r>
    <s v="F164"/>
    <x v="0"/>
    <s v="2023 Q2"/>
    <s v="Scope 1"/>
    <x v="2"/>
    <n v="1772.18"/>
    <n v="60710"/>
    <n v="2726.26"/>
    <n v="83.02"/>
    <n v="714.81"/>
    <n v="58.54"/>
  </r>
  <r>
    <s v="F044"/>
    <x v="1"/>
    <s v="2022 Q2"/>
    <s v="Scope 2"/>
    <x v="2"/>
    <n v="2150.66"/>
    <n v="93661"/>
    <n v="7324.58"/>
    <n v="23.55"/>
    <n v="390.06"/>
    <n v="23.14"/>
  </r>
  <r>
    <s v="F072"/>
    <x v="2"/>
    <s v="2023 Q1"/>
    <s v="Scope 1"/>
    <x v="1"/>
    <n v="3214.91"/>
    <n v="95292"/>
    <n v="697.47"/>
    <n v="88.35"/>
    <n v="114.57"/>
    <n v="36.04"/>
  </r>
  <r>
    <s v="F042"/>
    <x v="1"/>
    <s v="2023 Q1"/>
    <s v="Scope 1"/>
    <x v="2"/>
    <n v="1475.38"/>
    <n v="58111"/>
    <n v="4610.8999999999996"/>
    <n v="21.53"/>
    <n v="268.16000000000003"/>
    <n v="13.78"/>
  </r>
  <r>
    <s v="F079"/>
    <x v="2"/>
    <s v="2022 Q1"/>
    <s v="Scope 2"/>
    <x v="2"/>
    <n v="2631.42"/>
    <n v="17311"/>
    <n v="2257.38"/>
    <n v="91.07"/>
    <n v="341.24"/>
    <n v="80.69"/>
  </r>
  <r>
    <s v="F191"/>
    <x v="0"/>
    <s v="2022 Q2"/>
    <s v="Scope 1"/>
    <x v="1"/>
    <n v="2973.99"/>
    <n v="86557"/>
    <n v="8631.2800000000007"/>
    <n v="69.53"/>
    <s v=""/>
    <s v=""/>
  </r>
  <r>
    <s v="F134"/>
    <x v="3"/>
    <s v="2022 Q1"/>
    <s v="Scope 1"/>
    <x v="2"/>
    <n v="587.89"/>
    <n v="16256"/>
    <n v="2127.1799999999998"/>
    <n v="38.94"/>
    <n v="796.34"/>
    <n v="66.41"/>
  </r>
  <r>
    <s v="F118"/>
    <x v="0"/>
    <s v="2023 Q1"/>
    <s v="Scope 1"/>
    <x v="2"/>
    <n v="599.52"/>
    <n v="14170"/>
    <n v="5455.23"/>
    <n v="25.46"/>
    <n v="790.74"/>
    <n v="28.78"/>
  </r>
  <r>
    <s v="F168"/>
    <x v="2"/>
    <s v="2022 Q1"/>
    <s v="Scope 2"/>
    <x v="0"/>
    <n v="1993.42"/>
    <n v="24095"/>
    <n v="3167.52"/>
    <n v="31.02"/>
    <n v="608.07000000000005"/>
    <n v="13.98"/>
  </r>
  <r>
    <s v="F169"/>
    <x v="2"/>
    <s v="2022 Q2"/>
    <s v="Scope 1"/>
    <x v="0"/>
    <n v="1395.49"/>
    <n v="44994"/>
    <n v="7305.59"/>
    <n v="91.53"/>
    <n v="790.74"/>
    <n v="27.44"/>
  </r>
  <r>
    <s v="F093"/>
    <x v="2"/>
    <s v="2022 Q2"/>
    <s v="Scope 3"/>
    <x v="1"/>
    <n v="2509.14"/>
    <n v="15553"/>
    <n v="3909.51"/>
    <n v="46.44"/>
    <s v=""/>
    <s v=""/>
  </r>
  <r>
    <s v="F108"/>
    <x v="3"/>
    <s v="2023 Q2"/>
    <s v="Scope 3"/>
    <x v="2"/>
    <n v="2619.13"/>
    <n v="39050"/>
    <n v="5885.73"/>
    <n v="93.04"/>
    <n v="318.55"/>
    <n v="39.81"/>
  </r>
  <r>
    <s v="F024"/>
    <x v="4"/>
    <s v="2022 Q2"/>
    <s v="Scope 1"/>
    <x v="0"/>
    <n v="1192.6600000000001"/>
    <n v="95718"/>
    <n v="2443.12"/>
    <n v="35.49"/>
    <n v="818.45"/>
    <n v="9.9499999999999993"/>
  </r>
  <r>
    <s v="F108"/>
    <x v="3"/>
    <s v="2023 Q1"/>
    <s v="Scope 3"/>
    <x v="2"/>
    <n v="639.36"/>
    <n v="39050"/>
    <n v="5885.73"/>
    <n v="93.04"/>
    <n v="318.55"/>
    <n v="39.81"/>
  </r>
  <r>
    <s v="F002"/>
    <x v="4"/>
    <s v="2022 Q2"/>
    <s v="Scope 2"/>
    <x v="2"/>
    <n v="3446.07"/>
    <n v="53661"/>
    <n v="6965.81"/>
    <n v="69.400000000000006"/>
    <n v="610.79999999999995"/>
    <n v="29.15"/>
  </r>
  <r>
    <s v="F095"/>
    <x v="2"/>
    <s v="2022 Q2"/>
    <s v="Scope 3"/>
    <x v="0"/>
    <n v="2973.2"/>
    <n v="49885"/>
    <n v="6845.46"/>
    <n v="58.4"/>
    <n v="341.24"/>
    <n v="19.309999999999999"/>
  </r>
  <r>
    <s v="F005"/>
    <x v="4"/>
    <s v="2022 Q2"/>
    <s v="Scope 2"/>
    <x v="1"/>
    <n v="4562.24"/>
    <n v="61743"/>
    <n v="7426.75"/>
    <n v="26.39"/>
    <n v="527.37"/>
    <n v="39.28"/>
  </r>
  <r>
    <s v="F162"/>
    <x v="3"/>
    <s v="2022 Q2"/>
    <s v="Scope 2"/>
    <x v="1"/>
    <n v="3500.64"/>
    <n v="18175"/>
    <n v="8349.49"/>
    <n v="39.97"/>
    <n v="818.45"/>
    <n v="19.04"/>
  </r>
  <r>
    <s v="F025"/>
    <x v="4"/>
    <s v="2022 Q1"/>
    <s v="Scope 2"/>
    <x v="2"/>
    <n v="3289.66"/>
    <n v="32131"/>
    <n v="1474.23"/>
    <n v="45.47"/>
    <n v="830.73"/>
    <n v="17.97"/>
  </r>
  <r>
    <s v="F100"/>
    <x v="0"/>
    <s v="2023 Q1"/>
    <s v="Scope 1"/>
    <x v="1"/>
    <n v="540.26"/>
    <n v="90632"/>
    <n v="5292.17"/>
    <n v="78.45"/>
    <n v="571.88"/>
    <n v="20.93"/>
  </r>
  <r>
    <s v="F171"/>
    <x v="4"/>
    <s v="2023 Q2"/>
    <s v="Scope 1"/>
    <x v="1"/>
    <n v="3784.31"/>
    <n v="98356"/>
    <n v="6968.69"/>
    <n v="81.72"/>
    <n v="795.74"/>
    <n v="22.41"/>
  </r>
  <r>
    <s v="F101"/>
    <x v="3"/>
    <s v="2022 Q2"/>
    <s v="Scope 2"/>
    <x v="2"/>
    <n v="2320.83"/>
    <n v="65719"/>
    <n v="9362.41"/>
    <n v="86.55"/>
    <n v="932.3"/>
    <n v="28.9"/>
  </r>
  <r>
    <s v="F016"/>
    <x v="2"/>
    <s v="2023 Q1"/>
    <s v="Scope 1"/>
    <x v="1"/>
    <n v="2311.4499999999998"/>
    <n v="93409"/>
    <n v="2375.83"/>
    <n v="5.83"/>
    <s v=""/>
    <s v=""/>
  </r>
  <r>
    <s v="F174"/>
    <x v="3"/>
    <s v="2023 Q2"/>
    <s v="Scope 2"/>
    <x v="0"/>
    <n v="4836.59"/>
    <n v="95962"/>
    <n v="524.72"/>
    <n v="49.55"/>
    <n v="991.36"/>
    <n v="18.28"/>
  </r>
  <r>
    <s v="F077"/>
    <x v="4"/>
    <s v="2022 Q2"/>
    <s v="Scope 2"/>
    <x v="1"/>
    <n v="4870.82"/>
    <n v="52836"/>
    <n v="9330.2999999999993"/>
    <n v="87.27"/>
    <s v=""/>
    <s v=""/>
  </r>
  <r>
    <s v="F149"/>
    <x v="1"/>
    <s v="2023 Q2"/>
    <s v="Scope 2"/>
    <x v="1"/>
    <n v="4492.74"/>
    <n v="61207"/>
    <n v="6922.33"/>
    <n v="9.1999999999999993"/>
    <s v=""/>
    <s v=""/>
  </r>
  <r>
    <s v="F192"/>
    <x v="4"/>
    <s v="2023 Q1"/>
    <s v="Scope 1"/>
    <x v="0"/>
    <n v="2776.43"/>
    <n v="21914"/>
    <n v="5897.27"/>
    <n v="49.41"/>
    <n v="790.74"/>
    <n v="15.07"/>
  </r>
  <r>
    <s v="F107"/>
    <x v="2"/>
    <s v="2023 Q2"/>
    <s v="Scope 2"/>
    <x v="0"/>
    <n v="4987.59"/>
    <n v="43512"/>
    <n v="5352.18"/>
    <n v="6.17"/>
    <n v="311.36"/>
    <n v="28.72"/>
  </r>
  <r>
    <s v="F096"/>
    <x v="0"/>
    <s v="2022 Q1"/>
    <s v="Scope 3"/>
    <x v="0"/>
    <n v="1335.76"/>
    <n v="21388"/>
    <n v="5249.39"/>
    <n v="64.2"/>
    <n v="571.66"/>
    <n v="17.87"/>
  </r>
  <r>
    <s v="F139"/>
    <x v="0"/>
    <s v="2023 Q1"/>
    <s v="Scope 1"/>
    <x v="0"/>
    <n v="1293.21"/>
    <n v="80904"/>
    <n v="3263.09"/>
    <n v="58.37"/>
    <n v="756.78"/>
    <n v="35.950000000000003"/>
  </r>
  <r>
    <s v="F195"/>
    <x v="1"/>
    <s v="2023 Q1"/>
    <s v="Scope 2"/>
    <x v="2"/>
    <n v="1708"/>
    <n v="87012"/>
    <n v="7478.13"/>
    <n v="27.22"/>
    <n v="579.80999999999995"/>
    <n v="28.6"/>
  </r>
  <r>
    <s v="F127"/>
    <x v="3"/>
    <s v="2022 Q2"/>
    <s v="Scope 2"/>
    <x v="2"/>
    <n v="4594.9799999999996"/>
    <n v="77400"/>
    <n v="7504.8"/>
    <n v="68.819999999999993"/>
    <s v=""/>
    <s v=""/>
  </r>
  <r>
    <s v="F159"/>
    <x v="0"/>
    <s v="2023 Q2"/>
    <s v="Scope 1"/>
    <x v="0"/>
    <n v="831.81"/>
    <n v="72224"/>
    <n v="1613.32"/>
    <n v="39.21"/>
    <n v="111.84"/>
    <n v="28.69"/>
  </r>
  <r>
    <s v="F151"/>
    <x v="2"/>
    <s v="2023 Q2"/>
    <s v="Scope 1"/>
    <x v="0"/>
    <n v="2545.9"/>
    <n v="81057"/>
    <n v="675.41"/>
    <n v="55.44"/>
    <n v="847.51"/>
    <n v="28.03"/>
  </r>
  <r>
    <s v="F095"/>
    <x v="2"/>
    <s v="2023 Q1"/>
    <s v="Scope 3"/>
    <x v="0"/>
    <n v="1207.1400000000001"/>
    <n v="49885"/>
    <n v="6845.46"/>
    <n v="58.4"/>
    <n v="341.24"/>
    <n v="19.309999999999999"/>
  </r>
  <r>
    <s v="F101"/>
    <x v="3"/>
    <s v="2023 Q2"/>
    <s v="Scope 3"/>
    <x v="2"/>
    <n v="2790.8"/>
    <n v="65719"/>
    <n v="9362.41"/>
    <n v="86.55"/>
    <n v="932.3"/>
    <n v="28.9"/>
  </r>
  <r>
    <s v="F132"/>
    <x v="4"/>
    <s v="2023 Q2"/>
    <s v="Scope 2"/>
    <x v="1"/>
    <n v="1945.28"/>
    <n v="76544"/>
    <n v="8632.77"/>
    <n v="12.87"/>
    <n v="571.88"/>
    <n v="30.1"/>
  </r>
  <r>
    <s v="F107"/>
    <x v="2"/>
    <s v="2023 Q1"/>
    <s v="Scope 3"/>
    <x v="2"/>
    <n v="3670.54"/>
    <n v="43512"/>
    <n v="5352.18"/>
    <n v="6.17"/>
    <n v="311.36"/>
    <n v="28.72"/>
  </r>
  <r>
    <s v="F134"/>
    <x v="3"/>
    <s v="2022 Q2"/>
    <s v="Scope 1"/>
    <x v="2"/>
    <n v="1954.98"/>
    <n v="16256"/>
    <n v="2127.1799999999998"/>
    <n v="38.94"/>
    <n v="796.34"/>
    <n v="66.41"/>
  </r>
  <r>
    <s v="F196"/>
    <x v="4"/>
    <s v="2022 Q2"/>
    <s v="Scope 1"/>
    <x v="1"/>
    <n v="2205.38"/>
    <n v="85444"/>
    <n v="852.57"/>
    <n v="72.650000000000006"/>
    <n v="319.93"/>
    <n v="34.35"/>
  </r>
  <r>
    <s v="F166"/>
    <x v="3"/>
    <s v="2023 Q2"/>
    <s v="Scope 1"/>
    <x v="2"/>
    <n v="1900.73"/>
    <n v="96474"/>
    <n v="7574.39"/>
    <n v="95.54"/>
    <n v="886.71"/>
    <n v="24.84"/>
  </r>
  <r>
    <s v="F008"/>
    <x v="3"/>
    <s v="2022 Q2"/>
    <s v="Scope 3"/>
    <x v="0"/>
    <n v="2512.7800000000002"/>
    <n v="50306"/>
    <n v="7031.37"/>
    <n v="13.27"/>
    <s v=""/>
    <s v=""/>
  </r>
  <r>
    <s v="F047"/>
    <x v="0"/>
    <s v="2023 Q2"/>
    <s v="Scope 3"/>
    <x v="1"/>
    <n v="3560.29"/>
    <n v="39568"/>
    <n v="3580.54"/>
    <n v="78.08"/>
    <n v="635.72"/>
    <n v="67.36"/>
  </r>
  <r>
    <s v="F172"/>
    <x v="4"/>
    <s v="2023 Q2"/>
    <s v="Scope 1"/>
    <x v="0"/>
    <n v="4844.28"/>
    <n v="98396"/>
    <n v="5174.07"/>
    <n v="63.38"/>
    <n v="714.03"/>
    <n v="36.89"/>
  </r>
  <r>
    <s v="F048"/>
    <x v="0"/>
    <s v="2022 Q2"/>
    <s v="Scope 1"/>
    <x v="1"/>
    <n v="3100.15"/>
    <n v="26338"/>
    <n v="578.73"/>
    <n v="72.52"/>
    <n v="991.36"/>
    <n v="35.39"/>
  </r>
  <r>
    <s v="F100"/>
    <x v="0"/>
    <s v="2022 Q1"/>
    <s v="Scope 2"/>
    <x v="1"/>
    <n v="2791.16"/>
    <n v="90632"/>
    <n v="5292.17"/>
    <n v="78.45"/>
    <n v="571.88"/>
    <n v="20.93"/>
  </r>
  <r>
    <s v="F125"/>
    <x v="1"/>
    <s v="2022 Q1"/>
    <s v="Scope 1"/>
    <x v="1"/>
    <n v="774.95"/>
    <n v="82332"/>
    <n v="7134.86"/>
    <n v="22.44"/>
    <n v="553.44000000000005"/>
    <n v="13.24"/>
  </r>
  <r>
    <s v="F025"/>
    <x v="4"/>
    <s v="2022 Q1"/>
    <s v="Scope 3"/>
    <x v="1"/>
    <n v="2907.12"/>
    <n v="32131"/>
    <n v="1474.23"/>
    <n v="45.47"/>
    <n v="830.73"/>
    <n v="17.97"/>
  </r>
  <r>
    <s v="F069"/>
    <x v="4"/>
    <s v="2023 Q2"/>
    <s v="Scope 3"/>
    <x v="0"/>
    <n v="1885.37"/>
    <n v="85488"/>
    <n v="9691.57"/>
    <n v="96.98"/>
    <s v=""/>
    <s v=""/>
  </r>
  <r>
    <s v="F173"/>
    <x v="1"/>
    <s v="2023 Q2"/>
    <s v="Scope 3"/>
    <x v="0"/>
    <n v="3784.58"/>
    <n v="38181"/>
    <n v="691.84"/>
    <n v="33.53"/>
    <n v="114.57"/>
    <n v="9.9600000000000009"/>
  </r>
  <r>
    <s v="F031"/>
    <x v="3"/>
    <s v="2023 Q1"/>
    <s v="Scope 2"/>
    <x v="0"/>
    <n v="2788.31"/>
    <n v="86263"/>
    <n v="3213.71"/>
    <n v="98.39"/>
    <n v="662.74"/>
    <n v="20.66"/>
  </r>
  <r>
    <s v="F171"/>
    <x v="4"/>
    <s v="2022 Q2"/>
    <s v="Scope 1"/>
    <x v="1"/>
    <n v="3315.9"/>
    <n v="98356"/>
    <n v="6968.69"/>
    <n v="81.72"/>
    <n v="795.74"/>
    <n v="22.41"/>
  </r>
  <r>
    <s v="F033"/>
    <x v="0"/>
    <s v="2023 Q1"/>
    <s v="Scope 2"/>
    <x v="2"/>
    <n v="1940.67"/>
    <n v="47727"/>
    <n v="8907.33"/>
    <n v="47.4"/>
    <n v="344.93"/>
    <n v="43.18"/>
  </r>
  <r>
    <s v="F038"/>
    <x v="4"/>
    <s v="2022 Q2"/>
    <s v="Scope 3"/>
    <x v="2"/>
    <n v="4052.32"/>
    <n v="18341"/>
    <n v="8465.57"/>
    <n v="38.39"/>
    <s v=""/>
    <s v=""/>
  </r>
  <r>
    <s v="F157"/>
    <x v="0"/>
    <s v="2023 Q1"/>
    <s v="Scope 3"/>
    <x v="0"/>
    <n v="1277.3"/>
    <n v="15788"/>
    <n v="1824.14"/>
    <n v="52.78"/>
    <n v="571.88"/>
    <n v="8.17"/>
  </r>
  <r>
    <s v="F095"/>
    <x v="2"/>
    <s v="2022 Q2"/>
    <s v="Scope 2"/>
    <x v="1"/>
    <n v="1024.25"/>
    <n v="49885"/>
    <n v="6845.46"/>
    <n v="58.4"/>
    <n v="341.24"/>
    <n v="19.309999999999999"/>
  </r>
  <r>
    <s v="F077"/>
    <x v="4"/>
    <s v="2022 Q1"/>
    <s v="Scope 2"/>
    <x v="0"/>
    <n v="167.21"/>
    <n v="52836"/>
    <n v="9330.2999999999993"/>
    <n v="87.27"/>
    <s v=""/>
    <s v=""/>
  </r>
  <r>
    <s v="F140"/>
    <x v="4"/>
    <s v="2023 Q2"/>
    <s v="Scope 2"/>
    <x v="0"/>
    <n v="996.06"/>
    <n v="94347"/>
    <n v="2272.58"/>
    <n v="34.75"/>
    <n v="472.66"/>
    <n v="44.97"/>
  </r>
  <r>
    <s v="F177"/>
    <x v="3"/>
    <s v="2023 Q1"/>
    <s v="Scope 2"/>
    <x v="0"/>
    <n v="1827.8"/>
    <n v="87482"/>
    <n v="2231.7399999999998"/>
    <n v="45.43"/>
    <n v="638.89"/>
    <n v="24.69"/>
  </r>
  <r>
    <s v="F025"/>
    <x v="4"/>
    <s v="2023 Q1"/>
    <s v="Scope 2"/>
    <x v="2"/>
    <n v="4065.52"/>
    <n v="32131"/>
    <n v="1474.23"/>
    <n v="45.47"/>
    <n v="830.73"/>
    <n v="17.97"/>
  </r>
  <r>
    <s v="F089"/>
    <x v="4"/>
    <s v="2023 Q2"/>
    <s v="Scope 3"/>
    <x v="0"/>
    <n v="484.82"/>
    <n v="58895"/>
    <n v="3039.17"/>
    <n v="59.82"/>
    <n v="785.8"/>
    <n v="22.92"/>
  </r>
  <r>
    <s v="F113"/>
    <x v="3"/>
    <s v="2022 Q1"/>
    <s v="Scope 3"/>
    <x v="2"/>
    <n v="4023.01"/>
    <n v="69636"/>
    <n v="4246.55"/>
    <n v="69.290000000000006"/>
    <n v="362.43"/>
    <n v="54.81"/>
  </r>
  <r>
    <s v="F193"/>
    <x v="1"/>
    <s v="2022 Q1"/>
    <s v="Scope 3"/>
    <x v="2"/>
    <n v="895.43"/>
    <n v="15333"/>
    <n v="2570.54"/>
    <n v="41.07"/>
    <n v="390.06"/>
    <n v="31.43"/>
  </r>
  <r>
    <s v="F048"/>
    <x v="0"/>
    <s v="2023 Q2"/>
    <s v="Scope 3"/>
    <x v="2"/>
    <n v="1949.1"/>
    <n v="26338"/>
    <n v="578.73"/>
    <n v="72.52"/>
    <n v="991.36"/>
    <n v="35.39"/>
  </r>
  <r>
    <s v="F025"/>
    <x v="4"/>
    <s v="2023 Q2"/>
    <s v="Scope 2"/>
    <x v="2"/>
    <n v="3777.75"/>
    <n v="32131"/>
    <n v="1474.23"/>
    <n v="45.47"/>
    <n v="830.73"/>
    <n v="17.97"/>
  </r>
  <r>
    <s v="F194"/>
    <x v="3"/>
    <s v="2022 Q2"/>
    <s v="Scope 1"/>
    <x v="2"/>
    <n v="3625.63"/>
    <n v="42382"/>
    <n v="5116.6899999999996"/>
    <n v="80.42"/>
    <n v="626.54"/>
    <n v="70.540000000000006"/>
  </r>
  <r>
    <s v="F106"/>
    <x v="3"/>
    <s v="2023 Q1"/>
    <s v="Scope 1"/>
    <x v="2"/>
    <n v="2991.57"/>
    <n v="98682"/>
    <n v="6220.56"/>
    <n v="70.099999999999994"/>
    <n v="724.63"/>
    <n v="27.81"/>
  </r>
  <r>
    <s v="F056"/>
    <x v="4"/>
    <s v="2022 Q1"/>
    <s v="Scope 1"/>
    <x v="1"/>
    <n v="1016.04"/>
    <n v="99026"/>
    <n v="5453.2"/>
    <n v="57.49"/>
    <n v="231.68"/>
    <n v="24.26"/>
  </r>
  <r>
    <s v="F151"/>
    <x v="2"/>
    <s v="2022 Q2"/>
    <s v="Scope 1"/>
    <x v="2"/>
    <n v="162.68"/>
    <n v="81057"/>
    <n v="675.41"/>
    <n v="55.44"/>
    <n v="847.51"/>
    <n v="28.03"/>
  </r>
  <r>
    <s v="F121"/>
    <x v="3"/>
    <s v="2023 Q2"/>
    <s v="Scope 3"/>
    <x v="0"/>
    <n v="2442.29"/>
    <n v="11952"/>
    <n v="4637.74"/>
    <n v="63.78"/>
    <n v="886.71"/>
    <n v="29.53"/>
  </r>
  <r>
    <s v="F010"/>
    <x v="0"/>
    <s v="2022 Q1"/>
    <s v="Scope 1"/>
    <x v="1"/>
    <n v="2499.21"/>
    <n v="32991"/>
    <n v="8540.14"/>
    <n v="37.75"/>
    <n v="268.16000000000003"/>
    <n v="9.08"/>
  </r>
  <r>
    <s v="F151"/>
    <x v="2"/>
    <s v="2022 Q2"/>
    <s v="Scope 1"/>
    <x v="1"/>
    <n v="880"/>
    <n v="81057"/>
    <n v="675.41"/>
    <n v="55.44"/>
    <n v="847.51"/>
    <n v="28.03"/>
  </r>
  <r>
    <s v="F109"/>
    <x v="0"/>
    <s v="2022 Q1"/>
    <s v="Scope 3"/>
    <x v="2"/>
    <n v="1240.92"/>
    <n v="34318"/>
    <n v="675.67"/>
    <n v="41.05"/>
    <n v="390.06"/>
    <n v="27.42"/>
  </r>
  <r>
    <s v="F002"/>
    <x v="4"/>
    <s v="2023 Q2"/>
    <s v="Scope 1"/>
    <x v="1"/>
    <n v="960.86"/>
    <n v="53661"/>
    <n v="6965.81"/>
    <n v="69.400000000000006"/>
    <n v="610.79999999999995"/>
    <n v="29.15"/>
  </r>
  <r>
    <s v="F090"/>
    <x v="2"/>
    <s v="2022 Q1"/>
    <s v="Scope 3"/>
    <x v="1"/>
    <n v="4165.4799999999996"/>
    <n v="29895"/>
    <n v="1631.08"/>
    <n v="39.93"/>
    <n v="959.2"/>
    <n v="38.840000000000003"/>
  </r>
  <r>
    <s v="F162"/>
    <x v="3"/>
    <s v="2023 Q2"/>
    <s v="Scope 2"/>
    <x v="0"/>
    <n v="2805.55"/>
    <n v="18175"/>
    <n v="8349.49"/>
    <n v="39.97"/>
    <n v="818.45"/>
    <n v="19.04"/>
  </r>
  <r>
    <s v="F177"/>
    <x v="3"/>
    <s v="2022 Q2"/>
    <s v="Scope 3"/>
    <x v="2"/>
    <n v="5115.68"/>
    <n v="87482"/>
    <n v="2231.7399999999998"/>
    <n v="45.43"/>
    <n v="638.89"/>
    <n v="24.69"/>
  </r>
  <r>
    <s v="F034"/>
    <x v="4"/>
    <s v="2023 Q1"/>
    <s v="Scope 3"/>
    <x v="0"/>
    <n v="771.92"/>
    <n v="67213"/>
    <n v="5533.81"/>
    <n v="90.88"/>
    <n v="467.3"/>
    <n v="53.15"/>
  </r>
  <r>
    <s v="F177"/>
    <x v="3"/>
    <s v="2022 Q1"/>
    <s v="Scope 2"/>
    <x v="0"/>
    <n v="2773.86"/>
    <n v="87482"/>
    <n v="2231.7399999999998"/>
    <n v="45.43"/>
    <n v="638.89"/>
    <n v="24.69"/>
  </r>
  <r>
    <s v="F055"/>
    <x v="2"/>
    <s v="2023 Q1"/>
    <s v="Scope 1"/>
    <x v="0"/>
    <n v="3950.71"/>
    <n v="41050"/>
    <n v="6025.84"/>
    <n v="53.53"/>
    <n v="289.77"/>
    <n v="19.260000000000002"/>
  </r>
  <r>
    <s v="F078"/>
    <x v="0"/>
    <s v="2023 Q1"/>
    <s v="Scope 2"/>
    <x v="2"/>
    <n v="2266.44"/>
    <n v="78624"/>
    <n v="2373.27"/>
    <n v="25.07"/>
    <s v=""/>
    <s v=""/>
  </r>
  <r>
    <s v="F091"/>
    <x v="4"/>
    <s v="2023 Q2"/>
    <s v="Scope 2"/>
    <x v="2"/>
    <n v="4964.76"/>
    <n v="43490"/>
    <n v="9300.8799999999992"/>
    <n v="58.43"/>
    <n v="264.23"/>
    <n v="11.71"/>
  </r>
  <r>
    <s v="F082"/>
    <x v="0"/>
    <s v="2022 Q2"/>
    <s v="Scope 1"/>
    <x v="1"/>
    <n v="2700.64"/>
    <n v="17468"/>
    <n v="6359.73"/>
    <n v="5.22"/>
    <n v="959.2"/>
    <n v="36.92"/>
  </r>
  <r>
    <s v="F183"/>
    <x v="3"/>
    <s v="2022 Q1"/>
    <s v="Scope 1"/>
    <x v="0"/>
    <n v="4643.79"/>
    <n v="29860"/>
    <n v="3956.23"/>
    <n v="57.5"/>
    <n v="432.23"/>
    <n v="17.78"/>
  </r>
  <r>
    <s v="F090"/>
    <x v="2"/>
    <s v="2022 Q1"/>
    <s v="Scope 3"/>
    <x v="2"/>
    <n v="4947.74"/>
    <n v="29895"/>
    <n v="1631.08"/>
    <n v="39.93"/>
    <n v="959.2"/>
    <n v="38.840000000000003"/>
  </r>
  <r>
    <s v="F018"/>
    <x v="4"/>
    <s v="2022 Q1"/>
    <s v="Scope 3"/>
    <x v="0"/>
    <n v="2116.65"/>
    <n v="69305"/>
    <n v="3203.67"/>
    <n v="83.65"/>
    <n v="173.67"/>
    <n v="67.040000000000006"/>
  </r>
  <r>
    <s v="F102"/>
    <x v="1"/>
    <s v="2022 Q2"/>
    <s v="Scope 1"/>
    <x v="0"/>
    <n v="425.91"/>
    <n v="82377"/>
    <n v="7974.74"/>
    <n v="9.17"/>
    <s v=""/>
    <s v=""/>
  </r>
  <r>
    <s v="F001"/>
    <x v="1"/>
    <s v="2023 Q1"/>
    <s v="Scope 2"/>
    <x v="0"/>
    <n v="466.45"/>
    <n v="54133"/>
    <n v="8543.68"/>
    <n v="24"/>
    <n v="991.03"/>
    <n v="23.33"/>
  </r>
  <r>
    <s v="F078"/>
    <x v="0"/>
    <s v="2023 Q2"/>
    <s v="Scope 2"/>
    <x v="1"/>
    <n v="1868.24"/>
    <n v="78624"/>
    <n v="2373.27"/>
    <n v="25.07"/>
    <s v=""/>
    <s v=""/>
  </r>
  <r>
    <s v="F151"/>
    <x v="2"/>
    <s v="2022 Q2"/>
    <s v="Scope 3"/>
    <x v="0"/>
    <n v="3497.35"/>
    <n v="81057"/>
    <n v="675.41"/>
    <n v="55.44"/>
    <n v="847.51"/>
    <n v="28.03"/>
  </r>
  <r>
    <s v="F153"/>
    <x v="3"/>
    <s v="2022 Q1"/>
    <s v="Scope 1"/>
    <x v="1"/>
    <n v="3774.06"/>
    <n v="95306"/>
    <n v="9037.76"/>
    <n v="13.35"/>
    <n v="724.63"/>
    <n v="21.2"/>
  </r>
  <r>
    <s v="F072"/>
    <x v="2"/>
    <s v="2022 Q1"/>
    <s v="Scope 2"/>
    <x v="2"/>
    <n v="518.79999999999995"/>
    <n v="95292"/>
    <n v="697.47"/>
    <n v="88.35"/>
    <n v="114.57"/>
    <n v="36.04"/>
  </r>
  <r>
    <s v="F170"/>
    <x v="2"/>
    <s v="2022 Q1"/>
    <s v="Scope 2"/>
    <x v="1"/>
    <n v="2317.02"/>
    <n v="24502"/>
    <n v="7466.86"/>
    <n v="88.83"/>
    <n v="847.51"/>
    <n v="26.48"/>
  </r>
  <r>
    <s v="F185"/>
    <x v="0"/>
    <s v="2022 Q1"/>
    <s v="Scope 1"/>
    <x v="2"/>
    <n v="3340.8"/>
    <n v="68820"/>
    <n v="9612.25"/>
    <n v="83.51"/>
    <n v="867.66"/>
    <n v="18.88"/>
  </r>
  <r>
    <s v="F122"/>
    <x v="4"/>
    <s v="2022 Q2"/>
    <s v="Scope 2"/>
    <x v="1"/>
    <n v="3888.93"/>
    <n v="49620"/>
    <n v="2424.31"/>
    <n v="62.09"/>
    <n v="184.92"/>
    <n v="19.55"/>
  </r>
  <r>
    <s v="F002"/>
    <x v="4"/>
    <s v="2023 Q2"/>
    <s v="Scope 3"/>
    <x v="2"/>
    <n v="4696.2299999999996"/>
    <n v="53661"/>
    <n v="6965.81"/>
    <n v="69.400000000000006"/>
    <n v="610.79999999999995"/>
    <n v="29.15"/>
  </r>
  <r>
    <s v="F134"/>
    <x v="3"/>
    <s v="2023 Q2"/>
    <s v="Scope 2"/>
    <x v="1"/>
    <n v="149.05000000000001"/>
    <n v="16256"/>
    <n v="2127.1799999999998"/>
    <n v="38.94"/>
    <n v="796.34"/>
    <n v="66.41"/>
  </r>
  <r>
    <s v="F186"/>
    <x v="4"/>
    <s v="2022 Q2"/>
    <s v="Scope 3"/>
    <x v="2"/>
    <n v="3665.95"/>
    <n v="61942"/>
    <n v="4891.32"/>
    <n v="91.59"/>
    <n v="785.8"/>
    <n v="8.84"/>
  </r>
  <r>
    <s v="F008"/>
    <x v="3"/>
    <s v="2022 Q2"/>
    <s v="Scope 1"/>
    <x v="0"/>
    <n v="4101.93"/>
    <n v="50306"/>
    <n v="7031.37"/>
    <n v="13.27"/>
    <s v=""/>
    <s v=""/>
  </r>
  <r>
    <s v="F028"/>
    <x v="4"/>
    <s v="2023 Q1"/>
    <s v="Scope 1"/>
    <x v="2"/>
    <n v="2897.14"/>
    <n v="73977"/>
    <n v="1646.75"/>
    <n v="43.77"/>
    <s v=""/>
    <s v=""/>
  </r>
  <r>
    <s v="F032"/>
    <x v="1"/>
    <s v="2023 Q1"/>
    <s v="Scope 1"/>
    <x v="1"/>
    <n v="828.73"/>
    <n v="33688"/>
    <n v="9495.48"/>
    <n v="55.55"/>
    <n v="780.4"/>
    <n v="30.98"/>
  </r>
  <r>
    <s v="F174"/>
    <x v="3"/>
    <s v="2023 Q1"/>
    <s v="Scope 2"/>
    <x v="1"/>
    <n v="3155.64"/>
    <n v="95962"/>
    <n v="524.72"/>
    <n v="49.55"/>
    <n v="991.36"/>
    <n v="18.28"/>
  </r>
  <r>
    <s v="F121"/>
    <x v="3"/>
    <s v="2023 Q1"/>
    <s v="Scope 1"/>
    <x v="1"/>
    <n v="3573.8"/>
    <n v="11952"/>
    <n v="4637.74"/>
    <n v="63.78"/>
    <n v="886.71"/>
    <n v="29.53"/>
  </r>
  <r>
    <s v="F164"/>
    <x v="0"/>
    <s v="2022 Q1"/>
    <s v="Scope 2"/>
    <x v="2"/>
    <n v="4315.67"/>
    <n v="60710"/>
    <n v="2726.26"/>
    <n v="83.02"/>
    <n v="714.81"/>
    <n v="58.54"/>
  </r>
  <r>
    <s v="F121"/>
    <x v="3"/>
    <s v="2022 Q2"/>
    <s v="Scope 1"/>
    <x v="0"/>
    <n v="265.31"/>
    <n v="11952"/>
    <n v="4637.74"/>
    <n v="63.78"/>
    <n v="886.71"/>
    <n v="29.53"/>
  </r>
  <r>
    <s v="F166"/>
    <x v="3"/>
    <s v="2022 Q1"/>
    <s v="Scope 2"/>
    <x v="2"/>
    <n v="392.52"/>
    <n v="96474"/>
    <n v="7574.39"/>
    <n v="95.54"/>
    <n v="886.71"/>
    <n v="24.84"/>
  </r>
  <r>
    <s v="F050"/>
    <x v="0"/>
    <s v="2023 Q2"/>
    <s v="Scope 2"/>
    <x v="2"/>
    <n v="3807.44"/>
    <n v="10067"/>
    <n v="1953.33"/>
    <n v="25.15"/>
    <n v="785.8"/>
    <n v="19.649999999999999"/>
  </r>
  <r>
    <s v="F037"/>
    <x v="3"/>
    <s v="2022 Q1"/>
    <s v="Scope 3"/>
    <x v="2"/>
    <n v="3118.18"/>
    <n v="97337"/>
    <n v="3362.06"/>
    <n v="55.46"/>
    <n v="459.56"/>
    <n v="10.31"/>
  </r>
  <r>
    <s v="F052"/>
    <x v="3"/>
    <s v="2023 Q1"/>
    <s v="Scope 1"/>
    <x v="2"/>
    <n v="1947.59"/>
    <n v="66163"/>
    <n v="1416.57"/>
    <n v="68.73"/>
    <n v="773.96"/>
    <n v="29.26"/>
  </r>
  <r>
    <s v="F004"/>
    <x v="0"/>
    <s v="2022 Q1"/>
    <s v="Scope 2"/>
    <x v="2"/>
    <n v="4464.43"/>
    <n v="83923"/>
    <n v="8768.7999999999993"/>
    <n v="65.290000000000006"/>
    <n v="579.80999999999995"/>
    <n v="34.93"/>
  </r>
  <r>
    <s v="F111"/>
    <x v="3"/>
    <s v="2022 Q2"/>
    <s v="Scope 1"/>
    <x v="0"/>
    <n v="2252.36"/>
    <n v="10907"/>
    <n v="4748.66"/>
    <n v="39.36"/>
    <n v="986.62"/>
    <n v="17.04"/>
  </r>
  <r>
    <s v="F077"/>
    <x v="4"/>
    <s v="2022 Q1"/>
    <s v="Scope 3"/>
    <x v="1"/>
    <n v="2203.84"/>
    <n v="52836"/>
    <n v="9330.2999999999993"/>
    <n v="87.27"/>
    <s v=""/>
    <s v=""/>
  </r>
  <r>
    <s v="F019"/>
    <x v="0"/>
    <s v="2023 Q1"/>
    <s v="Scope 1"/>
    <x v="1"/>
    <n v="673.38"/>
    <n v="68018"/>
    <n v="3523.4"/>
    <n v="92.26"/>
    <n v="111.84"/>
    <n v="15.85"/>
  </r>
  <r>
    <s v="F096"/>
    <x v="0"/>
    <s v="2023 Q2"/>
    <s v="Scope 2"/>
    <x v="0"/>
    <n v="3879.17"/>
    <n v="21388"/>
    <n v="5249.39"/>
    <n v="64.2"/>
    <n v="571.66"/>
    <n v="17.87"/>
  </r>
  <r>
    <s v="F171"/>
    <x v="4"/>
    <s v="2022 Q1"/>
    <s v="Scope 2"/>
    <x v="1"/>
    <n v="404.42"/>
    <n v="98356"/>
    <n v="6968.69"/>
    <n v="81.72"/>
    <n v="795.74"/>
    <n v="22.41"/>
  </r>
  <r>
    <s v="F016"/>
    <x v="2"/>
    <s v="2023 Q2"/>
    <s v="Scope 3"/>
    <x v="2"/>
    <n v="3415.97"/>
    <n v="93409"/>
    <n v="2375.83"/>
    <n v="5.83"/>
    <s v=""/>
    <s v=""/>
  </r>
  <r>
    <s v="F148"/>
    <x v="1"/>
    <s v="2023 Q2"/>
    <s v="Scope 3"/>
    <x v="0"/>
    <n v="3091.39"/>
    <n v="47491"/>
    <n v="5781.05"/>
    <n v="92.18"/>
    <n v="344.93"/>
    <n v="36.229999999999997"/>
  </r>
  <r>
    <s v="F172"/>
    <x v="4"/>
    <s v="2023 Q2"/>
    <s v="Scope 2"/>
    <x v="2"/>
    <n v="3216.77"/>
    <n v="98396"/>
    <n v="5174.07"/>
    <n v="63.38"/>
    <n v="714.03"/>
    <n v="36.89"/>
  </r>
  <r>
    <s v="F166"/>
    <x v="3"/>
    <s v="2022 Q1"/>
    <s v="Scope 3"/>
    <x v="0"/>
    <n v="2200.1999999999998"/>
    <n v="96474"/>
    <n v="7574.39"/>
    <n v="95.54"/>
    <n v="886.71"/>
    <n v="24.84"/>
  </r>
  <r>
    <s v="F115"/>
    <x v="3"/>
    <s v="2022 Q1"/>
    <s v="Scope 1"/>
    <x v="1"/>
    <n v="4874.88"/>
    <n v="29318"/>
    <n v="9860.6200000000008"/>
    <n v="14.58"/>
    <n v="571.66"/>
    <n v="6.78"/>
  </r>
  <r>
    <s v="F032"/>
    <x v="1"/>
    <s v="2023 Q1"/>
    <s v="Scope 1"/>
    <x v="2"/>
    <n v="3104.55"/>
    <n v="33688"/>
    <n v="9495.48"/>
    <n v="55.55"/>
    <n v="780.4"/>
    <n v="30.98"/>
  </r>
  <r>
    <s v="F103"/>
    <x v="4"/>
    <s v="2022 Q1"/>
    <s v="Scope 3"/>
    <x v="2"/>
    <n v="3500.32"/>
    <n v="22309"/>
    <n v="3656.29"/>
    <n v="75.25"/>
    <n v="795.74"/>
    <n v="26.99"/>
  </r>
  <r>
    <s v="F096"/>
    <x v="0"/>
    <s v="2023 Q2"/>
    <s v="Scope 3"/>
    <x v="0"/>
    <n v="3041.16"/>
    <n v="21388"/>
    <n v="5249.39"/>
    <n v="64.2"/>
    <n v="571.66"/>
    <n v="17.87"/>
  </r>
  <r>
    <s v="F154"/>
    <x v="0"/>
    <s v="2022 Q1"/>
    <s v="Scope 3"/>
    <x v="0"/>
    <n v="4584.16"/>
    <n v="17097"/>
    <n v="9061.7800000000007"/>
    <n v="95.92"/>
    <n v="390.06"/>
    <n v="18.010000000000002"/>
  </r>
  <r>
    <s v="F050"/>
    <x v="0"/>
    <s v="2023 Q1"/>
    <s v="Scope 3"/>
    <x v="0"/>
    <n v="3894.01"/>
    <n v="10067"/>
    <n v="1953.33"/>
    <n v="25.15"/>
    <n v="785.8"/>
    <n v="19.649999999999999"/>
  </r>
  <r>
    <s v="F103"/>
    <x v="4"/>
    <s v="2022 Q2"/>
    <s v="Scope 1"/>
    <x v="0"/>
    <n v="1782.56"/>
    <n v="22309"/>
    <n v="3656.29"/>
    <n v="75.25"/>
    <n v="795.74"/>
    <n v="26.99"/>
  </r>
  <r>
    <s v="F025"/>
    <x v="4"/>
    <s v="2023 Q1"/>
    <s v="Scope 2"/>
    <x v="0"/>
    <n v="4386.96"/>
    <n v="32131"/>
    <n v="1474.23"/>
    <n v="45.47"/>
    <n v="830.73"/>
    <n v="17.97"/>
  </r>
  <r>
    <s v="F152"/>
    <x v="4"/>
    <s v="2022 Q1"/>
    <s v="Scope 2"/>
    <x v="2"/>
    <n v="644.96"/>
    <n v="90679"/>
    <n v="7266.82"/>
    <n v="23.3"/>
    <n v="943.59"/>
    <n v="15.81"/>
  </r>
  <r>
    <s v="F112"/>
    <x v="4"/>
    <s v="2023 Q1"/>
    <s v="Scope 1"/>
    <x v="0"/>
    <n v="1942.26"/>
    <n v="88188"/>
    <n v="815.86"/>
    <n v="57.53"/>
    <n v="557.72"/>
    <n v="37.25"/>
  </r>
  <r>
    <s v="F044"/>
    <x v="1"/>
    <s v="2023 Q1"/>
    <s v="Scope 2"/>
    <x v="0"/>
    <n v="1990.87"/>
    <n v="93661"/>
    <n v="7324.58"/>
    <n v="23.55"/>
    <n v="390.06"/>
    <n v="23.14"/>
  </r>
  <r>
    <s v="F019"/>
    <x v="0"/>
    <s v="2023 Q2"/>
    <s v="Scope 1"/>
    <x v="1"/>
    <n v="3260.58"/>
    <n v="68018"/>
    <n v="3523.4"/>
    <n v="92.26"/>
    <n v="111.84"/>
    <n v="15.85"/>
  </r>
  <r>
    <s v="F198"/>
    <x v="3"/>
    <s v="2023 Q1"/>
    <s v="Scope 1"/>
    <x v="0"/>
    <n v="1079.0999999999999"/>
    <n v="40577"/>
    <n v="4280.82"/>
    <n v="79.88"/>
    <n v="932.3"/>
    <n v="10.19"/>
  </r>
  <r>
    <s v="F027"/>
    <x v="4"/>
    <s v="2023 Q2"/>
    <s v="Scope 2"/>
    <x v="1"/>
    <n v="2675.56"/>
    <n v="51800"/>
    <n v="3042.95"/>
    <n v="71.87"/>
    <n v="714.03"/>
    <n v="10.84"/>
  </r>
  <r>
    <s v="F021"/>
    <x v="1"/>
    <s v="2022 Q2"/>
    <s v="Scope 2"/>
    <x v="1"/>
    <n v="1583.52"/>
    <n v="44657"/>
    <n v="7867.98"/>
    <n v="96.01"/>
    <n v="694.92"/>
    <n v="26.24"/>
  </r>
  <r>
    <s v="F138"/>
    <x v="0"/>
    <s v="2023 Q2"/>
    <s v="Scope 2"/>
    <x v="1"/>
    <n v="4798.47"/>
    <n v="94393"/>
    <n v="6691.7"/>
    <n v="74.790000000000006"/>
    <n v="867.66"/>
    <n v="32.97"/>
  </r>
  <r>
    <s v="F169"/>
    <x v="2"/>
    <s v="2022 Q2"/>
    <s v="Scope 2"/>
    <x v="2"/>
    <n v="856.9"/>
    <n v="44994"/>
    <n v="7305.59"/>
    <n v="91.53"/>
    <n v="790.74"/>
    <n v="27.44"/>
  </r>
  <r>
    <s v="F134"/>
    <x v="3"/>
    <s v="2022 Q1"/>
    <s v="Scope 3"/>
    <x v="0"/>
    <n v="1158.6300000000001"/>
    <n v="16256"/>
    <n v="2127.1799999999998"/>
    <n v="38.94"/>
    <n v="796.34"/>
    <n v="66.41"/>
  </r>
  <r>
    <s v="F113"/>
    <x v="3"/>
    <s v="2022 Q1"/>
    <s v="Scope 3"/>
    <x v="1"/>
    <n v="5208.6099999999997"/>
    <n v="69636"/>
    <n v="4246.55"/>
    <n v="69.290000000000006"/>
    <n v="362.43"/>
    <n v="54.81"/>
  </r>
  <r>
    <s v="F011"/>
    <x v="4"/>
    <s v="2022 Q1"/>
    <s v="Scope 2"/>
    <x v="1"/>
    <n v="4745.3"/>
    <n v="72846"/>
    <n v="5169.53"/>
    <n v="76.709999999999994"/>
    <s v=""/>
    <s v=""/>
  </r>
  <r>
    <s v="F098"/>
    <x v="4"/>
    <s v="2023 Q1"/>
    <s v="Scope 3"/>
    <x v="0"/>
    <n v="693.43"/>
    <n v="28704"/>
    <n v="6009.24"/>
    <n v="39.31"/>
    <n v="479.41"/>
    <n v="19.7"/>
  </r>
  <r>
    <s v="F149"/>
    <x v="1"/>
    <s v="2022 Q1"/>
    <s v="Scope 1"/>
    <x v="1"/>
    <n v="3285.65"/>
    <n v="61207"/>
    <n v="6922.33"/>
    <n v="9.1999999999999993"/>
    <s v=""/>
    <s v=""/>
  </r>
  <r>
    <s v="F135"/>
    <x v="3"/>
    <s v="2023 Q1"/>
    <s v="Scope 2"/>
    <x v="2"/>
    <n v="2731.22"/>
    <n v="56531"/>
    <n v="8958.07"/>
    <n v="83.44"/>
    <n v="943.59"/>
    <n v="23.54"/>
  </r>
  <r>
    <s v="F036"/>
    <x v="3"/>
    <s v="2022 Q1"/>
    <s v="Scope 3"/>
    <x v="0"/>
    <n v="2767.54"/>
    <n v="53942"/>
    <n v="5904.31"/>
    <n v="32.78"/>
    <n v="553.44000000000005"/>
    <n v="29.01"/>
  </r>
  <r>
    <s v="F200"/>
    <x v="1"/>
    <s v="2022 Q2"/>
    <s v="Scope 2"/>
    <x v="2"/>
    <n v="1719.12"/>
    <n v="21081"/>
    <n v="9001.77"/>
    <n v="49.27"/>
    <n v="114.57"/>
    <n v="44.17"/>
  </r>
  <r>
    <s v="F030"/>
    <x v="0"/>
    <s v="2023 Q1"/>
    <s v="Scope 1"/>
    <x v="2"/>
    <n v="2475.83"/>
    <n v="49924"/>
    <n v="2199.16"/>
    <n v="75.48"/>
    <n v="432.23"/>
    <n v="13.54"/>
  </r>
  <r>
    <s v="F118"/>
    <x v="0"/>
    <s v="2022 Q2"/>
    <s v="Scope 3"/>
    <x v="0"/>
    <n v="891.04"/>
    <n v="14170"/>
    <n v="5455.23"/>
    <n v="25.46"/>
    <n v="790.74"/>
    <n v="28.78"/>
  </r>
  <r>
    <s v="F043"/>
    <x v="0"/>
    <s v="2023 Q1"/>
    <s v="Scope 1"/>
    <x v="0"/>
    <n v="4421.93"/>
    <n v="14009"/>
    <n v="7528.98"/>
    <n v="77.62"/>
    <n v="763.97"/>
    <n v="24.91"/>
  </r>
  <r>
    <s v="F091"/>
    <x v="4"/>
    <s v="2023 Q2"/>
    <s v="Scope 1"/>
    <x v="0"/>
    <n v="3545.18"/>
    <n v="43490"/>
    <n v="9300.8799999999992"/>
    <n v="58.43"/>
    <n v="264.23"/>
    <n v="11.71"/>
  </r>
  <r>
    <s v="F092"/>
    <x v="4"/>
    <s v="2023 Q1"/>
    <s v="Scope 1"/>
    <x v="1"/>
    <n v="3073.82"/>
    <n v="79495"/>
    <n v="7157.48"/>
    <n v="26.84"/>
    <n v="114.57"/>
    <n v="9.83"/>
  </r>
  <r>
    <s v="F118"/>
    <x v="0"/>
    <s v="2022 Q2"/>
    <s v="Scope 2"/>
    <x v="1"/>
    <n v="1458.83"/>
    <n v="14170"/>
    <n v="5455.23"/>
    <n v="25.46"/>
    <n v="790.74"/>
    <n v="28.78"/>
  </r>
  <r>
    <s v="F066"/>
    <x v="4"/>
    <s v="2022 Q1"/>
    <s v="Scope 2"/>
    <x v="2"/>
    <n v="3457.1"/>
    <n v="13543"/>
    <n v="7854.96"/>
    <n v="85.57"/>
    <n v="610.79999999999995"/>
    <n v="30.04"/>
  </r>
  <r>
    <s v="F175"/>
    <x v="3"/>
    <s v="2022 Q1"/>
    <s v="Scope 3"/>
    <x v="1"/>
    <n v="1857.37"/>
    <n v="94949"/>
    <n v="9714.76"/>
    <n v="64.900000000000006"/>
    <n v="241.41"/>
    <n v="20.62"/>
  </r>
  <r>
    <s v="F032"/>
    <x v="1"/>
    <s v="2023 Q1"/>
    <s v="Scope 3"/>
    <x v="0"/>
    <n v="877.73"/>
    <n v="33688"/>
    <n v="9495.48"/>
    <n v="55.55"/>
    <n v="780.4"/>
    <n v="30.98"/>
  </r>
  <r>
    <s v="F125"/>
    <x v="1"/>
    <s v="2023 Q1"/>
    <s v="Scope 3"/>
    <x v="0"/>
    <n v="1349.73"/>
    <n v="82332"/>
    <n v="7134.86"/>
    <n v="22.44"/>
    <n v="553.44000000000005"/>
    <n v="13.24"/>
  </r>
  <r>
    <s v="F042"/>
    <x v="1"/>
    <s v="2023 Q1"/>
    <s v="Scope 3"/>
    <x v="2"/>
    <n v="5028.9399999999996"/>
    <n v="58111"/>
    <n v="4610.8999999999996"/>
    <n v="21.53"/>
    <n v="268.16000000000003"/>
    <n v="13.78"/>
  </r>
  <r>
    <s v="F087"/>
    <x v="4"/>
    <s v="2023 Q1"/>
    <s v="Scope 3"/>
    <x v="1"/>
    <n v="4368.43"/>
    <n v="44164"/>
    <n v="3869.32"/>
    <n v="13.81"/>
    <n v="943.59"/>
    <n v="16.02"/>
  </r>
  <r>
    <s v="F023"/>
    <x v="1"/>
    <s v="2023 Q2"/>
    <s v="Scope 1"/>
    <x v="1"/>
    <n v="3793.84"/>
    <n v="47484"/>
    <n v="3396.39"/>
    <n v="19.510000000000002"/>
    <n v="790.74"/>
    <n v="12.77"/>
  </r>
  <r>
    <s v="F030"/>
    <x v="0"/>
    <s v="2022 Q1"/>
    <s v="Scope 2"/>
    <x v="1"/>
    <n v="944.95"/>
    <n v="49924"/>
    <n v="2199.16"/>
    <n v="75.48"/>
    <n v="432.23"/>
    <n v="13.54"/>
  </r>
  <r>
    <s v="F054"/>
    <x v="3"/>
    <s v="2023 Q2"/>
    <s v="Scope 3"/>
    <x v="1"/>
    <n v="2973.3"/>
    <n v="38869"/>
    <n v="5109.76"/>
    <n v="35.270000000000003"/>
    <n v="986.62"/>
    <n v="40.86"/>
  </r>
  <r>
    <s v="F064"/>
    <x v="1"/>
    <s v="2022 Q1"/>
    <s v="Scope 3"/>
    <x v="2"/>
    <n v="3422.23"/>
    <n v="70481"/>
    <n v="4452.83"/>
    <n v="91.26"/>
    <s v=""/>
    <s v=""/>
  </r>
  <r>
    <s v="F121"/>
    <x v="3"/>
    <s v="2022 Q2"/>
    <s v="Scope 2"/>
    <x v="1"/>
    <n v="3754.94"/>
    <n v="11952"/>
    <n v="4637.74"/>
    <n v="63.78"/>
    <n v="886.71"/>
    <n v="29.53"/>
  </r>
  <r>
    <s v="F185"/>
    <x v="0"/>
    <s v="2022 Q1"/>
    <s v="Scope 3"/>
    <x v="2"/>
    <n v="1213.47"/>
    <n v="68820"/>
    <n v="9612.25"/>
    <n v="83.51"/>
    <n v="867.66"/>
    <n v="18.88"/>
  </r>
  <r>
    <s v="F099"/>
    <x v="3"/>
    <s v="2022 Q2"/>
    <s v="Scope 2"/>
    <x v="2"/>
    <n v="358.65"/>
    <n v="17162"/>
    <n v="5079.95"/>
    <n v="19.239999999999998"/>
    <n v="769.39"/>
    <n v="35.29"/>
  </r>
  <r>
    <s v="F035"/>
    <x v="4"/>
    <s v="2022 Q2"/>
    <s v="Scope 1"/>
    <x v="2"/>
    <n v="3630.35"/>
    <n v="24913"/>
    <n v="5727.27"/>
    <n v="78.849999999999994"/>
    <s v=""/>
    <s v=""/>
  </r>
  <r>
    <s v="F185"/>
    <x v="0"/>
    <s v="2023 Q2"/>
    <s v="Scope 2"/>
    <x v="0"/>
    <n v="3966.5"/>
    <n v="68820"/>
    <n v="9612.25"/>
    <n v="83.51"/>
    <n v="867.66"/>
    <n v="18.88"/>
  </r>
  <r>
    <s v="F185"/>
    <x v="0"/>
    <s v="2023 Q1"/>
    <s v="Scope 3"/>
    <x v="0"/>
    <n v="3886.23"/>
    <n v="68820"/>
    <n v="9612.25"/>
    <n v="83.51"/>
    <n v="867.66"/>
    <n v="18.88"/>
  </r>
  <r>
    <s v="F110"/>
    <x v="4"/>
    <s v="2023 Q2"/>
    <s v="Scope 3"/>
    <x v="0"/>
    <n v="1898.18"/>
    <n v="85868"/>
    <n v="907.72"/>
    <n v="90.36"/>
    <n v="960.4"/>
    <n v="10.65"/>
  </r>
  <r>
    <s v="F064"/>
    <x v="1"/>
    <s v="2023 Q2"/>
    <s v="Scope 2"/>
    <x v="1"/>
    <n v="1366.72"/>
    <n v="70481"/>
    <n v="4452.83"/>
    <n v="91.26"/>
    <s v=""/>
    <s v=""/>
  </r>
  <r>
    <s v="F095"/>
    <x v="2"/>
    <s v="2023 Q2"/>
    <s v="Scope 3"/>
    <x v="2"/>
    <n v="1988.14"/>
    <n v="49885"/>
    <n v="6845.46"/>
    <n v="58.4"/>
    <n v="341.24"/>
    <n v="19.309999999999999"/>
  </r>
  <r>
    <s v="F132"/>
    <x v="4"/>
    <s v="2022 Q2"/>
    <s v="Scope 2"/>
    <x v="1"/>
    <n v="2529.38"/>
    <n v="76544"/>
    <n v="8632.77"/>
    <n v="12.87"/>
    <n v="571.88"/>
    <n v="30.1"/>
  </r>
  <r>
    <s v="F074"/>
    <x v="1"/>
    <s v="2022 Q2"/>
    <s v="Scope 2"/>
    <x v="0"/>
    <n v="3229.82"/>
    <n v="25148"/>
    <n v="9604.5499999999993"/>
    <n v="63.47"/>
    <n v="209.33"/>
    <n v="30.01"/>
  </r>
  <r>
    <s v="F042"/>
    <x v="1"/>
    <s v="2022 Q2"/>
    <s v="Scope 1"/>
    <x v="2"/>
    <n v="1835.81"/>
    <n v="58111"/>
    <n v="4610.8999999999996"/>
    <n v="21.53"/>
    <n v="268.16000000000003"/>
    <n v="13.78"/>
  </r>
  <r>
    <s v="F065"/>
    <x v="1"/>
    <s v="2023 Q2"/>
    <s v="Scope 3"/>
    <x v="2"/>
    <n v="4463.76"/>
    <n v="91031"/>
    <n v="1783.57"/>
    <n v="32.049999999999997"/>
    <n v="532.27"/>
    <n v="15.2"/>
  </r>
  <r>
    <s v="F047"/>
    <x v="0"/>
    <s v="2022 Q2"/>
    <s v="Scope 3"/>
    <x v="0"/>
    <n v="2646.59"/>
    <n v="39568"/>
    <n v="3580.54"/>
    <n v="78.08"/>
    <n v="635.72"/>
    <n v="67.36"/>
  </r>
  <r>
    <s v="F002"/>
    <x v="4"/>
    <s v="2023 Q2"/>
    <s v="Scope 3"/>
    <x v="2"/>
    <n v="3222.47"/>
    <n v="53661"/>
    <n v="6965.81"/>
    <n v="69.400000000000006"/>
    <n v="610.79999999999995"/>
    <n v="29.15"/>
  </r>
  <r>
    <s v="F007"/>
    <x v="4"/>
    <s v="2023 Q2"/>
    <s v="Scope 1"/>
    <x v="0"/>
    <n v="3493.4"/>
    <n v="35506"/>
    <n v="1892.04"/>
    <n v="61.53"/>
    <s v=""/>
    <s v=""/>
  </r>
  <r>
    <s v="F054"/>
    <x v="3"/>
    <s v="2023 Q2"/>
    <s v="Scope 2"/>
    <x v="2"/>
    <n v="871.61"/>
    <n v="38869"/>
    <n v="5109.76"/>
    <n v="35.270000000000003"/>
    <n v="986.62"/>
    <n v="40.86"/>
  </r>
  <r>
    <s v="F126"/>
    <x v="2"/>
    <s v="2023 Q2"/>
    <s v="Scope 2"/>
    <x v="1"/>
    <n v="407.43"/>
    <n v="75508"/>
    <n v="6856.22"/>
    <n v="18.2"/>
    <n v="991.03"/>
    <n v="13.32"/>
  </r>
  <r>
    <s v="F019"/>
    <x v="0"/>
    <s v="2023 Q2"/>
    <s v="Scope 2"/>
    <x v="0"/>
    <n v="4341.34"/>
    <n v="68018"/>
    <n v="3523.4"/>
    <n v="92.26"/>
    <n v="111.84"/>
    <n v="15.85"/>
  </r>
  <r>
    <s v="F178"/>
    <x v="3"/>
    <s v="2022 Q2"/>
    <s v="Scope 3"/>
    <x v="1"/>
    <n v="1935.3"/>
    <n v="94861"/>
    <n v="8363.57"/>
    <n v="90.29"/>
    <n v="289.77"/>
    <n v="11.3"/>
  </r>
  <r>
    <s v="F038"/>
    <x v="4"/>
    <s v="2023 Q2"/>
    <s v="Scope 1"/>
    <x v="0"/>
    <n v="3547.68"/>
    <n v="18341"/>
    <n v="8465.57"/>
    <n v="38.39"/>
    <s v=""/>
    <s v=""/>
  </r>
  <r>
    <s v="F095"/>
    <x v="2"/>
    <s v="2023 Q1"/>
    <s v="Scope 1"/>
    <x v="2"/>
    <n v="4904.09"/>
    <n v="49885"/>
    <n v="6845.46"/>
    <n v="58.4"/>
    <n v="341.24"/>
    <n v="19.309999999999999"/>
  </r>
  <r>
    <s v="F101"/>
    <x v="3"/>
    <s v="2022 Q1"/>
    <s v="Scope 1"/>
    <x v="0"/>
    <n v="3391.08"/>
    <n v="65719"/>
    <n v="9362.41"/>
    <n v="86.55"/>
    <n v="932.3"/>
    <n v="28.9"/>
  </r>
  <r>
    <s v="F077"/>
    <x v="4"/>
    <s v="2022 Q1"/>
    <s v="Scope 2"/>
    <x v="0"/>
    <n v="589.80999999999995"/>
    <n v="52836"/>
    <n v="9330.2999999999993"/>
    <n v="87.27"/>
    <s v=""/>
    <s v=""/>
  </r>
  <r>
    <s v="F014"/>
    <x v="2"/>
    <s v="2022 Q2"/>
    <s v="Scope 2"/>
    <x v="2"/>
    <n v="1487.46"/>
    <n v="17416"/>
    <n v="812.06"/>
    <n v="5.7"/>
    <n v="568.27"/>
    <n v="18.03"/>
  </r>
  <r>
    <s v="F065"/>
    <x v="1"/>
    <s v="2022 Q2"/>
    <s v="Scope 1"/>
    <x v="2"/>
    <n v="2879.35"/>
    <n v="91031"/>
    <n v="1783.57"/>
    <n v="32.049999999999997"/>
    <n v="532.27"/>
    <n v="15.2"/>
  </r>
  <r>
    <s v="F030"/>
    <x v="0"/>
    <s v="2022 Q2"/>
    <s v="Scope 2"/>
    <x v="2"/>
    <n v="3544.12"/>
    <n v="49924"/>
    <n v="2199.16"/>
    <n v="75.48"/>
    <n v="432.23"/>
    <n v="13.54"/>
  </r>
  <r>
    <s v="F065"/>
    <x v="1"/>
    <s v="2022 Q1"/>
    <s v="Scope 1"/>
    <x v="0"/>
    <n v="646.33000000000004"/>
    <n v="91031"/>
    <n v="1783.57"/>
    <n v="32.049999999999997"/>
    <n v="532.27"/>
    <n v="15.2"/>
  </r>
  <r>
    <s v="F006"/>
    <x v="4"/>
    <s v="2023 Q2"/>
    <s v="Scope 1"/>
    <x v="0"/>
    <n v="1569.86"/>
    <n v="11426"/>
    <n v="4439.5600000000004"/>
    <n v="52.71"/>
    <s v=""/>
    <s v=""/>
  </r>
  <r>
    <s v="F109"/>
    <x v="0"/>
    <s v="2023 Q1"/>
    <s v="Scope 2"/>
    <x v="1"/>
    <n v="2728.09"/>
    <n v="34318"/>
    <n v="675.67"/>
    <n v="41.05"/>
    <n v="390.06"/>
    <n v="27.42"/>
  </r>
  <r>
    <s v="F197"/>
    <x v="2"/>
    <s v="2023 Q2"/>
    <s v="Scope 2"/>
    <x v="1"/>
    <n v="1865.65"/>
    <n v="59617"/>
    <n v="5000.95"/>
    <n v="80.36"/>
    <n v="532.27"/>
    <n v="25.24"/>
  </r>
  <r>
    <s v="F114"/>
    <x v="1"/>
    <s v="2022 Q2"/>
    <s v="Scope 2"/>
    <x v="0"/>
    <n v="4048.31"/>
    <n v="57353"/>
    <n v="2274.71"/>
    <n v="65.34"/>
    <n v="931.73"/>
    <n v="46.27"/>
  </r>
  <r>
    <s v="F139"/>
    <x v="0"/>
    <s v="2023 Q1"/>
    <s v="Scope 2"/>
    <x v="1"/>
    <n v="468.34"/>
    <n v="80904"/>
    <n v="3263.09"/>
    <n v="58.37"/>
    <n v="756.78"/>
    <n v="35.950000000000003"/>
  </r>
  <r>
    <s v="F075"/>
    <x v="3"/>
    <s v="2022 Q2"/>
    <s v="Scope 2"/>
    <x v="0"/>
    <n v="802.1"/>
    <n v="60513"/>
    <n v="4578.16"/>
    <n v="65.53"/>
    <s v=""/>
    <s v=""/>
  </r>
  <r>
    <s v="F108"/>
    <x v="3"/>
    <s v="2023 Q1"/>
    <s v="Scope 3"/>
    <x v="0"/>
    <n v="3548.26"/>
    <n v="39050"/>
    <n v="5885.73"/>
    <n v="93.04"/>
    <n v="318.55"/>
    <n v="39.81"/>
  </r>
  <r>
    <s v="F155"/>
    <x v="2"/>
    <s v="2022 Q1"/>
    <s v="Scope 1"/>
    <x v="1"/>
    <n v="647.30999999999995"/>
    <n v="75736"/>
    <n v="6287.07"/>
    <n v="63.11"/>
    <n v="851.48"/>
    <n v="25.39"/>
  </r>
  <r>
    <s v="F112"/>
    <x v="4"/>
    <s v="2023 Q1"/>
    <s v="Scope 1"/>
    <x v="2"/>
    <n v="1024.8599999999999"/>
    <n v="88188"/>
    <n v="815.86"/>
    <n v="57.53"/>
    <n v="557.72"/>
    <n v="37.25"/>
  </r>
  <r>
    <s v="F185"/>
    <x v="0"/>
    <s v="2023 Q2"/>
    <s v="Scope 1"/>
    <x v="2"/>
    <n v="304.14999999999998"/>
    <n v="68820"/>
    <n v="9612.25"/>
    <n v="83.51"/>
    <n v="867.66"/>
    <n v="18.88"/>
  </r>
  <r>
    <s v="F086"/>
    <x v="4"/>
    <s v="2023 Q2"/>
    <s v="Scope 2"/>
    <x v="2"/>
    <n v="4794.1899999999996"/>
    <n v="55974"/>
    <n v="7542.28"/>
    <n v="72.430000000000007"/>
    <n v="626.54"/>
    <n v="29.46"/>
  </r>
  <r>
    <s v="F115"/>
    <x v="3"/>
    <s v="2023 Q1"/>
    <s v="Scope 2"/>
    <x v="2"/>
    <n v="2331.7399999999998"/>
    <n v="29318"/>
    <n v="9860.6200000000008"/>
    <n v="14.58"/>
    <n v="571.66"/>
    <n v="6.78"/>
  </r>
  <r>
    <s v="F070"/>
    <x v="2"/>
    <s v="2022 Q2"/>
    <s v="Scope 2"/>
    <x v="0"/>
    <n v="4183.93"/>
    <n v="15128"/>
    <n v="8847.09"/>
    <n v="5.25"/>
    <n v="230.57"/>
    <n v="60.48"/>
  </r>
  <r>
    <s v="F023"/>
    <x v="1"/>
    <s v="2022 Q2"/>
    <s v="Scope 1"/>
    <x v="1"/>
    <n v="1515.76"/>
    <n v="47484"/>
    <n v="3396.39"/>
    <n v="19.510000000000002"/>
    <n v="790.74"/>
    <n v="12.77"/>
  </r>
  <r>
    <s v="F003"/>
    <x v="3"/>
    <s v="2023 Q2"/>
    <s v="Scope 3"/>
    <x v="0"/>
    <n v="4299.7299999999996"/>
    <n v="27681"/>
    <n v="928.26"/>
    <n v="44.97"/>
    <s v=""/>
    <s v=""/>
  </r>
  <r>
    <s v="F161"/>
    <x v="2"/>
    <s v="2022 Q2"/>
    <s v="Scope 2"/>
    <x v="2"/>
    <n v="303.22000000000003"/>
    <n v="36171"/>
    <n v="6864.38"/>
    <n v="37.03"/>
    <n v="181.54"/>
    <n v="55.69"/>
  </r>
  <r>
    <s v="F089"/>
    <x v="4"/>
    <s v="2022 Q1"/>
    <s v="Scope 1"/>
    <x v="0"/>
    <n v="2427.3000000000002"/>
    <n v="58895"/>
    <n v="3039.17"/>
    <n v="59.82"/>
    <n v="785.8"/>
    <n v="22.92"/>
  </r>
  <r>
    <s v="F076"/>
    <x v="2"/>
    <s v="2022 Q2"/>
    <s v="Scope 1"/>
    <x v="1"/>
    <n v="3481.31"/>
    <n v="41953"/>
    <n v="2379.14"/>
    <n v="65.67"/>
    <n v="571.66"/>
    <n v="14.81"/>
  </r>
  <r>
    <s v="F036"/>
    <x v="3"/>
    <s v="2023 Q2"/>
    <s v="Scope 2"/>
    <x v="0"/>
    <n v="2451.0100000000002"/>
    <n v="53942"/>
    <n v="5904.31"/>
    <n v="32.78"/>
    <n v="553.44000000000005"/>
    <n v="29.01"/>
  </r>
  <r>
    <s v="F198"/>
    <x v="3"/>
    <s v="2022 Q1"/>
    <s v="Scope 3"/>
    <x v="0"/>
    <n v="2726.59"/>
    <n v="40577"/>
    <n v="4280.82"/>
    <n v="79.88"/>
    <n v="932.3"/>
    <n v="10.19"/>
  </r>
  <r>
    <s v="F170"/>
    <x v="2"/>
    <s v="2022 Q2"/>
    <s v="Scope 2"/>
    <x v="2"/>
    <n v="4059.4"/>
    <n v="24502"/>
    <n v="7466.86"/>
    <n v="88.83"/>
    <n v="847.51"/>
    <n v="26.48"/>
  </r>
  <r>
    <s v="F192"/>
    <x v="4"/>
    <s v="2023 Q1"/>
    <s v="Scope 2"/>
    <x v="0"/>
    <n v="3874.1"/>
    <n v="21914"/>
    <n v="5897.27"/>
    <n v="49.41"/>
    <n v="790.74"/>
    <n v="15.07"/>
  </r>
  <r>
    <s v="F118"/>
    <x v="0"/>
    <s v="2023 Q1"/>
    <s v="Scope 1"/>
    <x v="0"/>
    <n v="870.3"/>
    <n v="14170"/>
    <n v="5455.23"/>
    <n v="25.46"/>
    <n v="790.74"/>
    <n v="28.78"/>
  </r>
  <r>
    <s v="F170"/>
    <x v="2"/>
    <s v="2022 Q1"/>
    <s v="Scope 2"/>
    <x v="2"/>
    <n v="1471.82"/>
    <n v="24502"/>
    <n v="7466.86"/>
    <n v="88.83"/>
    <n v="847.51"/>
    <n v="26.48"/>
  </r>
  <r>
    <s v="F136"/>
    <x v="1"/>
    <s v="2022 Q1"/>
    <s v="Scope 3"/>
    <x v="0"/>
    <n v="3436"/>
    <n v="43346"/>
    <n v="5559.12"/>
    <n v="39.4"/>
    <n v="571.88"/>
    <n v="32.18"/>
  </r>
  <r>
    <s v="F148"/>
    <x v="1"/>
    <s v="2022 Q2"/>
    <s v="Scope 3"/>
    <x v="2"/>
    <n v="479.22"/>
    <n v="47491"/>
    <n v="5781.05"/>
    <n v="92.18"/>
    <n v="344.93"/>
    <n v="36.229999999999997"/>
  </r>
  <r>
    <s v="F043"/>
    <x v="0"/>
    <s v="2023 Q2"/>
    <s v="Scope 1"/>
    <x v="1"/>
    <n v="2840.69"/>
    <n v="14009"/>
    <n v="7528.98"/>
    <n v="77.62"/>
    <n v="763.97"/>
    <n v="24.91"/>
  </r>
  <r>
    <s v="F019"/>
    <x v="0"/>
    <s v="2022 Q2"/>
    <s v="Scope 2"/>
    <x v="1"/>
    <n v="1808.08"/>
    <n v="68018"/>
    <n v="3523.4"/>
    <n v="92.26"/>
    <n v="111.84"/>
    <n v="15.85"/>
  </r>
  <r>
    <s v="F143"/>
    <x v="1"/>
    <s v="2023 Q1"/>
    <s v="Scope 2"/>
    <x v="2"/>
    <n v="425.7"/>
    <n v="29406"/>
    <n v="5281.69"/>
    <n v="27.01"/>
    <n v="231.68"/>
    <n v="13.88"/>
  </r>
  <r>
    <s v="F145"/>
    <x v="4"/>
    <s v="2023 Q1"/>
    <s v="Scope 1"/>
    <x v="0"/>
    <n v="981.92"/>
    <n v="68492"/>
    <n v="3533.88"/>
    <n v="52.99"/>
    <n v="847.51"/>
    <n v="7.14"/>
  </r>
  <r>
    <s v="F017"/>
    <x v="2"/>
    <s v="2022 Q1"/>
    <s v="Scope 3"/>
    <x v="1"/>
    <n v="1089.29"/>
    <n v="71747"/>
    <n v="9838.66"/>
    <n v="7.25"/>
    <n v="224.5"/>
    <n v="39.29"/>
  </r>
  <r>
    <s v="F130"/>
    <x v="3"/>
    <s v="2023 Q1"/>
    <s v="Scope 3"/>
    <x v="2"/>
    <n v="4336.6099999999997"/>
    <n v="43227"/>
    <n v="5199.53"/>
    <n v="44.09"/>
    <n v="724.63"/>
    <n v="14.96"/>
  </r>
  <r>
    <s v="F026"/>
    <x v="2"/>
    <s v="2023 Q2"/>
    <s v="Scope 3"/>
    <x v="1"/>
    <n v="1820.99"/>
    <n v="32246"/>
    <n v="7903.93"/>
    <n v="42.12"/>
    <n v="459.56"/>
    <n v="28.62"/>
  </r>
  <r>
    <s v="F126"/>
    <x v="2"/>
    <s v="2022 Q2"/>
    <s v="Scope 1"/>
    <x v="1"/>
    <n v="2772.88"/>
    <n v="75508"/>
    <n v="6856.22"/>
    <n v="18.2"/>
    <n v="991.03"/>
    <n v="13.32"/>
  </r>
  <r>
    <s v="F084"/>
    <x v="3"/>
    <s v="2022 Q2"/>
    <s v="Scope 1"/>
    <x v="2"/>
    <n v="4985.09"/>
    <n v="54136"/>
    <n v="2775.38"/>
    <n v="75.459999999999994"/>
    <n v="932.3"/>
    <n v="16.93"/>
  </r>
  <r>
    <s v="F075"/>
    <x v="3"/>
    <s v="2023 Q2"/>
    <s v="Scope 3"/>
    <x v="0"/>
    <n v="4859.13"/>
    <n v="60513"/>
    <n v="4578.16"/>
    <n v="65.53"/>
    <s v=""/>
    <s v=""/>
  </r>
  <r>
    <s v="F139"/>
    <x v="0"/>
    <s v="2023 Q1"/>
    <s v="Scope 2"/>
    <x v="1"/>
    <n v="3855.03"/>
    <n v="80904"/>
    <n v="3263.09"/>
    <n v="58.37"/>
    <n v="756.78"/>
    <n v="35.950000000000003"/>
  </r>
  <r>
    <s v="F124"/>
    <x v="3"/>
    <s v="2022 Q1"/>
    <s v="Scope 3"/>
    <x v="2"/>
    <n v="1087.93"/>
    <n v="37309"/>
    <n v="4508.54"/>
    <n v="47.15"/>
    <n v="951.35"/>
    <n v="47.12"/>
  </r>
  <r>
    <s v="F079"/>
    <x v="2"/>
    <s v="2022 Q1"/>
    <s v="Scope 1"/>
    <x v="0"/>
    <n v="3311.86"/>
    <n v="17311"/>
    <n v="2257.38"/>
    <n v="91.07"/>
    <n v="341.24"/>
    <n v="80.69"/>
  </r>
  <r>
    <s v="F075"/>
    <x v="3"/>
    <s v="2022 Q1"/>
    <s v="Scope 3"/>
    <x v="2"/>
    <n v="3496.49"/>
    <n v="60513"/>
    <n v="4578.16"/>
    <n v="65.53"/>
    <s v=""/>
    <s v=""/>
  </r>
  <r>
    <s v="F046"/>
    <x v="4"/>
    <s v="2023 Q1"/>
    <s v="Scope 2"/>
    <x v="0"/>
    <n v="3355.28"/>
    <n v="87337"/>
    <n v="3603.06"/>
    <n v="67.13"/>
    <s v=""/>
    <s v=""/>
  </r>
  <r>
    <s v="F174"/>
    <x v="3"/>
    <s v="2022 Q1"/>
    <s v="Scope 3"/>
    <x v="0"/>
    <n v="4871.42"/>
    <n v="95962"/>
    <n v="524.72"/>
    <n v="49.55"/>
    <n v="991.36"/>
    <n v="18.28"/>
  </r>
  <r>
    <s v="F008"/>
    <x v="3"/>
    <s v="2022 Q2"/>
    <s v="Scope 3"/>
    <x v="0"/>
    <n v="1245.54"/>
    <n v="50306"/>
    <n v="7031.37"/>
    <n v="13.27"/>
    <s v=""/>
    <s v=""/>
  </r>
  <r>
    <s v="F028"/>
    <x v="4"/>
    <s v="2023 Q1"/>
    <s v="Scope 1"/>
    <x v="1"/>
    <n v="2891.84"/>
    <n v="73977"/>
    <n v="1646.75"/>
    <n v="43.77"/>
    <s v=""/>
    <s v=""/>
  </r>
  <r>
    <s v="F042"/>
    <x v="1"/>
    <s v="2022 Q1"/>
    <s v="Scope 1"/>
    <x v="0"/>
    <n v="2482.64"/>
    <n v="58111"/>
    <n v="4610.8999999999996"/>
    <n v="21.53"/>
    <n v="268.16000000000003"/>
    <n v="13.78"/>
  </r>
  <r>
    <s v="F140"/>
    <x v="4"/>
    <s v="2023 Q2"/>
    <s v="Scope 3"/>
    <x v="0"/>
    <n v="3463.89"/>
    <n v="94347"/>
    <n v="2272.58"/>
    <n v="34.75"/>
    <n v="472.66"/>
    <n v="44.97"/>
  </r>
  <r>
    <s v="F147"/>
    <x v="1"/>
    <s v="2022 Q1"/>
    <s v="Scope 3"/>
    <x v="2"/>
    <n v="2901.34"/>
    <n v="13333"/>
    <n v="6102.15"/>
    <n v="17.670000000000002"/>
    <n v="959.2"/>
    <n v="24.24"/>
  </r>
  <r>
    <s v="F020"/>
    <x v="2"/>
    <s v="2023 Q1"/>
    <s v="Scope 1"/>
    <x v="1"/>
    <n v="1323.76"/>
    <n v="95165"/>
    <n v="8562.76"/>
    <n v="37.54"/>
    <n v="479.41"/>
    <n v="13.64"/>
  </r>
  <r>
    <s v="F076"/>
    <x v="2"/>
    <s v="2022 Q1"/>
    <s v="Scope 3"/>
    <x v="2"/>
    <n v="2332.12"/>
    <n v="41953"/>
    <n v="2379.14"/>
    <n v="65.67"/>
    <n v="571.66"/>
    <n v="14.81"/>
  </r>
  <r>
    <s v="F009"/>
    <x v="0"/>
    <s v="2022 Q1"/>
    <s v="Scope 2"/>
    <x v="2"/>
    <n v="462.78"/>
    <n v="45644"/>
    <n v="7724.73"/>
    <n v="31"/>
    <n v="685.27"/>
    <n v="33.94"/>
  </r>
  <r>
    <s v="F147"/>
    <x v="1"/>
    <s v="2023 Q2"/>
    <s v="Scope 1"/>
    <x v="1"/>
    <n v="1229.33"/>
    <n v="13333"/>
    <n v="6102.15"/>
    <n v="17.670000000000002"/>
    <n v="959.2"/>
    <n v="24.24"/>
  </r>
  <r>
    <s v="F176"/>
    <x v="4"/>
    <s v="2022 Q2"/>
    <s v="Scope 1"/>
    <x v="1"/>
    <n v="3457.79"/>
    <n v="18726"/>
    <n v="5099.54"/>
    <n v="71.05"/>
    <n v="714.03"/>
    <n v="32.29"/>
  </r>
  <r>
    <s v="F161"/>
    <x v="2"/>
    <s v="2022 Q1"/>
    <s v="Scope 1"/>
    <x v="1"/>
    <n v="3519.41"/>
    <n v="36171"/>
    <n v="6864.38"/>
    <n v="37.03"/>
    <n v="181.54"/>
    <n v="55.69"/>
  </r>
  <r>
    <s v="F170"/>
    <x v="2"/>
    <s v="2022 Q1"/>
    <s v="Scope 2"/>
    <x v="2"/>
    <n v="2913.47"/>
    <n v="24502"/>
    <n v="7466.86"/>
    <n v="88.83"/>
    <n v="847.51"/>
    <n v="26.48"/>
  </r>
  <r>
    <s v="F142"/>
    <x v="0"/>
    <s v="2023 Q1"/>
    <s v="Scope 2"/>
    <x v="1"/>
    <n v="1431.51"/>
    <n v="68278"/>
    <n v="3272.65"/>
    <n v="30.47"/>
    <n v="526.54999999999995"/>
    <n v="30.4"/>
  </r>
  <r>
    <s v="F063"/>
    <x v="4"/>
    <s v="2023 Q1"/>
    <s v="Scope 2"/>
    <x v="2"/>
    <n v="2346.0500000000002"/>
    <n v="45519"/>
    <n v="7987.69"/>
    <n v="10.86"/>
    <n v="638.89"/>
    <n v="35.04"/>
  </r>
  <r>
    <s v="F174"/>
    <x v="3"/>
    <s v="2022 Q1"/>
    <s v="Scope 2"/>
    <x v="1"/>
    <n v="4191.3599999999997"/>
    <n v="95962"/>
    <n v="524.72"/>
    <n v="49.55"/>
    <n v="991.36"/>
    <n v="18.28"/>
  </r>
  <r>
    <s v="F193"/>
    <x v="1"/>
    <s v="2023 Q1"/>
    <s v="Scope 3"/>
    <x v="1"/>
    <n v="2422.4699999999998"/>
    <n v="15333"/>
    <n v="2570.54"/>
    <n v="41.07"/>
    <n v="390.06"/>
    <n v="31.43"/>
  </r>
  <r>
    <s v="F197"/>
    <x v="2"/>
    <s v="2022 Q2"/>
    <s v="Scope 3"/>
    <x v="0"/>
    <n v="3331.66"/>
    <n v="59617"/>
    <n v="5000.95"/>
    <n v="80.36"/>
    <n v="532.27"/>
    <n v="25.24"/>
  </r>
  <r>
    <s v="F113"/>
    <x v="3"/>
    <s v="2023 Q1"/>
    <s v="Scope 1"/>
    <x v="1"/>
    <n v="1833.49"/>
    <n v="69636"/>
    <n v="4246.55"/>
    <n v="69.290000000000006"/>
    <n v="362.43"/>
    <n v="54.81"/>
  </r>
  <r>
    <s v="F062"/>
    <x v="2"/>
    <s v="2023 Q2"/>
    <s v="Scope 1"/>
    <x v="0"/>
    <n v="4018.22"/>
    <n v="19265"/>
    <n v="776.6"/>
    <n v="39.75"/>
    <n v="289.77"/>
    <n v="37.270000000000003"/>
  </r>
  <r>
    <s v="F156"/>
    <x v="2"/>
    <s v="2023 Q2"/>
    <s v="Scope 3"/>
    <x v="0"/>
    <n v="2681.92"/>
    <n v="88308"/>
    <n v="7802.07"/>
    <n v="36.130000000000003"/>
    <n v="557.72"/>
    <n v="62.75"/>
  </r>
  <r>
    <s v="F161"/>
    <x v="2"/>
    <s v="2022 Q2"/>
    <s v="Scope 3"/>
    <x v="2"/>
    <n v="1889.49"/>
    <n v="36171"/>
    <n v="6864.38"/>
    <n v="37.03"/>
    <n v="181.54"/>
    <n v="55.69"/>
  </r>
  <r>
    <s v="F029"/>
    <x v="4"/>
    <s v="2023 Q1"/>
    <s v="Scope 1"/>
    <x v="0"/>
    <n v="1407.92"/>
    <n v="12262"/>
    <n v="7106.18"/>
    <n v="45.69"/>
    <n v="459.56"/>
    <n v="29.71"/>
  </r>
  <r>
    <s v="F127"/>
    <x v="3"/>
    <s v="2023 Q1"/>
    <s v="Scope 1"/>
    <x v="1"/>
    <n v="4935.72"/>
    <n v="77400"/>
    <n v="7504.8"/>
    <n v="68.819999999999993"/>
    <s v=""/>
    <s v=""/>
  </r>
  <r>
    <s v="F093"/>
    <x v="2"/>
    <s v="2022 Q1"/>
    <s v="Scope 3"/>
    <x v="1"/>
    <n v="2103.19"/>
    <n v="15553"/>
    <n v="3909.51"/>
    <n v="46.44"/>
    <s v=""/>
    <s v=""/>
  </r>
  <r>
    <s v="F169"/>
    <x v="2"/>
    <s v="2023 Q2"/>
    <s v="Scope 2"/>
    <x v="0"/>
    <n v="2046.76"/>
    <n v="44994"/>
    <n v="7305.59"/>
    <n v="91.53"/>
    <n v="790.74"/>
    <n v="27.44"/>
  </r>
  <r>
    <s v="F063"/>
    <x v="4"/>
    <s v="2022 Q1"/>
    <s v="Scope 1"/>
    <x v="2"/>
    <n v="3397.43"/>
    <n v="45519"/>
    <n v="7987.69"/>
    <n v="10.86"/>
    <n v="638.89"/>
    <n v="35.04"/>
  </r>
  <r>
    <s v="F142"/>
    <x v="0"/>
    <s v="2022 Q2"/>
    <s v="Scope 3"/>
    <x v="0"/>
    <n v="3221.57"/>
    <n v="68278"/>
    <n v="3272.65"/>
    <n v="30.47"/>
    <n v="526.54999999999995"/>
    <n v="30.4"/>
  </r>
  <r>
    <s v="F089"/>
    <x v="4"/>
    <s v="2022 Q2"/>
    <s v="Scope 3"/>
    <x v="1"/>
    <n v="4882.47"/>
    <n v="58895"/>
    <n v="3039.17"/>
    <n v="59.82"/>
    <n v="785.8"/>
    <n v="22.92"/>
  </r>
  <r>
    <s v="F051"/>
    <x v="4"/>
    <s v="2022 Q2"/>
    <s v="Scope 2"/>
    <x v="2"/>
    <n v="2857.09"/>
    <n v="56752"/>
    <n v="4177.68"/>
    <n v="10.96"/>
    <n v="694.92"/>
    <n v="9.8699999999999992"/>
  </r>
  <r>
    <s v="F083"/>
    <x v="2"/>
    <s v="2022 Q1"/>
    <s v="Scope 1"/>
    <x v="2"/>
    <n v="1140.1600000000001"/>
    <n v="94704"/>
    <n v="6632.95"/>
    <n v="14.76"/>
    <n v="459.56"/>
    <n v="7.54"/>
  </r>
  <r>
    <s v="F175"/>
    <x v="3"/>
    <s v="2023 Q1"/>
    <s v="Scope 3"/>
    <x v="2"/>
    <n v="2822.94"/>
    <n v="94949"/>
    <n v="9714.76"/>
    <n v="64.900000000000006"/>
    <n v="241.41"/>
    <n v="20.62"/>
  </r>
  <r>
    <s v="F072"/>
    <x v="2"/>
    <s v="2023 Q2"/>
    <s v="Scope 2"/>
    <x v="1"/>
    <n v="727.78"/>
    <n v="95292"/>
    <n v="697.47"/>
    <n v="88.35"/>
    <n v="114.57"/>
    <n v="36.04"/>
  </r>
  <r>
    <s v="F043"/>
    <x v="0"/>
    <s v="2022 Q1"/>
    <s v="Scope 3"/>
    <x v="0"/>
    <n v="367.9"/>
    <n v="14009"/>
    <n v="7528.98"/>
    <n v="77.62"/>
    <n v="763.97"/>
    <n v="24.91"/>
  </r>
  <r>
    <s v="F123"/>
    <x v="1"/>
    <s v="2023 Q1"/>
    <s v="Scope 1"/>
    <x v="0"/>
    <n v="2303.56"/>
    <n v="58113"/>
    <n v="6382.12"/>
    <n v="56.66"/>
    <n v="431.16"/>
    <n v="48.25"/>
  </r>
  <r>
    <s v="F168"/>
    <x v="2"/>
    <s v="2023 Q1"/>
    <s v="Scope 1"/>
    <x v="1"/>
    <n v="1650.12"/>
    <n v="24095"/>
    <n v="3167.52"/>
    <n v="31.02"/>
    <n v="608.07000000000005"/>
    <n v="13.98"/>
  </r>
  <r>
    <s v="F047"/>
    <x v="0"/>
    <s v="2022 Q1"/>
    <s v="Scope 3"/>
    <x v="1"/>
    <n v="4564.3999999999996"/>
    <n v="39568"/>
    <n v="3580.54"/>
    <n v="78.08"/>
    <n v="635.72"/>
    <n v="67.36"/>
  </r>
  <r>
    <s v="F148"/>
    <x v="1"/>
    <s v="2022 Q1"/>
    <s v="Scope 1"/>
    <x v="2"/>
    <n v="3466.51"/>
    <n v="47491"/>
    <n v="5781.05"/>
    <n v="92.18"/>
    <n v="344.93"/>
    <n v="36.229999999999997"/>
  </r>
  <r>
    <s v="F185"/>
    <x v="0"/>
    <s v="2022 Q2"/>
    <s v="Scope 1"/>
    <x v="1"/>
    <n v="4237.8100000000004"/>
    <n v="68820"/>
    <n v="9612.25"/>
    <n v="83.51"/>
    <n v="867.66"/>
    <n v="18.88"/>
  </r>
  <r>
    <s v="F057"/>
    <x v="1"/>
    <s v="2023 Q2"/>
    <s v="Scope 2"/>
    <x v="2"/>
    <n v="323.04000000000002"/>
    <n v="40226"/>
    <n v="7868.86"/>
    <n v="80.53"/>
    <n v="231.68"/>
    <n v="15.92"/>
  </r>
  <r>
    <s v="F047"/>
    <x v="0"/>
    <s v="2023 Q2"/>
    <s v="Scope 2"/>
    <x v="2"/>
    <n v="3867.63"/>
    <n v="39568"/>
    <n v="3580.54"/>
    <n v="78.08"/>
    <n v="635.72"/>
    <n v="67.36"/>
  </r>
  <r>
    <s v="F185"/>
    <x v="0"/>
    <s v="2023 Q2"/>
    <s v="Scope 3"/>
    <x v="1"/>
    <n v="748.11"/>
    <n v="68820"/>
    <n v="9612.25"/>
    <n v="83.51"/>
    <n v="867.66"/>
    <n v="18.88"/>
  </r>
  <r>
    <s v="F017"/>
    <x v="2"/>
    <s v="2023 Q2"/>
    <s v="Scope 3"/>
    <x v="1"/>
    <n v="654.86"/>
    <n v="71747"/>
    <n v="9838.66"/>
    <n v="7.25"/>
    <n v="224.5"/>
    <n v="39.29"/>
  </r>
  <r>
    <s v="F198"/>
    <x v="3"/>
    <s v="2022 Q1"/>
    <s v="Scope 1"/>
    <x v="2"/>
    <n v="2241.89"/>
    <n v="40577"/>
    <n v="4280.82"/>
    <n v="79.88"/>
    <n v="932.3"/>
    <n v="10.19"/>
  </r>
  <r>
    <s v="F121"/>
    <x v="3"/>
    <s v="2022 Q2"/>
    <s v="Scope 2"/>
    <x v="0"/>
    <n v="3489.31"/>
    <n v="11952"/>
    <n v="4637.74"/>
    <n v="63.78"/>
    <n v="886.71"/>
    <n v="29.53"/>
  </r>
  <r>
    <s v="F028"/>
    <x v="4"/>
    <s v="2023 Q2"/>
    <s v="Scope 1"/>
    <x v="1"/>
    <n v="2200.2199999999998"/>
    <n v="73977"/>
    <n v="1646.75"/>
    <n v="43.77"/>
    <s v=""/>
    <s v=""/>
  </r>
  <r>
    <s v="F123"/>
    <x v="1"/>
    <s v="2023 Q2"/>
    <s v="Scope 1"/>
    <x v="1"/>
    <n v="3247.72"/>
    <n v="58113"/>
    <n v="6382.12"/>
    <n v="56.66"/>
    <n v="431.16"/>
    <n v="48.25"/>
  </r>
  <r>
    <s v="F045"/>
    <x v="0"/>
    <s v="2022 Q2"/>
    <s v="Scope 2"/>
    <x v="2"/>
    <n v="3855.39"/>
    <n v="34725"/>
    <n v="3269.89"/>
    <n v="78.86"/>
    <n v="436.04"/>
    <n v="31.8"/>
  </r>
  <r>
    <s v="F194"/>
    <x v="3"/>
    <s v="2022 Q1"/>
    <s v="Scope 3"/>
    <x v="2"/>
    <n v="3111.26"/>
    <n v="42382"/>
    <n v="5116.6899999999996"/>
    <n v="80.42"/>
    <n v="626.54"/>
    <n v="70.540000000000006"/>
  </r>
  <r>
    <s v="F025"/>
    <x v="4"/>
    <s v="2023 Q1"/>
    <s v="Scope 1"/>
    <x v="0"/>
    <n v="2036.83"/>
    <n v="32131"/>
    <n v="1474.23"/>
    <n v="45.47"/>
    <n v="830.73"/>
    <n v="17.97"/>
  </r>
  <r>
    <s v="F032"/>
    <x v="1"/>
    <s v="2022 Q1"/>
    <s v="Scope 1"/>
    <x v="1"/>
    <n v="4876.37"/>
    <n v="33688"/>
    <n v="9495.48"/>
    <n v="55.55"/>
    <n v="780.4"/>
    <n v="30.98"/>
  </r>
  <r>
    <s v="F095"/>
    <x v="2"/>
    <s v="2022 Q1"/>
    <s v="Scope 1"/>
    <x v="2"/>
    <n v="4256.16"/>
    <n v="49885"/>
    <n v="6845.46"/>
    <n v="58.4"/>
    <n v="341.24"/>
    <n v="19.309999999999999"/>
  </r>
  <r>
    <s v="F057"/>
    <x v="1"/>
    <s v="2022 Q2"/>
    <s v="Scope 1"/>
    <x v="1"/>
    <n v="4947.18"/>
    <n v="40226"/>
    <n v="7868.86"/>
    <n v="80.53"/>
    <n v="231.68"/>
    <n v="15.92"/>
  </r>
  <r>
    <s v="F120"/>
    <x v="4"/>
    <s v="2023 Q1"/>
    <s v="Scope 2"/>
    <x v="0"/>
    <n v="425.91"/>
    <n v="57215"/>
    <n v="3227.1"/>
    <n v="32.909999999999997"/>
    <n v="951.35"/>
    <n v="33.299999999999997"/>
  </r>
  <r>
    <s v="F200"/>
    <x v="1"/>
    <s v="2022 Q1"/>
    <s v="Scope 2"/>
    <x v="0"/>
    <n v="4620.84"/>
    <n v="21081"/>
    <n v="9001.77"/>
    <n v="49.27"/>
    <n v="114.57"/>
    <n v="44.17"/>
  </r>
  <r>
    <s v="F193"/>
    <x v="1"/>
    <s v="2022 Q1"/>
    <s v="Scope 3"/>
    <x v="2"/>
    <n v="4302.5"/>
    <n v="15333"/>
    <n v="2570.54"/>
    <n v="41.07"/>
    <n v="390.06"/>
    <n v="31.43"/>
  </r>
  <r>
    <s v="F033"/>
    <x v="0"/>
    <s v="2023 Q1"/>
    <s v="Scope 1"/>
    <x v="1"/>
    <n v="2571.46"/>
    <n v="47727"/>
    <n v="8907.33"/>
    <n v="47.4"/>
    <n v="344.93"/>
    <n v="43.18"/>
  </r>
  <r>
    <s v="F061"/>
    <x v="1"/>
    <s v="2022 Q1"/>
    <s v="Scope 1"/>
    <x v="1"/>
    <n v="968.92"/>
    <n v="21386"/>
    <n v="2271.92"/>
    <n v="49.67"/>
    <s v=""/>
    <s v=""/>
  </r>
  <r>
    <s v="F106"/>
    <x v="3"/>
    <s v="2023 Q2"/>
    <s v="Scope 3"/>
    <x v="2"/>
    <n v="2916.99"/>
    <n v="98682"/>
    <n v="6220.56"/>
    <n v="70.099999999999994"/>
    <n v="724.63"/>
    <n v="27.81"/>
  </r>
  <r>
    <s v="F101"/>
    <x v="3"/>
    <s v="2022 Q1"/>
    <s v="Scope 3"/>
    <x v="0"/>
    <n v="4400.8900000000003"/>
    <n v="65719"/>
    <n v="9362.41"/>
    <n v="86.55"/>
    <n v="932.3"/>
    <n v="28.9"/>
  </r>
  <r>
    <s v="F142"/>
    <x v="0"/>
    <s v="2022 Q2"/>
    <s v="Scope 3"/>
    <x v="0"/>
    <n v="1791.29"/>
    <n v="68278"/>
    <n v="3272.65"/>
    <n v="30.47"/>
    <n v="526.54999999999995"/>
    <n v="30.4"/>
  </r>
  <r>
    <s v="F024"/>
    <x v="4"/>
    <s v="2022 Q1"/>
    <s v="Scope 1"/>
    <x v="1"/>
    <n v="594.47"/>
    <n v="95718"/>
    <n v="2443.12"/>
    <n v="35.49"/>
    <n v="818.45"/>
    <n v="9.9499999999999993"/>
  </r>
  <r>
    <s v="F187"/>
    <x v="2"/>
    <s v="2023 Q1"/>
    <s v="Scope 2"/>
    <x v="1"/>
    <n v="2602.85"/>
    <n v="77317"/>
    <n v="4862.95"/>
    <n v="89.78"/>
    <n v="960.4"/>
    <n v="31.34"/>
  </r>
  <r>
    <s v="F104"/>
    <x v="4"/>
    <s v="2022 Q1"/>
    <s v="Scope 1"/>
    <x v="2"/>
    <n v="558.53"/>
    <n v="84851"/>
    <n v="560.75"/>
    <n v="80.23"/>
    <n v="610.79999999999995"/>
    <n v="26.58"/>
  </r>
  <r>
    <s v="F046"/>
    <x v="4"/>
    <s v="2023 Q2"/>
    <s v="Scope 2"/>
    <x v="2"/>
    <n v="3004.54"/>
    <n v="87337"/>
    <n v="3603.06"/>
    <n v="67.13"/>
    <s v=""/>
    <s v=""/>
  </r>
  <r>
    <s v="F144"/>
    <x v="2"/>
    <s v="2023 Q1"/>
    <s v="Scope 1"/>
    <x v="1"/>
    <n v="1288.92"/>
    <n v="16868"/>
    <n v="1378.01"/>
    <n v="47.52"/>
    <s v=""/>
    <s v=""/>
  </r>
  <r>
    <s v="F150"/>
    <x v="4"/>
    <s v="2022 Q1"/>
    <s v="Scope 3"/>
    <x v="2"/>
    <n v="4950.7700000000004"/>
    <n v="46863"/>
    <n v="6762.98"/>
    <n v="23.45"/>
    <n v="231.68"/>
    <n v="35.92"/>
  </r>
  <r>
    <s v="F101"/>
    <x v="3"/>
    <s v="2023 Q1"/>
    <s v="Scope 2"/>
    <x v="2"/>
    <n v="3982.02"/>
    <n v="65719"/>
    <n v="9362.41"/>
    <n v="86.55"/>
    <n v="932.3"/>
    <n v="28.9"/>
  </r>
  <r>
    <s v="F029"/>
    <x v="4"/>
    <s v="2022 Q1"/>
    <s v="Scope 2"/>
    <x v="2"/>
    <n v="106.32"/>
    <n v="12262"/>
    <n v="7106.18"/>
    <n v="45.69"/>
    <n v="459.56"/>
    <n v="29.71"/>
  </r>
  <r>
    <s v="F129"/>
    <x v="1"/>
    <s v="2023 Q1"/>
    <s v="Scope 3"/>
    <x v="0"/>
    <n v="1752.03"/>
    <n v="58439"/>
    <n v="5817.93"/>
    <n v="63.77"/>
    <n v="143.16999999999999"/>
    <n v="52.46"/>
  </r>
  <r>
    <s v="F072"/>
    <x v="2"/>
    <s v="2022 Q2"/>
    <s v="Scope 2"/>
    <x v="1"/>
    <n v="2963"/>
    <n v="95292"/>
    <n v="697.47"/>
    <n v="88.35"/>
    <n v="114.57"/>
    <n v="36.04"/>
  </r>
  <r>
    <s v="F011"/>
    <x v="4"/>
    <s v="2022 Q2"/>
    <s v="Scope 2"/>
    <x v="0"/>
    <n v="2067.13"/>
    <n v="72846"/>
    <n v="5169.53"/>
    <n v="76.709999999999994"/>
    <s v=""/>
    <s v=""/>
  </r>
  <r>
    <s v="F098"/>
    <x v="4"/>
    <s v="2022 Q1"/>
    <s v="Scope 2"/>
    <x v="1"/>
    <n v="1493.38"/>
    <n v="28704"/>
    <n v="6009.24"/>
    <n v="39.31"/>
    <n v="479.41"/>
    <n v="19.7"/>
  </r>
  <r>
    <s v="F122"/>
    <x v="4"/>
    <s v="2022 Q1"/>
    <s v="Scope 3"/>
    <x v="2"/>
    <n v="1311.82"/>
    <n v="49620"/>
    <n v="2424.31"/>
    <n v="62.09"/>
    <n v="184.92"/>
    <n v="19.55"/>
  </r>
  <r>
    <s v="F150"/>
    <x v="4"/>
    <s v="2022 Q1"/>
    <s v="Scope 3"/>
    <x v="1"/>
    <n v="3998.63"/>
    <n v="46863"/>
    <n v="6762.98"/>
    <n v="23.45"/>
    <n v="231.68"/>
    <n v="35.92"/>
  </r>
  <r>
    <s v="F101"/>
    <x v="3"/>
    <s v="2023 Q1"/>
    <s v="Scope 1"/>
    <x v="0"/>
    <n v="4224.63"/>
    <n v="65719"/>
    <n v="9362.41"/>
    <n v="86.55"/>
    <n v="932.3"/>
    <n v="28.9"/>
  </r>
  <r>
    <s v="F036"/>
    <x v="3"/>
    <s v="2023 Q1"/>
    <s v="Scope 3"/>
    <x v="1"/>
    <n v="2249.11"/>
    <n v="53942"/>
    <n v="5904.31"/>
    <n v="32.78"/>
    <n v="553.44000000000005"/>
    <n v="29.01"/>
  </r>
  <r>
    <s v="F046"/>
    <x v="4"/>
    <s v="2023 Q2"/>
    <s v="Scope 2"/>
    <x v="2"/>
    <n v="1492.82"/>
    <n v="87337"/>
    <n v="3603.06"/>
    <n v="67.13"/>
    <s v=""/>
    <s v=""/>
  </r>
  <r>
    <s v="F183"/>
    <x v="3"/>
    <s v="2022 Q1"/>
    <s v="Scope 3"/>
    <x v="2"/>
    <n v="4652.88"/>
    <n v="29860"/>
    <n v="3956.23"/>
    <n v="57.5"/>
    <n v="432.23"/>
    <n v="17.78"/>
  </r>
  <r>
    <s v="F045"/>
    <x v="0"/>
    <s v="2023 Q1"/>
    <s v="Scope 1"/>
    <x v="0"/>
    <n v="2725.88"/>
    <n v="34725"/>
    <n v="3269.89"/>
    <n v="78.86"/>
    <n v="436.04"/>
    <n v="31.8"/>
  </r>
  <r>
    <s v="F084"/>
    <x v="3"/>
    <s v="2023 Q2"/>
    <s v="Scope 3"/>
    <x v="2"/>
    <n v="3666.38"/>
    <n v="54136"/>
    <n v="2775.38"/>
    <n v="75.459999999999994"/>
    <n v="932.3"/>
    <n v="16.93"/>
  </r>
  <r>
    <s v="F067"/>
    <x v="1"/>
    <s v="2023 Q2"/>
    <s v="Scope 2"/>
    <x v="1"/>
    <n v="216.52"/>
    <n v="28400"/>
    <n v="3056.67"/>
    <n v="52.68"/>
    <n v="571.88"/>
    <n v="8.6199999999999992"/>
  </r>
  <r>
    <s v="F058"/>
    <x v="1"/>
    <s v="2023 Q1"/>
    <s v="Scope 1"/>
    <x v="0"/>
    <n v="1898.59"/>
    <n v="66398"/>
    <n v="8713.61"/>
    <n v="83.44"/>
    <n v="763.97"/>
    <n v="22.42"/>
  </r>
  <r>
    <s v="F048"/>
    <x v="0"/>
    <s v="2023 Q2"/>
    <s v="Scope 3"/>
    <x v="0"/>
    <n v="3557.57"/>
    <n v="26338"/>
    <n v="578.73"/>
    <n v="72.52"/>
    <n v="991.36"/>
    <n v="35.39"/>
  </r>
  <r>
    <s v="F128"/>
    <x v="2"/>
    <s v="2022 Q2"/>
    <s v="Scope 3"/>
    <x v="1"/>
    <n v="1488.08"/>
    <n v="68216"/>
    <n v="9562.33"/>
    <n v="63.59"/>
    <n v="830.73"/>
    <n v="46.68"/>
  </r>
  <r>
    <s v="F088"/>
    <x v="0"/>
    <s v="2023 Q2"/>
    <s v="Scope 1"/>
    <x v="0"/>
    <n v="4949.0200000000004"/>
    <n v="77330"/>
    <n v="6936.58"/>
    <n v="82.3"/>
    <n v="264.23"/>
    <n v="28.19"/>
  </r>
  <r>
    <s v="F012"/>
    <x v="3"/>
    <s v="2023 Q1"/>
    <s v="Scope 3"/>
    <x v="1"/>
    <n v="601.16999999999996"/>
    <n v="43747"/>
    <n v="3453.48"/>
    <n v="98.78"/>
    <n v="459.56"/>
    <n v="23.81"/>
  </r>
  <r>
    <s v="F137"/>
    <x v="0"/>
    <s v="2023 Q2"/>
    <s v="Scope 3"/>
    <x v="1"/>
    <n v="4121.8599999999997"/>
    <n v="10933"/>
    <n v="9004.3700000000008"/>
    <n v="26.84"/>
    <s v=""/>
    <s v=""/>
  </r>
  <r>
    <s v="F036"/>
    <x v="3"/>
    <s v="2022 Q2"/>
    <s v="Scope 2"/>
    <x v="1"/>
    <n v="2038.67"/>
    <n v="53942"/>
    <n v="5904.31"/>
    <n v="32.78"/>
    <n v="553.44000000000005"/>
    <n v="29.01"/>
  </r>
  <r>
    <s v="F149"/>
    <x v="1"/>
    <s v="2023 Q2"/>
    <s v="Scope 1"/>
    <x v="0"/>
    <n v="1823.3"/>
    <n v="61207"/>
    <n v="6922.33"/>
    <n v="9.1999999999999993"/>
    <s v=""/>
    <s v=""/>
  </r>
  <r>
    <s v="F160"/>
    <x v="4"/>
    <s v="2022 Q1"/>
    <s v="Scope 3"/>
    <x v="0"/>
    <n v="380.6"/>
    <n v="36423"/>
    <n v="589.96"/>
    <n v="30.9"/>
    <n v="111.84"/>
    <n v="23.26"/>
  </r>
  <r>
    <s v="F003"/>
    <x v="3"/>
    <s v="2022 Q2"/>
    <s v="Scope 2"/>
    <x v="1"/>
    <n v="3069.63"/>
    <n v="27681"/>
    <n v="928.26"/>
    <n v="44.97"/>
    <s v=""/>
    <s v=""/>
  </r>
  <r>
    <s v="F089"/>
    <x v="4"/>
    <s v="2022 Q1"/>
    <s v="Scope 2"/>
    <x v="1"/>
    <n v="1532.06"/>
    <n v="58895"/>
    <n v="3039.17"/>
    <n v="59.82"/>
    <n v="785.8"/>
    <n v="22.92"/>
  </r>
  <r>
    <s v="F053"/>
    <x v="0"/>
    <s v="2022 Q1"/>
    <s v="Scope 2"/>
    <x v="0"/>
    <n v="3269.38"/>
    <n v="56392"/>
    <n v="5703.76"/>
    <n v="23.04"/>
    <n v="991.03"/>
    <n v="27.62"/>
  </r>
  <r>
    <s v="F084"/>
    <x v="3"/>
    <s v="2022 Q1"/>
    <s v="Scope 3"/>
    <x v="0"/>
    <n v="2397.75"/>
    <n v="54136"/>
    <n v="2775.38"/>
    <n v="75.459999999999994"/>
    <n v="932.3"/>
    <n v="16.93"/>
  </r>
  <r>
    <s v="F026"/>
    <x v="2"/>
    <s v="2023 Q1"/>
    <s v="Scope 1"/>
    <x v="0"/>
    <n v="1104.3599999999999"/>
    <n v="32246"/>
    <n v="7903.93"/>
    <n v="42.12"/>
    <n v="459.56"/>
    <n v="28.62"/>
  </r>
  <r>
    <s v="F161"/>
    <x v="2"/>
    <s v="2022 Q1"/>
    <s v="Scope 3"/>
    <x v="2"/>
    <n v="5406.29"/>
    <n v="36171"/>
    <n v="6864.38"/>
    <n v="37.03"/>
    <n v="181.54"/>
    <n v="55.69"/>
  </r>
  <r>
    <s v="F078"/>
    <x v="0"/>
    <s v="2022 Q1"/>
    <s v="Scope 2"/>
    <x v="1"/>
    <n v="2419.31"/>
    <n v="78624"/>
    <n v="2373.27"/>
    <n v="25.07"/>
    <s v=""/>
    <s v=""/>
  </r>
  <r>
    <s v="F096"/>
    <x v="0"/>
    <s v="2023 Q1"/>
    <s v="Scope 3"/>
    <x v="2"/>
    <n v="1984.27"/>
    <n v="21388"/>
    <n v="5249.39"/>
    <n v="64.2"/>
    <n v="571.66"/>
    <n v="17.87"/>
  </r>
  <r>
    <s v="F162"/>
    <x v="3"/>
    <s v="2022 Q2"/>
    <s v="Scope 2"/>
    <x v="1"/>
    <n v="2554.5100000000002"/>
    <n v="18175"/>
    <n v="8349.49"/>
    <n v="39.97"/>
    <n v="818.45"/>
    <n v="19.04"/>
  </r>
  <r>
    <s v="F147"/>
    <x v="1"/>
    <s v="2023 Q2"/>
    <s v="Scope 1"/>
    <x v="0"/>
    <n v="2087.4"/>
    <n v="13333"/>
    <n v="6102.15"/>
    <n v="17.670000000000002"/>
    <n v="959.2"/>
    <n v="24.24"/>
  </r>
  <r>
    <s v="F089"/>
    <x v="4"/>
    <s v="2023 Q1"/>
    <s v="Scope 2"/>
    <x v="1"/>
    <n v="3785.96"/>
    <n v="58895"/>
    <n v="3039.17"/>
    <n v="59.82"/>
    <n v="785.8"/>
    <n v="22.92"/>
  </r>
  <r>
    <s v="F064"/>
    <x v="1"/>
    <s v="2023 Q2"/>
    <s v="Scope 1"/>
    <x v="1"/>
    <n v="4818.79"/>
    <n v="70481"/>
    <n v="4452.83"/>
    <n v="91.26"/>
    <s v=""/>
    <s v=""/>
  </r>
  <r>
    <s v="F046"/>
    <x v="4"/>
    <s v="2022 Q2"/>
    <s v="Scope 1"/>
    <x v="1"/>
    <n v="4888.34"/>
    <n v="87337"/>
    <n v="3603.06"/>
    <n v="67.13"/>
    <s v=""/>
    <s v=""/>
  </r>
  <r>
    <s v="F107"/>
    <x v="2"/>
    <s v="2023 Q1"/>
    <s v="Scope 1"/>
    <x v="1"/>
    <n v="3595.37"/>
    <n v="43512"/>
    <n v="5352.18"/>
    <n v="6.17"/>
    <n v="311.36"/>
    <n v="28.72"/>
  </r>
  <r>
    <s v="F041"/>
    <x v="1"/>
    <s v="2023 Q1"/>
    <s v="Scope 1"/>
    <x v="0"/>
    <n v="4258.79"/>
    <n v="84721"/>
    <n v="2278.9699999999998"/>
    <n v="68.53"/>
    <n v="796.34"/>
    <n v="33.590000000000003"/>
  </r>
  <r>
    <s v="F110"/>
    <x v="4"/>
    <s v="2023 Q1"/>
    <s v="Scope 2"/>
    <x v="1"/>
    <n v="2679.07"/>
    <n v="85868"/>
    <n v="907.72"/>
    <n v="90.36"/>
    <n v="960.4"/>
    <n v="10.65"/>
  </r>
  <r>
    <s v="F100"/>
    <x v="0"/>
    <s v="2022 Q1"/>
    <s v="Scope 2"/>
    <x v="2"/>
    <n v="3884.75"/>
    <n v="90632"/>
    <n v="5292.17"/>
    <n v="78.45"/>
    <n v="571.88"/>
    <n v="20.93"/>
  </r>
  <r>
    <s v="F175"/>
    <x v="3"/>
    <s v="2023 Q1"/>
    <s v="Scope 2"/>
    <x v="2"/>
    <n v="3771"/>
    <n v="94949"/>
    <n v="9714.76"/>
    <n v="64.900000000000006"/>
    <n v="241.41"/>
    <n v="20.62"/>
  </r>
  <r>
    <s v="F192"/>
    <x v="4"/>
    <s v="2022 Q1"/>
    <s v="Scope 3"/>
    <x v="0"/>
    <n v="3711.39"/>
    <n v="21914"/>
    <n v="5897.27"/>
    <n v="49.41"/>
    <n v="790.74"/>
    <n v="15.07"/>
  </r>
  <r>
    <s v="F162"/>
    <x v="3"/>
    <s v="2023 Q1"/>
    <s v="Scope 1"/>
    <x v="1"/>
    <n v="506.34"/>
    <n v="18175"/>
    <n v="8349.49"/>
    <n v="39.97"/>
    <n v="818.45"/>
    <n v="19.04"/>
  </r>
  <r>
    <s v="F190"/>
    <x v="0"/>
    <s v="2022 Q1"/>
    <s v="Scope 3"/>
    <x v="0"/>
    <n v="2868.75"/>
    <n v="70582"/>
    <n v="7517.59"/>
    <n v="95.71"/>
    <s v=""/>
    <s v=""/>
  </r>
  <r>
    <s v="F011"/>
    <x v="4"/>
    <s v="2022 Q2"/>
    <s v="Scope 2"/>
    <x v="1"/>
    <n v="4633.6899999999996"/>
    <n v="72846"/>
    <n v="5169.53"/>
    <n v="76.709999999999994"/>
    <s v=""/>
    <s v=""/>
  </r>
  <r>
    <s v="F032"/>
    <x v="1"/>
    <s v="2023 Q2"/>
    <s v="Scope 2"/>
    <x v="1"/>
    <n v="822.11"/>
    <n v="33688"/>
    <n v="9495.48"/>
    <n v="55.55"/>
    <n v="780.4"/>
    <n v="30.98"/>
  </r>
  <r>
    <s v="F015"/>
    <x v="4"/>
    <s v="2023 Q1"/>
    <s v="Scope 2"/>
    <x v="2"/>
    <n v="381.04"/>
    <n v="80488"/>
    <n v="7629.95"/>
    <n v="63.83"/>
    <n v="847.51"/>
    <n v="9.9"/>
  </r>
  <r>
    <s v="F152"/>
    <x v="4"/>
    <s v="2023 Q2"/>
    <s v="Scope 1"/>
    <x v="0"/>
    <n v="4854.5"/>
    <n v="90679"/>
    <n v="7266.82"/>
    <n v="23.3"/>
    <n v="943.59"/>
    <n v="15.81"/>
  </r>
  <r>
    <s v="F120"/>
    <x v="4"/>
    <s v="2023 Q1"/>
    <s v="Scope 1"/>
    <x v="0"/>
    <n v="4069.56"/>
    <n v="57215"/>
    <n v="3227.1"/>
    <n v="32.909999999999997"/>
    <n v="951.35"/>
    <n v="33.299999999999997"/>
  </r>
  <r>
    <s v="F009"/>
    <x v="0"/>
    <s v="2022 Q1"/>
    <s v="Scope 2"/>
    <x v="2"/>
    <n v="4573.76"/>
    <n v="45644"/>
    <n v="7724.73"/>
    <n v="31"/>
    <n v="685.27"/>
    <n v="33.94"/>
  </r>
  <r>
    <s v="F038"/>
    <x v="4"/>
    <s v="2023 Q1"/>
    <s v="Scope 2"/>
    <x v="1"/>
    <n v="202.63"/>
    <n v="18341"/>
    <n v="8465.57"/>
    <n v="38.39"/>
    <s v=""/>
    <s v=""/>
  </r>
  <r>
    <s v="F018"/>
    <x v="4"/>
    <s v="2023 Q1"/>
    <s v="Scope 1"/>
    <x v="0"/>
    <n v="948.57"/>
    <n v="69305"/>
    <n v="3203.67"/>
    <n v="83.65"/>
    <n v="173.67"/>
    <n v="67.040000000000006"/>
  </r>
  <r>
    <s v="F159"/>
    <x v="0"/>
    <s v="2023 Q2"/>
    <s v="Scope 3"/>
    <x v="2"/>
    <n v="1391.94"/>
    <n v="72224"/>
    <n v="1613.32"/>
    <n v="39.21"/>
    <n v="111.84"/>
    <n v="28.69"/>
  </r>
  <r>
    <s v="F054"/>
    <x v="3"/>
    <s v="2022 Q1"/>
    <s v="Scope 3"/>
    <x v="0"/>
    <n v="262.76"/>
    <n v="38869"/>
    <n v="5109.76"/>
    <n v="35.270000000000003"/>
    <n v="986.62"/>
    <n v="40.86"/>
  </r>
  <r>
    <s v="F100"/>
    <x v="0"/>
    <s v="2023 Q2"/>
    <s v="Scope 2"/>
    <x v="2"/>
    <n v="1987.36"/>
    <n v="90632"/>
    <n v="5292.17"/>
    <n v="78.45"/>
    <n v="571.88"/>
    <n v="20.93"/>
  </r>
  <r>
    <s v="F112"/>
    <x v="4"/>
    <s v="2023 Q1"/>
    <s v="Scope 1"/>
    <x v="0"/>
    <n v="4710.57"/>
    <n v="88188"/>
    <n v="815.86"/>
    <n v="57.53"/>
    <n v="557.72"/>
    <n v="37.25"/>
  </r>
  <r>
    <s v="F081"/>
    <x v="1"/>
    <s v="2023 Q2"/>
    <s v="Scope 3"/>
    <x v="1"/>
    <n v="897.12"/>
    <n v="39560"/>
    <n v="8380.77"/>
    <n v="94.01"/>
    <s v=""/>
    <s v=""/>
  </r>
  <r>
    <s v="F175"/>
    <x v="3"/>
    <s v="2022 Q1"/>
    <s v="Scope 2"/>
    <x v="0"/>
    <n v="4466.1000000000004"/>
    <n v="94949"/>
    <n v="9714.76"/>
    <n v="64.900000000000006"/>
    <n v="241.41"/>
    <n v="20.62"/>
  </r>
  <r>
    <s v="F173"/>
    <x v="1"/>
    <s v="2022 Q2"/>
    <s v="Scope 2"/>
    <x v="2"/>
    <n v="4306.16"/>
    <n v="38181"/>
    <n v="691.84"/>
    <n v="33.53"/>
    <n v="114.57"/>
    <n v="9.9600000000000009"/>
  </r>
  <r>
    <s v="F117"/>
    <x v="2"/>
    <s v="2022 Q2"/>
    <s v="Scope 2"/>
    <x v="2"/>
    <n v="3510.58"/>
    <n v="52594"/>
    <n v="8715.0400000000009"/>
    <n v="90.54"/>
    <n v="553.44000000000005"/>
    <n v="23.44"/>
  </r>
  <r>
    <s v="F198"/>
    <x v="3"/>
    <s v="2022 Q2"/>
    <s v="Scope 1"/>
    <x v="2"/>
    <n v="1053.8399999999999"/>
    <n v="40577"/>
    <n v="4280.82"/>
    <n v="79.88"/>
    <n v="932.3"/>
    <n v="10.19"/>
  </r>
  <r>
    <s v="F035"/>
    <x v="4"/>
    <s v="2022 Q2"/>
    <s v="Scope 1"/>
    <x v="1"/>
    <n v="1084.81"/>
    <n v="24913"/>
    <n v="5727.27"/>
    <n v="78.849999999999994"/>
    <s v=""/>
    <s v=""/>
  </r>
  <r>
    <s v="F148"/>
    <x v="1"/>
    <s v="2023 Q1"/>
    <s v="Scope 1"/>
    <x v="0"/>
    <n v="618.54"/>
    <n v="47491"/>
    <n v="5781.05"/>
    <n v="92.18"/>
    <n v="344.93"/>
    <n v="36.229999999999997"/>
  </r>
  <r>
    <s v="F114"/>
    <x v="1"/>
    <s v="2022 Q2"/>
    <s v="Scope 2"/>
    <x v="2"/>
    <n v="3730.83"/>
    <n v="57353"/>
    <n v="2274.71"/>
    <n v="65.34"/>
    <n v="931.73"/>
    <n v="46.27"/>
  </r>
  <r>
    <s v="F112"/>
    <x v="4"/>
    <s v="2022 Q1"/>
    <s v="Scope 3"/>
    <x v="2"/>
    <n v="3608.02"/>
    <n v="88188"/>
    <n v="815.86"/>
    <n v="57.53"/>
    <n v="557.72"/>
    <n v="37.25"/>
  </r>
  <r>
    <s v="F072"/>
    <x v="2"/>
    <s v="2023 Q1"/>
    <s v="Scope 1"/>
    <x v="2"/>
    <n v="4037.93"/>
    <n v="95292"/>
    <n v="697.47"/>
    <n v="88.35"/>
    <n v="114.57"/>
    <n v="36.04"/>
  </r>
  <r>
    <s v="F194"/>
    <x v="3"/>
    <s v="2022 Q1"/>
    <s v="Scope 3"/>
    <x v="2"/>
    <n v="454.38"/>
    <n v="42382"/>
    <n v="5116.6899999999996"/>
    <n v="80.42"/>
    <n v="626.54"/>
    <n v="70.540000000000006"/>
  </r>
  <r>
    <s v="F145"/>
    <x v="4"/>
    <s v="2023 Q1"/>
    <s v="Scope 1"/>
    <x v="2"/>
    <n v="3824.73"/>
    <n v="68492"/>
    <n v="3533.88"/>
    <n v="52.99"/>
    <n v="847.51"/>
    <n v="7.14"/>
  </r>
  <r>
    <s v="F014"/>
    <x v="2"/>
    <s v="2023 Q2"/>
    <s v="Scope 3"/>
    <x v="1"/>
    <n v="2188.67"/>
    <n v="17416"/>
    <n v="812.06"/>
    <n v="5.7"/>
    <n v="568.27"/>
    <n v="18.03"/>
  </r>
  <r>
    <s v="F182"/>
    <x v="3"/>
    <s v="2023 Q2"/>
    <s v="Scope 1"/>
    <x v="2"/>
    <n v="1638.41"/>
    <n v="41027"/>
    <n v="7285.85"/>
    <n v="59.87"/>
    <n v="763.97"/>
    <n v="34.14"/>
  </r>
  <r>
    <s v="F005"/>
    <x v="4"/>
    <s v="2022 Q1"/>
    <s v="Scope 1"/>
    <x v="1"/>
    <n v="4638.62"/>
    <n v="61743"/>
    <n v="7426.75"/>
    <n v="26.39"/>
    <n v="527.37"/>
    <n v="39.28"/>
  </r>
  <r>
    <s v="F158"/>
    <x v="3"/>
    <s v="2022 Q2"/>
    <s v="Scope 1"/>
    <x v="1"/>
    <n v="2700.91"/>
    <n v="61157"/>
    <n v="7331.54"/>
    <n v="55.52"/>
    <n v="783.77"/>
    <n v="31.59"/>
  </r>
  <r>
    <s v="F057"/>
    <x v="1"/>
    <s v="2022 Q1"/>
    <s v="Scope 1"/>
    <x v="2"/>
    <n v="4888.18"/>
    <n v="40226"/>
    <n v="7868.86"/>
    <n v="80.53"/>
    <n v="231.68"/>
    <n v="15.92"/>
  </r>
  <r>
    <s v="F039"/>
    <x v="2"/>
    <s v="2022 Q1"/>
    <s v="Scope 3"/>
    <x v="0"/>
    <n v="1395.93"/>
    <n v="40503"/>
    <n v="7447.46"/>
    <n v="98.27"/>
    <n v="209.33"/>
    <n v="39.549999999999997"/>
  </r>
  <r>
    <s v="F110"/>
    <x v="4"/>
    <s v="2023 Q1"/>
    <s v="Scope 2"/>
    <x v="2"/>
    <n v="2978"/>
    <n v="85868"/>
    <n v="907.72"/>
    <n v="90.36"/>
    <n v="960.4"/>
    <n v="10.65"/>
  </r>
  <r>
    <s v="F043"/>
    <x v="0"/>
    <s v="2023 Q2"/>
    <s v="Scope 1"/>
    <x v="0"/>
    <n v="2047.72"/>
    <n v="14009"/>
    <n v="7528.98"/>
    <n v="77.62"/>
    <n v="763.97"/>
    <n v="24.91"/>
  </r>
  <r>
    <s v="F080"/>
    <x v="3"/>
    <s v="2023 Q2"/>
    <s v="Scope 1"/>
    <x v="1"/>
    <n v="2384.92"/>
    <n v="10250"/>
    <n v="4717"/>
    <n v="16.600000000000001"/>
    <n v="249.3"/>
    <n v="32.97"/>
  </r>
  <r>
    <s v="F126"/>
    <x v="2"/>
    <s v="2023 Q2"/>
    <s v="Scope 3"/>
    <x v="0"/>
    <n v="1560.19"/>
    <n v="75508"/>
    <n v="6856.22"/>
    <n v="18.2"/>
    <n v="991.03"/>
    <n v="13.32"/>
  </r>
  <r>
    <s v="F077"/>
    <x v="4"/>
    <s v="2022 Q1"/>
    <s v="Scope 1"/>
    <x v="2"/>
    <n v="4290.7299999999996"/>
    <n v="52836"/>
    <n v="9330.2999999999993"/>
    <n v="87.27"/>
    <s v=""/>
    <s v=""/>
  </r>
  <r>
    <s v="F130"/>
    <x v="3"/>
    <s v="2022 Q1"/>
    <s v="Scope 3"/>
    <x v="2"/>
    <n v="2521.88"/>
    <n v="43227"/>
    <n v="5199.53"/>
    <n v="44.09"/>
    <n v="724.63"/>
    <n v="14.96"/>
  </r>
  <r>
    <s v="F154"/>
    <x v="0"/>
    <s v="2022 Q2"/>
    <s v="Scope 2"/>
    <x v="1"/>
    <n v="3941.05"/>
    <n v="17097"/>
    <n v="9061.7800000000007"/>
    <n v="95.92"/>
    <n v="390.06"/>
    <n v="18.010000000000002"/>
  </r>
  <r>
    <s v="F003"/>
    <x v="3"/>
    <s v="2023 Q2"/>
    <s v="Scope 1"/>
    <x v="2"/>
    <n v="992.87"/>
    <n v="27681"/>
    <n v="928.26"/>
    <n v="44.97"/>
    <s v=""/>
    <s v=""/>
  </r>
  <r>
    <s v="F162"/>
    <x v="3"/>
    <s v="2023 Q1"/>
    <s v="Scope 1"/>
    <x v="0"/>
    <n v="3998.2"/>
    <n v="18175"/>
    <n v="8349.49"/>
    <n v="39.97"/>
    <n v="818.45"/>
    <n v="19.04"/>
  </r>
  <r>
    <s v="F128"/>
    <x v="2"/>
    <s v="2022 Q2"/>
    <s v="Scope 2"/>
    <x v="2"/>
    <n v="951.15"/>
    <n v="68216"/>
    <n v="9562.33"/>
    <n v="63.59"/>
    <n v="830.73"/>
    <n v="46.68"/>
  </r>
  <r>
    <s v="F146"/>
    <x v="2"/>
    <s v="2023 Q1"/>
    <s v="Scope 3"/>
    <x v="0"/>
    <n v="602.29"/>
    <n v="99115"/>
    <n v="827.26"/>
    <n v="28.88"/>
    <n v="818.45"/>
    <n v="27.59"/>
  </r>
  <r>
    <s v="F158"/>
    <x v="3"/>
    <s v="2022 Q2"/>
    <s v="Scope 1"/>
    <x v="1"/>
    <n v="4791.01"/>
    <n v="61157"/>
    <n v="7331.54"/>
    <n v="55.52"/>
    <n v="783.77"/>
    <n v="31.59"/>
  </r>
  <r>
    <s v="F181"/>
    <x v="3"/>
    <s v="2023 Q2"/>
    <s v="Scope 1"/>
    <x v="1"/>
    <n v="2408.38"/>
    <n v="42485"/>
    <n v="4755.75"/>
    <n v="10.19"/>
    <n v="662.74"/>
    <n v="36.79"/>
  </r>
  <r>
    <s v="F166"/>
    <x v="3"/>
    <s v="2022 Q2"/>
    <s v="Scope 3"/>
    <x v="0"/>
    <n v="2703.07"/>
    <n v="96474"/>
    <n v="7574.39"/>
    <n v="95.54"/>
    <n v="886.71"/>
    <n v="24.84"/>
  </r>
  <r>
    <s v="F003"/>
    <x v="3"/>
    <s v="2023 Q1"/>
    <s v="Scope 2"/>
    <x v="1"/>
    <n v="4204.6899999999996"/>
    <n v="27681"/>
    <n v="928.26"/>
    <n v="44.97"/>
    <s v=""/>
    <s v=""/>
  </r>
  <r>
    <s v="F106"/>
    <x v="3"/>
    <s v="2023 Q1"/>
    <s v="Scope 3"/>
    <x v="2"/>
    <n v="947.61"/>
    <n v="98682"/>
    <n v="6220.56"/>
    <n v="70.099999999999994"/>
    <n v="724.63"/>
    <n v="27.81"/>
  </r>
  <r>
    <s v="F132"/>
    <x v="4"/>
    <s v="2022 Q2"/>
    <s v="Scope 2"/>
    <x v="0"/>
    <n v="3632.9"/>
    <n v="76544"/>
    <n v="8632.77"/>
    <n v="12.87"/>
    <n v="571.88"/>
    <n v="30.1"/>
  </r>
  <r>
    <s v="F184"/>
    <x v="0"/>
    <s v="2022 Q1"/>
    <s v="Scope 3"/>
    <x v="1"/>
    <n v="3124.89"/>
    <n v="22201"/>
    <n v="2853.66"/>
    <n v="71.94"/>
    <n v="991.03"/>
    <n v="21.4"/>
  </r>
  <r>
    <s v="F032"/>
    <x v="1"/>
    <s v="2023 Q1"/>
    <s v="Scope 1"/>
    <x v="2"/>
    <n v="4679.05"/>
    <n v="33688"/>
    <n v="9495.48"/>
    <n v="55.55"/>
    <n v="780.4"/>
    <n v="30.98"/>
  </r>
  <r>
    <s v="F168"/>
    <x v="2"/>
    <s v="2022 Q1"/>
    <s v="Scope 3"/>
    <x v="0"/>
    <n v="4154.1000000000004"/>
    <n v="24095"/>
    <n v="3167.52"/>
    <n v="31.02"/>
    <n v="608.07000000000005"/>
    <n v="13.98"/>
  </r>
  <r>
    <s v="F145"/>
    <x v="4"/>
    <s v="2022 Q1"/>
    <s v="Scope 1"/>
    <x v="0"/>
    <n v="132.24"/>
    <n v="68492"/>
    <n v="3533.88"/>
    <n v="52.99"/>
    <n v="847.51"/>
    <n v="7.14"/>
  </r>
  <r>
    <s v="F129"/>
    <x v="1"/>
    <s v="2023 Q1"/>
    <s v="Scope 1"/>
    <x v="1"/>
    <n v="3066.65"/>
    <n v="58439"/>
    <n v="5817.93"/>
    <n v="63.77"/>
    <n v="143.16999999999999"/>
    <n v="52.46"/>
  </r>
  <r>
    <s v="F155"/>
    <x v="2"/>
    <s v="2023 Q2"/>
    <s v="Scope 3"/>
    <x v="1"/>
    <n v="1342.88"/>
    <n v="75736"/>
    <n v="6287.07"/>
    <n v="63.11"/>
    <n v="851.48"/>
    <n v="25.39"/>
  </r>
  <r>
    <s v="F056"/>
    <x v="4"/>
    <s v="2023 Q2"/>
    <s v="Scope 1"/>
    <x v="2"/>
    <n v="3919.95"/>
    <n v="99026"/>
    <n v="5453.2"/>
    <n v="57.49"/>
    <n v="231.68"/>
    <n v="24.26"/>
  </r>
  <r>
    <s v="F083"/>
    <x v="2"/>
    <s v="2022 Q1"/>
    <s v="Scope 1"/>
    <x v="2"/>
    <n v="4408.78"/>
    <n v="94704"/>
    <n v="6632.95"/>
    <n v="14.76"/>
    <n v="459.56"/>
    <n v="7.54"/>
  </r>
  <r>
    <s v="F092"/>
    <x v="4"/>
    <s v="2023 Q1"/>
    <s v="Scope 1"/>
    <x v="1"/>
    <n v="4970.6899999999996"/>
    <n v="79495"/>
    <n v="7157.48"/>
    <n v="26.84"/>
    <n v="114.57"/>
    <n v="9.83"/>
  </r>
  <r>
    <s v="F130"/>
    <x v="3"/>
    <s v="2022 Q1"/>
    <s v="Scope 3"/>
    <x v="1"/>
    <n v="1694.19"/>
    <n v="43227"/>
    <n v="5199.53"/>
    <n v="44.09"/>
    <n v="724.63"/>
    <n v="14.96"/>
  </r>
  <r>
    <s v="F054"/>
    <x v="3"/>
    <s v="2023 Q1"/>
    <s v="Scope 1"/>
    <x v="1"/>
    <n v="4225.8"/>
    <n v="38869"/>
    <n v="5109.76"/>
    <n v="35.270000000000003"/>
    <n v="986.62"/>
    <n v="40.86"/>
  </r>
  <r>
    <s v="F161"/>
    <x v="2"/>
    <s v="2022 Q1"/>
    <s v="Scope 1"/>
    <x v="1"/>
    <n v="2933.56"/>
    <n v="36171"/>
    <n v="6864.38"/>
    <n v="37.03"/>
    <n v="181.54"/>
    <n v="55.69"/>
  </r>
  <r>
    <s v="F124"/>
    <x v="3"/>
    <s v="2023 Q2"/>
    <s v="Scope 3"/>
    <x v="0"/>
    <n v="1192.33"/>
    <n v="37309"/>
    <n v="4508.54"/>
    <n v="47.15"/>
    <n v="951.35"/>
    <n v="47.12"/>
  </r>
  <r>
    <s v="F043"/>
    <x v="0"/>
    <s v="2022 Q1"/>
    <s v="Scope 1"/>
    <x v="2"/>
    <n v="2457.1"/>
    <n v="14009"/>
    <n v="7528.98"/>
    <n v="77.62"/>
    <n v="763.97"/>
    <n v="24.91"/>
  </r>
  <r>
    <s v="F128"/>
    <x v="2"/>
    <s v="2022 Q2"/>
    <s v="Scope 2"/>
    <x v="2"/>
    <n v="3801.93"/>
    <n v="68216"/>
    <n v="9562.33"/>
    <n v="63.59"/>
    <n v="830.73"/>
    <n v="46.68"/>
  </r>
  <r>
    <s v="F115"/>
    <x v="3"/>
    <s v="2023 Q1"/>
    <s v="Scope 2"/>
    <x v="2"/>
    <n v="2334.69"/>
    <n v="29318"/>
    <n v="9860.6200000000008"/>
    <n v="14.58"/>
    <n v="571.66"/>
    <n v="6.78"/>
  </r>
  <r>
    <s v="F048"/>
    <x v="0"/>
    <s v="2022 Q2"/>
    <s v="Scope 2"/>
    <x v="0"/>
    <n v="4761.95"/>
    <n v="26338"/>
    <n v="578.73"/>
    <n v="72.52"/>
    <n v="991.36"/>
    <n v="35.39"/>
  </r>
  <r>
    <s v="F081"/>
    <x v="1"/>
    <s v="2023 Q1"/>
    <s v="Scope 1"/>
    <x v="2"/>
    <n v="4516.03"/>
    <n v="39560"/>
    <n v="8380.77"/>
    <n v="94.01"/>
    <s v=""/>
    <s v=""/>
  </r>
  <r>
    <s v="F076"/>
    <x v="2"/>
    <s v="2022 Q1"/>
    <s v="Scope 3"/>
    <x v="2"/>
    <n v="4645.59"/>
    <n v="41953"/>
    <n v="2379.14"/>
    <n v="65.67"/>
    <n v="571.66"/>
    <n v="14.81"/>
  </r>
  <r>
    <s v="F032"/>
    <x v="1"/>
    <s v="2023 Q2"/>
    <s v="Scope 2"/>
    <x v="2"/>
    <n v="3245.36"/>
    <n v="33688"/>
    <n v="9495.48"/>
    <n v="55.55"/>
    <n v="780.4"/>
    <n v="30.98"/>
  </r>
  <r>
    <s v="F094"/>
    <x v="3"/>
    <s v="2023 Q2"/>
    <s v="Scope 1"/>
    <x v="0"/>
    <n v="3907.47"/>
    <n v="40553"/>
    <n v="4875.2299999999996"/>
    <n v="23.33"/>
    <n v="818.45"/>
    <n v="19.420000000000002"/>
  </r>
  <r>
    <s v="F111"/>
    <x v="3"/>
    <s v="2022 Q2"/>
    <s v="Scope 3"/>
    <x v="0"/>
    <n v="1337.85"/>
    <n v="10907"/>
    <n v="4748.66"/>
    <n v="39.36"/>
    <n v="986.62"/>
    <n v="17.04"/>
  </r>
  <r>
    <s v="F133"/>
    <x v="2"/>
    <s v="2023 Q2"/>
    <s v="Scope 2"/>
    <x v="0"/>
    <n v="3487.09"/>
    <n v="41168"/>
    <n v="8226.77"/>
    <n v="42.55"/>
    <n v="724.63"/>
    <n v="12.64"/>
  </r>
  <r>
    <s v="F040"/>
    <x v="0"/>
    <s v="2023 Q2"/>
    <s v="Scope 3"/>
    <x v="1"/>
    <n v="4959.59"/>
    <n v="52357"/>
    <n v="5643.16"/>
    <n v="37.130000000000003"/>
    <n v="932.3"/>
    <n v="13.43"/>
  </r>
  <r>
    <s v="F072"/>
    <x v="2"/>
    <s v="2022 Q1"/>
    <s v="Scope 2"/>
    <x v="1"/>
    <n v="4294.03"/>
    <n v="95292"/>
    <n v="697.47"/>
    <n v="88.35"/>
    <n v="114.57"/>
    <n v="36.04"/>
  </r>
  <r>
    <s v="F153"/>
    <x v="3"/>
    <s v="2022 Q1"/>
    <s v="Scope 1"/>
    <x v="0"/>
    <n v="648.78"/>
    <n v="95306"/>
    <n v="9037.76"/>
    <n v="13.35"/>
    <n v="724.63"/>
    <n v="21.2"/>
  </r>
  <r>
    <s v="F153"/>
    <x v="3"/>
    <s v="2022 Q2"/>
    <s v="Scope 1"/>
    <x v="0"/>
    <n v="3771.9"/>
    <n v="95306"/>
    <n v="9037.76"/>
    <n v="13.35"/>
    <n v="724.63"/>
    <n v="21.2"/>
  </r>
  <r>
    <s v="F128"/>
    <x v="2"/>
    <s v="2023 Q1"/>
    <s v="Scope 3"/>
    <x v="2"/>
    <n v="3071.55"/>
    <n v="68216"/>
    <n v="9562.33"/>
    <n v="63.59"/>
    <n v="830.73"/>
    <n v="46.68"/>
  </r>
  <r>
    <s v="F198"/>
    <x v="3"/>
    <s v="2022 Q2"/>
    <s v="Scope 2"/>
    <x v="2"/>
    <n v="2591.1799999999998"/>
    <n v="40577"/>
    <n v="4280.82"/>
    <n v="79.88"/>
    <n v="932.3"/>
    <n v="10.19"/>
  </r>
  <r>
    <s v="F057"/>
    <x v="1"/>
    <s v="2023 Q2"/>
    <s v="Scope 1"/>
    <x v="1"/>
    <n v="3280.07"/>
    <n v="40226"/>
    <n v="7868.86"/>
    <n v="80.53"/>
    <n v="231.68"/>
    <n v="15.92"/>
  </r>
  <r>
    <s v="F091"/>
    <x v="4"/>
    <s v="2023 Q1"/>
    <s v="Scope 2"/>
    <x v="1"/>
    <n v="632.11"/>
    <n v="43490"/>
    <n v="9300.8799999999992"/>
    <n v="58.43"/>
    <n v="264.23"/>
    <n v="11.71"/>
  </r>
  <r>
    <s v="F004"/>
    <x v="0"/>
    <s v="2022 Q2"/>
    <s v="Scope 1"/>
    <x v="0"/>
    <n v="2914.08"/>
    <n v="83923"/>
    <n v="8768.7999999999993"/>
    <n v="65.290000000000006"/>
    <n v="579.80999999999995"/>
    <n v="34.93"/>
  </r>
  <r>
    <s v="F032"/>
    <x v="1"/>
    <s v="2023 Q1"/>
    <s v="Scope 2"/>
    <x v="0"/>
    <n v="637.63"/>
    <n v="33688"/>
    <n v="9495.48"/>
    <n v="55.55"/>
    <n v="780.4"/>
    <n v="30.98"/>
  </r>
  <r>
    <s v="F078"/>
    <x v="0"/>
    <s v="2023 Q2"/>
    <s v="Scope 1"/>
    <x v="2"/>
    <n v="1996.46"/>
    <n v="78624"/>
    <n v="2373.27"/>
    <n v="25.07"/>
    <s v=""/>
    <s v=""/>
  </r>
  <r>
    <s v="F121"/>
    <x v="3"/>
    <s v="2023 Q2"/>
    <s v="Scope 1"/>
    <x v="2"/>
    <n v="1059.26"/>
    <n v="11952"/>
    <n v="4637.74"/>
    <n v="63.78"/>
    <n v="886.71"/>
    <n v="29.53"/>
  </r>
  <r>
    <s v="F057"/>
    <x v="1"/>
    <s v="2022 Q2"/>
    <s v="Scope 3"/>
    <x v="2"/>
    <n v="3555.94"/>
    <n v="40226"/>
    <n v="7868.86"/>
    <n v="80.53"/>
    <n v="231.68"/>
    <n v="15.92"/>
  </r>
  <r>
    <s v="F127"/>
    <x v="3"/>
    <s v="2023 Q1"/>
    <s v="Scope 1"/>
    <x v="1"/>
    <n v="3698.27"/>
    <n v="77400"/>
    <n v="7504.8"/>
    <n v="68.819999999999993"/>
    <s v=""/>
    <s v=""/>
  </r>
  <r>
    <s v="F004"/>
    <x v="0"/>
    <s v="2023 Q1"/>
    <s v="Scope 1"/>
    <x v="1"/>
    <n v="2286.9699999999998"/>
    <n v="83923"/>
    <n v="8768.7999999999993"/>
    <n v="65.290000000000006"/>
    <n v="579.80999999999995"/>
    <n v="34.93"/>
  </r>
  <r>
    <s v="F005"/>
    <x v="4"/>
    <s v="2023 Q1"/>
    <s v="Scope 1"/>
    <x v="2"/>
    <n v="3316.45"/>
    <n v="61743"/>
    <n v="7426.75"/>
    <n v="26.39"/>
    <n v="527.37"/>
    <n v="39.28"/>
  </r>
  <r>
    <s v="F027"/>
    <x v="4"/>
    <s v="2023 Q2"/>
    <s v="Scope 2"/>
    <x v="2"/>
    <n v="1242.96"/>
    <n v="51800"/>
    <n v="3042.95"/>
    <n v="71.87"/>
    <n v="714.03"/>
    <n v="10.84"/>
  </r>
  <r>
    <s v="F121"/>
    <x v="3"/>
    <s v="2023 Q1"/>
    <s v="Scope 2"/>
    <x v="0"/>
    <n v="3792.28"/>
    <n v="11952"/>
    <n v="4637.74"/>
    <n v="63.78"/>
    <n v="886.71"/>
    <n v="29.53"/>
  </r>
  <r>
    <s v="F018"/>
    <x v="4"/>
    <s v="2023 Q1"/>
    <s v="Scope 3"/>
    <x v="1"/>
    <n v="4685.3100000000004"/>
    <n v="69305"/>
    <n v="3203.67"/>
    <n v="83.65"/>
    <n v="173.67"/>
    <n v="67.040000000000006"/>
  </r>
  <r>
    <s v="F079"/>
    <x v="2"/>
    <s v="2022 Q2"/>
    <s v="Scope 2"/>
    <x v="2"/>
    <n v="2273.65"/>
    <n v="17311"/>
    <n v="2257.38"/>
    <n v="91.07"/>
    <n v="341.24"/>
    <n v="80.69"/>
  </r>
  <r>
    <s v="F006"/>
    <x v="4"/>
    <s v="2023 Q2"/>
    <s v="Scope 3"/>
    <x v="2"/>
    <n v="3021.59"/>
    <n v="11426"/>
    <n v="4439.5600000000004"/>
    <n v="52.71"/>
    <s v=""/>
    <s v=""/>
  </r>
  <r>
    <s v="F133"/>
    <x v="2"/>
    <s v="2023 Q1"/>
    <s v="Scope 2"/>
    <x v="2"/>
    <n v="1312.78"/>
    <n v="41168"/>
    <n v="8226.77"/>
    <n v="42.55"/>
    <n v="724.63"/>
    <n v="12.64"/>
  </r>
  <r>
    <s v="F158"/>
    <x v="3"/>
    <s v="2023 Q1"/>
    <s v="Scope 3"/>
    <x v="1"/>
    <n v="1829.71"/>
    <n v="61157"/>
    <n v="7331.54"/>
    <n v="55.52"/>
    <n v="783.77"/>
    <n v="31.59"/>
  </r>
  <r>
    <s v="F108"/>
    <x v="3"/>
    <s v="2023 Q1"/>
    <s v="Scope 3"/>
    <x v="1"/>
    <n v="1549.72"/>
    <n v="39050"/>
    <n v="5885.73"/>
    <n v="93.04"/>
    <n v="318.55"/>
    <n v="39.81"/>
  </r>
  <r>
    <s v="F070"/>
    <x v="2"/>
    <s v="2022 Q1"/>
    <s v="Scope 2"/>
    <x v="0"/>
    <n v="2500.38"/>
    <n v="15128"/>
    <n v="8847.09"/>
    <n v="5.25"/>
    <n v="230.57"/>
    <n v="60.48"/>
  </r>
  <r>
    <s v="F012"/>
    <x v="3"/>
    <s v="2022 Q2"/>
    <s v="Scope 2"/>
    <x v="2"/>
    <n v="1314.88"/>
    <n v="43747"/>
    <n v="3453.48"/>
    <n v="98.78"/>
    <n v="459.56"/>
    <n v="23.81"/>
  </r>
  <r>
    <s v="F009"/>
    <x v="0"/>
    <s v="2023 Q1"/>
    <s v="Scope 2"/>
    <x v="2"/>
    <n v="2425.58"/>
    <n v="45644"/>
    <n v="7724.73"/>
    <n v="31"/>
    <n v="685.27"/>
    <n v="33.94"/>
  </r>
  <r>
    <s v="F194"/>
    <x v="3"/>
    <s v="2022 Q2"/>
    <s v="Scope 1"/>
    <x v="1"/>
    <n v="3143.07"/>
    <n v="42382"/>
    <n v="5116.6899999999996"/>
    <n v="80.42"/>
    <n v="626.54"/>
    <n v="70.540000000000006"/>
  </r>
  <r>
    <s v="F049"/>
    <x v="0"/>
    <s v="2023 Q1"/>
    <s v="Scope 2"/>
    <x v="1"/>
    <n v="3426.65"/>
    <n v="65666"/>
    <n v="7269.98"/>
    <n v="75.62"/>
    <s v=""/>
    <s v=""/>
  </r>
  <r>
    <s v="F198"/>
    <x v="3"/>
    <s v="2023 Q1"/>
    <s v="Scope 3"/>
    <x v="1"/>
    <n v="3334.69"/>
    <n v="40577"/>
    <n v="4280.82"/>
    <n v="79.88"/>
    <n v="932.3"/>
    <n v="10.19"/>
  </r>
  <r>
    <s v="F054"/>
    <x v="3"/>
    <s v="2022 Q1"/>
    <s v="Scope 2"/>
    <x v="2"/>
    <n v="1554.47"/>
    <n v="38869"/>
    <n v="5109.76"/>
    <n v="35.270000000000003"/>
    <n v="986.62"/>
    <n v="40.86"/>
  </r>
  <r>
    <s v="F177"/>
    <x v="3"/>
    <s v="2022 Q2"/>
    <s v="Scope 3"/>
    <x v="2"/>
    <n v="613.22"/>
    <n v="87482"/>
    <n v="2231.7399999999998"/>
    <n v="45.43"/>
    <n v="638.89"/>
    <n v="24.69"/>
  </r>
  <r>
    <s v="F115"/>
    <x v="3"/>
    <s v="2023 Q1"/>
    <s v="Scope 2"/>
    <x v="2"/>
    <n v="2269.8200000000002"/>
    <n v="29318"/>
    <n v="9860.6200000000008"/>
    <n v="14.58"/>
    <n v="571.66"/>
    <n v="6.78"/>
  </r>
  <r>
    <s v="F159"/>
    <x v="0"/>
    <s v="2022 Q1"/>
    <s v="Scope 3"/>
    <x v="2"/>
    <n v="1258.56"/>
    <n v="72224"/>
    <n v="1613.32"/>
    <n v="39.21"/>
    <n v="111.84"/>
    <n v="28.69"/>
  </r>
  <r>
    <s v="F106"/>
    <x v="3"/>
    <s v="2022 Q1"/>
    <s v="Scope 1"/>
    <x v="0"/>
    <n v="2102.71"/>
    <n v="98682"/>
    <n v="6220.56"/>
    <n v="70.099999999999994"/>
    <n v="724.63"/>
    <n v="27.81"/>
  </r>
  <r>
    <s v="F022"/>
    <x v="4"/>
    <s v="2022 Q2"/>
    <s v="Scope 2"/>
    <x v="1"/>
    <n v="1951.99"/>
    <n v="20207"/>
    <n v="5369.46"/>
    <n v="57.51"/>
    <n v="847.51"/>
    <n v="28.45"/>
  </r>
  <r>
    <s v="F010"/>
    <x v="0"/>
    <s v="2022 Q1"/>
    <s v="Scope 3"/>
    <x v="0"/>
    <n v="942.66"/>
    <n v="32991"/>
    <n v="8540.14"/>
    <n v="37.75"/>
    <n v="268.16000000000003"/>
    <n v="9.08"/>
  </r>
  <r>
    <s v="F106"/>
    <x v="3"/>
    <s v="2022 Q1"/>
    <s v="Scope 1"/>
    <x v="2"/>
    <n v="4612.42"/>
    <n v="98682"/>
    <n v="6220.56"/>
    <n v="70.099999999999994"/>
    <n v="724.63"/>
    <n v="27.81"/>
  </r>
  <r>
    <s v="F062"/>
    <x v="2"/>
    <s v="2023 Q2"/>
    <s v="Scope 3"/>
    <x v="1"/>
    <n v="5180.6899999999996"/>
    <n v="19265"/>
    <n v="776.6"/>
    <n v="39.75"/>
    <n v="289.77"/>
    <n v="37.270000000000003"/>
  </r>
  <r>
    <s v="F124"/>
    <x v="3"/>
    <s v="2023 Q2"/>
    <s v="Scope 3"/>
    <x v="0"/>
    <n v="3307.68"/>
    <n v="37309"/>
    <n v="4508.54"/>
    <n v="47.15"/>
    <n v="951.35"/>
    <n v="47.12"/>
  </r>
  <r>
    <s v="F105"/>
    <x v="0"/>
    <s v="2022 Q1"/>
    <s v="Scope 2"/>
    <x v="2"/>
    <n v="4673.95"/>
    <n v="27028"/>
    <n v="4617.92"/>
    <n v="57.62"/>
    <n v="780.4"/>
    <n v="24.87"/>
  </r>
  <r>
    <s v="F083"/>
    <x v="2"/>
    <s v="2022 Q1"/>
    <s v="Scope 2"/>
    <x v="2"/>
    <n v="2977.11"/>
    <n v="94704"/>
    <n v="6632.95"/>
    <n v="14.76"/>
    <n v="459.56"/>
    <n v="7.54"/>
  </r>
  <r>
    <s v="F088"/>
    <x v="0"/>
    <s v="2023 Q1"/>
    <s v="Scope 3"/>
    <x v="1"/>
    <n v="2214.86"/>
    <n v="77330"/>
    <n v="6936.58"/>
    <n v="82.3"/>
    <n v="264.23"/>
    <n v="28.19"/>
  </r>
  <r>
    <s v="F014"/>
    <x v="2"/>
    <s v="2023 Q1"/>
    <s v="Scope 2"/>
    <x v="1"/>
    <n v="2253.86"/>
    <n v="17416"/>
    <n v="812.06"/>
    <n v="5.7"/>
    <n v="568.27"/>
    <n v="18.03"/>
  </r>
  <r>
    <s v="F131"/>
    <x v="4"/>
    <s v="2023 Q1"/>
    <s v="Scope 3"/>
    <x v="0"/>
    <n v="2426.7199999999998"/>
    <n v="43294"/>
    <n v="3802.13"/>
    <n v="45.84"/>
    <n v="756.78"/>
    <n v="28.42"/>
  </r>
  <r>
    <s v="F099"/>
    <x v="3"/>
    <s v="2022 Q2"/>
    <s v="Scope 1"/>
    <x v="2"/>
    <n v="2903.42"/>
    <n v="17162"/>
    <n v="5079.95"/>
    <n v="19.239999999999998"/>
    <n v="769.39"/>
    <n v="35.29"/>
  </r>
  <r>
    <s v="F067"/>
    <x v="1"/>
    <s v="2022 Q2"/>
    <s v="Scope 3"/>
    <x v="0"/>
    <n v="3101.84"/>
    <n v="28400"/>
    <n v="3056.67"/>
    <n v="52.68"/>
    <n v="571.88"/>
    <n v="8.6199999999999992"/>
  </r>
  <r>
    <s v="F050"/>
    <x v="0"/>
    <s v="2022 Q1"/>
    <s v="Scope 3"/>
    <x v="0"/>
    <n v="3483.93"/>
    <n v="10067"/>
    <n v="1953.33"/>
    <n v="25.15"/>
    <n v="785.8"/>
    <n v="19.649999999999999"/>
  </r>
  <r>
    <s v="F005"/>
    <x v="4"/>
    <s v="2022 Q1"/>
    <s v="Scope 2"/>
    <x v="1"/>
    <n v="4798.16"/>
    <n v="61743"/>
    <n v="7426.75"/>
    <n v="26.39"/>
    <n v="527.37"/>
    <n v="39.28"/>
  </r>
  <r>
    <s v="F075"/>
    <x v="3"/>
    <s v="2022 Q2"/>
    <s v="Scope 2"/>
    <x v="0"/>
    <n v="2226.6"/>
    <n v="60513"/>
    <n v="4578.16"/>
    <n v="65.53"/>
    <s v=""/>
    <s v=""/>
  </r>
  <r>
    <s v="F151"/>
    <x v="2"/>
    <s v="2023 Q2"/>
    <s v="Scope 3"/>
    <x v="1"/>
    <n v="2848.95"/>
    <n v="81057"/>
    <n v="675.41"/>
    <n v="55.44"/>
    <n v="847.51"/>
    <n v="28.03"/>
  </r>
  <r>
    <s v="F021"/>
    <x v="1"/>
    <s v="2022 Q1"/>
    <s v="Scope 1"/>
    <x v="2"/>
    <n v="751.3"/>
    <n v="44657"/>
    <n v="7867.98"/>
    <n v="96.01"/>
    <n v="694.92"/>
    <n v="26.24"/>
  </r>
  <r>
    <s v="F077"/>
    <x v="4"/>
    <s v="2023 Q2"/>
    <s v="Scope 2"/>
    <x v="1"/>
    <n v="3286.05"/>
    <n v="52836"/>
    <n v="9330.2999999999993"/>
    <n v="87.27"/>
    <s v=""/>
    <s v=""/>
  </r>
  <r>
    <s v="F082"/>
    <x v="0"/>
    <s v="2022 Q2"/>
    <s v="Scope 2"/>
    <x v="1"/>
    <n v="1018.05"/>
    <n v="17468"/>
    <n v="6359.73"/>
    <n v="5.22"/>
    <n v="959.2"/>
    <n v="36.92"/>
  </r>
  <r>
    <s v="F003"/>
    <x v="3"/>
    <s v="2023 Q1"/>
    <s v="Scope 1"/>
    <x v="2"/>
    <n v="2978.67"/>
    <n v="27681"/>
    <n v="928.26"/>
    <n v="44.97"/>
    <s v=""/>
    <s v=""/>
  </r>
  <r>
    <s v="F079"/>
    <x v="2"/>
    <s v="2023 Q2"/>
    <s v="Scope 2"/>
    <x v="1"/>
    <n v="1158.82"/>
    <n v="17311"/>
    <n v="2257.38"/>
    <n v="91.07"/>
    <n v="341.24"/>
    <n v="80.69"/>
  </r>
  <r>
    <s v="F032"/>
    <x v="1"/>
    <s v="2022 Q1"/>
    <s v="Scope 3"/>
    <x v="0"/>
    <n v="4416.21"/>
    <n v="33688"/>
    <n v="9495.48"/>
    <n v="55.55"/>
    <n v="780.4"/>
    <n v="30.98"/>
  </r>
  <r>
    <s v="F037"/>
    <x v="3"/>
    <s v="2022 Q2"/>
    <s v="Scope 3"/>
    <x v="0"/>
    <n v="1348.03"/>
    <n v="97337"/>
    <n v="3362.06"/>
    <n v="55.46"/>
    <n v="459.56"/>
    <n v="10.31"/>
  </r>
  <r>
    <s v="F101"/>
    <x v="3"/>
    <s v="2023 Q1"/>
    <s v="Scope 2"/>
    <x v="0"/>
    <n v="2825.42"/>
    <n v="65719"/>
    <n v="9362.41"/>
    <n v="86.55"/>
    <n v="932.3"/>
    <n v="28.9"/>
  </r>
  <r>
    <s v="F152"/>
    <x v="4"/>
    <s v="2022 Q1"/>
    <s v="Scope 3"/>
    <x v="2"/>
    <n v="4051.47"/>
    <n v="90679"/>
    <n v="7266.82"/>
    <n v="23.3"/>
    <n v="943.59"/>
    <n v="15.81"/>
  </r>
  <r>
    <s v="F093"/>
    <x v="2"/>
    <s v="2023 Q1"/>
    <s v="Scope 2"/>
    <x v="2"/>
    <n v="3797.37"/>
    <n v="15553"/>
    <n v="3909.51"/>
    <n v="46.44"/>
    <s v=""/>
    <s v=""/>
  </r>
  <r>
    <s v="F004"/>
    <x v="0"/>
    <s v="2023 Q1"/>
    <s v="Scope 2"/>
    <x v="2"/>
    <n v="4111.7700000000004"/>
    <n v="83923"/>
    <n v="8768.7999999999993"/>
    <n v="65.290000000000006"/>
    <n v="579.80999999999995"/>
    <n v="34.93"/>
  </r>
  <r>
    <s v="F142"/>
    <x v="0"/>
    <s v="2023 Q1"/>
    <s v="Scope 3"/>
    <x v="0"/>
    <n v="1444.13"/>
    <n v="68278"/>
    <n v="3272.65"/>
    <n v="30.47"/>
    <n v="526.54999999999995"/>
    <n v="30.4"/>
  </r>
  <r>
    <s v="F159"/>
    <x v="0"/>
    <s v="2022 Q2"/>
    <s v="Scope 2"/>
    <x v="0"/>
    <n v="3062.42"/>
    <n v="72224"/>
    <n v="1613.32"/>
    <n v="39.21"/>
    <n v="111.84"/>
    <n v="28.69"/>
  </r>
  <r>
    <s v="F197"/>
    <x v="2"/>
    <s v="2023 Q1"/>
    <s v="Scope 1"/>
    <x v="0"/>
    <n v="1226.9100000000001"/>
    <n v="59617"/>
    <n v="5000.95"/>
    <n v="80.36"/>
    <n v="532.27"/>
    <n v="25.24"/>
  </r>
  <r>
    <s v="F055"/>
    <x v="2"/>
    <s v="2022 Q2"/>
    <s v="Scope 1"/>
    <x v="2"/>
    <n v="1442.19"/>
    <n v="41050"/>
    <n v="6025.84"/>
    <n v="53.53"/>
    <n v="289.77"/>
    <n v="19.260000000000002"/>
  </r>
  <r>
    <s v="F200"/>
    <x v="1"/>
    <s v="2022 Q2"/>
    <s v="Scope 1"/>
    <x v="2"/>
    <n v="3767.87"/>
    <n v="21081"/>
    <n v="9001.77"/>
    <n v="49.27"/>
    <n v="114.57"/>
    <n v="44.17"/>
  </r>
  <r>
    <s v="F022"/>
    <x v="4"/>
    <s v="2023 Q2"/>
    <s v="Scope 1"/>
    <x v="2"/>
    <n v="1528.64"/>
    <n v="20207"/>
    <n v="5369.46"/>
    <n v="57.51"/>
    <n v="847.51"/>
    <n v="28.45"/>
  </r>
  <r>
    <s v="F063"/>
    <x v="4"/>
    <s v="2023 Q2"/>
    <s v="Scope 2"/>
    <x v="1"/>
    <n v="438.03"/>
    <n v="45519"/>
    <n v="7987.69"/>
    <n v="10.86"/>
    <n v="638.89"/>
    <n v="35.04"/>
  </r>
  <r>
    <s v="F015"/>
    <x v="4"/>
    <s v="2022 Q2"/>
    <s v="Scope 1"/>
    <x v="0"/>
    <n v="2291.7800000000002"/>
    <n v="80488"/>
    <n v="7629.95"/>
    <n v="63.83"/>
    <n v="847.51"/>
    <n v="9.9"/>
  </r>
  <r>
    <s v="F060"/>
    <x v="4"/>
    <s v="2022 Q2"/>
    <s v="Scope 2"/>
    <x v="0"/>
    <n v="4099.03"/>
    <n v="41539"/>
    <n v="982.8"/>
    <n v="79.7"/>
    <n v="851.48"/>
    <n v="13.07"/>
  </r>
  <r>
    <s v="F174"/>
    <x v="3"/>
    <s v="2023 Q2"/>
    <s v="Scope 3"/>
    <x v="0"/>
    <n v="2713.32"/>
    <n v="95962"/>
    <n v="524.72"/>
    <n v="49.55"/>
    <n v="991.36"/>
    <n v="18.28"/>
  </r>
  <r>
    <s v="F153"/>
    <x v="3"/>
    <s v="2022 Q2"/>
    <s v="Scope 1"/>
    <x v="1"/>
    <n v="769.84"/>
    <n v="95306"/>
    <n v="9037.76"/>
    <n v="13.35"/>
    <n v="724.63"/>
    <n v="21.2"/>
  </r>
  <r>
    <s v="F082"/>
    <x v="0"/>
    <s v="2023 Q2"/>
    <s v="Scope 2"/>
    <x v="0"/>
    <n v="3217.94"/>
    <n v="17468"/>
    <n v="6359.73"/>
    <n v="5.22"/>
    <n v="959.2"/>
    <n v="36.92"/>
  </r>
  <r>
    <s v="F138"/>
    <x v="0"/>
    <s v="2023 Q2"/>
    <s v="Scope 3"/>
    <x v="1"/>
    <n v="3817.75"/>
    <n v="94393"/>
    <n v="6691.7"/>
    <n v="74.790000000000006"/>
    <n v="867.66"/>
    <n v="32.97"/>
  </r>
  <r>
    <s v="F038"/>
    <x v="4"/>
    <s v="2023 Q1"/>
    <s v="Scope 1"/>
    <x v="0"/>
    <n v="3796.86"/>
    <n v="18341"/>
    <n v="8465.57"/>
    <n v="38.39"/>
    <s v=""/>
    <s v=""/>
  </r>
  <r>
    <s v="F177"/>
    <x v="3"/>
    <s v="2022 Q1"/>
    <s v="Scope 2"/>
    <x v="1"/>
    <n v="1722.54"/>
    <n v="87482"/>
    <n v="2231.7399999999998"/>
    <n v="45.43"/>
    <n v="638.89"/>
    <n v="24.69"/>
  </r>
  <r>
    <s v="F076"/>
    <x v="2"/>
    <s v="2023 Q2"/>
    <s v="Scope 1"/>
    <x v="2"/>
    <n v="2472.08"/>
    <n v="41953"/>
    <n v="2379.14"/>
    <n v="65.67"/>
    <n v="571.66"/>
    <n v="14.81"/>
  </r>
  <r>
    <s v="F072"/>
    <x v="2"/>
    <s v="2023 Q1"/>
    <s v="Scope 2"/>
    <x v="2"/>
    <n v="3592.6"/>
    <n v="95292"/>
    <n v="697.47"/>
    <n v="88.35"/>
    <n v="114.57"/>
    <n v="36.04"/>
  </r>
  <r>
    <s v="F126"/>
    <x v="2"/>
    <s v="2023 Q1"/>
    <s v="Scope 2"/>
    <x v="1"/>
    <n v="4482.0600000000004"/>
    <n v="75508"/>
    <n v="6856.22"/>
    <n v="18.2"/>
    <n v="991.03"/>
    <n v="13.32"/>
  </r>
  <r>
    <s v="F151"/>
    <x v="2"/>
    <s v="2023 Q2"/>
    <s v="Scope 3"/>
    <x v="1"/>
    <n v="3888.63"/>
    <n v="81057"/>
    <n v="675.41"/>
    <n v="55.44"/>
    <n v="847.51"/>
    <n v="28.03"/>
  </r>
  <r>
    <s v="F160"/>
    <x v="4"/>
    <s v="2023 Q1"/>
    <s v="Scope 3"/>
    <x v="1"/>
    <n v="1035.25"/>
    <n v="36423"/>
    <n v="589.96"/>
    <n v="30.9"/>
    <n v="111.84"/>
    <n v="23.26"/>
  </r>
  <r>
    <s v="F018"/>
    <x v="4"/>
    <s v="2023 Q1"/>
    <s v="Scope 1"/>
    <x v="1"/>
    <n v="93.17"/>
    <n v="69305"/>
    <n v="3203.67"/>
    <n v="83.65"/>
    <n v="173.67"/>
    <n v="67.040000000000006"/>
  </r>
  <r>
    <s v="F077"/>
    <x v="4"/>
    <s v="2022 Q1"/>
    <s v="Scope 1"/>
    <x v="1"/>
    <n v="489.88"/>
    <n v="52836"/>
    <n v="9330.2999999999993"/>
    <n v="87.27"/>
    <s v=""/>
    <s v=""/>
  </r>
  <r>
    <s v="F060"/>
    <x v="4"/>
    <s v="2022 Q1"/>
    <s v="Scope 2"/>
    <x v="2"/>
    <n v="627.29999999999995"/>
    <n v="41539"/>
    <n v="982.8"/>
    <n v="79.7"/>
    <n v="851.48"/>
    <n v="13.07"/>
  </r>
  <r>
    <s v="F102"/>
    <x v="1"/>
    <s v="2023 Q2"/>
    <s v="Scope 2"/>
    <x v="2"/>
    <n v="4443.8500000000004"/>
    <n v="82377"/>
    <n v="7974.74"/>
    <n v="9.17"/>
    <s v=""/>
    <s v=""/>
  </r>
  <r>
    <s v="F075"/>
    <x v="3"/>
    <s v="2022 Q1"/>
    <s v="Scope 1"/>
    <x v="1"/>
    <n v="2192.52"/>
    <n v="60513"/>
    <n v="4578.16"/>
    <n v="65.53"/>
    <s v=""/>
    <s v=""/>
  </r>
  <r>
    <s v="F194"/>
    <x v="3"/>
    <s v="2023 Q1"/>
    <s v="Scope 3"/>
    <x v="1"/>
    <n v="1166.77"/>
    <n v="42382"/>
    <n v="5116.6899999999996"/>
    <n v="80.42"/>
    <n v="626.54"/>
    <n v="70.540000000000006"/>
  </r>
  <r>
    <s v="F151"/>
    <x v="2"/>
    <s v="2022 Q1"/>
    <s v="Scope 3"/>
    <x v="0"/>
    <n v="3803.96"/>
    <n v="81057"/>
    <n v="675.41"/>
    <n v="55.44"/>
    <n v="847.51"/>
    <n v="28.03"/>
  </r>
  <r>
    <s v="F121"/>
    <x v="3"/>
    <s v="2022 Q1"/>
    <s v="Scope 1"/>
    <x v="2"/>
    <n v="4902.53"/>
    <n v="11952"/>
    <n v="4637.74"/>
    <n v="63.78"/>
    <n v="886.71"/>
    <n v="29.53"/>
  </r>
  <r>
    <s v="F147"/>
    <x v="1"/>
    <s v="2023 Q2"/>
    <s v="Scope 2"/>
    <x v="2"/>
    <n v="1144.49"/>
    <n v="13333"/>
    <n v="6102.15"/>
    <n v="17.670000000000002"/>
    <n v="959.2"/>
    <n v="24.24"/>
  </r>
  <r>
    <s v="F190"/>
    <x v="0"/>
    <s v="2022 Q2"/>
    <s v="Scope 3"/>
    <x v="1"/>
    <n v="4243.1099999999997"/>
    <n v="70582"/>
    <n v="7517.59"/>
    <n v="95.71"/>
    <s v=""/>
    <s v=""/>
  </r>
  <r>
    <s v="F023"/>
    <x v="1"/>
    <s v="2022 Q1"/>
    <s v="Scope 2"/>
    <x v="2"/>
    <n v="2303.31"/>
    <n v="47484"/>
    <n v="3396.39"/>
    <n v="19.510000000000002"/>
    <n v="790.74"/>
    <n v="12.77"/>
  </r>
  <r>
    <s v="F027"/>
    <x v="4"/>
    <s v="2023 Q2"/>
    <s v="Scope 1"/>
    <x v="0"/>
    <n v="3192.9"/>
    <n v="51800"/>
    <n v="3042.95"/>
    <n v="71.87"/>
    <n v="714.03"/>
    <n v="10.84"/>
  </r>
  <r>
    <s v="F019"/>
    <x v="0"/>
    <s v="2022 Q2"/>
    <s v="Scope 2"/>
    <x v="1"/>
    <n v="3601.52"/>
    <n v="68018"/>
    <n v="3523.4"/>
    <n v="92.26"/>
    <n v="111.84"/>
    <n v="15.85"/>
  </r>
  <r>
    <s v="F027"/>
    <x v="4"/>
    <s v="2022 Q2"/>
    <s v="Scope 1"/>
    <x v="1"/>
    <n v="4964.3100000000004"/>
    <n v="51800"/>
    <n v="3042.95"/>
    <n v="71.87"/>
    <n v="714.03"/>
    <n v="10.84"/>
  </r>
  <r>
    <s v="F093"/>
    <x v="2"/>
    <s v="2023 Q2"/>
    <s v="Scope 1"/>
    <x v="1"/>
    <n v="2143.7399999999998"/>
    <n v="15553"/>
    <n v="3909.51"/>
    <n v="46.44"/>
    <s v=""/>
    <s v=""/>
  </r>
  <r>
    <s v="F113"/>
    <x v="3"/>
    <s v="2022 Q2"/>
    <s v="Scope 1"/>
    <x v="1"/>
    <n v="563.55999999999995"/>
    <n v="69636"/>
    <n v="4246.55"/>
    <n v="69.290000000000006"/>
    <n v="362.43"/>
    <n v="54.81"/>
  </r>
  <r>
    <s v="F027"/>
    <x v="4"/>
    <s v="2022 Q2"/>
    <s v="Scope 3"/>
    <x v="1"/>
    <n v="1541.86"/>
    <n v="51800"/>
    <n v="3042.95"/>
    <n v="71.87"/>
    <n v="714.03"/>
    <n v="10.84"/>
  </r>
  <r>
    <s v="F091"/>
    <x v="4"/>
    <s v="2023 Q2"/>
    <s v="Scope 1"/>
    <x v="0"/>
    <n v="2191.88"/>
    <n v="43490"/>
    <n v="9300.8799999999992"/>
    <n v="58.43"/>
    <n v="264.23"/>
    <n v="11.71"/>
  </r>
  <r>
    <s v="F030"/>
    <x v="0"/>
    <s v="2023 Q1"/>
    <s v="Scope 2"/>
    <x v="1"/>
    <n v="4804.76"/>
    <n v="49924"/>
    <n v="2199.16"/>
    <n v="75.48"/>
    <n v="432.23"/>
    <n v="13.54"/>
  </r>
  <r>
    <s v="F189"/>
    <x v="0"/>
    <s v="2022 Q2"/>
    <s v="Scope 1"/>
    <x v="0"/>
    <n v="4966.99"/>
    <n v="67820"/>
    <n v="8177.95"/>
    <n v="40.69"/>
    <n v="790.74"/>
    <n v="15.94"/>
  </r>
  <r>
    <s v="F127"/>
    <x v="3"/>
    <s v="2022 Q1"/>
    <s v="Scope 2"/>
    <x v="1"/>
    <n v="2346.08"/>
    <n v="77400"/>
    <n v="7504.8"/>
    <n v="68.819999999999993"/>
    <s v=""/>
    <s v=""/>
  </r>
  <r>
    <s v="F156"/>
    <x v="2"/>
    <s v="2023 Q1"/>
    <s v="Scope 2"/>
    <x v="1"/>
    <n v="278.14"/>
    <n v="88308"/>
    <n v="7802.07"/>
    <n v="36.130000000000003"/>
    <n v="557.72"/>
    <n v="62.75"/>
  </r>
  <r>
    <s v="F124"/>
    <x v="3"/>
    <s v="2023 Q1"/>
    <s v="Scope 2"/>
    <x v="0"/>
    <n v="3551.91"/>
    <n v="37309"/>
    <n v="4508.54"/>
    <n v="47.15"/>
    <n v="951.35"/>
    <n v="47.12"/>
  </r>
  <r>
    <s v="F015"/>
    <x v="4"/>
    <s v="2023 Q1"/>
    <s v="Scope 2"/>
    <x v="0"/>
    <n v="3834.95"/>
    <n v="80488"/>
    <n v="7629.95"/>
    <n v="63.83"/>
    <n v="847.51"/>
    <n v="9.9"/>
  </r>
  <r>
    <s v="F023"/>
    <x v="1"/>
    <s v="2022 Q2"/>
    <s v="Scope 1"/>
    <x v="0"/>
    <n v="4076.77"/>
    <n v="47484"/>
    <n v="3396.39"/>
    <n v="19.510000000000002"/>
    <n v="790.74"/>
    <n v="12.77"/>
  </r>
  <r>
    <s v="F108"/>
    <x v="3"/>
    <s v="2022 Q2"/>
    <s v="Scope 1"/>
    <x v="1"/>
    <n v="1402.07"/>
    <n v="39050"/>
    <n v="5885.73"/>
    <n v="93.04"/>
    <n v="318.55"/>
    <n v="39.81"/>
  </r>
  <r>
    <s v="F071"/>
    <x v="4"/>
    <s v="2022 Q1"/>
    <s v="Scope 1"/>
    <x v="1"/>
    <n v="2817.03"/>
    <n v="26378"/>
    <n v="2915.44"/>
    <n v="29.84"/>
    <n v="311.36"/>
    <n v="26.09"/>
  </r>
  <r>
    <s v="F048"/>
    <x v="0"/>
    <s v="2023 Q1"/>
    <s v="Scope 1"/>
    <x v="2"/>
    <n v="4610.1499999999996"/>
    <n v="26338"/>
    <n v="578.73"/>
    <n v="72.52"/>
    <n v="991.36"/>
    <n v="35.39"/>
  </r>
  <r>
    <s v="F136"/>
    <x v="1"/>
    <s v="2023 Q2"/>
    <s v="Scope 3"/>
    <x v="2"/>
    <n v="1197.68"/>
    <n v="43346"/>
    <n v="5559.12"/>
    <n v="39.4"/>
    <n v="571.88"/>
    <n v="32.18"/>
  </r>
  <r>
    <s v="F126"/>
    <x v="2"/>
    <s v="2023 Q2"/>
    <s v="Scope 1"/>
    <x v="2"/>
    <n v="2154.8200000000002"/>
    <n v="75508"/>
    <n v="6856.22"/>
    <n v="18.2"/>
    <n v="991.03"/>
    <n v="13.32"/>
  </r>
  <r>
    <s v="F019"/>
    <x v="0"/>
    <s v="2023 Q2"/>
    <s v="Scope 2"/>
    <x v="1"/>
    <n v="1398.72"/>
    <n v="68018"/>
    <n v="3523.4"/>
    <n v="92.26"/>
    <n v="111.84"/>
    <n v="15.85"/>
  </r>
  <r>
    <s v="F106"/>
    <x v="3"/>
    <s v="2023 Q2"/>
    <s v="Scope 1"/>
    <x v="1"/>
    <n v="2433.64"/>
    <n v="98682"/>
    <n v="6220.56"/>
    <n v="70.099999999999994"/>
    <n v="724.63"/>
    <n v="27.81"/>
  </r>
  <r>
    <s v="F175"/>
    <x v="3"/>
    <s v="2023 Q2"/>
    <s v="Scope 1"/>
    <x v="0"/>
    <n v="1785.88"/>
    <n v="94949"/>
    <n v="9714.76"/>
    <n v="64.900000000000006"/>
    <n v="241.41"/>
    <n v="20.62"/>
  </r>
  <r>
    <s v="F056"/>
    <x v="4"/>
    <s v="2022 Q1"/>
    <s v="Scope 3"/>
    <x v="0"/>
    <n v="4694.88"/>
    <n v="99026"/>
    <n v="5453.2"/>
    <n v="57.49"/>
    <n v="231.68"/>
    <n v="24.26"/>
  </r>
  <r>
    <s v="F019"/>
    <x v="0"/>
    <s v="2022 Q1"/>
    <s v="Scope 1"/>
    <x v="0"/>
    <n v="3069.11"/>
    <n v="68018"/>
    <n v="3523.4"/>
    <n v="92.26"/>
    <n v="111.84"/>
    <n v="15.85"/>
  </r>
  <r>
    <s v="F029"/>
    <x v="4"/>
    <s v="2022 Q2"/>
    <s v="Scope 1"/>
    <x v="1"/>
    <n v="2819.92"/>
    <n v="12262"/>
    <n v="7106.18"/>
    <n v="45.69"/>
    <n v="459.56"/>
    <n v="29.71"/>
  </r>
  <r>
    <s v="F027"/>
    <x v="4"/>
    <s v="2022 Q2"/>
    <s v="Scope 2"/>
    <x v="2"/>
    <n v="1772.23"/>
    <n v="51800"/>
    <n v="3042.95"/>
    <n v="71.87"/>
    <n v="714.03"/>
    <n v="10.84"/>
  </r>
  <r>
    <s v="F182"/>
    <x v="3"/>
    <s v="2022 Q1"/>
    <s v="Scope 1"/>
    <x v="2"/>
    <n v="2502.25"/>
    <n v="41027"/>
    <n v="7285.85"/>
    <n v="59.87"/>
    <n v="763.97"/>
    <n v="34.14"/>
  </r>
  <r>
    <s v="F162"/>
    <x v="3"/>
    <s v="2022 Q1"/>
    <s v="Scope 3"/>
    <x v="1"/>
    <n v="3851.93"/>
    <n v="18175"/>
    <n v="8349.49"/>
    <n v="39.97"/>
    <n v="818.45"/>
    <n v="19.04"/>
  </r>
  <r>
    <s v="F085"/>
    <x v="4"/>
    <s v="2022 Q2"/>
    <s v="Scope 2"/>
    <x v="2"/>
    <n v="3031.48"/>
    <n v="29264"/>
    <n v="8362.7199999999993"/>
    <n v="61.93"/>
    <s v=""/>
    <s v=""/>
  </r>
  <r>
    <s v="F191"/>
    <x v="0"/>
    <s v="2023 Q2"/>
    <s v="Scope 3"/>
    <x v="2"/>
    <n v="601.62"/>
    <n v="86557"/>
    <n v="8631.2800000000007"/>
    <n v="69.53"/>
    <s v=""/>
    <s v=""/>
  </r>
  <r>
    <s v="F086"/>
    <x v="4"/>
    <s v="2022 Q1"/>
    <s v="Scope 2"/>
    <x v="2"/>
    <n v="2060.17"/>
    <n v="55974"/>
    <n v="7542.28"/>
    <n v="72.430000000000007"/>
    <n v="626.54"/>
    <n v="29.46"/>
  </r>
  <r>
    <s v="F127"/>
    <x v="3"/>
    <s v="2022 Q2"/>
    <s v="Scope 2"/>
    <x v="0"/>
    <n v="2452.0300000000002"/>
    <n v="77400"/>
    <n v="7504.8"/>
    <n v="68.819999999999993"/>
    <s v=""/>
    <s v=""/>
  </r>
  <r>
    <s v="F012"/>
    <x v="3"/>
    <s v="2022 Q1"/>
    <s v="Scope 2"/>
    <x v="0"/>
    <n v="1782.21"/>
    <n v="43747"/>
    <n v="3453.48"/>
    <n v="98.78"/>
    <n v="459.56"/>
    <n v="23.81"/>
  </r>
  <r>
    <s v="F028"/>
    <x v="4"/>
    <s v="2023 Q2"/>
    <s v="Scope 3"/>
    <x v="1"/>
    <n v="103.31"/>
    <n v="73977"/>
    <n v="1646.75"/>
    <n v="43.77"/>
    <s v=""/>
    <s v=""/>
  </r>
  <r>
    <s v="F170"/>
    <x v="2"/>
    <s v="2022 Q2"/>
    <s v="Scope 1"/>
    <x v="1"/>
    <n v="3568.05"/>
    <n v="24502"/>
    <n v="7466.86"/>
    <n v="88.83"/>
    <n v="847.51"/>
    <n v="26.48"/>
  </r>
  <r>
    <s v="F190"/>
    <x v="0"/>
    <s v="2023 Q2"/>
    <s v="Scope 3"/>
    <x v="1"/>
    <n v="2290.64"/>
    <n v="70582"/>
    <n v="7517.59"/>
    <n v="95.71"/>
    <s v=""/>
    <s v=""/>
  </r>
  <r>
    <s v="F046"/>
    <x v="4"/>
    <s v="2023 Q2"/>
    <s v="Scope 1"/>
    <x v="2"/>
    <n v="4937.24"/>
    <n v="87337"/>
    <n v="3603.06"/>
    <n v="67.13"/>
    <s v=""/>
    <s v=""/>
  </r>
  <r>
    <s v="F171"/>
    <x v="4"/>
    <s v="2023 Q2"/>
    <s v="Scope 3"/>
    <x v="1"/>
    <n v="1728.81"/>
    <n v="98356"/>
    <n v="6968.69"/>
    <n v="81.72"/>
    <n v="795.74"/>
    <n v="22.41"/>
  </r>
  <r>
    <s v="F141"/>
    <x v="1"/>
    <s v="2022 Q2"/>
    <s v="Scope 1"/>
    <x v="0"/>
    <n v="372.7"/>
    <n v="58622"/>
    <n v="7795.36"/>
    <n v="59.81"/>
    <n v="807.86"/>
    <n v="32.130000000000003"/>
  </r>
  <r>
    <s v="F126"/>
    <x v="2"/>
    <s v="2022 Q1"/>
    <s v="Scope 1"/>
    <x v="2"/>
    <n v="3677.7"/>
    <n v="75508"/>
    <n v="6856.22"/>
    <n v="18.2"/>
    <n v="991.03"/>
    <n v="13.32"/>
  </r>
  <r>
    <s v="F090"/>
    <x v="2"/>
    <s v="2023 Q1"/>
    <s v="Scope 2"/>
    <x v="0"/>
    <n v="2576.7800000000002"/>
    <n v="29895"/>
    <n v="1631.08"/>
    <n v="39.93"/>
    <n v="959.2"/>
    <n v="38.840000000000003"/>
  </r>
  <r>
    <s v="F124"/>
    <x v="3"/>
    <s v="2022 Q1"/>
    <s v="Scope 2"/>
    <x v="0"/>
    <n v="2972.77"/>
    <n v="37309"/>
    <n v="4508.54"/>
    <n v="47.15"/>
    <n v="951.35"/>
    <n v="47.12"/>
  </r>
  <r>
    <s v="F193"/>
    <x v="1"/>
    <s v="2023 Q2"/>
    <s v="Scope 2"/>
    <x v="2"/>
    <n v="3995.86"/>
    <n v="15333"/>
    <n v="2570.54"/>
    <n v="41.07"/>
    <n v="390.06"/>
    <n v="31.43"/>
  </r>
  <r>
    <s v="F196"/>
    <x v="4"/>
    <s v="2022 Q2"/>
    <s v="Scope 1"/>
    <x v="1"/>
    <n v="2798.95"/>
    <n v="85444"/>
    <n v="852.57"/>
    <n v="72.650000000000006"/>
    <n v="319.93"/>
    <n v="34.35"/>
  </r>
  <r>
    <s v="F057"/>
    <x v="1"/>
    <s v="2022 Q1"/>
    <s v="Scope 2"/>
    <x v="1"/>
    <n v="204.44"/>
    <n v="40226"/>
    <n v="7868.86"/>
    <n v="80.53"/>
    <n v="231.68"/>
    <n v="15.92"/>
  </r>
  <r>
    <s v="F138"/>
    <x v="0"/>
    <s v="2022 Q1"/>
    <s v="Scope 1"/>
    <x v="1"/>
    <n v="2646.82"/>
    <n v="94393"/>
    <n v="6691.7"/>
    <n v="74.790000000000006"/>
    <n v="867.66"/>
    <n v="32.97"/>
  </r>
  <r>
    <s v="F198"/>
    <x v="3"/>
    <s v="2022 Q2"/>
    <s v="Scope 1"/>
    <x v="1"/>
    <n v="2960.39"/>
    <n v="40577"/>
    <n v="4280.82"/>
    <n v="79.88"/>
    <n v="932.3"/>
    <n v="10.19"/>
  </r>
  <r>
    <s v="F191"/>
    <x v="0"/>
    <s v="2022 Q2"/>
    <s v="Scope 1"/>
    <x v="2"/>
    <n v="1696.88"/>
    <n v="86557"/>
    <n v="8631.2800000000007"/>
    <n v="69.53"/>
    <s v=""/>
    <s v=""/>
  </r>
  <r>
    <s v="F165"/>
    <x v="4"/>
    <s v="2022 Q2"/>
    <s v="Scope 3"/>
    <x v="2"/>
    <n v="623"/>
    <n v="79330"/>
    <n v="6075.23"/>
    <n v="83.97"/>
    <n v="209.33"/>
    <n v="13.62"/>
  </r>
  <r>
    <s v="F143"/>
    <x v="1"/>
    <s v="2023 Q2"/>
    <s v="Scope 1"/>
    <x v="2"/>
    <n v="1684.41"/>
    <n v="29406"/>
    <n v="5281.69"/>
    <n v="27.01"/>
    <n v="231.68"/>
    <n v="13.88"/>
  </r>
  <r>
    <s v="F097"/>
    <x v="1"/>
    <s v="2023 Q1"/>
    <s v="Scope 1"/>
    <x v="2"/>
    <n v="3307.16"/>
    <n v="69100"/>
    <n v="9356.02"/>
    <n v="16.5"/>
    <n v="694.92"/>
    <n v="23.67"/>
  </r>
  <r>
    <s v="F120"/>
    <x v="4"/>
    <s v="2023 Q1"/>
    <s v="Scope 3"/>
    <x v="0"/>
    <n v="2731.17"/>
    <n v="57215"/>
    <n v="3227.1"/>
    <n v="32.909999999999997"/>
    <n v="951.35"/>
    <n v="33.299999999999997"/>
  </r>
  <r>
    <s v="F025"/>
    <x v="4"/>
    <s v="2022 Q2"/>
    <s v="Scope 2"/>
    <x v="2"/>
    <n v="2861.41"/>
    <n v="32131"/>
    <n v="1474.23"/>
    <n v="45.47"/>
    <n v="830.73"/>
    <n v="17.97"/>
  </r>
  <r>
    <s v="F199"/>
    <x v="0"/>
    <s v="2023 Q1"/>
    <s v="Scope 1"/>
    <x v="1"/>
    <n v="2409.39"/>
    <n v="89321"/>
    <n v="9836.34"/>
    <n v="16.989999999999998"/>
    <n v="105.67"/>
    <n v="15.41"/>
  </r>
  <r>
    <s v="F053"/>
    <x v="0"/>
    <s v="2022 Q2"/>
    <s v="Scope 2"/>
    <x v="2"/>
    <n v="1958.41"/>
    <n v="56392"/>
    <n v="5703.76"/>
    <n v="23.04"/>
    <n v="991.03"/>
    <n v="27.62"/>
  </r>
  <r>
    <s v="F193"/>
    <x v="1"/>
    <s v="2022 Q1"/>
    <s v="Scope 2"/>
    <x v="0"/>
    <n v="2816.97"/>
    <n v="15333"/>
    <n v="2570.54"/>
    <n v="41.07"/>
    <n v="390.06"/>
    <n v="31.43"/>
  </r>
  <r>
    <s v="F113"/>
    <x v="3"/>
    <s v="2022 Q1"/>
    <s v="Scope 1"/>
    <x v="2"/>
    <n v="4263.92"/>
    <n v="69636"/>
    <n v="4246.55"/>
    <n v="69.290000000000006"/>
    <n v="362.43"/>
    <n v="54.81"/>
  </r>
  <r>
    <s v="F177"/>
    <x v="3"/>
    <s v="2023 Q1"/>
    <s v="Scope 1"/>
    <x v="2"/>
    <n v="1867.58"/>
    <n v="87482"/>
    <n v="2231.7399999999998"/>
    <n v="45.43"/>
    <n v="638.89"/>
    <n v="24.69"/>
  </r>
  <r>
    <s v="F042"/>
    <x v="1"/>
    <s v="2023 Q2"/>
    <s v="Scope 3"/>
    <x v="0"/>
    <n v="3447.61"/>
    <n v="58111"/>
    <n v="4610.8999999999996"/>
    <n v="21.53"/>
    <n v="268.16000000000003"/>
    <n v="13.78"/>
  </r>
  <r>
    <s v="F084"/>
    <x v="3"/>
    <s v="2023 Q1"/>
    <s v="Scope 3"/>
    <x v="1"/>
    <n v="4785.58"/>
    <n v="54136"/>
    <n v="2775.38"/>
    <n v="75.459999999999994"/>
    <n v="932.3"/>
    <n v="16.93"/>
  </r>
  <r>
    <s v="F097"/>
    <x v="1"/>
    <s v="2023 Q2"/>
    <s v="Scope 1"/>
    <x v="1"/>
    <n v="3739.05"/>
    <n v="69100"/>
    <n v="9356.02"/>
    <n v="16.5"/>
    <n v="694.92"/>
    <n v="23.67"/>
  </r>
  <r>
    <s v="F153"/>
    <x v="3"/>
    <s v="2023 Q1"/>
    <s v="Scope 1"/>
    <x v="0"/>
    <n v="4330.71"/>
    <n v="95306"/>
    <n v="9037.76"/>
    <n v="13.35"/>
    <n v="724.63"/>
    <n v="21.2"/>
  </r>
  <r>
    <s v="F151"/>
    <x v="2"/>
    <s v="2022 Q2"/>
    <s v="Scope 3"/>
    <x v="2"/>
    <n v="1947.42"/>
    <n v="81057"/>
    <n v="675.41"/>
    <n v="55.44"/>
    <n v="847.51"/>
    <n v="28.03"/>
  </r>
  <r>
    <s v="F015"/>
    <x v="4"/>
    <s v="2023 Q2"/>
    <s v="Scope 1"/>
    <x v="2"/>
    <n v="2840.62"/>
    <n v="80488"/>
    <n v="7629.95"/>
    <n v="63.83"/>
    <n v="847.51"/>
    <n v="9.9"/>
  </r>
  <r>
    <s v="F199"/>
    <x v="0"/>
    <s v="2022 Q1"/>
    <s v="Scope 2"/>
    <x v="2"/>
    <n v="2415.5100000000002"/>
    <n v="89321"/>
    <n v="9836.34"/>
    <n v="16.989999999999998"/>
    <n v="105.67"/>
    <n v="15.41"/>
  </r>
  <r>
    <s v="F156"/>
    <x v="2"/>
    <s v="2023 Q1"/>
    <s v="Scope 3"/>
    <x v="0"/>
    <n v="5161.46"/>
    <n v="88308"/>
    <n v="7802.07"/>
    <n v="36.130000000000003"/>
    <n v="557.72"/>
    <n v="62.75"/>
  </r>
  <r>
    <s v="F009"/>
    <x v="0"/>
    <s v="2023 Q2"/>
    <s v="Scope 1"/>
    <x v="2"/>
    <n v="2359.52"/>
    <n v="45644"/>
    <n v="7724.73"/>
    <n v="31"/>
    <n v="685.27"/>
    <n v="33.94"/>
  </r>
  <r>
    <s v="F011"/>
    <x v="4"/>
    <s v="2023 Q1"/>
    <s v="Scope 1"/>
    <x v="1"/>
    <n v="4799.96"/>
    <n v="72846"/>
    <n v="5169.53"/>
    <n v="76.709999999999994"/>
    <s v=""/>
    <s v=""/>
  </r>
  <r>
    <s v="F156"/>
    <x v="2"/>
    <s v="2023 Q1"/>
    <s v="Scope 2"/>
    <x v="0"/>
    <n v="152.66999999999999"/>
    <n v="88308"/>
    <n v="7802.07"/>
    <n v="36.130000000000003"/>
    <n v="557.72"/>
    <n v="62.75"/>
  </r>
  <r>
    <s v="F187"/>
    <x v="2"/>
    <s v="2022 Q2"/>
    <s v="Scope 3"/>
    <x v="2"/>
    <n v="2461.89"/>
    <n v="77317"/>
    <n v="4862.95"/>
    <n v="89.78"/>
    <n v="960.4"/>
    <n v="31.34"/>
  </r>
  <r>
    <s v="F007"/>
    <x v="4"/>
    <s v="2023 Q2"/>
    <s v="Scope 1"/>
    <x v="1"/>
    <n v="3223.43"/>
    <n v="35506"/>
    <n v="1892.04"/>
    <n v="61.53"/>
    <s v=""/>
    <s v=""/>
  </r>
  <r>
    <s v="F026"/>
    <x v="2"/>
    <s v="2023 Q1"/>
    <s v="Scope 2"/>
    <x v="1"/>
    <n v="3987.54"/>
    <n v="32246"/>
    <n v="7903.93"/>
    <n v="42.12"/>
    <n v="459.56"/>
    <n v="28.62"/>
  </r>
  <r>
    <s v="F137"/>
    <x v="0"/>
    <s v="2023 Q2"/>
    <s v="Scope 1"/>
    <x v="2"/>
    <n v="2592.73"/>
    <n v="10933"/>
    <n v="9004.3700000000008"/>
    <n v="26.84"/>
    <s v=""/>
    <s v=""/>
  </r>
  <r>
    <s v="F121"/>
    <x v="3"/>
    <s v="2022 Q1"/>
    <s v="Scope 2"/>
    <x v="0"/>
    <n v="3770.78"/>
    <n v="11952"/>
    <n v="4637.74"/>
    <n v="63.78"/>
    <n v="886.71"/>
    <n v="29.53"/>
  </r>
  <r>
    <s v="F042"/>
    <x v="1"/>
    <s v="2023 Q1"/>
    <s v="Scope 1"/>
    <x v="0"/>
    <n v="348.87"/>
    <n v="58111"/>
    <n v="4610.8999999999996"/>
    <n v="21.53"/>
    <n v="268.16000000000003"/>
    <n v="13.78"/>
  </r>
  <r>
    <s v="F003"/>
    <x v="3"/>
    <s v="2022 Q2"/>
    <s v="Scope 1"/>
    <x v="1"/>
    <n v="2278.9499999999998"/>
    <n v="27681"/>
    <n v="928.26"/>
    <n v="44.97"/>
    <s v=""/>
    <s v=""/>
  </r>
  <r>
    <s v="F063"/>
    <x v="4"/>
    <s v="2022 Q1"/>
    <s v="Scope 2"/>
    <x v="0"/>
    <n v="2550.35"/>
    <n v="45519"/>
    <n v="7987.69"/>
    <n v="10.86"/>
    <n v="638.89"/>
    <n v="35.04"/>
  </r>
  <r>
    <s v="F018"/>
    <x v="4"/>
    <s v="2023 Q2"/>
    <s v="Scope 1"/>
    <x v="1"/>
    <n v="2694.43"/>
    <n v="69305"/>
    <n v="3203.67"/>
    <n v="83.65"/>
    <n v="173.67"/>
    <n v="67.040000000000006"/>
  </r>
  <r>
    <s v="F085"/>
    <x v="4"/>
    <s v="2022 Q2"/>
    <s v="Scope 2"/>
    <x v="0"/>
    <n v="3868.63"/>
    <n v="29264"/>
    <n v="8362.7199999999993"/>
    <n v="61.93"/>
    <s v=""/>
    <s v=""/>
  </r>
  <r>
    <s v="F181"/>
    <x v="3"/>
    <s v="2022 Q1"/>
    <s v="Scope 3"/>
    <x v="0"/>
    <n v="297.69"/>
    <n v="42485"/>
    <n v="4755.75"/>
    <n v="10.19"/>
    <n v="662.74"/>
    <n v="36.79"/>
  </r>
  <r>
    <s v="F015"/>
    <x v="4"/>
    <s v="2022 Q1"/>
    <s v="Scope 2"/>
    <x v="2"/>
    <n v="579.69000000000005"/>
    <n v="80488"/>
    <n v="7629.95"/>
    <n v="63.83"/>
    <n v="847.51"/>
    <n v="9.9"/>
  </r>
  <r>
    <s v="F051"/>
    <x v="4"/>
    <s v="2022 Q1"/>
    <s v="Scope 2"/>
    <x v="0"/>
    <n v="1933.86"/>
    <n v="56752"/>
    <n v="4177.68"/>
    <n v="10.96"/>
    <n v="694.92"/>
    <n v="9.8699999999999992"/>
  </r>
  <r>
    <s v="F136"/>
    <x v="1"/>
    <s v="2022 Q2"/>
    <s v="Scope 2"/>
    <x v="1"/>
    <n v="2753.65"/>
    <n v="43346"/>
    <n v="5559.12"/>
    <n v="39.4"/>
    <n v="571.88"/>
    <n v="32.18"/>
  </r>
  <r>
    <s v="F174"/>
    <x v="3"/>
    <s v="2022 Q2"/>
    <s v="Scope 1"/>
    <x v="1"/>
    <n v="1643.04"/>
    <n v="95962"/>
    <n v="524.72"/>
    <n v="49.55"/>
    <n v="991.36"/>
    <n v="18.28"/>
  </r>
  <r>
    <s v="F041"/>
    <x v="1"/>
    <s v="2022 Q2"/>
    <s v="Scope 1"/>
    <x v="1"/>
    <n v="4614.76"/>
    <n v="84721"/>
    <n v="2278.9699999999998"/>
    <n v="68.53"/>
    <n v="796.34"/>
    <n v="33.590000000000003"/>
  </r>
  <r>
    <s v="F066"/>
    <x v="4"/>
    <s v="2023 Q2"/>
    <s v="Scope 2"/>
    <x v="0"/>
    <n v="1222.43"/>
    <n v="13543"/>
    <n v="7854.96"/>
    <n v="85.57"/>
    <n v="610.79999999999995"/>
    <n v="30.04"/>
  </r>
  <r>
    <s v="F141"/>
    <x v="1"/>
    <s v="2022 Q1"/>
    <s v="Scope 3"/>
    <x v="2"/>
    <n v="2583.2199999999998"/>
    <n v="58622"/>
    <n v="7795.36"/>
    <n v="59.81"/>
    <n v="807.86"/>
    <n v="32.130000000000003"/>
  </r>
  <r>
    <s v="F042"/>
    <x v="1"/>
    <s v="2022 Q1"/>
    <s v="Scope 2"/>
    <x v="1"/>
    <n v="1562.45"/>
    <n v="58111"/>
    <n v="4610.8999999999996"/>
    <n v="21.53"/>
    <n v="268.16000000000003"/>
    <n v="13.78"/>
  </r>
  <r>
    <s v="F106"/>
    <x v="3"/>
    <s v="2023 Q1"/>
    <s v="Scope 3"/>
    <x v="2"/>
    <n v="3844.34"/>
    <n v="98682"/>
    <n v="6220.56"/>
    <n v="70.099999999999994"/>
    <n v="724.63"/>
    <n v="27.81"/>
  </r>
  <r>
    <s v="F073"/>
    <x v="3"/>
    <s v="2023 Q2"/>
    <s v="Scope 3"/>
    <x v="0"/>
    <n v="695.19"/>
    <n v="26170"/>
    <n v="8057.54"/>
    <n v="63.71"/>
    <s v=""/>
    <s v=""/>
  </r>
  <r>
    <s v="F165"/>
    <x v="4"/>
    <s v="2023 Q1"/>
    <s v="Scope 2"/>
    <x v="1"/>
    <n v="4607.08"/>
    <n v="79330"/>
    <n v="6075.23"/>
    <n v="83.97"/>
    <n v="209.33"/>
    <n v="13.62"/>
  </r>
  <r>
    <s v="F197"/>
    <x v="2"/>
    <s v="2022 Q2"/>
    <s v="Scope 3"/>
    <x v="0"/>
    <n v="2391.3200000000002"/>
    <n v="59617"/>
    <n v="5000.95"/>
    <n v="80.36"/>
    <n v="532.27"/>
    <n v="25.24"/>
  </r>
  <r>
    <s v="F110"/>
    <x v="4"/>
    <s v="2022 Q2"/>
    <s v="Scope 1"/>
    <x v="1"/>
    <n v="4313.43"/>
    <n v="85868"/>
    <n v="907.72"/>
    <n v="90.36"/>
    <n v="960.4"/>
    <n v="10.65"/>
  </r>
  <r>
    <s v="F018"/>
    <x v="4"/>
    <s v="2022 Q2"/>
    <s v="Scope 1"/>
    <x v="0"/>
    <n v="1094.0999999999999"/>
    <n v="69305"/>
    <n v="3203.67"/>
    <n v="83.65"/>
    <n v="173.67"/>
    <n v="67.040000000000006"/>
  </r>
  <r>
    <s v="F067"/>
    <x v="1"/>
    <s v="2022 Q2"/>
    <s v="Scope 3"/>
    <x v="0"/>
    <n v="5193.72"/>
    <n v="28400"/>
    <n v="3056.67"/>
    <n v="52.68"/>
    <n v="571.88"/>
    <n v="8.6199999999999992"/>
  </r>
  <r>
    <s v="F066"/>
    <x v="4"/>
    <s v="2022 Q2"/>
    <s v="Scope 2"/>
    <x v="2"/>
    <n v="3352.59"/>
    <n v="13543"/>
    <n v="7854.96"/>
    <n v="85.57"/>
    <n v="610.79999999999995"/>
    <n v="30.04"/>
  </r>
  <r>
    <s v="F028"/>
    <x v="4"/>
    <s v="2023 Q2"/>
    <s v="Scope 3"/>
    <x v="0"/>
    <n v="3888.52"/>
    <n v="73977"/>
    <n v="1646.75"/>
    <n v="43.77"/>
    <s v=""/>
    <s v=""/>
  </r>
  <r>
    <s v="F184"/>
    <x v="0"/>
    <s v="2023 Q2"/>
    <s v="Scope 2"/>
    <x v="1"/>
    <n v="3140.95"/>
    <n v="22201"/>
    <n v="2853.66"/>
    <n v="71.94"/>
    <n v="991.03"/>
    <n v="21.4"/>
  </r>
  <r>
    <s v="F182"/>
    <x v="3"/>
    <s v="2022 Q2"/>
    <s v="Scope 3"/>
    <x v="2"/>
    <n v="1260.77"/>
    <n v="41027"/>
    <n v="7285.85"/>
    <n v="59.87"/>
    <n v="763.97"/>
    <n v="34.14"/>
  </r>
  <r>
    <s v="F151"/>
    <x v="2"/>
    <s v="2023 Q2"/>
    <s v="Scope 1"/>
    <x v="2"/>
    <n v="416.29"/>
    <n v="81057"/>
    <n v="675.41"/>
    <n v="55.44"/>
    <n v="847.51"/>
    <n v="28.03"/>
  </r>
  <r>
    <s v="F083"/>
    <x v="2"/>
    <s v="2022 Q1"/>
    <s v="Scope 1"/>
    <x v="1"/>
    <n v="96.09"/>
    <n v="94704"/>
    <n v="6632.95"/>
    <n v="14.76"/>
    <n v="459.56"/>
    <n v="7.54"/>
  </r>
  <r>
    <s v="F125"/>
    <x v="1"/>
    <s v="2023 Q2"/>
    <s v="Scope 2"/>
    <x v="1"/>
    <n v="1224.1099999999999"/>
    <n v="82332"/>
    <n v="7134.86"/>
    <n v="22.44"/>
    <n v="553.44000000000005"/>
    <n v="13.24"/>
  </r>
  <r>
    <s v="F017"/>
    <x v="2"/>
    <s v="2023 Q1"/>
    <s v="Scope 1"/>
    <x v="1"/>
    <n v="3899.81"/>
    <n v="71747"/>
    <n v="9838.66"/>
    <n v="7.25"/>
    <n v="224.5"/>
    <n v="39.29"/>
  </r>
  <r>
    <s v="F199"/>
    <x v="0"/>
    <s v="2022 Q2"/>
    <s v="Scope 2"/>
    <x v="1"/>
    <n v="1065.82"/>
    <n v="89321"/>
    <n v="9836.34"/>
    <n v="16.989999999999998"/>
    <n v="105.67"/>
    <n v="15.41"/>
  </r>
  <r>
    <s v="F154"/>
    <x v="0"/>
    <s v="2023 Q1"/>
    <s v="Scope 2"/>
    <x v="1"/>
    <n v="4448.1899999999996"/>
    <n v="17097"/>
    <n v="9061.7800000000007"/>
    <n v="95.92"/>
    <n v="390.06"/>
    <n v="18.010000000000002"/>
  </r>
  <r>
    <s v="F133"/>
    <x v="2"/>
    <s v="2023 Q2"/>
    <s v="Scope 3"/>
    <x v="2"/>
    <n v="2211.09"/>
    <n v="41168"/>
    <n v="8226.77"/>
    <n v="42.55"/>
    <n v="724.63"/>
    <n v="12.64"/>
  </r>
  <r>
    <s v="F156"/>
    <x v="2"/>
    <s v="2023 Q2"/>
    <s v="Scope 3"/>
    <x v="2"/>
    <n v="3199.41"/>
    <n v="88308"/>
    <n v="7802.07"/>
    <n v="36.130000000000003"/>
    <n v="557.72"/>
    <n v="62.75"/>
  </r>
  <r>
    <s v="F189"/>
    <x v="0"/>
    <s v="2023 Q1"/>
    <s v="Scope 1"/>
    <x v="2"/>
    <n v="2263.6999999999998"/>
    <n v="67820"/>
    <n v="8177.95"/>
    <n v="40.69"/>
    <n v="790.74"/>
    <n v="15.94"/>
  </r>
  <r>
    <s v="F008"/>
    <x v="3"/>
    <s v="2022 Q2"/>
    <s v="Scope 1"/>
    <x v="1"/>
    <n v="4326.03"/>
    <n v="50306"/>
    <n v="7031.37"/>
    <n v="13.27"/>
    <s v=""/>
    <s v=""/>
  </r>
  <r>
    <s v="F058"/>
    <x v="1"/>
    <s v="2023 Q1"/>
    <s v="Scope 3"/>
    <x v="2"/>
    <n v="4352.74"/>
    <n v="66398"/>
    <n v="8713.61"/>
    <n v="83.44"/>
    <n v="763.97"/>
    <n v="22.42"/>
  </r>
  <r>
    <s v="F137"/>
    <x v="0"/>
    <s v="2022 Q2"/>
    <s v="Scope 3"/>
    <x v="1"/>
    <n v="4294.79"/>
    <n v="10933"/>
    <n v="9004.3700000000008"/>
    <n v="26.84"/>
    <s v=""/>
    <s v=""/>
  </r>
  <r>
    <s v="F183"/>
    <x v="3"/>
    <s v="2023 Q2"/>
    <s v="Scope 1"/>
    <x v="1"/>
    <n v="2678.48"/>
    <n v="29860"/>
    <n v="3956.23"/>
    <n v="57.5"/>
    <n v="432.23"/>
    <n v="17.78"/>
  </r>
  <r>
    <s v="F086"/>
    <x v="4"/>
    <s v="2022 Q1"/>
    <s v="Scope 1"/>
    <x v="1"/>
    <n v="2267.79"/>
    <n v="55974"/>
    <n v="7542.28"/>
    <n v="72.430000000000007"/>
    <n v="626.54"/>
    <n v="29.46"/>
  </r>
  <r>
    <s v="F071"/>
    <x v="4"/>
    <s v="2022 Q1"/>
    <s v="Scope 1"/>
    <x v="2"/>
    <n v="2496.0100000000002"/>
    <n v="26378"/>
    <n v="2915.44"/>
    <n v="29.84"/>
    <n v="311.36"/>
    <n v="26.09"/>
  </r>
  <r>
    <s v="F107"/>
    <x v="2"/>
    <s v="2022 Q2"/>
    <s v="Scope 1"/>
    <x v="1"/>
    <n v="4601.71"/>
    <n v="43512"/>
    <n v="5352.18"/>
    <n v="6.17"/>
    <n v="311.36"/>
    <n v="28.72"/>
  </r>
  <r>
    <s v="F105"/>
    <x v="0"/>
    <s v="2023 Q1"/>
    <s v="Scope 2"/>
    <x v="2"/>
    <n v="2739.77"/>
    <n v="27028"/>
    <n v="4617.92"/>
    <n v="57.62"/>
    <n v="780.4"/>
    <n v="24.87"/>
  </r>
  <r>
    <s v="F127"/>
    <x v="3"/>
    <s v="2023 Q2"/>
    <s v="Scope 3"/>
    <x v="0"/>
    <n v="1410.4"/>
    <n v="77400"/>
    <n v="7504.8"/>
    <n v="68.819999999999993"/>
    <s v=""/>
    <s v=""/>
  </r>
  <r>
    <s v="F170"/>
    <x v="2"/>
    <s v="2022 Q1"/>
    <s v="Scope 3"/>
    <x v="2"/>
    <n v="2563.09"/>
    <n v="24502"/>
    <n v="7466.86"/>
    <n v="88.83"/>
    <n v="847.51"/>
    <n v="26.48"/>
  </r>
  <r>
    <s v="F094"/>
    <x v="3"/>
    <s v="2023 Q2"/>
    <s v="Scope 1"/>
    <x v="2"/>
    <n v="886.98"/>
    <n v="40553"/>
    <n v="4875.2299999999996"/>
    <n v="23.33"/>
    <n v="818.45"/>
    <n v="19.420000000000002"/>
  </r>
  <r>
    <s v="F086"/>
    <x v="4"/>
    <s v="2023 Q2"/>
    <s v="Scope 1"/>
    <x v="1"/>
    <n v="4317.26"/>
    <n v="55974"/>
    <n v="7542.28"/>
    <n v="72.430000000000007"/>
    <n v="626.54"/>
    <n v="29.46"/>
  </r>
  <r>
    <s v="F181"/>
    <x v="3"/>
    <s v="2022 Q2"/>
    <s v="Scope 2"/>
    <x v="1"/>
    <n v="1597.82"/>
    <n v="42485"/>
    <n v="4755.75"/>
    <n v="10.19"/>
    <n v="662.74"/>
    <n v="36.79"/>
  </r>
  <r>
    <s v="F195"/>
    <x v="1"/>
    <s v="2022 Q1"/>
    <s v="Scope 1"/>
    <x v="0"/>
    <n v="3825.5"/>
    <n v="87012"/>
    <n v="7478.13"/>
    <n v="27.22"/>
    <n v="579.80999999999995"/>
    <n v="28.6"/>
  </r>
  <r>
    <s v="F067"/>
    <x v="1"/>
    <s v="2022 Q1"/>
    <s v="Scope 3"/>
    <x v="0"/>
    <n v="3766.34"/>
    <n v="28400"/>
    <n v="3056.67"/>
    <n v="52.68"/>
    <n v="571.88"/>
    <n v="8.6199999999999992"/>
  </r>
  <r>
    <s v="F087"/>
    <x v="4"/>
    <s v="2022 Q2"/>
    <s v="Scope 3"/>
    <x v="1"/>
    <n v="4885.66"/>
    <n v="44164"/>
    <n v="3869.32"/>
    <n v="13.81"/>
    <n v="943.59"/>
    <n v="16.02"/>
  </r>
  <r>
    <s v="F139"/>
    <x v="0"/>
    <s v="2023 Q2"/>
    <s v="Scope 3"/>
    <x v="2"/>
    <n v="2013.05"/>
    <n v="80904"/>
    <n v="3263.09"/>
    <n v="58.37"/>
    <n v="756.78"/>
    <n v="35.950000000000003"/>
  </r>
  <r>
    <s v="F161"/>
    <x v="2"/>
    <s v="2023 Q1"/>
    <s v="Scope 3"/>
    <x v="2"/>
    <n v="2140.42"/>
    <n v="36171"/>
    <n v="6864.38"/>
    <n v="37.03"/>
    <n v="181.54"/>
    <n v="55.69"/>
  </r>
  <r>
    <s v="F200"/>
    <x v="1"/>
    <s v="2022 Q2"/>
    <s v="Scope 2"/>
    <x v="0"/>
    <n v="707.7"/>
    <n v="21081"/>
    <n v="9001.77"/>
    <n v="49.27"/>
    <n v="114.57"/>
    <n v="44.17"/>
  </r>
  <r>
    <s v="F182"/>
    <x v="3"/>
    <s v="2023 Q2"/>
    <s v="Scope 2"/>
    <x v="2"/>
    <n v="1703.95"/>
    <n v="41027"/>
    <n v="7285.85"/>
    <n v="59.87"/>
    <n v="763.97"/>
    <n v="34.14"/>
  </r>
  <r>
    <s v="F187"/>
    <x v="2"/>
    <s v="2022 Q1"/>
    <s v="Scope 2"/>
    <x v="0"/>
    <n v="3023.57"/>
    <n v="77317"/>
    <n v="4862.95"/>
    <n v="89.78"/>
    <n v="960.4"/>
    <n v="31.34"/>
  </r>
  <r>
    <s v="F021"/>
    <x v="1"/>
    <s v="2023 Q2"/>
    <s v="Scope 2"/>
    <x v="2"/>
    <n v="2101.7199999999998"/>
    <n v="44657"/>
    <n v="7867.98"/>
    <n v="96.01"/>
    <n v="694.92"/>
    <n v="26.24"/>
  </r>
  <r>
    <s v="F013"/>
    <x v="2"/>
    <s v="2023 Q1"/>
    <s v="Scope 1"/>
    <x v="1"/>
    <n v="72.97"/>
    <n v="72813"/>
    <n v="8818.16"/>
    <n v="54.12"/>
    <n v="986.62"/>
    <n v="42.1"/>
  </r>
  <r>
    <s v="F018"/>
    <x v="4"/>
    <s v="2023 Q1"/>
    <s v="Scope 2"/>
    <x v="0"/>
    <n v="1271.98"/>
    <n v="69305"/>
    <n v="3203.67"/>
    <n v="83.65"/>
    <n v="173.67"/>
    <n v="67.040000000000006"/>
  </r>
  <r>
    <s v="F129"/>
    <x v="1"/>
    <s v="2022 Q1"/>
    <s v="Scope 1"/>
    <x v="0"/>
    <n v="1645.13"/>
    <n v="58439"/>
    <n v="5817.93"/>
    <n v="63.77"/>
    <n v="143.16999999999999"/>
    <n v="52.46"/>
  </r>
  <r>
    <s v="F129"/>
    <x v="1"/>
    <s v="2022 Q1"/>
    <s v="Scope 1"/>
    <x v="1"/>
    <n v="1271.48"/>
    <n v="58439"/>
    <n v="5817.93"/>
    <n v="63.77"/>
    <n v="143.16999999999999"/>
    <n v="52.46"/>
  </r>
  <r>
    <s v="F047"/>
    <x v="0"/>
    <s v="2023 Q2"/>
    <s v="Scope 2"/>
    <x v="1"/>
    <n v="1183.23"/>
    <n v="39568"/>
    <n v="3580.54"/>
    <n v="78.08"/>
    <n v="635.72"/>
    <n v="67.36"/>
  </r>
  <r>
    <s v="F113"/>
    <x v="3"/>
    <s v="2022 Q2"/>
    <s v="Scope 3"/>
    <x v="0"/>
    <n v="3135.29"/>
    <n v="69636"/>
    <n v="4246.55"/>
    <n v="69.290000000000006"/>
    <n v="362.43"/>
    <n v="54.81"/>
  </r>
  <r>
    <s v="F148"/>
    <x v="1"/>
    <s v="2023 Q2"/>
    <s v="Scope 1"/>
    <x v="1"/>
    <n v="2647.47"/>
    <n v="47491"/>
    <n v="5781.05"/>
    <n v="92.18"/>
    <n v="344.93"/>
    <n v="36.229999999999997"/>
  </r>
  <r>
    <s v="F052"/>
    <x v="3"/>
    <s v="2022 Q2"/>
    <s v="Scope 1"/>
    <x v="1"/>
    <n v="1670.25"/>
    <n v="66163"/>
    <n v="1416.57"/>
    <n v="68.73"/>
    <n v="773.96"/>
    <n v="29.26"/>
  </r>
  <r>
    <s v="F046"/>
    <x v="4"/>
    <s v="2022 Q2"/>
    <s v="Scope 3"/>
    <x v="1"/>
    <n v="3796.74"/>
    <n v="87337"/>
    <n v="3603.06"/>
    <n v="67.13"/>
    <s v=""/>
    <s v=""/>
  </r>
  <r>
    <s v="F014"/>
    <x v="2"/>
    <s v="2022 Q1"/>
    <s v="Scope 1"/>
    <x v="1"/>
    <n v="2430.6999999999998"/>
    <n v="17416"/>
    <n v="812.06"/>
    <n v="5.7"/>
    <n v="568.27"/>
    <n v="18.03"/>
  </r>
  <r>
    <s v="F082"/>
    <x v="0"/>
    <s v="2022 Q1"/>
    <s v="Scope 3"/>
    <x v="0"/>
    <n v="4664.5200000000004"/>
    <n v="17468"/>
    <n v="6359.73"/>
    <n v="5.22"/>
    <n v="959.2"/>
    <n v="36.92"/>
  </r>
  <r>
    <s v="F181"/>
    <x v="3"/>
    <s v="2022 Q1"/>
    <s v="Scope 1"/>
    <x v="0"/>
    <n v="2563.5500000000002"/>
    <n v="42485"/>
    <n v="4755.75"/>
    <n v="10.19"/>
    <n v="662.74"/>
    <n v="36.79"/>
  </r>
  <r>
    <s v="F103"/>
    <x v="4"/>
    <s v="2022 Q2"/>
    <s v="Scope 1"/>
    <x v="2"/>
    <n v="2866.4"/>
    <n v="22309"/>
    <n v="3656.29"/>
    <n v="75.25"/>
    <n v="795.74"/>
    <n v="26.99"/>
  </r>
  <r>
    <s v="F194"/>
    <x v="3"/>
    <s v="2023 Q1"/>
    <s v="Scope 1"/>
    <x v="0"/>
    <n v="4646.07"/>
    <n v="42382"/>
    <n v="5116.6899999999996"/>
    <n v="80.42"/>
    <n v="626.54"/>
    <n v="70.540000000000006"/>
  </r>
  <r>
    <s v="F086"/>
    <x v="4"/>
    <s v="2023 Q2"/>
    <s v="Scope 3"/>
    <x v="0"/>
    <n v="858.76"/>
    <n v="55974"/>
    <n v="7542.28"/>
    <n v="72.430000000000007"/>
    <n v="626.54"/>
    <n v="29.46"/>
  </r>
  <r>
    <s v="F124"/>
    <x v="3"/>
    <s v="2023 Q1"/>
    <s v="Scope 1"/>
    <x v="0"/>
    <n v="2645.6"/>
    <n v="37309"/>
    <n v="4508.54"/>
    <n v="47.15"/>
    <n v="951.35"/>
    <n v="47.12"/>
  </r>
  <r>
    <s v="F096"/>
    <x v="0"/>
    <s v="2023 Q2"/>
    <s v="Scope 3"/>
    <x v="0"/>
    <n v="4396.45"/>
    <n v="21388"/>
    <n v="5249.39"/>
    <n v="64.2"/>
    <n v="571.66"/>
    <n v="17.87"/>
  </r>
  <r>
    <s v="F077"/>
    <x v="4"/>
    <s v="2022 Q1"/>
    <s v="Scope 3"/>
    <x v="1"/>
    <n v="2468.89"/>
    <n v="52836"/>
    <n v="9330.2999999999993"/>
    <n v="87.27"/>
    <s v=""/>
    <s v=""/>
  </r>
  <r>
    <s v="F184"/>
    <x v="0"/>
    <s v="2022 Q2"/>
    <s v="Scope 1"/>
    <x v="2"/>
    <n v="3901.9"/>
    <n v="22201"/>
    <n v="2853.66"/>
    <n v="71.94"/>
    <n v="991.03"/>
    <n v="21.4"/>
  </r>
  <r>
    <s v="F147"/>
    <x v="1"/>
    <s v="2023 Q2"/>
    <s v="Scope 3"/>
    <x v="2"/>
    <n v="2711"/>
    <n v="13333"/>
    <n v="6102.15"/>
    <n v="17.670000000000002"/>
    <n v="959.2"/>
    <n v="24.24"/>
  </r>
  <r>
    <s v="F064"/>
    <x v="1"/>
    <s v="2022 Q2"/>
    <s v="Scope 3"/>
    <x v="2"/>
    <n v="1971.3"/>
    <n v="70481"/>
    <n v="4452.83"/>
    <n v="91.26"/>
    <s v=""/>
    <s v=""/>
  </r>
  <r>
    <s v="F003"/>
    <x v="3"/>
    <s v="2022 Q2"/>
    <s v="Scope 1"/>
    <x v="2"/>
    <n v="4296.74"/>
    <n v="27681"/>
    <n v="928.26"/>
    <n v="44.97"/>
    <s v=""/>
    <s v=""/>
  </r>
  <r>
    <s v="F193"/>
    <x v="1"/>
    <s v="2023 Q2"/>
    <s v="Scope 2"/>
    <x v="2"/>
    <n v="3792.89"/>
    <n v="15333"/>
    <n v="2570.54"/>
    <n v="41.07"/>
    <n v="390.06"/>
    <n v="31.43"/>
  </r>
  <r>
    <s v="F127"/>
    <x v="3"/>
    <s v="2023 Q1"/>
    <s v="Scope 2"/>
    <x v="1"/>
    <n v="1486.21"/>
    <n v="77400"/>
    <n v="7504.8"/>
    <n v="68.819999999999993"/>
    <s v=""/>
    <s v=""/>
  </r>
  <r>
    <s v="F180"/>
    <x v="2"/>
    <s v="2023 Q1"/>
    <s v="Scope 2"/>
    <x v="1"/>
    <n v="2653.12"/>
    <n v="13302"/>
    <n v="821.51"/>
    <n v="69.599999999999994"/>
    <n v="795.74"/>
    <n v="9.39"/>
  </r>
  <r>
    <s v="F098"/>
    <x v="4"/>
    <s v="2023 Q2"/>
    <s v="Scope 1"/>
    <x v="1"/>
    <n v="4329.05"/>
    <n v="28704"/>
    <n v="6009.24"/>
    <n v="39.31"/>
    <n v="479.41"/>
    <n v="19.7"/>
  </r>
  <r>
    <s v="F066"/>
    <x v="4"/>
    <s v="2022 Q2"/>
    <s v="Scope 3"/>
    <x v="0"/>
    <n v="3438.48"/>
    <n v="13543"/>
    <n v="7854.96"/>
    <n v="85.57"/>
    <n v="610.79999999999995"/>
    <n v="30.04"/>
  </r>
  <r>
    <s v="F105"/>
    <x v="0"/>
    <s v="2023 Q1"/>
    <s v="Scope 3"/>
    <x v="2"/>
    <n v="4297.03"/>
    <n v="27028"/>
    <n v="4617.92"/>
    <n v="57.62"/>
    <n v="780.4"/>
    <n v="24.87"/>
  </r>
  <r>
    <s v="F150"/>
    <x v="4"/>
    <s v="2023 Q1"/>
    <s v="Scope 3"/>
    <x v="0"/>
    <n v="1748.19"/>
    <n v="46863"/>
    <n v="6762.98"/>
    <n v="23.45"/>
    <n v="231.68"/>
    <n v="35.92"/>
  </r>
  <r>
    <s v="F035"/>
    <x v="4"/>
    <s v="2023 Q1"/>
    <s v="Scope 3"/>
    <x v="1"/>
    <n v="2629.36"/>
    <n v="24913"/>
    <n v="5727.27"/>
    <n v="78.849999999999994"/>
    <s v=""/>
    <s v=""/>
  </r>
  <r>
    <s v="F048"/>
    <x v="0"/>
    <s v="2022 Q2"/>
    <s v="Scope 3"/>
    <x v="0"/>
    <n v="4350.96"/>
    <n v="26338"/>
    <n v="578.73"/>
    <n v="72.52"/>
    <n v="991.36"/>
    <n v="35.39"/>
  </r>
  <r>
    <s v="F155"/>
    <x v="2"/>
    <s v="2023 Q1"/>
    <s v="Scope 1"/>
    <x v="0"/>
    <n v="400"/>
    <n v="75736"/>
    <n v="6287.07"/>
    <n v="63.11"/>
    <n v="851.48"/>
    <n v="25.39"/>
  </r>
  <r>
    <s v="F006"/>
    <x v="4"/>
    <s v="2023 Q2"/>
    <s v="Scope 2"/>
    <x v="1"/>
    <n v="4737.45"/>
    <n v="11426"/>
    <n v="4439.5600000000004"/>
    <n v="52.71"/>
    <s v=""/>
    <s v=""/>
  </r>
  <r>
    <s v="F188"/>
    <x v="3"/>
    <s v="2023 Q2"/>
    <s v="Scope 2"/>
    <x v="2"/>
    <n v="2400.9"/>
    <n v="80824"/>
    <n v="2858.92"/>
    <n v="13.97"/>
    <n v="638.89"/>
    <n v="21.98"/>
  </r>
  <r>
    <s v="F068"/>
    <x v="0"/>
    <s v="2023 Q1"/>
    <s v="Scope 1"/>
    <x v="0"/>
    <n v="3887.35"/>
    <n v="44825"/>
    <n v="6023.03"/>
    <n v="27.2"/>
    <n v="436.04"/>
    <n v="19.36"/>
  </r>
  <r>
    <s v="F104"/>
    <x v="4"/>
    <s v="2022 Q2"/>
    <s v="Scope 1"/>
    <x v="0"/>
    <n v="3231.03"/>
    <n v="84851"/>
    <n v="560.75"/>
    <n v="80.23"/>
    <n v="610.79999999999995"/>
    <n v="26.58"/>
  </r>
  <r>
    <s v="F063"/>
    <x v="4"/>
    <s v="2023 Q1"/>
    <s v="Scope 2"/>
    <x v="2"/>
    <n v="1139.33"/>
    <n v="45519"/>
    <n v="7987.69"/>
    <n v="10.86"/>
    <n v="638.89"/>
    <n v="35.04"/>
  </r>
  <r>
    <s v="F170"/>
    <x v="2"/>
    <s v="2023 Q1"/>
    <s v="Scope 1"/>
    <x v="1"/>
    <n v="4799"/>
    <n v="24502"/>
    <n v="7466.86"/>
    <n v="88.83"/>
    <n v="847.51"/>
    <n v="26.48"/>
  </r>
  <r>
    <s v="F079"/>
    <x v="2"/>
    <s v="2022 Q1"/>
    <s v="Scope 1"/>
    <x v="2"/>
    <n v="3657.83"/>
    <n v="17311"/>
    <n v="2257.38"/>
    <n v="91.07"/>
    <n v="341.24"/>
    <n v="80.69"/>
  </r>
  <r>
    <s v="F142"/>
    <x v="0"/>
    <s v="2023 Q2"/>
    <s v="Scope 3"/>
    <x v="0"/>
    <n v="2571.46"/>
    <n v="68278"/>
    <n v="3272.65"/>
    <n v="30.47"/>
    <n v="526.54999999999995"/>
    <n v="30.4"/>
  </r>
  <r>
    <s v="F195"/>
    <x v="1"/>
    <s v="2022 Q1"/>
    <s v="Scope 1"/>
    <x v="2"/>
    <n v="3338"/>
    <n v="87012"/>
    <n v="7478.13"/>
    <n v="27.22"/>
    <n v="579.80999999999995"/>
    <n v="28.6"/>
  </r>
  <r>
    <s v="F099"/>
    <x v="3"/>
    <s v="2022 Q2"/>
    <s v="Scope 2"/>
    <x v="2"/>
    <n v="4623.8100000000004"/>
    <n v="17162"/>
    <n v="5079.95"/>
    <n v="19.239999999999998"/>
    <n v="769.39"/>
    <n v="35.29"/>
  </r>
  <r>
    <s v="F156"/>
    <x v="2"/>
    <s v="2022 Q2"/>
    <s v="Scope 2"/>
    <x v="1"/>
    <n v="3591.86"/>
    <n v="88308"/>
    <n v="7802.07"/>
    <n v="36.130000000000003"/>
    <n v="557.72"/>
    <n v="62.75"/>
  </r>
  <r>
    <s v="F143"/>
    <x v="1"/>
    <s v="2022 Q1"/>
    <s v="Scope 3"/>
    <x v="1"/>
    <n v="2370.4499999999998"/>
    <n v="29406"/>
    <n v="5281.69"/>
    <n v="27.01"/>
    <n v="231.68"/>
    <n v="13.88"/>
  </r>
  <r>
    <s v="F197"/>
    <x v="2"/>
    <s v="2023 Q1"/>
    <s v="Scope 3"/>
    <x v="0"/>
    <n v="3703.06"/>
    <n v="59617"/>
    <n v="5000.95"/>
    <n v="80.36"/>
    <n v="532.27"/>
    <n v="25.24"/>
  </r>
  <r>
    <s v="F088"/>
    <x v="0"/>
    <s v="2023 Q1"/>
    <s v="Scope 1"/>
    <x v="1"/>
    <n v="2135.3200000000002"/>
    <n v="77330"/>
    <n v="6936.58"/>
    <n v="82.3"/>
    <n v="264.23"/>
    <n v="28.19"/>
  </r>
  <r>
    <s v="F138"/>
    <x v="0"/>
    <s v="2023 Q2"/>
    <s v="Scope 3"/>
    <x v="1"/>
    <n v="4016.48"/>
    <n v="94393"/>
    <n v="6691.7"/>
    <n v="74.790000000000006"/>
    <n v="867.66"/>
    <n v="32.97"/>
  </r>
  <r>
    <s v="F049"/>
    <x v="0"/>
    <s v="2022 Q1"/>
    <s v="Scope 2"/>
    <x v="2"/>
    <n v="2536.5"/>
    <n v="65666"/>
    <n v="7269.98"/>
    <n v="75.62"/>
    <s v=""/>
    <s v=""/>
  </r>
  <r>
    <s v="F068"/>
    <x v="0"/>
    <s v="2022 Q2"/>
    <s v="Scope 1"/>
    <x v="1"/>
    <n v="4254.34"/>
    <n v="44825"/>
    <n v="6023.03"/>
    <n v="27.2"/>
    <n v="436.04"/>
    <n v="19.36"/>
  </r>
  <r>
    <s v="F016"/>
    <x v="2"/>
    <s v="2023 Q1"/>
    <s v="Scope 1"/>
    <x v="1"/>
    <n v="1897.31"/>
    <n v="93409"/>
    <n v="2375.83"/>
    <n v="5.83"/>
    <s v=""/>
    <s v=""/>
  </r>
  <r>
    <s v="F016"/>
    <x v="2"/>
    <s v="2022 Q1"/>
    <s v="Scope 1"/>
    <x v="1"/>
    <n v="4286.67"/>
    <n v="93409"/>
    <n v="2375.83"/>
    <n v="5.83"/>
    <s v=""/>
    <s v=""/>
  </r>
  <r>
    <s v="F059"/>
    <x v="2"/>
    <s v="2022 Q1"/>
    <s v="Scope 2"/>
    <x v="1"/>
    <n v="2709.88"/>
    <n v="30934"/>
    <n v="4175.6499999999996"/>
    <n v="77.290000000000006"/>
    <n v="610.79999999999995"/>
    <n v="14.23"/>
  </r>
  <r>
    <s v="F022"/>
    <x v="4"/>
    <s v="2022 Q2"/>
    <s v="Scope 2"/>
    <x v="1"/>
    <n v="4482.51"/>
    <n v="20207"/>
    <n v="5369.46"/>
    <n v="57.51"/>
    <n v="847.51"/>
    <n v="28.45"/>
  </r>
  <r>
    <s v="F103"/>
    <x v="4"/>
    <s v="2023 Q1"/>
    <s v="Scope 2"/>
    <x v="2"/>
    <n v="4156"/>
    <n v="22309"/>
    <n v="3656.29"/>
    <n v="75.25"/>
    <n v="795.74"/>
    <n v="26.99"/>
  </r>
  <r>
    <s v="F005"/>
    <x v="4"/>
    <s v="2023 Q1"/>
    <s v="Scope 3"/>
    <x v="0"/>
    <n v="2731.89"/>
    <n v="61743"/>
    <n v="7426.75"/>
    <n v="26.39"/>
    <n v="527.37"/>
    <n v="39.28"/>
  </r>
  <r>
    <s v="F011"/>
    <x v="4"/>
    <s v="2022 Q1"/>
    <s v="Scope 3"/>
    <x v="2"/>
    <n v="84.4"/>
    <n v="72846"/>
    <n v="5169.53"/>
    <n v="76.709999999999994"/>
    <s v=""/>
    <s v=""/>
  </r>
  <r>
    <s v="F109"/>
    <x v="0"/>
    <s v="2023 Q1"/>
    <s v="Scope 1"/>
    <x v="1"/>
    <n v="84.55"/>
    <n v="34318"/>
    <n v="675.67"/>
    <n v="41.05"/>
    <n v="390.06"/>
    <n v="27.42"/>
  </r>
  <r>
    <s v="F072"/>
    <x v="2"/>
    <s v="2023 Q2"/>
    <s v="Scope 1"/>
    <x v="0"/>
    <n v="3865.97"/>
    <n v="95292"/>
    <n v="697.47"/>
    <n v="88.35"/>
    <n v="114.57"/>
    <n v="36.04"/>
  </r>
  <r>
    <s v="F181"/>
    <x v="3"/>
    <s v="2022 Q2"/>
    <s v="Scope 2"/>
    <x v="2"/>
    <n v="4994.79"/>
    <n v="42485"/>
    <n v="4755.75"/>
    <n v="10.19"/>
    <n v="662.74"/>
    <n v="36.79"/>
  </r>
  <r>
    <s v="F056"/>
    <x v="4"/>
    <s v="2022 Q1"/>
    <s v="Scope 3"/>
    <x v="2"/>
    <n v="4341.67"/>
    <n v="99026"/>
    <n v="5453.2"/>
    <n v="57.49"/>
    <n v="231.68"/>
    <n v="24.26"/>
  </r>
  <r>
    <s v="F010"/>
    <x v="0"/>
    <s v="2023 Q1"/>
    <s v="Scope 2"/>
    <x v="0"/>
    <n v="4845.8500000000004"/>
    <n v="32991"/>
    <n v="8540.14"/>
    <n v="37.75"/>
    <n v="268.16000000000003"/>
    <n v="9.08"/>
  </r>
  <r>
    <s v="F023"/>
    <x v="1"/>
    <s v="2023 Q2"/>
    <s v="Scope 1"/>
    <x v="1"/>
    <n v="695.8"/>
    <n v="47484"/>
    <n v="3396.39"/>
    <n v="19.510000000000002"/>
    <n v="790.74"/>
    <n v="12.77"/>
  </r>
  <r>
    <s v="F167"/>
    <x v="2"/>
    <s v="2023 Q2"/>
    <s v="Scope 3"/>
    <x v="2"/>
    <n v="2429.6999999999998"/>
    <n v="94128"/>
    <n v="8117.82"/>
    <n v="73.83"/>
    <n v="532.27"/>
    <n v="31.74"/>
  </r>
  <r>
    <s v="F196"/>
    <x v="4"/>
    <s v="2023 Q2"/>
    <s v="Scope 2"/>
    <x v="0"/>
    <n v="3517.31"/>
    <n v="85444"/>
    <n v="852.57"/>
    <n v="72.650000000000006"/>
    <n v="319.93"/>
    <n v="34.35"/>
  </r>
  <r>
    <s v="F012"/>
    <x v="3"/>
    <s v="2023 Q2"/>
    <s v="Scope 2"/>
    <x v="0"/>
    <n v="2893"/>
    <n v="43747"/>
    <n v="3453.48"/>
    <n v="98.78"/>
    <n v="459.56"/>
    <n v="23.81"/>
  </r>
  <r>
    <s v="F141"/>
    <x v="1"/>
    <s v="2022 Q2"/>
    <s v="Scope 1"/>
    <x v="0"/>
    <n v="4115.76"/>
    <n v="58622"/>
    <n v="7795.36"/>
    <n v="59.81"/>
    <n v="807.86"/>
    <n v="32.130000000000003"/>
  </r>
  <r>
    <s v="F088"/>
    <x v="0"/>
    <s v="2023 Q1"/>
    <s v="Scope 2"/>
    <x v="1"/>
    <n v="1917.42"/>
    <n v="77330"/>
    <n v="6936.58"/>
    <n v="82.3"/>
    <n v="264.23"/>
    <n v="28.19"/>
  </r>
  <r>
    <s v="F014"/>
    <x v="2"/>
    <s v="2023 Q1"/>
    <s v="Scope 2"/>
    <x v="0"/>
    <n v="1203.1300000000001"/>
    <n v="17416"/>
    <n v="812.06"/>
    <n v="5.7"/>
    <n v="568.27"/>
    <n v="18.03"/>
  </r>
  <r>
    <s v="F028"/>
    <x v="4"/>
    <s v="2023 Q1"/>
    <s v="Scope 1"/>
    <x v="0"/>
    <n v="3085.38"/>
    <n v="73977"/>
    <n v="1646.75"/>
    <n v="43.77"/>
    <s v=""/>
    <s v=""/>
  </r>
  <r>
    <s v="F115"/>
    <x v="3"/>
    <s v="2023 Q1"/>
    <s v="Scope 1"/>
    <x v="2"/>
    <n v="1942.8"/>
    <n v="29318"/>
    <n v="9860.6200000000008"/>
    <n v="14.58"/>
    <n v="571.66"/>
    <n v="6.78"/>
  </r>
  <r>
    <s v="F148"/>
    <x v="1"/>
    <s v="2022 Q2"/>
    <s v="Scope 1"/>
    <x v="0"/>
    <n v="3632.78"/>
    <n v="47491"/>
    <n v="5781.05"/>
    <n v="92.18"/>
    <n v="344.93"/>
    <n v="36.229999999999997"/>
  </r>
  <r>
    <s v="F042"/>
    <x v="1"/>
    <s v="2023 Q2"/>
    <s v="Scope 1"/>
    <x v="1"/>
    <n v="4435.1000000000004"/>
    <n v="58111"/>
    <n v="4610.8999999999996"/>
    <n v="21.53"/>
    <n v="268.16000000000003"/>
    <n v="13.78"/>
  </r>
  <r>
    <s v="F129"/>
    <x v="1"/>
    <s v="2022 Q2"/>
    <s v="Scope 1"/>
    <x v="2"/>
    <n v="3104.04"/>
    <n v="58439"/>
    <n v="5817.93"/>
    <n v="63.77"/>
    <n v="143.16999999999999"/>
    <n v="52.46"/>
  </r>
  <r>
    <s v="F140"/>
    <x v="4"/>
    <s v="2022 Q2"/>
    <s v="Scope 1"/>
    <x v="2"/>
    <n v="1562.42"/>
    <n v="94347"/>
    <n v="2272.58"/>
    <n v="34.75"/>
    <n v="472.66"/>
    <n v="44.97"/>
  </r>
  <r>
    <s v="F083"/>
    <x v="2"/>
    <s v="2023 Q2"/>
    <s v="Scope 3"/>
    <x v="1"/>
    <n v="3968.02"/>
    <n v="94704"/>
    <n v="6632.95"/>
    <n v="14.76"/>
    <n v="459.56"/>
    <n v="7.54"/>
  </r>
  <r>
    <s v="F073"/>
    <x v="3"/>
    <s v="2023 Q2"/>
    <s v="Scope 2"/>
    <x v="0"/>
    <n v="3813.14"/>
    <n v="26170"/>
    <n v="8057.54"/>
    <n v="63.71"/>
    <s v=""/>
    <s v=""/>
  </r>
  <r>
    <s v="F003"/>
    <x v="3"/>
    <s v="2022 Q1"/>
    <s v="Scope 1"/>
    <x v="0"/>
    <n v="1512.54"/>
    <n v="27681"/>
    <n v="928.26"/>
    <n v="44.97"/>
    <s v=""/>
    <s v=""/>
  </r>
  <r>
    <s v="F162"/>
    <x v="3"/>
    <s v="2022 Q2"/>
    <s v="Scope 3"/>
    <x v="2"/>
    <n v="4044.95"/>
    <n v="18175"/>
    <n v="8349.49"/>
    <n v="39.97"/>
    <n v="818.45"/>
    <n v="19.04"/>
  </r>
  <r>
    <s v="F150"/>
    <x v="4"/>
    <s v="2023 Q1"/>
    <s v="Scope 1"/>
    <x v="1"/>
    <n v="193.32"/>
    <n v="46863"/>
    <n v="6762.98"/>
    <n v="23.45"/>
    <n v="231.68"/>
    <n v="35.92"/>
  </r>
  <r>
    <s v="F112"/>
    <x v="4"/>
    <s v="2023 Q2"/>
    <s v="Scope 2"/>
    <x v="2"/>
    <n v="2881.41"/>
    <n v="88188"/>
    <n v="815.86"/>
    <n v="57.53"/>
    <n v="557.72"/>
    <n v="37.25"/>
  </r>
  <r>
    <s v="F120"/>
    <x v="4"/>
    <s v="2022 Q2"/>
    <s v="Scope 2"/>
    <x v="1"/>
    <n v="1949.55"/>
    <n v="57215"/>
    <n v="3227.1"/>
    <n v="32.909999999999997"/>
    <n v="951.35"/>
    <n v="33.299999999999997"/>
  </r>
  <r>
    <s v="F155"/>
    <x v="2"/>
    <s v="2022 Q1"/>
    <s v="Scope 2"/>
    <x v="2"/>
    <n v="2729.42"/>
    <n v="75736"/>
    <n v="6287.07"/>
    <n v="63.11"/>
    <n v="851.48"/>
    <n v="25.39"/>
  </r>
  <r>
    <s v="F171"/>
    <x v="4"/>
    <s v="2023 Q1"/>
    <s v="Scope 1"/>
    <x v="0"/>
    <n v="4965.24"/>
    <n v="98356"/>
    <n v="6968.69"/>
    <n v="81.72"/>
    <n v="795.74"/>
    <n v="22.41"/>
  </r>
  <r>
    <s v="F013"/>
    <x v="2"/>
    <s v="2023 Q1"/>
    <s v="Scope 1"/>
    <x v="2"/>
    <n v="968.64"/>
    <n v="72813"/>
    <n v="8818.16"/>
    <n v="54.12"/>
    <n v="986.62"/>
    <n v="42.1"/>
  </r>
  <r>
    <s v="F019"/>
    <x v="0"/>
    <s v="2023 Q2"/>
    <s v="Scope 2"/>
    <x v="0"/>
    <n v="2778.34"/>
    <n v="68018"/>
    <n v="3523.4"/>
    <n v="92.26"/>
    <n v="111.84"/>
    <n v="15.85"/>
  </r>
  <r>
    <s v="F068"/>
    <x v="0"/>
    <s v="2022 Q2"/>
    <s v="Scope 2"/>
    <x v="0"/>
    <n v="901.71"/>
    <n v="44825"/>
    <n v="6023.03"/>
    <n v="27.2"/>
    <n v="436.04"/>
    <n v="19.36"/>
  </r>
  <r>
    <s v="F134"/>
    <x v="3"/>
    <s v="2023 Q1"/>
    <s v="Scope 1"/>
    <x v="0"/>
    <n v="4031.94"/>
    <n v="16256"/>
    <n v="2127.1799999999998"/>
    <n v="38.94"/>
    <n v="796.34"/>
    <n v="66.41"/>
  </r>
  <r>
    <s v="F148"/>
    <x v="1"/>
    <s v="2022 Q1"/>
    <s v="Scope 2"/>
    <x v="2"/>
    <n v="3868.62"/>
    <n v="47491"/>
    <n v="5781.05"/>
    <n v="92.18"/>
    <n v="344.93"/>
    <n v="36.229999999999997"/>
  </r>
  <r>
    <s v="F081"/>
    <x v="1"/>
    <s v="2023 Q1"/>
    <s v="Scope 1"/>
    <x v="2"/>
    <n v="2670.34"/>
    <n v="39560"/>
    <n v="8380.77"/>
    <n v="94.01"/>
    <s v=""/>
    <s v=""/>
  </r>
  <r>
    <s v="F182"/>
    <x v="3"/>
    <s v="2022 Q2"/>
    <s v="Scope 2"/>
    <x v="0"/>
    <n v="4061.97"/>
    <n v="41027"/>
    <n v="7285.85"/>
    <n v="59.87"/>
    <n v="763.97"/>
    <n v="34.14"/>
  </r>
  <r>
    <s v="F024"/>
    <x v="4"/>
    <s v="2023 Q2"/>
    <s v="Scope 1"/>
    <x v="1"/>
    <n v="279.14"/>
    <n v="95718"/>
    <n v="2443.12"/>
    <n v="35.49"/>
    <n v="818.45"/>
    <n v="9.9499999999999993"/>
  </r>
  <r>
    <s v="F055"/>
    <x v="2"/>
    <s v="2023 Q2"/>
    <s v="Scope 3"/>
    <x v="2"/>
    <n v="936.92"/>
    <n v="41050"/>
    <n v="6025.84"/>
    <n v="53.53"/>
    <n v="289.77"/>
    <n v="19.260000000000002"/>
  </r>
  <r>
    <s v="F056"/>
    <x v="4"/>
    <s v="2022 Q1"/>
    <s v="Scope 3"/>
    <x v="2"/>
    <n v="1890.57"/>
    <n v="99026"/>
    <n v="5453.2"/>
    <n v="57.49"/>
    <n v="231.68"/>
    <n v="24.26"/>
  </r>
  <r>
    <s v="F191"/>
    <x v="0"/>
    <s v="2022 Q2"/>
    <s v="Scope 3"/>
    <x v="0"/>
    <n v="4697.92"/>
    <n v="86557"/>
    <n v="8631.2800000000007"/>
    <n v="69.53"/>
    <s v=""/>
    <s v=""/>
  </r>
  <r>
    <s v="F175"/>
    <x v="3"/>
    <s v="2023 Q1"/>
    <s v="Scope 2"/>
    <x v="2"/>
    <n v="3192.85"/>
    <n v="94949"/>
    <n v="9714.76"/>
    <n v="64.900000000000006"/>
    <n v="241.41"/>
    <n v="20.62"/>
  </r>
  <r>
    <s v="F038"/>
    <x v="4"/>
    <s v="2022 Q2"/>
    <s v="Scope 3"/>
    <x v="0"/>
    <n v="3010.17"/>
    <n v="18341"/>
    <n v="8465.57"/>
    <n v="38.39"/>
    <s v=""/>
    <s v=""/>
  </r>
  <r>
    <s v="F075"/>
    <x v="3"/>
    <s v="2023 Q2"/>
    <s v="Scope 3"/>
    <x v="2"/>
    <n v="4348.8599999999997"/>
    <n v="60513"/>
    <n v="4578.16"/>
    <n v="65.53"/>
    <s v=""/>
    <s v=""/>
  </r>
  <r>
    <s v="F023"/>
    <x v="1"/>
    <s v="2022 Q1"/>
    <s v="Scope 3"/>
    <x v="0"/>
    <n v="4115.1499999999996"/>
    <n v="47484"/>
    <n v="3396.39"/>
    <n v="19.510000000000002"/>
    <n v="790.74"/>
    <n v="12.77"/>
  </r>
  <r>
    <s v="F142"/>
    <x v="0"/>
    <s v="2022 Q1"/>
    <s v="Scope 2"/>
    <x v="1"/>
    <n v="4352.3"/>
    <n v="68278"/>
    <n v="3272.65"/>
    <n v="30.47"/>
    <n v="526.54999999999995"/>
    <n v="30.4"/>
  </r>
  <r>
    <s v="F012"/>
    <x v="3"/>
    <s v="2022 Q2"/>
    <s v="Scope 3"/>
    <x v="1"/>
    <n v="3591.33"/>
    <n v="43747"/>
    <n v="3453.48"/>
    <n v="98.78"/>
    <n v="459.56"/>
    <n v="23.81"/>
  </r>
  <r>
    <s v="F193"/>
    <x v="1"/>
    <s v="2022 Q1"/>
    <s v="Scope 2"/>
    <x v="1"/>
    <n v="3260.39"/>
    <n v="15333"/>
    <n v="2570.54"/>
    <n v="41.07"/>
    <n v="390.06"/>
    <n v="31.43"/>
  </r>
  <r>
    <s v="F022"/>
    <x v="4"/>
    <s v="2023 Q2"/>
    <s v="Scope 1"/>
    <x v="2"/>
    <n v="1083.03"/>
    <n v="20207"/>
    <n v="5369.46"/>
    <n v="57.51"/>
    <n v="847.51"/>
    <n v="28.45"/>
  </r>
  <r>
    <s v="F013"/>
    <x v="2"/>
    <s v="2022 Q2"/>
    <s v="Scope 2"/>
    <x v="0"/>
    <n v="2051.69"/>
    <n v="72813"/>
    <n v="8818.16"/>
    <n v="54.12"/>
    <n v="986.62"/>
    <n v="42.1"/>
  </r>
  <r>
    <s v="F101"/>
    <x v="3"/>
    <s v="2023 Q2"/>
    <s v="Scope 2"/>
    <x v="0"/>
    <n v="2402.8200000000002"/>
    <n v="65719"/>
    <n v="9362.41"/>
    <n v="86.55"/>
    <n v="932.3"/>
    <n v="28.9"/>
  </r>
  <r>
    <s v="F055"/>
    <x v="2"/>
    <s v="2022 Q2"/>
    <s v="Scope 3"/>
    <x v="0"/>
    <n v="1465.51"/>
    <n v="41050"/>
    <n v="6025.84"/>
    <n v="53.53"/>
    <n v="289.77"/>
    <n v="19.260000000000002"/>
  </r>
  <r>
    <s v="F072"/>
    <x v="2"/>
    <s v="2022 Q1"/>
    <s v="Scope 3"/>
    <x v="0"/>
    <n v="4841.54"/>
    <n v="95292"/>
    <n v="697.47"/>
    <n v="88.35"/>
    <n v="114.57"/>
    <n v="36.04"/>
  </r>
  <r>
    <s v="F080"/>
    <x v="3"/>
    <s v="2023 Q1"/>
    <s v="Scope 2"/>
    <x v="0"/>
    <n v="3187.8"/>
    <n v="10250"/>
    <n v="4717"/>
    <n v="16.600000000000001"/>
    <n v="249.3"/>
    <n v="32.97"/>
  </r>
  <r>
    <s v="F072"/>
    <x v="2"/>
    <s v="2023 Q1"/>
    <s v="Scope 2"/>
    <x v="2"/>
    <n v="4547.92"/>
    <n v="95292"/>
    <n v="697.47"/>
    <n v="88.35"/>
    <n v="114.57"/>
    <n v="36.04"/>
  </r>
  <r>
    <s v="F081"/>
    <x v="1"/>
    <s v="2022 Q2"/>
    <s v="Scope 3"/>
    <x v="0"/>
    <n v="4751.75"/>
    <n v="39560"/>
    <n v="8380.77"/>
    <n v="94.01"/>
    <s v=""/>
    <s v=""/>
  </r>
  <r>
    <s v="F008"/>
    <x v="3"/>
    <s v="2022 Q2"/>
    <s v="Scope 2"/>
    <x v="0"/>
    <n v="3218.33"/>
    <n v="50306"/>
    <n v="7031.37"/>
    <n v="13.27"/>
    <s v=""/>
    <s v=""/>
  </r>
  <r>
    <s v="F154"/>
    <x v="0"/>
    <s v="2023 Q2"/>
    <s v="Scope 1"/>
    <x v="2"/>
    <n v="107.49"/>
    <n v="17097"/>
    <n v="9061.7800000000007"/>
    <n v="95.92"/>
    <n v="390.06"/>
    <n v="18.010000000000002"/>
  </r>
  <r>
    <s v="F033"/>
    <x v="0"/>
    <s v="2022 Q1"/>
    <s v="Scope 2"/>
    <x v="1"/>
    <n v="4162.1899999999996"/>
    <n v="47727"/>
    <n v="8907.33"/>
    <n v="47.4"/>
    <n v="344.93"/>
    <n v="43.18"/>
  </r>
  <r>
    <s v="F185"/>
    <x v="0"/>
    <s v="2022 Q2"/>
    <s v="Scope 1"/>
    <x v="0"/>
    <n v="1795.35"/>
    <n v="68820"/>
    <n v="9612.25"/>
    <n v="83.51"/>
    <n v="867.66"/>
    <n v="18.88"/>
  </r>
  <r>
    <s v="F177"/>
    <x v="3"/>
    <s v="2022 Q2"/>
    <s v="Scope 1"/>
    <x v="2"/>
    <n v="930.97"/>
    <n v="87482"/>
    <n v="2231.7399999999998"/>
    <n v="45.43"/>
    <n v="638.89"/>
    <n v="24.69"/>
  </r>
  <r>
    <s v="F083"/>
    <x v="2"/>
    <s v="2023 Q2"/>
    <s v="Scope 3"/>
    <x v="0"/>
    <n v="1962.97"/>
    <n v="94704"/>
    <n v="6632.95"/>
    <n v="14.76"/>
    <n v="459.56"/>
    <n v="7.54"/>
  </r>
  <r>
    <s v="F098"/>
    <x v="4"/>
    <s v="2023 Q2"/>
    <s v="Scope 1"/>
    <x v="0"/>
    <n v="4615.88"/>
    <n v="28704"/>
    <n v="6009.24"/>
    <n v="39.31"/>
    <n v="479.41"/>
    <n v="19.7"/>
  </r>
  <r>
    <s v="F118"/>
    <x v="0"/>
    <s v="2023 Q1"/>
    <s v="Scope 2"/>
    <x v="1"/>
    <n v="1530.83"/>
    <n v="14170"/>
    <n v="5455.23"/>
    <n v="25.46"/>
    <n v="790.74"/>
    <n v="28.78"/>
  </r>
  <r>
    <s v="F122"/>
    <x v="4"/>
    <s v="2023 Q2"/>
    <s v="Scope 3"/>
    <x v="0"/>
    <n v="2440.9899999999998"/>
    <n v="49620"/>
    <n v="2424.31"/>
    <n v="62.09"/>
    <n v="184.92"/>
    <n v="19.55"/>
  </r>
  <r>
    <s v="F089"/>
    <x v="4"/>
    <s v="2022 Q1"/>
    <s v="Scope 2"/>
    <x v="2"/>
    <n v="1674.72"/>
    <n v="58895"/>
    <n v="3039.17"/>
    <n v="59.82"/>
    <n v="785.8"/>
    <n v="22.92"/>
  </r>
  <r>
    <s v="F198"/>
    <x v="3"/>
    <s v="2022 Q2"/>
    <s v="Scope 2"/>
    <x v="1"/>
    <n v="3245.74"/>
    <n v="40577"/>
    <n v="4280.82"/>
    <n v="79.88"/>
    <n v="932.3"/>
    <n v="10.19"/>
  </r>
  <r>
    <s v="F165"/>
    <x v="4"/>
    <s v="2022 Q1"/>
    <s v="Scope 2"/>
    <x v="1"/>
    <n v="3114.72"/>
    <n v="79330"/>
    <n v="6075.23"/>
    <n v="83.97"/>
    <n v="209.33"/>
    <n v="13.62"/>
  </r>
  <r>
    <s v="F108"/>
    <x v="3"/>
    <s v="2022 Q2"/>
    <s v="Scope 1"/>
    <x v="1"/>
    <n v="2078.6799999999998"/>
    <n v="39050"/>
    <n v="5885.73"/>
    <n v="93.04"/>
    <n v="318.55"/>
    <n v="39.81"/>
  </r>
  <r>
    <s v="F062"/>
    <x v="2"/>
    <s v="2022 Q1"/>
    <s v="Scope 2"/>
    <x v="1"/>
    <n v="2458.83"/>
    <n v="19265"/>
    <n v="776.6"/>
    <n v="39.75"/>
    <n v="289.77"/>
    <n v="37.270000000000003"/>
  </r>
  <r>
    <s v="F007"/>
    <x v="4"/>
    <s v="2023 Q2"/>
    <s v="Scope 1"/>
    <x v="1"/>
    <n v="3902.33"/>
    <n v="35506"/>
    <n v="1892.04"/>
    <n v="61.53"/>
    <s v=""/>
    <s v=""/>
  </r>
  <r>
    <s v="F023"/>
    <x v="1"/>
    <s v="2023 Q2"/>
    <s v="Scope 3"/>
    <x v="0"/>
    <n v="3436.69"/>
    <n v="47484"/>
    <n v="3396.39"/>
    <n v="19.510000000000002"/>
    <n v="790.74"/>
    <n v="12.77"/>
  </r>
  <r>
    <s v="F116"/>
    <x v="2"/>
    <s v="2023 Q2"/>
    <s v="Scope 2"/>
    <x v="2"/>
    <n v="3373.97"/>
    <n v="48501"/>
    <n v="7209.77"/>
    <n v="92.51"/>
    <s v=""/>
    <s v=""/>
  </r>
  <r>
    <s v="F067"/>
    <x v="1"/>
    <s v="2022 Q1"/>
    <s v="Scope 1"/>
    <x v="1"/>
    <n v="2524.3200000000002"/>
    <n v="28400"/>
    <n v="3056.67"/>
    <n v="52.68"/>
    <n v="571.88"/>
    <n v="8.6199999999999992"/>
  </r>
  <r>
    <s v="F190"/>
    <x v="0"/>
    <s v="2022 Q2"/>
    <s v="Scope 2"/>
    <x v="2"/>
    <n v="4152.62"/>
    <n v="70582"/>
    <n v="7517.59"/>
    <n v="95.71"/>
    <s v=""/>
    <s v=""/>
  </r>
  <r>
    <s v="F033"/>
    <x v="0"/>
    <s v="2022 Q2"/>
    <s v="Scope 3"/>
    <x v="1"/>
    <n v="5429.12"/>
    <n v="47727"/>
    <n v="8907.33"/>
    <n v="47.4"/>
    <n v="344.93"/>
    <n v="43.18"/>
  </r>
  <r>
    <s v="F147"/>
    <x v="1"/>
    <s v="2023 Q2"/>
    <s v="Scope 3"/>
    <x v="2"/>
    <n v="4835.42"/>
    <n v="13333"/>
    <n v="6102.15"/>
    <n v="17.670000000000002"/>
    <n v="959.2"/>
    <n v="24.24"/>
  </r>
  <r>
    <s v="F108"/>
    <x v="3"/>
    <s v="2023 Q2"/>
    <s v="Scope 2"/>
    <x v="1"/>
    <n v="783.3"/>
    <n v="39050"/>
    <n v="5885.73"/>
    <n v="93.04"/>
    <n v="318.55"/>
    <n v="39.81"/>
  </r>
  <r>
    <s v="F131"/>
    <x v="4"/>
    <s v="2022 Q1"/>
    <s v="Scope 2"/>
    <x v="2"/>
    <n v="4038.18"/>
    <n v="43294"/>
    <n v="3802.13"/>
    <n v="45.84"/>
    <n v="756.78"/>
    <n v="28.42"/>
  </r>
  <r>
    <s v="F156"/>
    <x v="2"/>
    <s v="2022 Q2"/>
    <s v="Scope 3"/>
    <x v="0"/>
    <n v="4925.53"/>
    <n v="88308"/>
    <n v="7802.07"/>
    <n v="36.130000000000003"/>
    <n v="557.72"/>
    <n v="62.75"/>
  </r>
  <r>
    <s v="F090"/>
    <x v="2"/>
    <s v="2023 Q2"/>
    <s v="Scope 3"/>
    <x v="0"/>
    <n v="2926.75"/>
    <n v="29895"/>
    <n v="1631.08"/>
    <n v="39.93"/>
    <n v="959.2"/>
    <n v="38.840000000000003"/>
  </r>
  <r>
    <s v="F001"/>
    <x v="1"/>
    <s v="2022 Q1"/>
    <s v="Scope 2"/>
    <x v="1"/>
    <n v="1931.14"/>
    <n v="54133"/>
    <n v="8543.68"/>
    <n v="24"/>
    <n v="991.03"/>
    <n v="23.33"/>
  </r>
  <r>
    <s v="F126"/>
    <x v="2"/>
    <s v="2022 Q2"/>
    <s v="Scope 3"/>
    <x v="2"/>
    <n v="3586.91"/>
    <n v="75508"/>
    <n v="6856.22"/>
    <n v="18.2"/>
    <n v="991.03"/>
    <n v="13.32"/>
  </r>
  <r>
    <s v="F188"/>
    <x v="3"/>
    <s v="2023 Q1"/>
    <s v="Scope 1"/>
    <x v="1"/>
    <n v="2192.19"/>
    <n v="80824"/>
    <n v="2858.92"/>
    <n v="13.97"/>
    <n v="638.89"/>
    <n v="21.98"/>
  </r>
  <r>
    <s v="F173"/>
    <x v="1"/>
    <s v="2023 Q1"/>
    <s v="Scope 2"/>
    <x v="1"/>
    <n v="3113.98"/>
    <n v="38181"/>
    <n v="691.84"/>
    <n v="33.53"/>
    <n v="114.57"/>
    <n v="9.9600000000000009"/>
  </r>
  <r>
    <s v="F155"/>
    <x v="2"/>
    <s v="2023 Q1"/>
    <s v="Scope 3"/>
    <x v="0"/>
    <n v="4943.08"/>
    <n v="75736"/>
    <n v="6287.07"/>
    <n v="63.11"/>
    <n v="851.48"/>
    <n v="25.39"/>
  </r>
  <r>
    <s v="F165"/>
    <x v="4"/>
    <s v="2022 Q1"/>
    <s v="Scope 1"/>
    <x v="1"/>
    <n v="4608.99"/>
    <n v="79330"/>
    <n v="6075.23"/>
    <n v="83.97"/>
    <n v="209.33"/>
    <n v="13.62"/>
  </r>
  <r>
    <s v="F012"/>
    <x v="3"/>
    <s v="2022 Q2"/>
    <s v="Scope 2"/>
    <x v="1"/>
    <n v="548.27"/>
    <n v="43747"/>
    <n v="3453.48"/>
    <n v="98.78"/>
    <n v="459.56"/>
    <n v="23.81"/>
  </r>
  <r>
    <s v="F024"/>
    <x v="4"/>
    <s v="2022 Q1"/>
    <s v="Scope 3"/>
    <x v="0"/>
    <n v="2949.12"/>
    <n v="95718"/>
    <n v="2443.12"/>
    <n v="35.49"/>
    <n v="818.45"/>
    <n v="9.9499999999999993"/>
  </r>
  <r>
    <s v="F005"/>
    <x v="4"/>
    <s v="2023 Q1"/>
    <s v="Scope 3"/>
    <x v="2"/>
    <n v="2617.0700000000002"/>
    <n v="61743"/>
    <n v="7426.75"/>
    <n v="26.39"/>
    <n v="527.37"/>
    <n v="39.28"/>
  </r>
  <r>
    <s v="F176"/>
    <x v="4"/>
    <s v="2023 Q1"/>
    <s v="Scope 1"/>
    <x v="1"/>
    <n v="4990.76"/>
    <n v="18726"/>
    <n v="5099.54"/>
    <n v="71.05"/>
    <n v="714.03"/>
    <n v="32.29"/>
  </r>
  <r>
    <s v="F200"/>
    <x v="1"/>
    <s v="2023 Q1"/>
    <s v="Scope 2"/>
    <x v="1"/>
    <n v="922.25"/>
    <n v="21081"/>
    <n v="9001.77"/>
    <n v="49.27"/>
    <n v="114.57"/>
    <n v="44.17"/>
  </r>
  <r>
    <s v="F097"/>
    <x v="1"/>
    <s v="2023 Q2"/>
    <s v="Scope 1"/>
    <x v="1"/>
    <n v="1919.35"/>
    <n v="69100"/>
    <n v="9356.02"/>
    <n v="16.5"/>
    <n v="694.92"/>
    <n v="23.67"/>
  </r>
  <r>
    <s v="F130"/>
    <x v="3"/>
    <s v="2023 Q1"/>
    <s v="Scope 3"/>
    <x v="2"/>
    <n v="3296.98"/>
    <n v="43227"/>
    <n v="5199.53"/>
    <n v="44.09"/>
    <n v="724.63"/>
    <n v="14.96"/>
  </r>
  <r>
    <s v="F031"/>
    <x v="3"/>
    <s v="2022 Q2"/>
    <s v="Scope 2"/>
    <x v="2"/>
    <n v="3879.07"/>
    <n v="86263"/>
    <n v="3213.71"/>
    <n v="98.39"/>
    <n v="662.74"/>
    <n v="20.66"/>
  </r>
  <r>
    <s v="F154"/>
    <x v="0"/>
    <s v="2023 Q2"/>
    <s v="Scope 3"/>
    <x v="1"/>
    <n v="3326.96"/>
    <n v="17097"/>
    <n v="9061.7800000000007"/>
    <n v="95.92"/>
    <n v="390.06"/>
    <n v="18.010000000000002"/>
  </r>
  <r>
    <s v="F152"/>
    <x v="4"/>
    <s v="2022 Q2"/>
    <s v="Scope 3"/>
    <x v="1"/>
    <n v="2620.38"/>
    <n v="90679"/>
    <n v="7266.82"/>
    <n v="23.3"/>
    <n v="943.59"/>
    <n v="15.81"/>
  </r>
  <r>
    <s v="F082"/>
    <x v="0"/>
    <s v="2023 Q2"/>
    <s v="Scope 2"/>
    <x v="0"/>
    <n v="3511.53"/>
    <n v="17468"/>
    <n v="6359.73"/>
    <n v="5.22"/>
    <n v="959.2"/>
    <n v="36.92"/>
  </r>
  <r>
    <s v="F150"/>
    <x v="4"/>
    <s v="2022 Q1"/>
    <s v="Scope 2"/>
    <x v="1"/>
    <n v="402.68"/>
    <n v="46863"/>
    <n v="6762.98"/>
    <n v="23.45"/>
    <n v="231.68"/>
    <n v="35.92"/>
  </r>
  <r>
    <s v="F168"/>
    <x v="2"/>
    <s v="2023 Q1"/>
    <s v="Scope 1"/>
    <x v="0"/>
    <n v="3834.83"/>
    <n v="24095"/>
    <n v="3167.52"/>
    <n v="31.02"/>
    <n v="608.07000000000005"/>
    <n v="13.98"/>
  </r>
  <r>
    <s v="F028"/>
    <x v="4"/>
    <s v="2022 Q2"/>
    <s v="Scope 1"/>
    <x v="1"/>
    <n v="2705.01"/>
    <n v="73977"/>
    <n v="1646.75"/>
    <n v="43.77"/>
    <s v=""/>
    <s v=""/>
  </r>
  <r>
    <s v="F149"/>
    <x v="1"/>
    <s v="2022 Q2"/>
    <s v="Scope 1"/>
    <x v="1"/>
    <n v="2242.38"/>
    <n v="61207"/>
    <n v="6922.33"/>
    <n v="9.1999999999999993"/>
    <s v=""/>
    <s v=""/>
  </r>
  <r>
    <s v="F026"/>
    <x v="2"/>
    <s v="2023 Q1"/>
    <s v="Scope 3"/>
    <x v="1"/>
    <n v="1860.74"/>
    <n v="32246"/>
    <n v="7903.93"/>
    <n v="42.12"/>
    <n v="459.56"/>
    <n v="28.62"/>
  </r>
  <r>
    <s v="F172"/>
    <x v="4"/>
    <s v="2022 Q1"/>
    <s v="Scope 2"/>
    <x v="2"/>
    <n v="2978.15"/>
    <n v="98396"/>
    <n v="5174.07"/>
    <n v="63.38"/>
    <n v="714.03"/>
    <n v="36.89"/>
  </r>
  <r>
    <s v="F051"/>
    <x v="4"/>
    <s v="2023 Q2"/>
    <s v="Scope 2"/>
    <x v="0"/>
    <n v="1338.04"/>
    <n v="56752"/>
    <n v="4177.68"/>
    <n v="10.96"/>
    <n v="694.92"/>
    <n v="9.8699999999999992"/>
  </r>
  <r>
    <s v="F056"/>
    <x v="4"/>
    <s v="2023 Q1"/>
    <s v="Scope 2"/>
    <x v="2"/>
    <n v="2538.44"/>
    <n v="99026"/>
    <n v="5453.2"/>
    <n v="57.49"/>
    <n v="231.68"/>
    <n v="24.26"/>
  </r>
  <r>
    <s v="F049"/>
    <x v="0"/>
    <s v="2022 Q2"/>
    <s v="Scope 2"/>
    <x v="2"/>
    <n v="1644.11"/>
    <n v="65666"/>
    <n v="7269.98"/>
    <n v="75.62"/>
    <s v=""/>
    <s v=""/>
  </r>
  <r>
    <s v="F109"/>
    <x v="0"/>
    <s v="2022 Q2"/>
    <s v="Scope 1"/>
    <x v="1"/>
    <n v="3858.7"/>
    <n v="34318"/>
    <n v="675.67"/>
    <n v="41.05"/>
    <n v="390.06"/>
    <n v="27.42"/>
  </r>
  <r>
    <s v="F131"/>
    <x v="4"/>
    <s v="2023 Q1"/>
    <s v="Scope 2"/>
    <x v="2"/>
    <n v="2079.69"/>
    <n v="43294"/>
    <n v="3802.13"/>
    <n v="45.84"/>
    <n v="756.78"/>
    <n v="28.42"/>
  </r>
  <r>
    <s v="F186"/>
    <x v="4"/>
    <s v="2022 Q1"/>
    <s v="Scope 2"/>
    <x v="1"/>
    <n v="439.97"/>
    <n v="61942"/>
    <n v="4891.32"/>
    <n v="91.59"/>
    <n v="785.8"/>
    <n v="8.84"/>
  </r>
  <r>
    <s v="F111"/>
    <x v="3"/>
    <s v="2023 Q2"/>
    <s v="Scope 2"/>
    <x v="0"/>
    <n v="1486"/>
    <n v="10907"/>
    <n v="4748.66"/>
    <n v="39.36"/>
    <n v="986.62"/>
    <n v="17.04"/>
  </r>
  <r>
    <s v="F138"/>
    <x v="0"/>
    <s v="2023 Q2"/>
    <s v="Scope 3"/>
    <x v="2"/>
    <n v="396.7"/>
    <n v="94393"/>
    <n v="6691.7"/>
    <n v="74.790000000000006"/>
    <n v="867.66"/>
    <n v="32.97"/>
  </r>
  <r>
    <s v="F081"/>
    <x v="1"/>
    <s v="2022 Q2"/>
    <s v="Scope 3"/>
    <x v="1"/>
    <n v="1724.46"/>
    <n v="39560"/>
    <n v="8380.77"/>
    <n v="94.01"/>
    <s v=""/>
    <s v=""/>
  </r>
  <r>
    <s v="F186"/>
    <x v="4"/>
    <s v="2023 Q2"/>
    <s v="Scope 2"/>
    <x v="1"/>
    <n v="3569.77"/>
    <n v="61942"/>
    <n v="4891.32"/>
    <n v="91.59"/>
    <n v="785.8"/>
    <n v="8.84"/>
  </r>
  <r>
    <s v="F149"/>
    <x v="1"/>
    <s v="2022 Q1"/>
    <s v="Scope 1"/>
    <x v="0"/>
    <n v="1244.99"/>
    <n v="61207"/>
    <n v="6922.33"/>
    <n v="9.1999999999999993"/>
    <s v=""/>
    <s v=""/>
  </r>
  <r>
    <s v="F119"/>
    <x v="2"/>
    <s v="2022 Q2"/>
    <s v="Scope 3"/>
    <x v="0"/>
    <n v="4645.6400000000003"/>
    <n v="22525"/>
    <n v="9465.65"/>
    <n v="37.79"/>
    <n v="472.66"/>
    <n v="55.03"/>
  </r>
  <r>
    <s v="F061"/>
    <x v="1"/>
    <s v="2022 Q1"/>
    <s v="Scope 3"/>
    <x v="2"/>
    <n v="3635.37"/>
    <n v="21386"/>
    <n v="2271.92"/>
    <n v="49.67"/>
    <s v=""/>
    <s v=""/>
  </r>
  <r>
    <s v="F193"/>
    <x v="1"/>
    <s v="2022 Q2"/>
    <s v="Scope 3"/>
    <x v="2"/>
    <n v="4563.12"/>
    <n v="15333"/>
    <n v="2570.54"/>
    <n v="41.07"/>
    <n v="390.06"/>
    <n v="31.43"/>
  </r>
  <r>
    <s v="F090"/>
    <x v="2"/>
    <s v="2022 Q1"/>
    <s v="Scope 3"/>
    <x v="1"/>
    <n v="1337.44"/>
    <n v="29895"/>
    <n v="1631.08"/>
    <n v="39.93"/>
    <n v="959.2"/>
    <n v="38.840000000000003"/>
  </r>
  <r>
    <s v="F070"/>
    <x v="2"/>
    <s v="2023 Q2"/>
    <s v="Scope 3"/>
    <x v="2"/>
    <n v="527.42999999999995"/>
    <n v="15128"/>
    <n v="8847.09"/>
    <n v="5.25"/>
    <n v="230.57"/>
    <n v="60.48"/>
  </r>
  <r>
    <s v="F076"/>
    <x v="2"/>
    <s v="2023 Q1"/>
    <s v="Scope 1"/>
    <x v="0"/>
    <n v="1979.48"/>
    <n v="41953"/>
    <n v="2379.14"/>
    <n v="65.67"/>
    <n v="571.66"/>
    <n v="14.81"/>
  </r>
  <r>
    <s v="F127"/>
    <x v="3"/>
    <s v="2023 Q2"/>
    <s v="Scope 3"/>
    <x v="1"/>
    <n v="2025.95"/>
    <n v="77400"/>
    <n v="7504.8"/>
    <n v="68.819999999999993"/>
    <s v=""/>
    <s v=""/>
  </r>
  <r>
    <s v="F090"/>
    <x v="2"/>
    <s v="2022 Q2"/>
    <s v="Scope 2"/>
    <x v="1"/>
    <n v="4195.17"/>
    <n v="29895"/>
    <n v="1631.08"/>
    <n v="39.93"/>
    <n v="959.2"/>
    <n v="38.840000000000003"/>
  </r>
  <r>
    <s v="F053"/>
    <x v="0"/>
    <s v="2022 Q1"/>
    <s v="Scope 2"/>
    <x v="2"/>
    <n v="2104.08"/>
    <n v="56392"/>
    <n v="5703.76"/>
    <n v="23.04"/>
    <n v="991.03"/>
    <n v="27.62"/>
  </r>
  <r>
    <s v="F008"/>
    <x v="3"/>
    <s v="2022 Q1"/>
    <s v="Scope 2"/>
    <x v="1"/>
    <n v="4229.93"/>
    <n v="50306"/>
    <n v="7031.37"/>
    <n v="13.27"/>
    <s v=""/>
    <s v=""/>
  </r>
  <r>
    <s v="F083"/>
    <x v="2"/>
    <s v="2022 Q1"/>
    <s v="Scope 1"/>
    <x v="1"/>
    <n v="3136.15"/>
    <n v="94704"/>
    <n v="6632.95"/>
    <n v="14.76"/>
    <n v="459.56"/>
    <n v="7.54"/>
  </r>
  <r>
    <s v="F200"/>
    <x v="1"/>
    <s v="2023 Q1"/>
    <s v="Scope 3"/>
    <x v="2"/>
    <n v="1959.33"/>
    <n v="21081"/>
    <n v="9001.77"/>
    <n v="49.27"/>
    <n v="114.57"/>
    <n v="44.17"/>
  </r>
  <r>
    <s v="F047"/>
    <x v="0"/>
    <s v="2022 Q1"/>
    <s v="Scope 3"/>
    <x v="2"/>
    <n v="1221.95"/>
    <n v="39568"/>
    <n v="3580.54"/>
    <n v="78.08"/>
    <n v="635.72"/>
    <n v="67.36"/>
  </r>
  <r>
    <s v="F176"/>
    <x v="4"/>
    <s v="2022 Q2"/>
    <s v="Scope 2"/>
    <x v="0"/>
    <n v="300.75"/>
    <n v="18726"/>
    <n v="5099.54"/>
    <n v="71.05"/>
    <n v="714.03"/>
    <n v="32.29"/>
  </r>
  <r>
    <s v="F018"/>
    <x v="4"/>
    <s v="2023 Q2"/>
    <s v="Scope 2"/>
    <x v="2"/>
    <n v="4099.18"/>
    <n v="69305"/>
    <n v="3203.67"/>
    <n v="83.65"/>
    <n v="173.67"/>
    <n v="67.040000000000006"/>
  </r>
  <r>
    <s v="F198"/>
    <x v="3"/>
    <s v="2022 Q2"/>
    <s v="Scope 1"/>
    <x v="0"/>
    <n v="104.53"/>
    <n v="40577"/>
    <n v="4280.82"/>
    <n v="79.88"/>
    <n v="932.3"/>
    <n v="10.19"/>
  </r>
  <r>
    <s v="F185"/>
    <x v="0"/>
    <s v="2023 Q1"/>
    <s v="Scope 1"/>
    <x v="2"/>
    <n v="2781"/>
    <n v="68820"/>
    <n v="9612.25"/>
    <n v="83.51"/>
    <n v="867.66"/>
    <n v="18.88"/>
  </r>
  <r>
    <s v="F090"/>
    <x v="2"/>
    <s v="2023 Q2"/>
    <s v="Scope 3"/>
    <x v="2"/>
    <n v="3597.3"/>
    <n v="29895"/>
    <n v="1631.08"/>
    <n v="39.93"/>
    <n v="959.2"/>
    <n v="38.840000000000003"/>
  </r>
  <r>
    <s v="F052"/>
    <x v="3"/>
    <s v="2023 Q2"/>
    <s v="Scope 2"/>
    <x v="2"/>
    <n v="2055.7399999999998"/>
    <n v="66163"/>
    <n v="1416.57"/>
    <n v="68.73"/>
    <n v="773.96"/>
    <n v="29.26"/>
  </r>
  <r>
    <s v="F034"/>
    <x v="4"/>
    <s v="2023 Q2"/>
    <s v="Scope 1"/>
    <x v="0"/>
    <n v="437.58"/>
    <n v="67213"/>
    <n v="5533.81"/>
    <n v="90.88"/>
    <n v="467.3"/>
    <n v="53.15"/>
  </r>
  <r>
    <s v="F035"/>
    <x v="4"/>
    <s v="2022 Q2"/>
    <s v="Scope 2"/>
    <x v="0"/>
    <n v="3087.52"/>
    <n v="24913"/>
    <n v="5727.27"/>
    <n v="78.849999999999994"/>
    <s v=""/>
    <s v=""/>
  </r>
  <r>
    <s v="F076"/>
    <x v="2"/>
    <s v="2022 Q2"/>
    <s v="Scope 3"/>
    <x v="0"/>
    <n v="2226.37"/>
    <n v="41953"/>
    <n v="2379.14"/>
    <n v="65.67"/>
    <n v="571.66"/>
    <n v="14.81"/>
  </r>
  <r>
    <s v="F105"/>
    <x v="0"/>
    <s v="2022 Q1"/>
    <s v="Scope 2"/>
    <x v="0"/>
    <n v="769.29"/>
    <n v="27028"/>
    <n v="4617.92"/>
    <n v="57.62"/>
    <n v="780.4"/>
    <n v="24.87"/>
  </r>
  <r>
    <s v="F065"/>
    <x v="1"/>
    <s v="2023 Q2"/>
    <s v="Scope 2"/>
    <x v="2"/>
    <n v="3008.89"/>
    <n v="91031"/>
    <n v="1783.57"/>
    <n v="32.049999999999997"/>
    <n v="532.27"/>
    <n v="15.2"/>
  </r>
  <r>
    <s v="F089"/>
    <x v="4"/>
    <s v="2023 Q1"/>
    <s v="Scope 3"/>
    <x v="0"/>
    <n v="1802.3"/>
    <n v="58895"/>
    <n v="3039.17"/>
    <n v="59.82"/>
    <n v="785.8"/>
    <n v="22.92"/>
  </r>
  <r>
    <s v="F089"/>
    <x v="4"/>
    <s v="2023 Q1"/>
    <s v="Scope 2"/>
    <x v="0"/>
    <n v="3707.94"/>
    <n v="58895"/>
    <n v="3039.17"/>
    <n v="59.82"/>
    <n v="785.8"/>
    <n v="22.92"/>
  </r>
  <r>
    <s v="F143"/>
    <x v="1"/>
    <s v="2022 Q2"/>
    <s v="Scope 3"/>
    <x v="0"/>
    <n v="3134.24"/>
    <n v="29406"/>
    <n v="5281.69"/>
    <n v="27.01"/>
    <n v="231.68"/>
    <n v="13.88"/>
  </r>
  <r>
    <s v="F025"/>
    <x v="4"/>
    <s v="2023 Q2"/>
    <s v="Scope 2"/>
    <x v="1"/>
    <n v="1671.05"/>
    <n v="32131"/>
    <n v="1474.23"/>
    <n v="45.47"/>
    <n v="830.73"/>
    <n v="17.97"/>
  </r>
  <r>
    <s v="F037"/>
    <x v="3"/>
    <s v="2022 Q1"/>
    <s v="Scope 3"/>
    <x v="1"/>
    <n v="456.6"/>
    <n v="97337"/>
    <n v="3362.06"/>
    <n v="55.46"/>
    <n v="459.56"/>
    <n v="10.31"/>
  </r>
  <r>
    <s v="F156"/>
    <x v="2"/>
    <s v="2022 Q1"/>
    <s v="Scope 1"/>
    <x v="0"/>
    <n v="4237.93"/>
    <n v="88308"/>
    <n v="7802.07"/>
    <n v="36.130000000000003"/>
    <n v="557.72"/>
    <n v="62.75"/>
  </r>
  <r>
    <s v="F058"/>
    <x v="1"/>
    <s v="2023 Q2"/>
    <s v="Scope 3"/>
    <x v="2"/>
    <n v="4750.1899999999996"/>
    <n v="66398"/>
    <n v="8713.61"/>
    <n v="83.44"/>
    <n v="763.97"/>
    <n v="22.42"/>
  </r>
  <r>
    <s v="F013"/>
    <x v="2"/>
    <s v="2023 Q2"/>
    <s v="Scope 2"/>
    <x v="0"/>
    <n v="3912.43"/>
    <n v="72813"/>
    <n v="8818.16"/>
    <n v="54.12"/>
    <n v="986.62"/>
    <n v="42.1"/>
  </r>
  <r>
    <s v="F198"/>
    <x v="3"/>
    <s v="2023 Q2"/>
    <s v="Scope 1"/>
    <x v="1"/>
    <n v="349.13"/>
    <n v="40577"/>
    <n v="4280.82"/>
    <n v="79.88"/>
    <n v="932.3"/>
    <n v="10.19"/>
  </r>
  <r>
    <s v="F194"/>
    <x v="3"/>
    <s v="2022 Q2"/>
    <s v="Scope 2"/>
    <x v="2"/>
    <n v="3133.74"/>
    <n v="42382"/>
    <n v="5116.6899999999996"/>
    <n v="80.42"/>
    <n v="626.54"/>
    <n v="70.540000000000006"/>
  </r>
  <r>
    <s v="F198"/>
    <x v="3"/>
    <s v="2023 Q1"/>
    <s v="Scope 2"/>
    <x v="0"/>
    <n v="228.22"/>
    <n v="40577"/>
    <n v="4280.82"/>
    <n v="79.88"/>
    <n v="932.3"/>
    <n v="10.19"/>
  </r>
  <r>
    <s v="F028"/>
    <x v="4"/>
    <s v="2022 Q1"/>
    <s v="Scope 2"/>
    <x v="1"/>
    <n v="1437.79"/>
    <n v="73977"/>
    <n v="1646.75"/>
    <n v="43.77"/>
    <s v=""/>
    <s v=""/>
  </r>
  <r>
    <s v="F059"/>
    <x v="2"/>
    <s v="2023 Q1"/>
    <s v="Scope 2"/>
    <x v="2"/>
    <n v="3734.66"/>
    <n v="30934"/>
    <n v="4175.6499999999996"/>
    <n v="77.290000000000006"/>
    <n v="610.79999999999995"/>
    <n v="14.23"/>
  </r>
  <r>
    <s v="F166"/>
    <x v="3"/>
    <s v="2022 Q2"/>
    <s v="Scope 2"/>
    <x v="1"/>
    <n v="923.68"/>
    <n v="96474"/>
    <n v="7574.39"/>
    <n v="95.54"/>
    <n v="886.71"/>
    <n v="24.84"/>
  </r>
  <r>
    <s v="F177"/>
    <x v="3"/>
    <s v="2023 Q1"/>
    <s v="Scope 2"/>
    <x v="2"/>
    <n v="1962.58"/>
    <n v="87482"/>
    <n v="2231.7399999999998"/>
    <n v="45.43"/>
    <n v="638.89"/>
    <n v="24.69"/>
  </r>
  <r>
    <s v="F011"/>
    <x v="4"/>
    <s v="2022 Q1"/>
    <s v="Scope 1"/>
    <x v="1"/>
    <n v="690.6"/>
    <n v="72846"/>
    <n v="5169.53"/>
    <n v="76.709999999999994"/>
    <s v=""/>
    <s v=""/>
  </r>
  <r>
    <s v="F004"/>
    <x v="0"/>
    <s v="2023 Q1"/>
    <s v="Scope 3"/>
    <x v="0"/>
    <n v="1785.82"/>
    <n v="83923"/>
    <n v="8768.7999999999993"/>
    <n v="65.290000000000006"/>
    <n v="579.80999999999995"/>
    <n v="34.93"/>
  </r>
  <r>
    <s v="F120"/>
    <x v="4"/>
    <s v="2023 Q2"/>
    <s v="Scope 2"/>
    <x v="2"/>
    <n v="4949.3"/>
    <n v="57215"/>
    <n v="3227.1"/>
    <n v="32.909999999999997"/>
    <n v="951.35"/>
    <n v="33.299999999999997"/>
  </r>
  <r>
    <s v="F176"/>
    <x v="4"/>
    <s v="2023 Q2"/>
    <s v="Scope 3"/>
    <x v="0"/>
    <n v="3153.34"/>
    <n v="18726"/>
    <n v="5099.54"/>
    <n v="71.05"/>
    <n v="714.03"/>
    <n v="32.29"/>
  </r>
  <r>
    <s v="F072"/>
    <x v="2"/>
    <s v="2023 Q1"/>
    <s v="Scope 1"/>
    <x v="1"/>
    <n v="919.35"/>
    <n v="95292"/>
    <n v="697.47"/>
    <n v="88.35"/>
    <n v="114.57"/>
    <n v="36.04"/>
  </r>
  <r>
    <s v="F028"/>
    <x v="4"/>
    <s v="2023 Q1"/>
    <s v="Scope 1"/>
    <x v="1"/>
    <n v="2465.21"/>
    <n v="73977"/>
    <n v="1646.75"/>
    <n v="43.77"/>
    <s v=""/>
    <s v=""/>
  </r>
  <r>
    <s v="F168"/>
    <x v="2"/>
    <s v="2023 Q2"/>
    <s v="Scope 1"/>
    <x v="0"/>
    <n v="2956.74"/>
    <n v="24095"/>
    <n v="3167.52"/>
    <n v="31.02"/>
    <n v="608.07000000000005"/>
    <n v="13.98"/>
  </r>
  <r>
    <s v="F053"/>
    <x v="0"/>
    <s v="2023 Q1"/>
    <s v="Scope 3"/>
    <x v="0"/>
    <n v="1174.6300000000001"/>
    <n v="56392"/>
    <n v="5703.76"/>
    <n v="23.04"/>
    <n v="991.03"/>
    <n v="27.62"/>
  </r>
  <r>
    <s v="F125"/>
    <x v="1"/>
    <s v="2023 Q1"/>
    <s v="Scope 1"/>
    <x v="2"/>
    <n v="1574.82"/>
    <n v="82332"/>
    <n v="7134.86"/>
    <n v="22.44"/>
    <n v="553.44000000000005"/>
    <n v="13.24"/>
  </r>
  <r>
    <s v="F031"/>
    <x v="3"/>
    <s v="2022 Q1"/>
    <s v="Scope 3"/>
    <x v="0"/>
    <n v="922.32"/>
    <n v="86263"/>
    <n v="3213.71"/>
    <n v="98.39"/>
    <n v="662.74"/>
    <n v="20.66"/>
  </r>
  <r>
    <s v="F086"/>
    <x v="4"/>
    <s v="2023 Q2"/>
    <s v="Scope 3"/>
    <x v="0"/>
    <n v="842.92"/>
    <n v="55974"/>
    <n v="7542.28"/>
    <n v="72.430000000000007"/>
    <n v="626.54"/>
    <n v="29.46"/>
  </r>
  <r>
    <s v="F064"/>
    <x v="1"/>
    <s v="2022 Q1"/>
    <s v="Scope 1"/>
    <x v="0"/>
    <n v="3132.1"/>
    <n v="70481"/>
    <n v="4452.83"/>
    <n v="91.26"/>
    <s v=""/>
    <s v=""/>
  </r>
  <r>
    <s v="F041"/>
    <x v="1"/>
    <s v="2022 Q2"/>
    <s v="Scope 3"/>
    <x v="0"/>
    <n v="3613.5"/>
    <n v="84721"/>
    <n v="2278.9699999999998"/>
    <n v="68.53"/>
    <n v="796.34"/>
    <n v="33.590000000000003"/>
  </r>
  <r>
    <s v="F030"/>
    <x v="0"/>
    <s v="2023 Q1"/>
    <s v="Scope 3"/>
    <x v="2"/>
    <n v="1968.52"/>
    <n v="49924"/>
    <n v="2199.16"/>
    <n v="75.48"/>
    <n v="432.23"/>
    <n v="13.54"/>
  </r>
  <r>
    <s v="F138"/>
    <x v="0"/>
    <s v="2023 Q2"/>
    <s v="Scope 1"/>
    <x v="0"/>
    <n v="70.83"/>
    <n v="94393"/>
    <n v="6691.7"/>
    <n v="74.790000000000006"/>
    <n v="867.66"/>
    <n v="32.97"/>
  </r>
  <r>
    <s v="F138"/>
    <x v="0"/>
    <s v="2022 Q2"/>
    <s v="Scope 1"/>
    <x v="1"/>
    <n v="1698.04"/>
    <n v="94393"/>
    <n v="6691.7"/>
    <n v="74.790000000000006"/>
    <n v="867.66"/>
    <n v="32.97"/>
  </r>
  <r>
    <s v="F122"/>
    <x v="4"/>
    <s v="2023 Q2"/>
    <s v="Scope 2"/>
    <x v="0"/>
    <n v="4151.2"/>
    <n v="49620"/>
    <n v="2424.31"/>
    <n v="62.09"/>
    <n v="184.92"/>
    <n v="19.55"/>
  </r>
  <r>
    <s v="F174"/>
    <x v="3"/>
    <s v="2023 Q1"/>
    <s v="Scope 2"/>
    <x v="1"/>
    <n v="4411.01"/>
    <n v="95962"/>
    <n v="524.72"/>
    <n v="49.55"/>
    <n v="991.36"/>
    <n v="18.28"/>
  </r>
  <r>
    <s v="F159"/>
    <x v="0"/>
    <s v="2022 Q2"/>
    <s v="Scope 2"/>
    <x v="1"/>
    <n v="284.04000000000002"/>
    <n v="72224"/>
    <n v="1613.32"/>
    <n v="39.21"/>
    <n v="111.84"/>
    <n v="28.69"/>
  </r>
  <r>
    <s v="F150"/>
    <x v="4"/>
    <s v="2022 Q1"/>
    <s v="Scope 3"/>
    <x v="2"/>
    <n v="3725.85"/>
    <n v="46863"/>
    <n v="6762.98"/>
    <n v="23.45"/>
    <n v="231.68"/>
    <n v="35.92"/>
  </r>
  <r>
    <s v="F136"/>
    <x v="1"/>
    <s v="2022 Q2"/>
    <s v="Scope 2"/>
    <x v="2"/>
    <n v="324.83999999999997"/>
    <n v="43346"/>
    <n v="5559.12"/>
    <n v="39.4"/>
    <n v="571.88"/>
    <n v="32.18"/>
  </r>
  <r>
    <s v="F087"/>
    <x v="4"/>
    <s v="2022 Q2"/>
    <s v="Scope 2"/>
    <x v="2"/>
    <n v="574.69000000000005"/>
    <n v="44164"/>
    <n v="3869.32"/>
    <n v="13.81"/>
    <n v="943.59"/>
    <n v="16.02"/>
  </r>
  <r>
    <s v="F123"/>
    <x v="1"/>
    <s v="2023 Q1"/>
    <s v="Scope 3"/>
    <x v="2"/>
    <n v="3034.33"/>
    <n v="58113"/>
    <n v="6382.12"/>
    <n v="56.66"/>
    <n v="431.16"/>
    <n v="48.25"/>
  </r>
  <r>
    <s v="F128"/>
    <x v="2"/>
    <s v="2023 Q1"/>
    <s v="Scope 2"/>
    <x v="2"/>
    <n v="169.73"/>
    <n v="68216"/>
    <n v="9562.33"/>
    <n v="63.59"/>
    <n v="830.73"/>
    <n v="46.68"/>
  </r>
  <r>
    <s v="F155"/>
    <x v="2"/>
    <s v="2022 Q2"/>
    <s v="Scope 1"/>
    <x v="2"/>
    <n v="1309.6199999999999"/>
    <n v="75736"/>
    <n v="6287.07"/>
    <n v="63.11"/>
    <n v="851.48"/>
    <n v="25.39"/>
  </r>
  <r>
    <s v="F095"/>
    <x v="2"/>
    <s v="2022 Q1"/>
    <s v="Scope 2"/>
    <x v="2"/>
    <n v="2624.96"/>
    <n v="49885"/>
    <n v="6845.46"/>
    <n v="58.4"/>
    <n v="341.24"/>
    <n v="19.309999999999999"/>
  </r>
  <r>
    <s v="F152"/>
    <x v="4"/>
    <s v="2022 Q1"/>
    <s v="Scope 1"/>
    <x v="1"/>
    <n v="1753.99"/>
    <n v="90679"/>
    <n v="7266.82"/>
    <n v="23.3"/>
    <n v="943.59"/>
    <n v="15.81"/>
  </r>
  <r>
    <s v="F048"/>
    <x v="0"/>
    <s v="2022 Q2"/>
    <s v="Scope 3"/>
    <x v="0"/>
    <n v="4506.3500000000004"/>
    <n v="26338"/>
    <n v="578.73"/>
    <n v="72.52"/>
    <n v="991.36"/>
    <n v="35.39"/>
  </r>
  <r>
    <s v="F195"/>
    <x v="1"/>
    <s v="2022 Q2"/>
    <s v="Scope 3"/>
    <x v="2"/>
    <n v="1399.94"/>
    <n v="87012"/>
    <n v="7478.13"/>
    <n v="27.22"/>
    <n v="579.80999999999995"/>
    <n v="28.6"/>
  </r>
  <r>
    <s v="F054"/>
    <x v="3"/>
    <s v="2023 Q2"/>
    <s v="Scope 3"/>
    <x v="1"/>
    <n v="3722.06"/>
    <n v="38869"/>
    <n v="5109.76"/>
    <n v="35.270000000000003"/>
    <n v="986.62"/>
    <n v="40.86"/>
  </r>
  <r>
    <s v="F172"/>
    <x v="4"/>
    <s v="2023 Q2"/>
    <s v="Scope 3"/>
    <x v="2"/>
    <n v="4854.66"/>
    <n v="98396"/>
    <n v="5174.07"/>
    <n v="63.38"/>
    <n v="714.03"/>
    <n v="36.89"/>
  </r>
  <r>
    <s v="F055"/>
    <x v="2"/>
    <s v="2022 Q2"/>
    <s v="Scope 3"/>
    <x v="2"/>
    <n v="3995.71"/>
    <n v="41050"/>
    <n v="6025.84"/>
    <n v="53.53"/>
    <n v="289.77"/>
    <n v="19.260000000000002"/>
  </r>
  <r>
    <s v="F043"/>
    <x v="0"/>
    <s v="2023 Q2"/>
    <s v="Scope 3"/>
    <x v="0"/>
    <n v="1233.93"/>
    <n v="14009"/>
    <n v="7528.98"/>
    <n v="77.62"/>
    <n v="763.97"/>
    <n v="24.91"/>
  </r>
  <r>
    <s v="F033"/>
    <x v="0"/>
    <s v="2023 Q2"/>
    <s v="Scope 1"/>
    <x v="1"/>
    <n v="2802.78"/>
    <n v="47727"/>
    <n v="8907.33"/>
    <n v="47.4"/>
    <n v="344.93"/>
    <n v="43.18"/>
  </r>
  <r>
    <s v="F105"/>
    <x v="0"/>
    <s v="2022 Q1"/>
    <s v="Scope 1"/>
    <x v="1"/>
    <n v="2330.0300000000002"/>
    <n v="27028"/>
    <n v="4617.92"/>
    <n v="57.62"/>
    <n v="780.4"/>
    <n v="24.87"/>
  </r>
  <r>
    <s v="F165"/>
    <x v="4"/>
    <s v="2022 Q1"/>
    <s v="Scope 2"/>
    <x v="2"/>
    <n v="4895.2700000000004"/>
    <n v="79330"/>
    <n v="6075.23"/>
    <n v="83.97"/>
    <n v="209.33"/>
    <n v="13.62"/>
  </r>
  <r>
    <s v="F175"/>
    <x v="3"/>
    <s v="2022 Q2"/>
    <s v="Scope 1"/>
    <x v="2"/>
    <n v="804.58"/>
    <n v="94949"/>
    <n v="9714.76"/>
    <n v="64.900000000000006"/>
    <n v="241.41"/>
    <n v="20.62"/>
  </r>
  <r>
    <s v="F024"/>
    <x v="4"/>
    <s v="2022 Q2"/>
    <s v="Scope 3"/>
    <x v="0"/>
    <n v="5233.95"/>
    <n v="95718"/>
    <n v="2443.12"/>
    <n v="35.49"/>
    <n v="818.45"/>
    <n v="9.9499999999999993"/>
  </r>
  <r>
    <s v="F200"/>
    <x v="1"/>
    <s v="2023 Q2"/>
    <s v="Scope 1"/>
    <x v="0"/>
    <n v="2997.09"/>
    <n v="21081"/>
    <n v="9001.77"/>
    <n v="49.27"/>
    <n v="114.57"/>
    <n v="44.17"/>
  </r>
  <r>
    <s v="F157"/>
    <x v="0"/>
    <s v="2022 Q1"/>
    <s v="Scope 3"/>
    <x v="0"/>
    <n v="964.92"/>
    <n v="15788"/>
    <n v="1824.14"/>
    <n v="52.78"/>
    <n v="571.88"/>
    <n v="8.17"/>
  </r>
  <r>
    <s v="F011"/>
    <x v="4"/>
    <s v="2022 Q1"/>
    <s v="Scope 3"/>
    <x v="2"/>
    <n v="3145.31"/>
    <n v="72846"/>
    <n v="5169.53"/>
    <n v="76.709999999999994"/>
    <s v=""/>
    <s v=""/>
  </r>
  <r>
    <s v="F120"/>
    <x v="4"/>
    <s v="2022 Q2"/>
    <s v="Scope 2"/>
    <x v="1"/>
    <n v="2135.2800000000002"/>
    <n v="57215"/>
    <n v="3227.1"/>
    <n v="32.909999999999997"/>
    <n v="951.35"/>
    <n v="33.299999999999997"/>
  </r>
  <r>
    <s v="F143"/>
    <x v="1"/>
    <s v="2023 Q1"/>
    <s v="Scope 3"/>
    <x v="2"/>
    <n v="4359.51"/>
    <n v="29406"/>
    <n v="5281.69"/>
    <n v="27.01"/>
    <n v="231.68"/>
    <n v="13.88"/>
  </r>
  <r>
    <s v="F127"/>
    <x v="3"/>
    <s v="2023 Q2"/>
    <s v="Scope 1"/>
    <x v="1"/>
    <n v="4094.25"/>
    <n v="77400"/>
    <n v="7504.8"/>
    <n v="68.819999999999993"/>
    <s v=""/>
    <s v=""/>
  </r>
  <r>
    <s v="F043"/>
    <x v="0"/>
    <s v="2023 Q1"/>
    <s v="Scope 3"/>
    <x v="1"/>
    <n v="1200.6199999999999"/>
    <n v="14009"/>
    <n v="7528.98"/>
    <n v="77.62"/>
    <n v="763.97"/>
    <n v="24.91"/>
  </r>
  <r>
    <s v="F117"/>
    <x v="2"/>
    <s v="2023 Q2"/>
    <s v="Scope 3"/>
    <x v="2"/>
    <n v="2599.94"/>
    <n v="52594"/>
    <n v="8715.0400000000009"/>
    <n v="90.54"/>
    <n v="553.44000000000005"/>
    <n v="23.44"/>
  </r>
  <r>
    <s v="F187"/>
    <x v="2"/>
    <s v="2023 Q1"/>
    <s v="Scope 1"/>
    <x v="0"/>
    <n v="3672.52"/>
    <n v="77317"/>
    <n v="4862.95"/>
    <n v="89.78"/>
    <n v="960.4"/>
    <n v="31.34"/>
  </r>
  <r>
    <s v="F029"/>
    <x v="4"/>
    <s v="2023 Q2"/>
    <s v="Scope 2"/>
    <x v="2"/>
    <n v="787.76"/>
    <n v="12262"/>
    <n v="7106.18"/>
    <n v="45.69"/>
    <n v="459.56"/>
    <n v="29.71"/>
  </r>
  <r>
    <s v="F195"/>
    <x v="1"/>
    <s v="2022 Q1"/>
    <s v="Scope 1"/>
    <x v="0"/>
    <n v="4418.3"/>
    <n v="87012"/>
    <n v="7478.13"/>
    <n v="27.22"/>
    <n v="579.80999999999995"/>
    <n v="28.6"/>
  </r>
  <r>
    <s v="F164"/>
    <x v="0"/>
    <s v="2023 Q2"/>
    <s v="Scope 2"/>
    <x v="2"/>
    <n v="1918.45"/>
    <n v="60710"/>
    <n v="2726.26"/>
    <n v="83.02"/>
    <n v="714.81"/>
    <n v="58.54"/>
  </r>
  <r>
    <s v="F094"/>
    <x v="3"/>
    <s v="2023 Q2"/>
    <s v="Scope 2"/>
    <x v="0"/>
    <n v="4411.78"/>
    <n v="40553"/>
    <n v="4875.2299999999996"/>
    <n v="23.33"/>
    <n v="818.45"/>
    <n v="19.420000000000002"/>
  </r>
  <r>
    <s v="F154"/>
    <x v="0"/>
    <s v="2023 Q2"/>
    <s v="Scope 3"/>
    <x v="0"/>
    <n v="755.84"/>
    <n v="17097"/>
    <n v="9061.7800000000007"/>
    <n v="95.92"/>
    <n v="390.06"/>
    <n v="18.010000000000002"/>
  </r>
  <r>
    <s v="F109"/>
    <x v="0"/>
    <s v="2022 Q2"/>
    <s v="Scope 3"/>
    <x v="0"/>
    <n v="868.51"/>
    <n v="34318"/>
    <n v="675.67"/>
    <n v="41.05"/>
    <n v="390.06"/>
    <n v="27.42"/>
  </r>
  <r>
    <s v="F079"/>
    <x v="2"/>
    <s v="2023 Q1"/>
    <s v="Scope 1"/>
    <x v="0"/>
    <n v="3296.99"/>
    <n v="17311"/>
    <n v="2257.38"/>
    <n v="91.07"/>
    <n v="341.24"/>
    <n v="80.69"/>
  </r>
  <r>
    <s v="F108"/>
    <x v="3"/>
    <s v="2023 Q1"/>
    <s v="Scope 2"/>
    <x v="2"/>
    <n v="4240.42"/>
    <n v="39050"/>
    <n v="5885.73"/>
    <n v="93.04"/>
    <n v="318.55"/>
    <n v="39.81"/>
  </r>
  <r>
    <s v="F020"/>
    <x v="2"/>
    <s v="2022 Q2"/>
    <s v="Scope 3"/>
    <x v="0"/>
    <n v="1409.82"/>
    <n v="95165"/>
    <n v="8562.76"/>
    <n v="37.54"/>
    <n v="479.41"/>
    <n v="13.64"/>
  </r>
  <r>
    <s v="F174"/>
    <x v="3"/>
    <s v="2023 Q1"/>
    <s v="Scope 1"/>
    <x v="0"/>
    <n v="3970.76"/>
    <n v="95962"/>
    <n v="524.72"/>
    <n v="49.55"/>
    <n v="991.36"/>
    <n v="18.28"/>
  </r>
  <r>
    <s v="F031"/>
    <x v="3"/>
    <s v="2022 Q1"/>
    <s v="Scope 2"/>
    <x v="1"/>
    <n v="549.77"/>
    <n v="86263"/>
    <n v="3213.71"/>
    <n v="98.39"/>
    <n v="662.74"/>
    <n v="20.66"/>
  </r>
  <r>
    <s v="F045"/>
    <x v="0"/>
    <s v="2022 Q2"/>
    <s v="Scope 1"/>
    <x v="0"/>
    <n v="104.29"/>
    <n v="34725"/>
    <n v="3269.89"/>
    <n v="78.86"/>
    <n v="436.04"/>
    <n v="31.8"/>
  </r>
  <r>
    <s v="F189"/>
    <x v="0"/>
    <s v="2022 Q2"/>
    <s v="Scope 1"/>
    <x v="0"/>
    <n v="1468.86"/>
    <n v="67820"/>
    <n v="8177.95"/>
    <n v="40.69"/>
    <n v="790.74"/>
    <n v="15.94"/>
  </r>
  <r>
    <s v="F177"/>
    <x v="3"/>
    <s v="2022 Q2"/>
    <s v="Scope 1"/>
    <x v="1"/>
    <n v="2876.13"/>
    <n v="87482"/>
    <n v="2231.7399999999998"/>
    <n v="45.43"/>
    <n v="638.89"/>
    <n v="24.69"/>
  </r>
  <r>
    <s v="F195"/>
    <x v="1"/>
    <s v="2022 Q2"/>
    <s v="Scope 2"/>
    <x v="2"/>
    <n v="1825.34"/>
    <n v="87012"/>
    <n v="7478.13"/>
    <n v="27.22"/>
    <n v="579.80999999999995"/>
    <n v="28.6"/>
  </r>
  <r>
    <s v="F148"/>
    <x v="1"/>
    <s v="2023 Q2"/>
    <s v="Scope 1"/>
    <x v="1"/>
    <n v="3246.39"/>
    <n v="47491"/>
    <n v="5781.05"/>
    <n v="92.18"/>
    <n v="344.93"/>
    <n v="36.229999999999997"/>
  </r>
  <r>
    <s v="F060"/>
    <x v="4"/>
    <s v="2022 Q1"/>
    <s v="Scope 2"/>
    <x v="0"/>
    <n v="1846.98"/>
    <n v="41539"/>
    <n v="982.8"/>
    <n v="79.7"/>
    <n v="851.48"/>
    <n v="13.07"/>
  </r>
  <r>
    <s v="F047"/>
    <x v="0"/>
    <s v="2023 Q2"/>
    <s v="Scope 1"/>
    <x v="2"/>
    <n v="4193.53"/>
    <n v="39568"/>
    <n v="3580.54"/>
    <n v="78.08"/>
    <n v="635.72"/>
    <n v="67.36"/>
  </r>
  <r>
    <s v="F081"/>
    <x v="1"/>
    <s v="2023 Q1"/>
    <s v="Scope 2"/>
    <x v="0"/>
    <n v="1402.57"/>
    <n v="39560"/>
    <n v="8380.77"/>
    <n v="94.01"/>
    <s v=""/>
    <s v=""/>
  </r>
  <r>
    <s v="F126"/>
    <x v="2"/>
    <s v="2022 Q1"/>
    <s v="Scope 3"/>
    <x v="0"/>
    <n v="2860.15"/>
    <n v="75508"/>
    <n v="6856.22"/>
    <n v="18.2"/>
    <n v="991.03"/>
    <n v="13.32"/>
  </r>
  <r>
    <s v="F103"/>
    <x v="4"/>
    <s v="2022 Q2"/>
    <s v="Scope 2"/>
    <x v="1"/>
    <n v="1019.13"/>
    <n v="22309"/>
    <n v="3656.29"/>
    <n v="75.25"/>
    <n v="795.74"/>
    <n v="26.99"/>
  </r>
  <r>
    <s v="F075"/>
    <x v="3"/>
    <s v="2022 Q1"/>
    <s v="Scope 2"/>
    <x v="1"/>
    <n v="3886.16"/>
    <n v="60513"/>
    <n v="4578.16"/>
    <n v="65.53"/>
    <s v=""/>
    <s v=""/>
  </r>
  <r>
    <s v="F053"/>
    <x v="0"/>
    <s v="2023 Q1"/>
    <s v="Scope 3"/>
    <x v="1"/>
    <n v="2913.93"/>
    <n v="56392"/>
    <n v="5703.76"/>
    <n v="23.04"/>
    <n v="991.03"/>
    <n v="27.62"/>
  </r>
  <r>
    <s v="F194"/>
    <x v="3"/>
    <s v="2022 Q1"/>
    <s v="Scope 1"/>
    <x v="0"/>
    <n v="4929.24"/>
    <n v="42382"/>
    <n v="5116.6899999999996"/>
    <n v="80.42"/>
    <n v="626.54"/>
    <n v="70.540000000000006"/>
  </r>
  <r>
    <s v="F121"/>
    <x v="3"/>
    <s v="2022 Q2"/>
    <s v="Scope 1"/>
    <x v="0"/>
    <n v="197.22"/>
    <n v="11952"/>
    <n v="4637.74"/>
    <n v="63.78"/>
    <n v="886.71"/>
    <n v="29.53"/>
  </r>
  <r>
    <s v="F117"/>
    <x v="2"/>
    <s v="2023 Q1"/>
    <s v="Scope 2"/>
    <x v="0"/>
    <n v="3407.21"/>
    <n v="52594"/>
    <n v="8715.0400000000009"/>
    <n v="90.54"/>
    <n v="553.44000000000005"/>
    <n v="23.44"/>
  </r>
  <r>
    <s v="F164"/>
    <x v="0"/>
    <s v="2022 Q2"/>
    <s v="Scope 2"/>
    <x v="2"/>
    <n v="538.5"/>
    <n v="60710"/>
    <n v="2726.26"/>
    <n v="83.02"/>
    <n v="714.81"/>
    <n v="58.54"/>
  </r>
  <r>
    <s v="F046"/>
    <x v="4"/>
    <s v="2022 Q2"/>
    <s v="Scope 2"/>
    <x v="0"/>
    <n v="4976.37"/>
    <n v="87337"/>
    <n v="3603.06"/>
    <n v="67.13"/>
    <s v=""/>
    <s v=""/>
  </r>
  <r>
    <s v="F167"/>
    <x v="2"/>
    <s v="2022 Q1"/>
    <s v="Scope 1"/>
    <x v="2"/>
    <n v="1334.36"/>
    <n v="94128"/>
    <n v="8117.82"/>
    <n v="73.83"/>
    <n v="532.27"/>
    <n v="31.74"/>
  </r>
  <r>
    <s v="F185"/>
    <x v="0"/>
    <s v="2023 Q2"/>
    <s v="Scope 1"/>
    <x v="0"/>
    <n v="2641.31"/>
    <n v="68820"/>
    <n v="9612.25"/>
    <n v="83.51"/>
    <n v="867.66"/>
    <n v="18.88"/>
  </r>
  <r>
    <s v="F029"/>
    <x v="4"/>
    <s v="2022 Q2"/>
    <s v="Scope 3"/>
    <x v="2"/>
    <n v="3466.63"/>
    <n v="12262"/>
    <n v="7106.18"/>
    <n v="45.69"/>
    <n v="459.56"/>
    <n v="29.71"/>
  </r>
  <r>
    <s v="F192"/>
    <x v="4"/>
    <s v="2022 Q1"/>
    <s v="Scope 1"/>
    <x v="2"/>
    <n v="4682.5600000000004"/>
    <n v="21914"/>
    <n v="5897.27"/>
    <n v="49.41"/>
    <n v="790.74"/>
    <n v="15.07"/>
  </r>
  <r>
    <s v="F067"/>
    <x v="1"/>
    <s v="2022 Q2"/>
    <s v="Scope 1"/>
    <x v="2"/>
    <n v="272.64"/>
    <n v="28400"/>
    <n v="3056.67"/>
    <n v="52.68"/>
    <n v="571.88"/>
    <n v="8.6199999999999992"/>
  </r>
  <r>
    <s v="F128"/>
    <x v="2"/>
    <s v="2023 Q2"/>
    <s v="Scope 1"/>
    <x v="2"/>
    <n v="4584.96"/>
    <n v="68216"/>
    <n v="9562.33"/>
    <n v="63.59"/>
    <n v="830.73"/>
    <n v="46.68"/>
  </r>
  <r>
    <s v="F004"/>
    <x v="0"/>
    <s v="2023 Q2"/>
    <s v="Scope 1"/>
    <x v="1"/>
    <n v="3965.06"/>
    <n v="83923"/>
    <n v="8768.7999999999993"/>
    <n v="65.290000000000006"/>
    <n v="579.80999999999995"/>
    <n v="34.93"/>
  </r>
  <r>
    <s v="F097"/>
    <x v="1"/>
    <s v="2022 Q1"/>
    <s v="Scope 3"/>
    <x v="2"/>
    <n v="1855"/>
    <n v="69100"/>
    <n v="9356.02"/>
    <n v="16.5"/>
    <n v="694.92"/>
    <n v="23.67"/>
  </r>
  <r>
    <s v="F026"/>
    <x v="2"/>
    <s v="2023 Q1"/>
    <s v="Scope 3"/>
    <x v="0"/>
    <n v="1170.49"/>
    <n v="32246"/>
    <n v="7903.93"/>
    <n v="42.12"/>
    <n v="459.56"/>
    <n v="28.62"/>
  </r>
  <r>
    <s v="F037"/>
    <x v="3"/>
    <s v="2023 Q2"/>
    <s v="Scope 1"/>
    <x v="0"/>
    <n v="2881.56"/>
    <n v="97337"/>
    <n v="3362.06"/>
    <n v="55.46"/>
    <n v="459.56"/>
    <n v="10.31"/>
  </r>
  <r>
    <s v="F086"/>
    <x v="4"/>
    <s v="2023 Q1"/>
    <s v="Scope 1"/>
    <x v="2"/>
    <n v="4820.21"/>
    <n v="55974"/>
    <n v="7542.28"/>
    <n v="72.430000000000007"/>
    <n v="626.54"/>
    <n v="29.46"/>
  </r>
  <r>
    <s v="F174"/>
    <x v="3"/>
    <s v="2022 Q1"/>
    <s v="Scope 1"/>
    <x v="1"/>
    <n v="2635.84"/>
    <n v="95962"/>
    <n v="524.72"/>
    <n v="49.55"/>
    <n v="991.36"/>
    <n v="18.28"/>
  </r>
  <r>
    <s v="F153"/>
    <x v="3"/>
    <s v="2023 Q1"/>
    <s v="Scope 2"/>
    <x v="1"/>
    <n v="3933.16"/>
    <n v="95306"/>
    <n v="9037.76"/>
    <n v="13.35"/>
    <n v="724.63"/>
    <n v="21.2"/>
  </r>
  <r>
    <s v="F101"/>
    <x v="3"/>
    <s v="2023 Q2"/>
    <s v="Scope 1"/>
    <x v="2"/>
    <n v="425.14"/>
    <n v="65719"/>
    <n v="9362.41"/>
    <n v="86.55"/>
    <n v="932.3"/>
    <n v="28.9"/>
  </r>
  <r>
    <s v="F070"/>
    <x v="2"/>
    <s v="2023 Q2"/>
    <s v="Scope 2"/>
    <x v="2"/>
    <n v="3494.61"/>
    <n v="15128"/>
    <n v="8847.09"/>
    <n v="5.25"/>
    <n v="230.57"/>
    <n v="60.48"/>
  </r>
  <r>
    <s v="F160"/>
    <x v="4"/>
    <s v="2023 Q2"/>
    <s v="Scope 3"/>
    <x v="0"/>
    <n v="3199.76"/>
    <n v="36423"/>
    <n v="589.96"/>
    <n v="30.9"/>
    <n v="111.84"/>
    <n v="23.26"/>
  </r>
  <r>
    <s v="F043"/>
    <x v="0"/>
    <s v="2022 Q1"/>
    <s v="Scope 1"/>
    <x v="1"/>
    <n v="290.08999999999997"/>
    <n v="14009"/>
    <n v="7528.98"/>
    <n v="77.62"/>
    <n v="763.97"/>
    <n v="24.91"/>
  </r>
  <r>
    <s v="F109"/>
    <x v="0"/>
    <s v="2023 Q2"/>
    <s v="Scope 2"/>
    <x v="1"/>
    <n v="1123.56"/>
    <n v="34318"/>
    <n v="675.67"/>
    <n v="41.05"/>
    <n v="390.06"/>
    <n v="27.42"/>
  </r>
  <r>
    <s v="F080"/>
    <x v="3"/>
    <s v="2022 Q1"/>
    <s v="Scope 2"/>
    <x v="0"/>
    <n v="1109.47"/>
    <n v="10250"/>
    <n v="4717"/>
    <n v="16.600000000000001"/>
    <n v="249.3"/>
    <n v="32.97"/>
  </r>
  <r>
    <s v="F002"/>
    <x v="4"/>
    <s v="2023 Q1"/>
    <s v="Scope 3"/>
    <x v="0"/>
    <n v="1044.92"/>
    <n v="53661"/>
    <n v="6965.81"/>
    <n v="69.400000000000006"/>
    <n v="610.79999999999995"/>
    <n v="29.15"/>
  </r>
  <r>
    <s v="F198"/>
    <x v="3"/>
    <s v="2022 Q2"/>
    <s v="Scope 3"/>
    <x v="1"/>
    <n v="5387.67"/>
    <n v="40577"/>
    <n v="4280.82"/>
    <n v="79.88"/>
    <n v="932.3"/>
    <n v="10.19"/>
  </r>
  <r>
    <s v="F125"/>
    <x v="1"/>
    <s v="2022 Q2"/>
    <s v="Scope 3"/>
    <x v="0"/>
    <n v="3244.17"/>
    <n v="82332"/>
    <n v="7134.86"/>
    <n v="22.44"/>
    <n v="553.44000000000005"/>
    <n v="13.24"/>
  </r>
  <r>
    <s v="F053"/>
    <x v="0"/>
    <s v="2023 Q1"/>
    <s v="Scope 1"/>
    <x v="1"/>
    <n v="3954.01"/>
    <n v="56392"/>
    <n v="5703.76"/>
    <n v="23.04"/>
    <n v="991.03"/>
    <n v="27.62"/>
  </r>
  <r>
    <s v="F168"/>
    <x v="2"/>
    <s v="2023 Q1"/>
    <s v="Scope 1"/>
    <x v="2"/>
    <n v="1475.99"/>
    <n v="24095"/>
    <n v="3167.52"/>
    <n v="31.02"/>
    <n v="608.07000000000005"/>
    <n v="13.98"/>
  </r>
  <r>
    <s v="F092"/>
    <x v="4"/>
    <s v="2023 Q1"/>
    <s v="Scope 3"/>
    <x v="2"/>
    <n v="4669.9799999999996"/>
    <n v="79495"/>
    <n v="7157.48"/>
    <n v="26.84"/>
    <n v="114.57"/>
    <n v="9.83"/>
  </r>
  <r>
    <s v="F114"/>
    <x v="1"/>
    <s v="2022 Q2"/>
    <s v="Scope 3"/>
    <x v="1"/>
    <n v="502.57"/>
    <n v="57353"/>
    <n v="2274.71"/>
    <n v="65.34"/>
    <n v="931.73"/>
    <n v="46.27"/>
  </r>
  <r>
    <s v="F109"/>
    <x v="0"/>
    <s v="2022 Q1"/>
    <s v="Scope 1"/>
    <x v="0"/>
    <n v="2663.13"/>
    <n v="34318"/>
    <n v="675.67"/>
    <n v="41.05"/>
    <n v="390.06"/>
    <n v="27.42"/>
  </r>
  <r>
    <s v="F075"/>
    <x v="3"/>
    <s v="2022 Q2"/>
    <s v="Scope 1"/>
    <x v="1"/>
    <n v="3327.22"/>
    <n v="60513"/>
    <n v="4578.16"/>
    <n v="65.53"/>
    <s v=""/>
    <s v=""/>
  </r>
  <r>
    <s v="F123"/>
    <x v="1"/>
    <s v="2023 Q2"/>
    <s v="Scope 1"/>
    <x v="0"/>
    <n v="441.04"/>
    <n v="58113"/>
    <n v="6382.12"/>
    <n v="56.66"/>
    <n v="431.16"/>
    <n v="48.25"/>
  </r>
  <r>
    <s v="F104"/>
    <x v="4"/>
    <s v="2022 Q2"/>
    <s v="Scope 3"/>
    <x v="0"/>
    <n v="1466.47"/>
    <n v="84851"/>
    <n v="560.75"/>
    <n v="80.23"/>
    <n v="610.79999999999995"/>
    <n v="26.58"/>
  </r>
  <r>
    <s v="F027"/>
    <x v="4"/>
    <s v="2023 Q1"/>
    <s v="Scope 3"/>
    <x v="0"/>
    <n v="5076.01"/>
    <n v="51800"/>
    <n v="3042.95"/>
    <n v="71.87"/>
    <n v="714.03"/>
    <n v="10.84"/>
  </r>
  <r>
    <s v="F005"/>
    <x v="4"/>
    <s v="2023 Q1"/>
    <s v="Scope 2"/>
    <x v="0"/>
    <n v="3971.86"/>
    <n v="61743"/>
    <n v="7426.75"/>
    <n v="26.39"/>
    <n v="527.37"/>
    <n v="39.28"/>
  </r>
  <r>
    <s v="F003"/>
    <x v="3"/>
    <s v="2023 Q2"/>
    <s v="Scope 2"/>
    <x v="0"/>
    <n v="3120.88"/>
    <n v="27681"/>
    <n v="928.26"/>
    <n v="44.97"/>
    <s v=""/>
    <s v=""/>
  </r>
  <r>
    <s v="F153"/>
    <x v="3"/>
    <s v="2023 Q2"/>
    <s v="Scope 1"/>
    <x v="1"/>
    <n v="3407.69"/>
    <n v="95306"/>
    <n v="9037.76"/>
    <n v="13.35"/>
    <n v="724.63"/>
    <n v="21.2"/>
  </r>
  <r>
    <s v="F054"/>
    <x v="3"/>
    <s v="2022 Q1"/>
    <s v="Scope 3"/>
    <x v="0"/>
    <n v="4867.8900000000003"/>
    <n v="38869"/>
    <n v="5109.76"/>
    <n v="35.270000000000003"/>
    <n v="986.62"/>
    <n v="40.86"/>
  </r>
  <r>
    <s v="F012"/>
    <x v="3"/>
    <s v="2022 Q2"/>
    <s v="Scope 1"/>
    <x v="1"/>
    <n v="1080.8399999999999"/>
    <n v="43747"/>
    <n v="3453.48"/>
    <n v="98.78"/>
    <n v="459.56"/>
    <n v="23.81"/>
  </r>
  <r>
    <s v="F170"/>
    <x v="2"/>
    <s v="2023 Q2"/>
    <s v="Scope 3"/>
    <x v="2"/>
    <n v="1196.42"/>
    <n v="24502"/>
    <n v="7466.86"/>
    <n v="88.83"/>
    <n v="847.51"/>
    <n v="26.48"/>
  </r>
  <r>
    <s v="F111"/>
    <x v="3"/>
    <s v="2023 Q1"/>
    <s v="Scope 1"/>
    <x v="1"/>
    <n v="2634.83"/>
    <n v="10907"/>
    <n v="4748.66"/>
    <n v="39.36"/>
    <n v="986.62"/>
    <n v="17.04"/>
  </r>
  <r>
    <s v="F098"/>
    <x v="4"/>
    <s v="2023 Q2"/>
    <s v="Scope 3"/>
    <x v="0"/>
    <n v="3396.58"/>
    <n v="28704"/>
    <n v="6009.24"/>
    <n v="39.31"/>
    <n v="479.41"/>
    <n v="19.7"/>
  </r>
  <r>
    <s v="F110"/>
    <x v="4"/>
    <s v="2022 Q2"/>
    <s v="Scope 1"/>
    <x v="1"/>
    <n v="4067.32"/>
    <n v="85868"/>
    <n v="907.72"/>
    <n v="90.36"/>
    <n v="960.4"/>
    <n v="10.65"/>
  </r>
  <r>
    <s v="F043"/>
    <x v="0"/>
    <s v="2022 Q2"/>
    <s v="Scope 3"/>
    <x v="0"/>
    <n v="1241.4100000000001"/>
    <n v="14009"/>
    <n v="7528.98"/>
    <n v="77.62"/>
    <n v="763.97"/>
    <n v="24.91"/>
  </r>
  <r>
    <s v="F175"/>
    <x v="3"/>
    <s v="2023 Q2"/>
    <s v="Scope 1"/>
    <x v="2"/>
    <n v="3737.92"/>
    <n v="94949"/>
    <n v="9714.76"/>
    <n v="64.900000000000006"/>
    <n v="241.41"/>
    <n v="20.62"/>
  </r>
  <r>
    <s v="F181"/>
    <x v="3"/>
    <s v="2023 Q1"/>
    <s v="Scope 3"/>
    <x v="2"/>
    <n v="443.27"/>
    <n v="42485"/>
    <n v="4755.75"/>
    <n v="10.19"/>
    <n v="662.74"/>
    <n v="36.79"/>
  </r>
  <r>
    <s v="F004"/>
    <x v="0"/>
    <s v="2022 Q2"/>
    <s v="Scope 1"/>
    <x v="2"/>
    <n v="179.8"/>
    <n v="83923"/>
    <n v="8768.7999999999993"/>
    <n v="65.290000000000006"/>
    <n v="579.80999999999995"/>
    <n v="34.93"/>
  </r>
  <r>
    <s v="F039"/>
    <x v="2"/>
    <s v="2022 Q2"/>
    <s v="Scope 3"/>
    <x v="1"/>
    <n v="253.08"/>
    <n v="40503"/>
    <n v="7447.46"/>
    <n v="98.27"/>
    <n v="209.33"/>
    <n v="39.549999999999997"/>
  </r>
  <r>
    <s v="F074"/>
    <x v="1"/>
    <s v="2022 Q1"/>
    <s v="Scope 2"/>
    <x v="2"/>
    <n v="584.44000000000005"/>
    <n v="25148"/>
    <n v="9604.5499999999993"/>
    <n v="63.47"/>
    <n v="209.33"/>
    <n v="30.01"/>
  </r>
  <r>
    <s v="F063"/>
    <x v="4"/>
    <s v="2022 Q1"/>
    <s v="Scope 3"/>
    <x v="0"/>
    <n v="858.27"/>
    <n v="45519"/>
    <n v="7987.69"/>
    <n v="10.86"/>
    <n v="638.89"/>
    <n v="35.04"/>
  </r>
  <r>
    <s v="F104"/>
    <x v="4"/>
    <s v="2022 Q2"/>
    <s v="Scope 2"/>
    <x v="1"/>
    <n v="220.63"/>
    <n v="84851"/>
    <n v="560.75"/>
    <n v="80.23"/>
    <n v="610.79999999999995"/>
    <n v="26.58"/>
  </r>
  <r>
    <s v="F019"/>
    <x v="0"/>
    <s v="2022 Q2"/>
    <s v="Scope 1"/>
    <x v="2"/>
    <n v="4665.38"/>
    <n v="68018"/>
    <n v="3523.4"/>
    <n v="92.26"/>
    <n v="111.84"/>
    <n v="15.85"/>
  </r>
  <r>
    <s v="F189"/>
    <x v="0"/>
    <s v="2022 Q2"/>
    <s v="Scope 1"/>
    <x v="1"/>
    <n v="3677.45"/>
    <n v="67820"/>
    <n v="8177.95"/>
    <n v="40.69"/>
    <n v="790.74"/>
    <n v="15.94"/>
  </r>
  <r>
    <s v="F107"/>
    <x v="2"/>
    <s v="2022 Q2"/>
    <s v="Scope 2"/>
    <x v="0"/>
    <n v="3434.59"/>
    <n v="43512"/>
    <n v="5352.18"/>
    <n v="6.17"/>
    <n v="311.36"/>
    <n v="28.72"/>
  </r>
  <r>
    <s v="F166"/>
    <x v="3"/>
    <s v="2023 Q1"/>
    <s v="Scope 3"/>
    <x v="2"/>
    <n v="1175.5899999999999"/>
    <n v="96474"/>
    <n v="7574.39"/>
    <n v="95.54"/>
    <n v="886.71"/>
    <n v="24.84"/>
  </r>
  <r>
    <s v="F094"/>
    <x v="3"/>
    <s v="2023 Q1"/>
    <s v="Scope 3"/>
    <x v="1"/>
    <n v="5155.3999999999996"/>
    <n v="40553"/>
    <n v="4875.2299999999996"/>
    <n v="23.33"/>
    <n v="818.45"/>
    <n v="19.420000000000002"/>
  </r>
  <r>
    <s v="F169"/>
    <x v="2"/>
    <s v="2023 Q1"/>
    <s v="Scope 1"/>
    <x v="0"/>
    <n v="4426.07"/>
    <n v="44994"/>
    <n v="7305.59"/>
    <n v="91.53"/>
    <n v="790.74"/>
    <n v="27.44"/>
  </r>
  <r>
    <s v="F090"/>
    <x v="2"/>
    <s v="2022 Q1"/>
    <s v="Scope 1"/>
    <x v="2"/>
    <n v="4487.54"/>
    <n v="29895"/>
    <n v="1631.08"/>
    <n v="39.93"/>
    <n v="959.2"/>
    <n v="38.840000000000003"/>
  </r>
  <r>
    <s v="F040"/>
    <x v="0"/>
    <s v="2022 Q2"/>
    <s v="Scope 2"/>
    <x v="1"/>
    <n v="844.07"/>
    <n v="52357"/>
    <n v="5643.16"/>
    <n v="37.130000000000003"/>
    <n v="932.3"/>
    <n v="13.43"/>
  </r>
  <r>
    <s v="F132"/>
    <x v="4"/>
    <s v="2023 Q1"/>
    <s v="Scope 2"/>
    <x v="2"/>
    <n v="808.96"/>
    <n v="76544"/>
    <n v="8632.77"/>
    <n v="12.87"/>
    <n v="571.88"/>
    <n v="30.1"/>
  </r>
  <r>
    <s v="F042"/>
    <x v="1"/>
    <s v="2023 Q2"/>
    <s v="Scope 3"/>
    <x v="0"/>
    <n v="4896.92"/>
    <n v="58111"/>
    <n v="4610.8999999999996"/>
    <n v="21.53"/>
    <n v="268.16000000000003"/>
    <n v="13.78"/>
  </r>
  <r>
    <s v="F149"/>
    <x v="1"/>
    <s v="2022 Q1"/>
    <s v="Scope 3"/>
    <x v="0"/>
    <n v="191.17"/>
    <n v="61207"/>
    <n v="6922.33"/>
    <n v="9.1999999999999993"/>
    <s v=""/>
    <s v=""/>
  </r>
  <r>
    <s v="F062"/>
    <x v="2"/>
    <s v="2023 Q1"/>
    <s v="Scope 1"/>
    <x v="0"/>
    <n v="1697.2"/>
    <n v="19265"/>
    <n v="776.6"/>
    <n v="39.75"/>
    <n v="289.77"/>
    <n v="37.270000000000003"/>
  </r>
  <r>
    <s v="F182"/>
    <x v="3"/>
    <s v="2022 Q1"/>
    <s v="Scope 3"/>
    <x v="2"/>
    <n v="4105.01"/>
    <n v="41027"/>
    <n v="7285.85"/>
    <n v="59.87"/>
    <n v="763.97"/>
    <n v="34.14"/>
  </r>
  <r>
    <s v="F126"/>
    <x v="2"/>
    <s v="2022 Q2"/>
    <s v="Scope 2"/>
    <x v="0"/>
    <n v="4095.94"/>
    <n v="75508"/>
    <n v="6856.22"/>
    <n v="18.2"/>
    <n v="991.03"/>
    <n v="13.32"/>
  </r>
  <r>
    <s v="F127"/>
    <x v="3"/>
    <s v="2022 Q1"/>
    <s v="Scope 1"/>
    <x v="2"/>
    <n v="1094.42"/>
    <n v="77400"/>
    <n v="7504.8"/>
    <n v="68.819999999999993"/>
    <s v=""/>
    <s v=""/>
  </r>
  <r>
    <s v="F112"/>
    <x v="4"/>
    <s v="2023 Q1"/>
    <s v="Scope 3"/>
    <x v="1"/>
    <n v="2501.4699999999998"/>
    <n v="88188"/>
    <n v="815.86"/>
    <n v="57.53"/>
    <n v="557.72"/>
    <n v="37.25"/>
  </r>
  <r>
    <s v="F114"/>
    <x v="1"/>
    <s v="2023 Q1"/>
    <s v="Scope 1"/>
    <x v="2"/>
    <n v="1137.71"/>
    <n v="57353"/>
    <n v="2274.71"/>
    <n v="65.34"/>
    <n v="931.73"/>
    <n v="46.27"/>
  </r>
  <r>
    <s v="F152"/>
    <x v="4"/>
    <s v="2023 Q2"/>
    <s v="Scope 2"/>
    <x v="1"/>
    <n v="2685.34"/>
    <n v="90679"/>
    <n v="7266.82"/>
    <n v="23.3"/>
    <n v="943.59"/>
    <n v="15.81"/>
  </r>
  <r>
    <s v="F066"/>
    <x v="4"/>
    <s v="2022 Q2"/>
    <s v="Scope 1"/>
    <x v="2"/>
    <n v="3561.14"/>
    <n v="13543"/>
    <n v="7854.96"/>
    <n v="85.57"/>
    <n v="610.79999999999995"/>
    <n v="30.04"/>
  </r>
  <r>
    <s v="F173"/>
    <x v="1"/>
    <s v="2023 Q2"/>
    <s v="Scope 3"/>
    <x v="0"/>
    <n v="135.57"/>
    <n v="38181"/>
    <n v="691.84"/>
    <n v="33.53"/>
    <n v="114.57"/>
    <n v="9.9600000000000009"/>
  </r>
  <r>
    <s v="F129"/>
    <x v="1"/>
    <s v="2022 Q1"/>
    <s v="Scope 2"/>
    <x v="1"/>
    <n v="651.62"/>
    <n v="58439"/>
    <n v="5817.93"/>
    <n v="63.77"/>
    <n v="143.16999999999999"/>
    <n v="52.46"/>
  </r>
  <r>
    <s v="F003"/>
    <x v="3"/>
    <s v="2023 Q1"/>
    <s v="Scope 3"/>
    <x v="0"/>
    <n v="243.88"/>
    <n v="27681"/>
    <n v="928.26"/>
    <n v="44.97"/>
    <s v=""/>
    <s v=""/>
  </r>
  <r>
    <s v="F013"/>
    <x v="2"/>
    <s v="2023 Q1"/>
    <s v="Scope 2"/>
    <x v="2"/>
    <n v="2204.12"/>
    <n v="72813"/>
    <n v="8818.16"/>
    <n v="54.12"/>
    <n v="986.62"/>
    <n v="42.1"/>
  </r>
  <r>
    <s v="F186"/>
    <x v="4"/>
    <s v="2023 Q1"/>
    <s v="Scope 3"/>
    <x v="2"/>
    <n v="4031.31"/>
    <n v="61942"/>
    <n v="4891.32"/>
    <n v="91.59"/>
    <n v="785.8"/>
    <n v="8.84"/>
  </r>
  <r>
    <s v="F017"/>
    <x v="2"/>
    <s v="2022 Q1"/>
    <s v="Scope 1"/>
    <x v="2"/>
    <n v="1311.25"/>
    <n v="71747"/>
    <n v="9838.66"/>
    <n v="7.25"/>
    <n v="224.5"/>
    <n v="39.29"/>
  </r>
  <r>
    <s v="F036"/>
    <x v="3"/>
    <s v="2022 Q1"/>
    <s v="Scope 3"/>
    <x v="0"/>
    <n v="496"/>
    <n v="53942"/>
    <n v="5904.31"/>
    <n v="32.78"/>
    <n v="553.44000000000005"/>
    <n v="29.01"/>
  </r>
  <r>
    <s v="F070"/>
    <x v="2"/>
    <s v="2022 Q1"/>
    <s v="Scope 1"/>
    <x v="0"/>
    <n v="3182.6"/>
    <n v="15128"/>
    <n v="8847.09"/>
    <n v="5.25"/>
    <n v="230.57"/>
    <n v="60.48"/>
  </r>
  <r>
    <s v="F200"/>
    <x v="1"/>
    <s v="2023 Q2"/>
    <s v="Scope 1"/>
    <x v="1"/>
    <n v="1935.31"/>
    <n v="21081"/>
    <n v="9001.77"/>
    <n v="49.27"/>
    <n v="114.57"/>
    <n v="44.17"/>
  </r>
  <r>
    <s v="F054"/>
    <x v="3"/>
    <s v="2023 Q1"/>
    <s v="Scope 3"/>
    <x v="0"/>
    <n v="4354.08"/>
    <n v="38869"/>
    <n v="5109.76"/>
    <n v="35.270000000000003"/>
    <n v="986.62"/>
    <n v="40.86"/>
  </r>
  <r>
    <s v="F006"/>
    <x v="4"/>
    <s v="2022 Q2"/>
    <s v="Scope 2"/>
    <x v="1"/>
    <n v="4545.6899999999996"/>
    <n v="11426"/>
    <n v="4439.5600000000004"/>
    <n v="52.71"/>
    <s v=""/>
    <s v=""/>
  </r>
  <r>
    <s v="F007"/>
    <x v="4"/>
    <s v="2022 Q2"/>
    <s v="Scope 2"/>
    <x v="0"/>
    <n v="1019.91"/>
    <n v="35506"/>
    <n v="1892.04"/>
    <n v="61.53"/>
    <s v=""/>
    <s v=""/>
  </r>
  <r>
    <s v="F117"/>
    <x v="2"/>
    <s v="2023 Q1"/>
    <s v="Scope 3"/>
    <x v="2"/>
    <n v="3313.08"/>
    <n v="52594"/>
    <n v="8715.0400000000009"/>
    <n v="90.54"/>
    <n v="553.44000000000005"/>
    <n v="23.44"/>
  </r>
  <r>
    <s v="F115"/>
    <x v="3"/>
    <s v="2023 Q1"/>
    <s v="Scope 2"/>
    <x v="2"/>
    <n v="2988.27"/>
    <n v="29318"/>
    <n v="9860.6200000000008"/>
    <n v="14.58"/>
    <n v="571.66"/>
    <n v="6.78"/>
  </r>
  <r>
    <s v="F118"/>
    <x v="0"/>
    <s v="2023 Q1"/>
    <s v="Scope 3"/>
    <x v="2"/>
    <n v="4688.47"/>
    <n v="14170"/>
    <n v="5455.23"/>
    <n v="25.46"/>
    <n v="790.74"/>
    <n v="28.78"/>
  </r>
  <r>
    <s v="F197"/>
    <x v="2"/>
    <s v="2023 Q1"/>
    <s v="Scope 3"/>
    <x v="2"/>
    <n v="4159.3599999999997"/>
    <n v="59617"/>
    <n v="5000.95"/>
    <n v="80.36"/>
    <n v="532.27"/>
    <n v="25.24"/>
  </r>
  <r>
    <s v="F118"/>
    <x v="0"/>
    <s v="2022 Q2"/>
    <s v="Scope 1"/>
    <x v="2"/>
    <n v="3142.22"/>
    <n v="14170"/>
    <n v="5455.23"/>
    <n v="25.46"/>
    <n v="790.74"/>
    <n v="28.78"/>
  </r>
  <r>
    <s v="F147"/>
    <x v="1"/>
    <s v="2023 Q1"/>
    <s v="Scope 3"/>
    <x v="1"/>
    <n v="4654.5600000000004"/>
    <n v="13333"/>
    <n v="6102.15"/>
    <n v="17.670000000000002"/>
    <n v="959.2"/>
    <n v="24.24"/>
  </r>
  <r>
    <s v="F197"/>
    <x v="2"/>
    <s v="2022 Q2"/>
    <s v="Scope 3"/>
    <x v="1"/>
    <n v="348.73"/>
    <n v="59617"/>
    <n v="5000.95"/>
    <n v="80.36"/>
    <n v="532.27"/>
    <n v="25.24"/>
  </r>
  <r>
    <s v="F041"/>
    <x v="1"/>
    <s v="2023 Q2"/>
    <s v="Scope 1"/>
    <x v="1"/>
    <n v="4243.12"/>
    <n v="84721"/>
    <n v="2278.9699999999998"/>
    <n v="68.53"/>
    <n v="796.34"/>
    <n v="33.590000000000003"/>
  </r>
  <r>
    <s v="F175"/>
    <x v="3"/>
    <s v="2022 Q1"/>
    <s v="Scope 1"/>
    <x v="2"/>
    <n v="4673.26"/>
    <n v="94949"/>
    <n v="9714.76"/>
    <n v="64.900000000000006"/>
    <n v="241.41"/>
    <n v="20.62"/>
  </r>
  <r>
    <s v="F063"/>
    <x v="4"/>
    <s v="2022 Q1"/>
    <s v="Scope 2"/>
    <x v="0"/>
    <n v="1127.24"/>
    <n v="45519"/>
    <n v="7987.69"/>
    <n v="10.86"/>
    <n v="638.89"/>
    <n v="35.04"/>
  </r>
  <r>
    <s v="F035"/>
    <x v="4"/>
    <s v="2023 Q1"/>
    <s v="Scope 3"/>
    <x v="2"/>
    <n v="884.52"/>
    <n v="24913"/>
    <n v="5727.27"/>
    <n v="78.849999999999994"/>
    <s v=""/>
    <s v=""/>
  </r>
  <r>
    <s v="F167"/>
    <x v="2"/>
    <s v="2023 Q1"/>
    <s v="Scope 3"/>
    <x v="2"/>
    <n v="692.69"/>
    <n v="94128"/>
    <n v="8117.82"/>
    <n v="73.83"/>
    <n v="532.27"/>
    <n v="31.74"/>
  </r>
  <r>
    <s v="F095"/>
    <x v="2"/>
    <s v="2022 Q1"/>
    <s v="Scope 3"/>
    <x v="1"/>
    <n v="1097.77"/>
    <n v="49885"/>
    <n v="6845.46"/>
    <n v="58.4"/>
    <n v="341.24"/>
    <n v="19.309999999999999"/>
  </r>
  <r>
    <s v="F005"/>
    <x v="4"/>
    <s v="2022 Q1"/>
    <s v="Scope 3"/>
    <x v="1"/>
    <n v="3601.71"/>
    <n v="61743"/>
    <n v="7426.75"/>
    <n v="26.39"/>
    <n v="527.37"/>
    <n v="39.28"/>
  </r>
  <r>
    <s v="F125"/>
    <x v="1"/>
    <s v="2023 Q2"/>
    <s v="Scope 1"/>
    <x v="1"/>
    <n v="4661.5"/>
    <n v="82332"/>
    <n v="7134.86"/>
    <n v="22.44"/>
    <n v="553.44000000000005"/>
    <n v="13.24"/>
  </r>
  <r>
    <s v="F153"/>
    <x v="3"/>
    <s v="2023 Q2"/>
    <s v="Scope 1"/>
    <x v="0"/>
    <n v="4163.95"/>
    <n v="95306"/>
    <n v="9037.76"/>
    <n v="13.35"/>
    <n v="724.63"/>
    <n v="21.2"/>
  </r>
  <r>
    <s v="F166"/>
    <x v="3"/>
    <s v="2023 Q2"/>
    <s v="Scope 1"/>
    <x v="1"/>
    <n v="2018.59"/>
    <n v="96474"/>
    <n v="7574.39"/>
    <n v="95.54"/>
    <n v="886.71"/>
    <n v="24.84"/>
  </r>
  <r>
    <s v="F145"/>
    <x v="4"/>
    <s v="2022 Q2"/>
    <s v="Scope 2"/>
    <x v="0"/>
    <n v="1373.09"/>
    <n v="68492"/>
    <n v="3533.88"/>
    <n v="52.99"/>
    <n v="847.51"/>
    <n v="7.14"/>
  </r>
  <r>
    <s v="F056"/>
    <x v="4"/>
    <s v="2022 Q2"/>
    <s v="Scope 1"/>
    <x v="0"/>
    <n v="1419.59"/>
    <n v="99026"/>
    <n v="5453.2"/>
    <n v="57.49"/>
    <n v="231.68"/>
    <n v="24.26"/>
  </r>
  <r>
    <s v="F002"/>
    <x v="4"/>
    <s v="2023 Q1"/>
    <s v="Scope 1"/>
    <x v="2"/>
    <n v="3946.93"/>
    <n v="53661"/>
    <n v="6965.81"/>
    <n v="69.400000000000006"/>
    <n v="610.79999999999995"/>
    <n v="29.15"/>
  </r>
  <r>
    <s v="F137"/>
    <x v="0"/>
    <s v="2023 Q1"/>
    <s v="Scope 1"/>
    <x v="2"/>
    <n v="685.73"/>
    <n v="10933"/>
    <n v="9004.3700000000008"/>
    <n v="26.84"/>
    <s v=""/>
    <s v=""/>
  </r>
  <r>
    <s v="F184"/>
    <x v="0"/>
    <s v="2022 Q1"/>
    <s v="Scope 1"/>
    <x v="0"/>
    <n v="4879.25"/>
    <n v="22201"/>
    <n v="2853.66"/>
    <n v="71.94"/>
    <n v="991.03"/>
    <n v="21.4"/>
  </r>
  <r>
    <s v="F077"/>
    <x v="4"/>
    <s v="2022 Q1"/>
    <s v="Scope 3"/>
    <x v="0"/>
    <n v="3667.49"/>
    <n v="52836"/>
    <n v="9330.2999999999993"/>
    <n v="87.27"/>
    <s v=""/>
    <s v=""/>
  </r>
  <r>
    <s v="F171"/>
    <x v="4"/>
    <s v="2022 Q2"/>
    <s v="Scope 2"/>
    <x v="1"/>
    <n v="1085.32"/>
    <n v="98356"/>
    <n v="6968.69"/>
    <n v="81.72"/>
    <n v="795.74"/>
    <n v="22.41"/>
  </r>
  <r>
    <s v="F004"/>
    <x v="0"/>
    <s v="2023 Q2"/>
    <s v="Scope 1"/>
    <x v="0"/>
    <n v="4510.42"/>
    <n v="83923"/>
    <n v="8768.7999999999993"/>
    <n v="65.290000000000006"/>
    <n v="579.80999999999995"/>
    <n v="34.93"/>
  </r>
  <r>
    <s v="F196"/>
    <x v="4"/>
    <s v="2023 Q1"/>
    <s v="Scope 1"/>
    <x v="2"/>
    <n v="499.33"/>
    <n v="85444"/>
    <n v="852.57"/>
    <n v="72.650000000000006"/>
    <n v="319.93"/>
    <n v="34.35"/>
  </r>
  <r>
    <s v="F096"/>
    <x v="0"/>
    <s v="2022 Q1"/>
    <s v="Scope 3"/>
    <x v="1"/>
    <n v="1951.92"/>
    <n v="21388"/>
    <n v="5249.39"/>
    <n v="64.2"/>
    <n v="571.66"/>
    <n v="17.87"/>
  </r>
  <r>
    <s v="F071"/>
    <x v="4"/>
    <s v="2023 Q2"/>
    <s v="Scope 3"/>
    <x v="1"/>
    <n v="1473.59"/>
    <n v="26378"/>
    <n v="2915.44"/>
    <n v="29.84"/>
    <n v="311.36"/>
    <n v="26.09"/>
  </r>
  <r>
    <s v="F078"/>
    <x v="0"/>
    <s v="2022 Q2"/>
    <s v="Scope 1"/>
    <x v="1"/>
    <n v="3545.05"/>
    <n v="78624"/>
    <n v="2373.27"/>
    <n v="25.07"/>
    <s v=""/>
    <s v=""/>
  </r>
  <r>
    <s v="F099"/>
    <x v="3"/>
    <s v="2023 Q1"/>
    <s v="Scope 2"/>
    <x v="2"/>
    <n v="84.78"/>
    <n v="17162"/>
    <n v="5079.95"/>
    <n v="19.239999999999998"/>
    <n v="769.39"/>
    <n v="35.29"/>
  </r>
  <r>
    <s v="F031"/>
    <x v="3"/>
    <s v="2023 Q2"/>
    <s v="Scope 2"/>
    <x v="0"/>
    <n v="1941.65"/>
    <n v="86263"/>
    <n v="3213.71"/>
    <n v="98.39"/>
    <n v="662.74"/>
    <n v="20.66"/>
  </r>
  <r>
    <s v="F136"/>
    <x v="1"/>
    <s v="2023 Q1"/>
    <s v="Scope 1"/>
    <x v="0"/>
    <n v="2646.36"/>
    <n v="43346"/>
    <n v="5559.12"/>
    <n v="39.4"/>
    <n v="571.88"/>
    <n v="32.18"/>
  </r>
  <r>
    <s v="F108"/>
    <x v="3"/>
    <s v="2023 Q2"/>
    <s v="Scope 3"/>
    <x v="2"/>
    <n v="1257.08"/>
    <n v="39050"/>
    <n v="5885.73"/>
    <n v="93.04"/>
    <n v="318.55"/>
    <n v="39.81"/>
  </r>
  <r>
    <s v="F008"/>
    <x v="3"/>
    <s v="2022 Q2"/>
    <s v="Scope 1"/>
    <x v="0"/>
    <n v="4445.1499999999996"/>
    <n v="50306"/>
    <n v="7031.37"/>
    <n v="13.27"/>
    <s v=""/>
    <s v=""/>
  </r>
  <r>
    <s v="F196"/>
    <x v="4"/>
    <s v="2022 Q2"/>
    <s v="Scope 2"/>
    <x v="1"/>
    <n v="3717.99"/>
    <n v="85444"/>
    <n v="852.57"/>
    <n v="72.650000000000006"/>
    <n v="319.93"/>
    <n v="34.35"/>
  </r>
  <r>
    <s v="F029"/>
    <x v="4"/>
    <s v="2023 Q2"/>
    <s v="Scope 3"/>
    <x v="2"/>
    <n v="4588.6400000000003"/>
    <n v="12262"/>
    <n v="7106.18"/>
    <n v="45.69"/>
    <n v="459.56"/>
    <n v="29.71"/>
  </r>
  <r>
    <s v="F157"/>
    <x v="0"/>
    <s v="2022 Q1"/>
    <s v="Scope 3"/>
    <x v="0"/>
    <n v="1806.88"/>
    <n v="15788"/>
    <n v="1824.14"/>
    <n v="52.78"/>
    <n v="571.88"/>
    <n v="8.17"/>
  </r>
  <r>
    <s v="F059"/>
    <x v="2"/>
    <s v="2022 Q1"/>
    <s v="Scope 3"/>
    <x v="1"/>
    <n v="1893.45"/>
    <n v="30934"/>
    <n v="4175.6499999999996"/>
    <n v="77.290000000000006"/>
    <n v="610.79999999999995"/>
    <n v="14.23"/>
  </r>
  <r>
    <s v="F193"/>
    <x v="1"/>
    <s v="2023 Q2"/>
    <s v="Scope 2"/>
    <x v="1"/>
    <n v="2906.15"/>
    <n v="15333"/>
    <n v="2570.54"/>
    <n v="41.07"/>
    <n v="390.06"/>
    <n v="31.43"/>
  </r>
  <r>
    <s v="F117"/>
    <x v="2"/>
    <s v="2023 Q2"/>
    <s v="Scope 3"/>
    <x v="0"/>
    <n v="4352.62"/>
    <n v="52594"/>
    <n v="8715.0400000000009"/>
    <n v="90.54"/>
    <n v="553.44000000000005"/>
    <n v="23.44"/>
  </r>
  <r>
    <s v="F166"/>
    <x v="3"/>
    <s v="2022 Q1"/>
    <s v="Scope 1"/>
    <x v="0"/>
    <n v="750.01"/>
    <n v="96474"/>
    <n v="7574.39"/>
    <n v="95.54"/>
    <n v="886.71"/>
    <n v="24.84"/>
  </r>
  <r>
    <s v="F191"/>
    <x v="0"/>
    <s v="2022 Q2"/>
    <s v="Scope 2"/>
    <x v="1"/>
    <n v="1435.13"/>
    <n v="86557"/>
    <n v="8631.2800000000007"/>
    <n v="69.53"/>
    <s v=""/>
    <s v=""/>
  </r>
  <r>
    <s v="F098"/>
    <x v="4"/>
    <s v="2022 Q2"/>
    <s v="Scope 1"/>
    <x v="2"/>
    <n v="3346.28"/>
    <n v="28704"/>
    <n v="6009.24"/>
    <n v="39.31"/>
    <n v="479.41"/>
    <n v="19.7"/>
  </r>
  <r>
    <s v="F162"/>
    <x v="3"/>
    <s v="2022 Q1"/>
    <s v="Scope 3"/>
    <x v="1"/>
    <n v="3975.69"/>
    <n v="18175"/>
    <n v="8349.49"/>
    <n v="39.97"/>
    <n v="818.45"/>
    <n v="19.04"/>
  </r>
  <r>
    <s v="F068"/>
    <x v="0"/>
    <s v="2023 Q2"/>
    <s v="Scope 1"/>
    <x v="2"/>
    <n v="3453.13"/>
    <n v="44825"/>
    <n v="6023.03"/>
    <n v="27.2"/>
    <n v="436.04"/>
    <n v="19.36"/>
  </r>
  <r>
    <s v="F149"/>
    <x v="1"/>
    <s v="2023 Q1"/>
    <s v="Scope 3"/>
    <x v="2"/>
    <n v="626.03"/>
    <n v="61207"/>
    <n v="6922.33"/>
    <n v="9.1999999999999993"/>
    <s v=""/>
    <s v=""/>
  </r>
  <r>
    <s v="F028"/>
    <x v="4"/>
    <s v="2022 Q2"/>
    <s v="Scope 1"/>
    <x v="1"/>
    <n v="3255.93"/>
    <n v="73977"/>
    <n v="1646.75"/>
    <n v="43.77"/>
    <s v=""/>
    <s v=""/>
  </r>
  <r>
    <s v="F179"/>
    <x v="1"/>
    <s v="2022 Q1"/>
    <s v="Scope 2"/>
    <x v="2"/>
    <n v="4437.74"/>
    <n v="84524"/>
    <n v="9350.11"/>
    <n v="27.53"/>
    <n v="795.74"/>
    <n v="18.73"/>
  </r>
  <r>
    <s v="F103"/>
    <x v="4"/>
    <s v="2023 Q2"/>
    <s v="Scope 2"/>
    <x v="0"/>
    <n v="1531"/>
    <n v="22309"/>
    <n v="3656.29"/>
    <n v="75.25"/>
    <n v="795.74"/>
    <n v="26.99"/>
  </r>
  <r>
    <s v="F155"/>
    <x v="2"/>
    <s v="2022 Q1"/>
    <s v="Scope 2"/>
    <x v="2"/>
    <n v="3938.07"/>
    <n v="75736"/>
    <n v="6287.07"/>
    <n v="63.11"/>
    <n v="851.48"/>
    <n v="25.39"/>
  </r>
  <r>
    <s v="F009"/>
    <x v="0"/>
    <s v="2022 Q2"/>
    <s v="Scope 1"/>
    <x v="0"/>
    <n v="1999.93"/>
    <n v="45644"/>
    <n v="7724.73"/>
    <n v="31"/>
    <n v="685.27"/>
    <n v="33.94"/>
  </r>
  <r>
    <s v="F165"/>
    <x v="4"/>
    <s v="2022 Q2"/>
    <s v="Scope 3"/>
    <x v="1"/>
    <n v="379.85"/>
    <n v="79330"/>
    <n v="6075.23"/>
    <n v="83.97"/>
    <n v="209.33"/>
    <n v="13.62"/>
  </r>
  <r>
    <s v="F173"/>
    <x v="1"/>
    <s v="2022 Q2"/>
    <s v="Scope 3"/>
    <x v="2"/>
    <n v="4069.54"/>
    <n v="38181"/>
    <n v="691.84"/>
    <n v="33.53"/>
    <n v="114.57"/>
    <n v="9.9600000000000009"/>
  </r>
  <r>
    <s v="F170"/>
    <x v="2"/>
    <s v="2023 Q1"/>
    <s v="Scope 2"/>
    <x v="1"/>
    <n v="2664.95"/>
    <n v="24502"/>
    <n v="7466.86"/>
    <n v="88.83"/>
    <n v="847.51"/>
    <n v="26.48"/>
  </r>
  <r>
    <s v="F038"/>
    <x v="4"/>
    <s v="2023 Q1"/>
    <s v="Scope 3"/>
    <x v="1"/>
    <n v="1975.28"/>
    <n v="18341"/>
    <n v="8465.57"/>
    <n v="38.39"/>
    <s v=""/>
    <s v=""/>
  </r>
  <r>
    <s v="F013"/>
    <x v="2"/>
    <s v="2022 Q1"/>
    <s v="Scope 1"/>
    <x v="2"/>
    <n v="4697.13"/>
    <n v="72813"/>
    <n v="8818.16"/>
    <n v="54.12"/>
    <n v="986.62"/>
    <n v="42.1"/>
  </r>
  <r>
    <s v="F160"/>
    <x v="4"/>
    <s v="2022 Q2"/>
    <s v="Scope 1"/>
    <x v="1"/>
    <n v="2932.94"/>
    <n v="36423"/>
    <n v="589.96"/>
    <n v="30.9"/>
    <n v="111.84"/>
    <n v="23.26"/>
  </r>
  <r>
    <s v="F076"/>
    <x v="2"/>
    <s v="2022 Q1"/>
    <s v="Scope 2"/>
    <x v="1"/>
    <n v="1869.13"/>
    <n v="41953"/>
    <n v="2379.14"/>
    <n v="65.67"/>
    <n v="571.66"/>
    <n v="14.81"/>
  </r>
  <r>
    <s v="F193"/>
    <x v="1"/>
    <s v="2022 Q1"/>
    <s v="Scope 1"/>
    <x v="1"/>
    <n v="3433.46"/>
    <n v="15333"/>
    <n v="2570.54"/>
    <n v="41.07"/>
    <n v="390.06"/>
    <n v="31.43"/>
  </r>
  <r>
    <s v="F119"/>
    <x v="2"/>
    <s v="2023 Q2"/>
    <s v="Scope 1"/>
    <x v="0"/>
    <n v="3234.84"/>
    <n v="22525"/>
    <n v="9465.65"/>
    <n v="37.79"/>
    <n v="472.66"/>
    <n v="55.03"/>
  </r>
  <r>
    <s v="F104"/>
    <x v="4"/>
    <s v="2022 Q1"/>
    <s v="Scope 1"/>
    <x v="2"/>
    <n v="2947.36"/>
    <n v="84851"/>
    <n v="560.75"/>
    <n v="80.23"/>
    <n v="610.79999999999995"/>
    <n v="26.58"/>
  </r>
  <r>
    <s v="F160"/>
    <x v="4"/>
    <s v="2023 Q1"/>
    <s v="Scope 3"/>
    <x v="2"/>
    <n v="4189.46"/>
    <n v="36423"/>
    <n v="589.96"/>
    <n v="30.9"/>
    <n v="111.84"/>
    <n v="23.26"/>
  </r>
  <r>
    <s v="F104"/>
    <x v="4"/>
    <s v="2022 Q1"/>
    <s v="Scope 1"/>
    <x v="1"/>
    <n v="4346.51"/>
    <n v="84851"/>
    <n v="560.75"/>
    <n v="80.23"/>
    <n v="610.79999999999995"/>
    <n v="26.58"/>
  </r>
  <r>
    <s v="F148"/>
    <x v="1"/>
    <s v="2023 Q1"/>
    <s v="Scope 1"/>
    <x v="1"/>
    <n v="1356.94"/>
    <n v="47491"/>
    <n v="5781.05"/>
    <n v="92.18"/>
    <n v="344.93"/>
    <n v="36.229999999999997"/>
  </r>
  <r>
    <s v="F051"/>
    <x v="4"/>
    <s v="2022 Q1"/>
    <s v="Scope 2"/>
    <x v="0"/>
    <n v="50.06"/>
    <n v="56752"/>
    <n v="4177.68"/>
    <n v="10.96"/>
    <n v="694.92"/>
    <n v="9.8699999999999992"/>
  </r>
  <r>
    <s v="F067"/>
    <x v="1"/>
    <s v="2022 Q2"/>
    <s v="Scope 2"/>
    <x v="1"/>
    <n v="3795.55"/>
    <n v="28400"/>
    <n v="3056.67"/>
    <n v="52.68"/>
    <n v="571.88"/>
    <n v="8.6199999999999992"/>
  </r>
  <r>
    <s v="F074"/>
    <x v="1"/>
    <s v="2023 Q1"/>
    <s v="Scope 3"/>
    <x v="0"/>
    <n v="4134.21"/>
    <n v="25148"/>
    <n v="9604.5499999999993"/>
    <n v="63.47"/>
    <n v="209.33"/>
    <n v="30.01"/>
  </r>
  <r>
    <s v="F165"/>
    <x v="4"/>
    <s v="2023 Q1"/>
    <s v="Scope 3"/>
    <x v="2"/>
    <n v="2597.36"/>
    <n v="79330"/>
    <n v="6075.23"/>
    <n v="83.97"/>
    <n v="209.33"/>
    <n v="13.62"/>
  </r>
  <r>
    <s v="F179"/>
    <x v="1"/>
    <s v="2022 Q1"/>
    <s v="Scope 1"/>
    <x v="2"/>
    <n v="2151.91"/>
    <n v="84524"/>
    <n v="9350.11"/>
    <n v="27.53"/>
    <n v="795.74"/>
    <n v="18.73"/>
  </r>
  <r>
    <s v="F113"/>
    <x v="3"/>
    <s v="2023 Q1"/>
    <s v="Scope 1"/>
    <x v="0"/>
    <n v="3338.56"/>
    <n v="69636"/>
    <n v="4246.55"/>
    <n v="69.290000000000006"/>
    <n v="362.43"/>
    <n v="54.81"/>
  </r>
  <r>
    <s v="F028"/>
    <x v="4"/>
    <s v="2023 Q2"/>
    <s v="Scope 3"/>
    <x v="1"/>
    <n v="284.86"/>
    <n v="73977"/>
    <n v="1646.75"/>
    <n v="43.77"/>
    <s v=""/>
    <s v=""/>
  </r>
  <r>
    <s v="F095"/>
    <x v="2"/>
    <s v="2023 Q1"/>
    <s v="Scope 1"/>
    <x v="1"/>
    <n v="4418.62"/>
    <n v="49885"/>
    <n v="6845.46"/>
    <n v="58.4"/>
    <n v="341.24"/>
    <n v="19.309999999999999"/>
  </r>
  <r>
    <s v="F020"/>
    <x v="2"/>
    <s v="2023 Q2"/>
    <s v="Scope 1"/>
    <x v="2"/>
    <n v="1452.21"/>
    <n v="95165"/>
    <n v="8562.76"/>
    <n v="37.54"/>
    <n v="479.41"/>
    <n v="13.64"/>
  </r>
  <r>
    <s v="F194"/>
    <x v="3"/>
    <s v="2023 Q2"/>
    <s v="Scope 2"/>
    <x v="1"/>
    <n v="1001.43"/>
    <n v="42382"/>
    <n v="5116.6899999999996"/>
    <n v="80.42"/>
    <n v="626.54"/>
    <n v="70.540000000000006"/>
  </r>
  <r>
    <s v="F028"/>
    <x v="4"/>
    <s v="2022 Q1"/>
    <s v="Scope 2"/>
    <x v="1"/>
    <n v="3280.78"/>
    <n v="73977"/>
    <n v="1646.75"/>
    <n v="43.77"/>
    <s v=""/>
    <s v=""/>
  </r>
  <r>
    <s v="F040"/>
    <x v="0"/>
    <s v="2022 Q1"/>
    <s v="Scope 1"/>
    <x v="2"/>
    <n v="2429.6"/>
    <n v="52357"/>
    <n v="5643.16"/>
    <n v="37.130000000000003"/>
    <n v="932.3"/>
    <n v="13.43"/>
  </r>
  <r>
    <s v="F054"/>
    <x v="3"/>
    <s v="2022 Q2"/>
    <s v="Scope 3"/>
    <x v="0"/>
    <n v="4025.99"/>
    <n v="38869"/>
    <n v="5109.76"/>
    <n v="35.270000000000003"/>
    <n v="986.62"/>
    <n v="40.86"/>
  </r>
  <r>
    <s v="F040"/>
    <x v="0"/>
    <s v="2022 Q2"/>
    <s v="Scope 1"/>
    <x v="1"/>
    <n v="1880.25"/>
    <n v="52357"/>
    <n v="5643.16"/>
    <n v="37.130000000000003"/>
    <n v="932.3"/>
    <n v="13.43"/>
  </r>
  <r>
    <s v="F183"/>
    <x v="3"/>
    <s v="2023 Q2"/>
    <s v="Scope 2"/>
    <x v="1"/>
    <n v="3107.51"/>
    <n v="29860"/>
    <n v="3956.23"/>
    <n v="57.5"/>
    <n v="432.23"/>
    <n v="17.78"/>
  </r>
  <r>
    <s v="F018"/>
    <x v="4"/>
    <s v="2023 Q2"/>
    <s v="Scope 3"/>
    <x v="1"/>
    <n v="1430.94"/>
    <n v="69305"/>
    <n v="3203.67"/>
    <n v="83.65"/>
    <n v="173.67"/>
    <n v="67.040000000000006"/>
  </r>
  <r>
    <s v="F102"/>
    <x v="1"/>
    <s v="2023 Q1"/>
    <s v="Scope 2"/>
    <x v="1"/>
    <n v="4735.9399999999996"/>
    <n v="82377"/>
    <n v="7974.74"/>
    <n v="9.17"/>
    <s v=""/>
    <s v=""/>
  </r>
  <r>
    <s v="F154"/>
    <x v="0"/>
    <s v="2022 Q1"/>
    <s v="Scope 2"/>
    <x v="1"/>
    <n v="419.21"/>
    <n v="17097"/>
    <n v="9061.7800000000007"/>
    <n v="95.92"/>
    <n v="390.06"/>
    <n v="18.010000000000002"/>
  </r>
  <r>
    <s v="F094"/>
    <x v="3"/>
    <s v="2023 Q1"/>
    <s v="Scope 3"/>
    <x v="2"/>
    <n v="3952.79"/>
    <n v="40553"/>
    <n v="4875.2299999999996"/>
    <n v="23.33"/>
    <n v="818.45"/>
    <n v="19.420000000000002"/>
  </r>
  <r>
    <s v="F001"/>
    <x v="1"/>
    <s v="2022 Q1"/>
    <s v="Scope 2"/>
    <x v="0"/>
    <n v="2905.28"/>
    <n v="54133"/>
    <n v="8543.68"/>
    <n v="24"/>
    <n v="991.03"/>
    <n v="23.33"/>
  </r>
  <r>
    <s v="F108"/>
    <x v="3"/>
    <s v="2022 Q2"/>
    <s v="Scope 2"/>
    <x v="2"/>
    <n v="2595.02"/>
    <n v="39050"/>
    <n v="5885.73"/>
    <n v="93.04"/>
    <n v="318.55"/>
    <n v="39.81"/>
  </r>
  <r>
    <s v="F071"/>
    <x v="4"/>
    <s v="2023 Q1"/>
    <s v="Scope 3"/>
    <x v="1"/>
    <n v="4395.49"/>
    <n v="26378"/>
    <n v="2915.44"/>
    <n v="29.84"/>
    <n v="311.36"/>
    <n v="26.09"/>
  </r>
  <r>
    <s v="F022"/>
    <x v="4"/>
    <s v="2023 Q2"/>
    <s v="Scope 1"/>
    <x v="2"/>
    <n v="969.03"/>
    <n v="20207"/>
    <n v="5369.46"/>
    <n v="57.51"/>
    <n v="847.51"/>
    <n v="28.45"/>
  </r>
  <r>
    <s v="F119"/>
    <x v="2"/>
    <s v="2023 Q1"/>
    <s v="Scope 1"/>
    <x v="1"/>
    <n v="4736.7"/>
    <n v="22525"/>
    <n v="9465.65"/>
    <n v="37.79"/>
    <n v="472.66"/>
    <n v="55.03"/>
  </r>
  <r>
    <s v="F190"/>
    <x v="0"/>
    <s v="2022 Q1"/>
    <s v="Scope 3"/>
    <x v="1"/>
    <n v="3116.27"/>
    <n v="70582"/>
    <n v="7517.59"/>
    <n v="95.71"/>
    <s v=""/>
    <s v=""/>
  </r>
  <r>
    <s v="F171"/>
    <x v="4"/>
    <s v="2023 Q1"/>
    <s v="Scope 2"/>
    <x v="1"/>
    <n v="3048.92"/>
    <n v="98356"/>
    <n v="6968.69"/>
    <n v="81.72"/>
    <n v="795.74"/>
    <n v="22.41"/>
  </r>
  <r>
    <s v="F084"/>
    <x v="3"/>
    <s v="2023 Q1"/>
    <s v="Scope 3"/>
    <x v="1"/>
    <n v="4792.2"/>
    <n v="54136"/>
    <n v="2775.38"/>
    <n v="75.459999999999994"/>
    <n v="932.3"/>
    <n v="16.93"/>
  </r>
  <r>
    <s v="F117"/>
    <x v="2"/>
    <s v="2023 Q1"/>
    <s v="Scope 1"/>
    <x v="1"/>
    <n v="1851.08"/>
    <n v="52594"/>
    <n v="8715.0400000000009"/>
    <n v="90.54"/>
    <n v="553.44000000000005"/>
    <n v="23.44"/>
  </r>
  <r>
    <s v="F039"/>
    <x v="2"/>
    <s v="2023 Q1"/>
    <s v="Scope 1"/>
    <x v="0"/>
    <n v="331.53"/>
    <n v="40503"/>
    <n v="7447.46"/>
    <n v="98.27"/>
    <n v="209.33"/>
    <n v="39.549999999999997"/>
  </r>
  <r>
    <s v="F138"/>
    <x v="0"/>
    <s v="2022 Q2"/>
    <s v="Scope 2"/>
    <x v="2"/>
    <n v="2756.07"/>
    <n v="94393"/>
    <n v="6691.7"/>
    <n v="74.790000000000006"/>
    <n v="867.66"/>
    <n v="32.97"/>
  </r>
  <r>
    <s v="F114"/>
    <x v="1"/>
    <s v="2022 Q2"/>
    <s v="Scope 3"/>
    <x v="1"/>
    <n v="1185.1400000000001"/>
    <n v="57353"/>
    <n v="2274.71"/>
    <n v="65.34"/>
    <n v="931.73"/>
    <n v="46.27"/>
  </r>
  <r>
    <s v="F104"/>
    <x v="4"/>
    <s v="2022 Q2"/>
    <s v="Scope 1"/>
    <x v="1"/>
    <n v="770.82"/>
    <n v="84851"/>
    <n v="560.75"/>
    <n v="80.23"/>
    <n v="610.79999999999995"/>
    <n v="26.58"/>
  </r>
  <r>
    <s v="F045"/>
    <x v="0"/>
    <s v="2022 Q1"/>
    <s v="Scope 1"/>
    <x v="2"/>
    <n v="1735.38"/>
    <n v="34725"/>
    <n v="3269.89"/>
    <n v="78.86"/>
    <n v="436.04"/>
    <n v="31.8"/>
  </r>
  <r>
    <s v="F105"/>
    <x v="0"/>
    <s v="2022 Q1"/>
    <s v="Scope 3"/>
    <x v="1"/>
    <n v="2191.31"/>
    <n v="27028"/>
    <n v="4617.92"/>
    <n v="57.62"/>
    <n v="780.4"/>
    <n v="24.87"/>
  </r>
  <r>
    <s v="F189"/>
    <x v="0"/>
    <s v="2022 Q2"/>
    <s v="Scope 2"/>
    <x v="1"/>
    <n v="759.32"/>
    <n v="67820"/>
    <n v="8177.95"/>
    <n v="40.69"/>
    <n v="790.74"/>
    <n v="15.94"/>
  </r>
  <r>
    <s v="F146"/>
    <x v="2"/>
    <s v="2023 Q2"/>
    <s v="Scope 1"/>
    <x v="1"/>
    <n v="1954.05"/>
    <n v="99115"/>
    <n v="827.26"/>
    <n v="28.88"/>
    <n v="818.45"/>
    <n v="27.59"/>
  </r>
  <r>
    <s v="F006"/>
    <x v="4"/>
    <s v="2023 Q1"/>
    <s v="Scope 3"/>
    <x v="1"/>
    <n v="4153"/>
    <n v="11426"/>
    <n v="4439.5600000000004"/>
    <n v="52.71"/>
    <s v=""/>
    <s v=""/>
  </r>
  <r>
    <s v="F019"/>
    <x v="0"/>
    <s v="2023 Q2"/>
    <s v="Scope 3"/>
    <x v="1"/>
    <n v="3571.76"/>
    <n v="68018"/>
    <n v="3523.4"/>
    <n v="92.26"/>
    <n v="111.84"/>
    <n v="15.85"/>
  </r>
  <r>
    <s v="F147"/>
    <x v="1"/>
    <s v="2022 Q1"/>
    <s v="Scope 2"/>
    <x v="2"/>
    <n v="3705.85"/>
    <n v="13333"/>
    <n v="6102.15"/>
    <n v="17.670000000000002"/>
    <n v="959.2"/>
    <n v="24.24"/>
  </r>
  <r>
    <s v="F069"/>
    <x v="4"/>
    <s v="2022 Q2"/>
    <s v="Scope 1"/>
    <x v="1"/>
    <n v="4393.54"/>
    <n v="85488"/>
    <n v="9691.57"/>
    <n v="96.98"/>
    <s v=""/>
    <s v=""/>
  </r>
  <r>
    <s v="F089"/>
    <x v="4"/>
    <s v="2022 Q1"/>
    <s v="Scope 3"/>
    <x v="2"/>
    <n v="1303.24"/>
    <n v="58895"/>
    <n v="3039.17"/>
    <n v="59.82"/>
    <n v="785.8"/>
    <n v="22.92"/>
  </r>
  <r>
    <s v="F060"/>
    <x v="4"/>
    <s v="2022 Q1"/>
    <s v="Scope 2"/>
    <x v="1"/>
    <n v="1709.14"/>
    <n v="41539"/>
    <n v="982.8"/>
    <n v="79.7"/>
    <n v="851.48"/>
    <n v="13.07"/>
  </r>
  <r>
    <s v="F006"/>
    <x v="4"/>
    <s v="2023 Q1"/>
    <s v="Scope 3"/>
    <x v="1"/>
    <n v="4816.54"/>
    <n v="11426"/>
    <n v="4439.5600000000004"/>
    <n v="52.71"/>
    <s v=""/>
    <s v=""/>
  </r>
  <r>
    <s v="F132"/>
    <x v="4"/>
    <s v="2023 Q2"/>
    <s v="Scope 3"/>
    <x v="2"/>
    <n v="4237.91"/>
    <n v="76544"/>
    <n v="8632.77"/>
    <n v="12.87"/>
    <n v="571.88"/>
    <n v="30.1"/>
  </r>
  <r>
    <s v="F013"/>
    <x v="2"/>
    <s v="2023 Q1"/>
    <s v="Scope 1"/>
    <x v="2"/>
    <n v="2911.32"/>
    <n v="72813"/>
    <n v="8818.16"/>
    <n v="54.12"/>
    <n v="986.62"/>
    <n v="42.1"/>
  </r>
  <r>
    <s v="F133"/>
    <x v="2"/>
    <s v="2022 Q2"/>
    <s v="Scope 1"/>
    <x v="0"/>
    <n v="1512.18"/>
    <n v="41168"/>
    <n v="8226.77"/>
    <n v="42.55"/>
    <n v="724.63"/>
    <n v="12.64"/>
  </r>
  <r>
    <s v="F158"/>
    <x v="3"/>
    <s v="2023 Q1"/>
    <s v="Scope 2"/>
    <x v="1"/>
    <n v="2308.83"/>
    <n v="61157"/>
    <n v="7331.54"/>
    <n v="55.52"/>
    <n v="783.77"/>
    <n v="31.59"/>
  </r>
  <r>
    <s v="F006"/>
    <x v="4"/>
    <s v="2022 Q1"/>
    <s v="Scope 2"/>
    <x v="1"/>
    <n v="4743.8500000000004"/>
    <n v="11426"/>
    <n v="4439.5600000000004"/>
    <n v="52.71"/>
    <s v=""/>
    <s v=""/>
  </r>
  <r>
    <s v="F028"/>
    <x v="4"/>
    <s v="2023 Q2"/>
    <s v="Scope 3"/>
    <x v="2"/>
    <n v="3863.8"/>
    <n v="73977"/>
    <n v="1646.75"/>
    <n v="43.77"/>
    <s v=""/>
    <s v=""/>
  </r>
  <r>
    <s v="F149"/>
    <x v="1"/>
    <s v="2023 Q1"/>
    <s v="Scope 1"/>
    <x v="0"/>
    <n v="1928.39"/>
    <n v="61207"/>
    <n v="6922.33"/>
    <n v="9.1999999999999993"/>
    <s v=""/>
    <s v=""/>
  </r>
  <r>
    <s v="F128"/>
    <x v="2"/>
    <s v="2023 Q2"/>
    <s v="Scope 2"/>
    <x v="2"/>
    <n v="2001.66"/>
    <n v="68216"/>
    <n v="9562.33"/>
    <n v="63.59"/>
    <n v="830.73"/>
    <n v="46.68"/>
  </r>
  <r>
    <s v="F034"/>
    <x v="4"/>
    <s v="2023 Q2"/>
    <s v="Scope 1"/>
    <x v="0"/>
    <n v="1031.08"/>
    <n v="67213"/>
    <n v="5533.81"/>
    <n v="90.88"/>
    <n v="467.3"/>
    <n v="53.15"/>
  </r>
  <r>
    <s v="F200"/>
    <x v="1"/>
    <s v="2023 Q1"/>
    <s v="Scope 1"/>
    <x v="0"/>
    <n v="4637.72"/>
    <n v="21081"/>
    <n v="9001.77"/>
    <n v="49.27"/>
    <n v="114.57"/>
    <n v="44.17"/>
  </r>
  <r>
    <s v="F153"/>
    <x v="3"/>
    <s v="2023 Q1"/>
    <s v="Scope 1"/>
    <x v="1"/>
    <n v="2119.1"/>
    <n v="95306"/>
    <n v="9037.76"/>
    <n v="13.35"/>
    <n v="724.63"/>
    <n v="21.2"/>
  </r>
  <r>
    <s v="F185"/>
    <x v="0"/>
    <s v="2022 Q1"/>
    <s v="Scope 3"/>
    <x v="0"/>
    <n v="672.59"/>
    <n v="68820"/>
    <n v="9612.25"/>
    <n v="83.51"/>
    <n v="867.66"/>
    <n v="18.88"/>
  </r>
  <r>
    <s v="F092"/>
    <x v="4"/>
    <s v="2022 Q1"/>
    <s v="Scope 3"/>
    <x v="1"/>
    <n v="1187.17"/>
    <n v="79495"/>
    <n v="7157.48"/>
    <n v="26.84"/>
    <n v="114.57"/>
    <n v="9.83"/>
  </r>
  <r>
    <s v="F126"/>
    <x v="2"/>
    <s v="2022 Q2"/>
    <s v="Scope 1"/>
    <x v="1"/>
    <n v="3253.86"/>
    <n v="75508"/>
    <n v="6856.22"/>
    <n v="18.2"/>
    <n v="991.03"/>
    <n v="13.32"/>
  </r>
  <r>
    <s v="F079"/>
    <x v="2"/>
    <s v="2023 Q2"/>
    <s v="Scope 1"/>
    <x v="0"/>
    <n v="276.16000000000003"/>
    <n v="17311"/>
    <n v="2257.38"/>
    <n v="91.07"/>
    <n v="341.24"/>
    <n v="80.69"/>
  </r>
  <r>
    <s v="F087"/>
    <x v="4"/>
    <s v="2023 Q1"/>
    <s v="Scope 3"/>
    <x v="1"/>
    <n v="1988.31"/>
    <n v="44164"/>
    <n v="3869.32"/>
    <n v="13.81"/>
    <n v="943.59"/>
    <n v="16.02"/>
  </r>
  <r>
    <s v="F190"/>
    <x v="0"/>
    <s v="2022 Q2"/>
    <s v="Scope 2"/>
    <x v="0"/>
    <n v="1459.49"/>
    <n v="70582"/>
    <n v="7517.59"/>
    <n v="95.71"/>
    <s v=""/>
    <s v=""/>
  </r>
  <r>
    <s v="F152"/>
    <x v="4"/>
    <s v="2022 Q2"/>
    <s v="Scope 1"/>
    <x v="1"/>
    <n v="4054.68"/>
    <n v="90679"/>
    <n v="7266.82"/>
    <n v="23.3"/>
    <n v="943.59"/>
    <n v="15.81"/>
  </r>
  <r>
    <s v="F002"/>
    <x v="4"/>
    <s v="2022 Q2"/>
    <s v="Scope 1"/>
    <x v="2"/>
    <n v="270.88"/>
    <n v="53661"/>
    <n v="6965.81"/>
    <n v="69.400000000000006"/>
    <n v="610.79999999999995"/>
    <n v="29.15"/>
  </r>
  <r>
    <s v="F101"/>
    <x v="3"/>
    <s v="2022 Q1"/>
    <s v="Scope 1"/>
    <x v="0"/>
    <n v="1234.77"/>
    <n v="65719"/>
    <n v="9362.41"/>
    <n v="86.55"/>
    <n v="932.3"/>
    <n v="28.9"/>
  </r>
  <r>
    <s v="F088"/>
    <x v="0"/>
    <s v="2023 Q2"/>
    <s v="Scope 1"/>
    <x v="1"/>
    <n v="4028.89"/>
    <n v="77330"/>
    <n v="6936.58"/>
    <n v="82.3"/>
    <n v="264.23"/>
    <n v="28.19"/>
  </r>
  <r>
    <s v="F108"/>
    <x v="3"/>
    <s v="2023 Q2"/>
    <s v="Scope 3"/>
    <x v="1"/>
    <n v="4303.8500000000004"/>
    <n v="39050"/>
    <n v="5885.73"/>
    <n v="93.04"/>
    <n v="318.55"/>
    <n v="39.81"/>
  </r>
  <r>
    <s v="F122"/>
    <x v="4"/>
    <s v="2023 Q1"/>
    <s v="Scope 1"/>
    <x v="2"/>
    <n v="2941.43"/>
    <n v="49620"/>
    <n v="2424.31"/>
    <n v="62.09"/>
    <n v="184.92"/>
    <n v="19.55"/>
  </r>
  <r>
    <s v="F130"/>
    <x v="3"/>
    <s v="2022 Q1"/>
    <s v="Scope 1"/>
    <x v="2"/>
    <n v="125.18"/>
    <n v="43227"/>
    <n v="5199.53"/>
    <n v="44.09"/>
    <n v="724.63"/>
    <n v="14.96"/>
  </r>
  <r>
    <s v="F171"/>
    <x v="4"/>
    <s v="2023 Q1"/>
    <s v="Scope 1"/>
    <x v="1"/>
    <n v="2302.58"/>
    <n v="98356"/>
    <n v="6968.69"/>
    <n v="81.72"/>
    <n v="795.74"/>
    <n v="22.41"/>
  </r>
  <r>
    <s v="F154"/>
    <x v="0"/>
    <s v="2023 Q2"/>
    <s v="Scope 1"/>
    <x v="0"/>
    <n v="365.22"/>
    <n v="17097"/>
    <n v="9061.7800000000007"/>
    <n v="95.92"/>
    <n v="390.06"/>
    <n v="18.010000000000002"/>
  </r>
  <r>
    <s v="F167"/>
    <x v="2"/>
    <s v="2023 Q1"/>
    <s v="Scope 2"/>
    <x v="2"/>
    <n v="93.15"/>
    <n v="94128"/>
    <n v="8117.82"/>
    <n v="73.83"/>
    <n v="532.27"/>
    <n v="31.74"/>
  </r>
  <r>
    <s v="F001"/>
    <x v="1"/>
    <s v="2022 Q2"/>
    <s v="Scope 2"/>
    <x v="1"/>
    <n v="807.86"/>
    <n v="54133"/>
    <n v="8543.68"/>
    <n v="24"/>
    <n v="991.03"/>
    <n v="23.33"/>
  </r>
  <r>
    <s v="F058"/>
    <x v="1"/>
    <s v="2022 Q1"/>
    <s v="Scope 2"/>
    <x v="2"/>
    <n v="3779.13"/>
    <n v="66398"/>
    <n v="8713.61"/>
    <n v="83.44"/>
    <n v="763.97"/>
    <n v="22.42"/>
  </r>
  <r>
    <s v="F080"/>
    <x v="3"/>
    <s v="2022 Q2"/>
    <s v="Scope 3"/>
    <x v="0"/>
    <n v="4998.3900000000003"/>
    <n v="10250"/>
    <n v="4717"/>
    <n v="16.600000000000001"/>
    <n v="249.3"/>
    <n v="32.97"/>
  </r>
  <r>
    <s v="F107"/>
    <x v="2"/>
    <s v="2023 Q1"/>
    <s v="Scope 1"/>
    <x v="2"/>
    <n v="2268.11"/>
    <n v="43512"/>
    <n v="5352.18"/>
    <n v="6.17"/>
    <n v="311.36"/>
    <n v="28.72"/>
  </r>
  <r>
    <s v="F003"/>
    <x v="3"/>
    <s v="2022 Q1"/>
    <s v="Scope 1"/>
    <x v="2"/>
    <n v="1247.71"/>
    <n v="27681"/>
    <n v="928.26"/>
    <n v="44.97"/>
    <s v=""/>
    <s v=""/>
  </r>
  <r>
    <s v="F114"/>
    <x v="1"/>
    <s v="2023 Q1"/>
    <s v="Scope 2"/>
    <x v="2"/>
    <n v="2941.25"/>
    <n v="57353"/>
    <n v="2274.71"/>
    <n v="65.34"/>
    <n v="931.73"/>
    <n v="46.27"/>
  </r>
  <r>
    <s v="F032"/>
    <x v="1"/>
    <s v="2022 Q2"/>
    <s v="Scope 2"/>
    <x v="2"/>
    <n v="1210.07"/>
    <n v="33688"/>
    <n v="9495.48"/>
    <n v="55.55"/>
    <n v="780.4"/>
    <n v="30.98"/>
  </r>
  <r>
    <s v="F153"/>
    <x v="3"/>
    <s v="2023 Q1"/>
    <s v="Scope 2"/>
    <x v="1"/>
    <n v="4451"/>
    <n v="95306"/>
    <n v="9037.76"/>
    <n v="13.35"/>
    <n v="724.63"/>
    <n v="21.2"/>
  </r>
  <r>
    <s v="F090"/>
    <x v="2"/>
    <s v="2023 Q2"/>
    <s v="Scope 2"/>
    <x v="2"/>
    <n v="867.35"/>
    <n v="29895"/>
    <n v="1631.08"/>
    <n v="39.93"/>
    <n v="959.2"/>
    <n v="38.840000000000003"/>
  </r>
  <r>
    <s v="F063"/>
    <x v="4"/>
    <s v="2023 Q2"/>
    <s v="Scope 1"/>
    <x v="0"/>
    <n v="3856.1"/>
    <n v="45519"/>
    <n v="7987.69"/>
    <n v="10.86"/>
    <n v="638.89"/>
    <n v="35.04"/>
  </r>
  <r>
    <s v="F025"/>
    <x v="4"/>
    <s v="2023 Q1"/>
    <s v="Scope 2"/>
    <x v="0"/>
    <n v="1963.47"/>
    <n v="32131"/>
    <n v="1474.23"/>
    <n v="45.47"/>
    <n v="830.73"/>
    <n v="17.97"/>
  </r>
  <r>
    <s v="F106"/>
    <x v="3"/>
    <s v="2022 Q2"/>
    <s v="Scope 1"/>
    <x v="0"/>
    <n v="4776.8"/>
    <n v="98682"/>
    <n v="6220.56"/>
    <n v="70.099999999999994"/>
    <n v="724.63"/>
    <n v="27.81"/>
  </r>
  <r>
    <s v="F171"/>
    <x v="4"/>
    <s v="2023 Q2"/>
    <s v="Scope 1"/>
    <x v="2"/>
    <n v="1736.71"/>
    <n v="98356"/>
    <n v="6968.69"/>
    <n v="81.72"/>
    <n v="795.74"/>
    <n v="22.41"/>
  </r>
  <r>
    <s v="F181"/>
    <x v="3"/>
    <s v="2022 Q1"/>
    <s v="Scope 1"/>
    <x v="1"/>
    <n v="4367.4799999999996"/>
    <n v="42485"/>
    <n v="4755.75"/>
    <n v="10.19"/>
    <n v="662.74"/>
    <n v="36.79"/>
  </r>
  <r>
    <s v="F083"/>
    <x v="2"/>
    <s v="2023 Q2"/>
    <s v="Scope 2"/>
    <x v="1"/>
    <n v="700.15"/>
    <n v="94704"/>
    <n v="6632.95"/>
    <n v="14.76"/>
    <n v="459.56"/>
    <n v="7.54"/>
  </r>
  <r>
    <s v="F149"/>
    <x v="1"/>
    <s v="2023 Q1"/>
    <s v="Scope 2"/>
    <x v="1"/>
    <n v="4667.1400000000003"/>
    <n v="61207"/>
    <n v="6922.33"/>
    <n v="9.1999999999999993"/>
    <s v=""/>
    <s v=""/>
  </r>
  <r>
    <s v="F118"/>
    <x v="0"/>
    <s v="2023 Q1"/>
    <s v="Scope 3"/>
    <x v="2"/>
    <n v="2262.4299999999998"/>
    <n v="14170"/>
    <n v="5455.23"/>
    <n v="25.46"/>
    <n v="790.74"/>
    <n v="28.78"/>
  </r>
  <r>
    <s v="F096"/>
    <x v="0"/>
    <s v="2022 Q2"/>
    <s v="Scope 2"/>
    <x v="0"/>
    <n v="4898.1499999999996"/>
    <n v="21388"/>
    <n v="5249.39"/>
    <n v="64.2"/>
    <n v="571.66"/>
    <n v="17.87"/>
  </r>
  <r>
    <s v="F094"/>
    <x v="3"/>
    <s v="2022 Q2"/>
    <s v="Scope 1"/>
    <x v="1"/>
    <n v="2735.09"/>
    <n v="40553"/>
    <n v="4875.2299999999996"/>
    <n v="23.33"/>
    <n v="818.45"/>
    <n v="19.420000000000002"/>
  </r>
  <r>
    <s v="F137"/>
    <x v="0"/>
    <s v="2022 Q2"/>
    <s v="Scope 2"/>
    <x v="1"/>
    <n v="129.43"/>
    <n v="10933"/>
    <n v="9004.3700000000008"/>
    <n v="26.84"/>
    <s v=""/>
    <s v=""/>
  </r>
  <r>
    <s v="F058"/>
    <x v="1"/>
    <s v="2023 Q1"/>
    <s v="Scope 2"/>
    <x v="1"/>
    <n v="556.38"/>
    <n v="66398"/>
    <n v="8713.61"/>
    <n v="83.44"/>
    <n v="763.97"/>
    <n v="22.42"/>
  </r>
  <r>
    <s v="F190"/>
    <x v="0"/>
    <s v="2023 Q2"/>
    <s v="Scope 1"/>
    <x v="0"/>
    <n v="358.08"/>
    <n v="70582"/>
    <n v="7517.59"/>
    <n v="95.71"/>
    <s v=""/>
    <s v=""/>
  </r>
  <r>
    <s v="F193"/>
    <x v="1"/>
    <s v="2023 Q1"/>
    <s v="Scope 3"/>
    <x v="2"/>
    <n v="5236.84"/>
    <n v="15333"/>
    <n v="2570.54"/>
    <n v="41.07"/>
    <n v="390.06"/>
    <n v="31.43"/>
  </r>
  <r>
    <s v="F049"/>
    <x v="0"/>
    <s v="2023 Q1"/>
    <s v="Scope 2"/>
    <x v="2"/>
    <n v="2820.63"/>
    <n v="65666"/>
    <n v="7269.98"/>
    <n v="75.62"/>
    <s v=""/>
    <s v=""/>
  </r>
  <r>
    <s v="F194"/>
    <x v="3"/>
    <s v="2023 Q1"/>
    <s v="Scope 3"/>
    <x v="1"/>
    <n v="1652.63"/>
    <n v="42382"/>
    <n v="5116.6899999999996"/>
    <n v="80.42"/>
    <n v="626.54"/>
    <n v="70.540000000000006"/>
  </r>
  <r>
    <s v="F080"/>
    <x v="3"/>
    <s v="2023 Q1"/>
    <s v="Scope 3"/>
    <x v="1"/>
    <n v="4298.4799999999996"/>
    <n v="10250"/>
    <n v="4717"/>
    <n v="16.600000000000001"/>
    <n v="249.3"/>
    <n v="32.97"/>
  </r>
  <r>
    <s v="F102"/>
    <x v="1"/>
    <s v="2023 Q1"/>
    <s v="Scope 1"/>
    <x v="0"/>
    <n v="2188.52"/>
    <n v="82377"/>
    <n v="7974.74"/>
    <n v="9.17"/>
    <s v=""/>
    <s v=""/>
  </r>
  <r>
    <s v="F009"/>
    <x v="0"/>
    <s v="2022 Q1"/>
    <s v="Scope 2"/>
    <x v="1"/>
    <n v="228.37"/>
    <n v="45644"/>
    <n v="7724.73"/>
    <n v="31"/>
    <n v="685.27"/>
    <n v="33.94"/>
  </r>
  <r>
    <s v="F102"/>
    <x v="1"/>
    <s v="2023 Q1"/>
    <s v="Scope 3"/>
    <x v="0"/>
    <n v="3425.06"/>
    <n v="82377"/>
    <n v="7974.74"/>
    <n v="9.17"/>
    <s v=""/>
    <s v=""/>
  </r>
  <r>
    <s v="F156"/>
    <x v="2"/>
    <s v="2023 Q1"/>
    <s v="Scope 2"/>
    <x v="2"/>
    <n v="3780.56"/>
    <n v="88308"/>
    <n v="7802.07"/>
    <n v="36.130000000000003"/>
    <n v="557.72"/>
    <n v="62.75"/>
  </r>
  <r>
    <s v="F152"/>
    <x v="4"/>
    <s v="2022 Q2"/>
    <s v="Scope 2"/>
    <x v="2"/>
    <n v="1026.45"/>
    <n v="90679"/>
    <n v="7266.82"/>
    <n v="23.3"/>
    <n v="943.59"/>
    <n v="15.81"/>
  </r>
  <r>
    <s v="F086"/>
    <x v="4"/>
    <s v="2022 Q1"/>
    <s v="Scope 3"/>
    <x v="1"/>
    <n v="1973.14"/>
    <n v="55974"/>
    <n v="7542.28"/>
    <n v="72.430000000000007"/>
    <n v="626.54"/>
    <n v="29.46"/>
  </r>
  <r>
    <s v="F058"/>
    <x v="1"/>
    <s v="2022 Q2"/>
    <s v="Scope 3"/>
    <x v="1"/>
    <n v="3828.41"/>
    <n v="66398"/>
    <n v="8713.61"/>
    <n v="83.44"/>
    <n v="763.97"/>
    <n v="22.42"/>
  </r>
  <r>
    <s v="F032"/>
    <x v="1"/>
    <s v="2023 Q2"/>
    <s v="Scope 2"/>
    <x v="0"/>
    <n v="3883.26"/>
    <n v="33688"/>
    <n v="9495.48"/>
    <n v="55.55"/>
    <n v="780.4"/>
    <n v="30.98"/>
  </r>
  <r>
    <s v="F186"/>
    <x v="4"/>
    <s v="2022 Q1"/>
    <s v="Scope 3"/>
    <x v="1"/>
    <n v="4934.97"/>
    <n v="61942"/>
    <n v="4891.32"/>
    <n v="91.59"/>
    <n v="785.8"/>
    <n v="8.84"/>
  </r>
  <r>
    <s v="F090"/>
    <x v="2"/>
    <s v="2022 Q2"/>
    <s v="Scope 1"/>
    <x v="2"/>
    <n v="336.58"/>
    <n v="29895"/>
    <n v="1631.08"/>
    <n v="39.93"/>
    <n v="959.2"/>
    <n v="38.840000000000003"/>
  </r>
  <r>
    <s v="F052"/>
    <x v="3"/>
    <s v="2022 Q2"/>
    <s v="Scope 2"/>
    <x v="0"/>
    <n v="3817.85"/>
    <n v="66163"/>
    <n v="1416.57"/>
    <n v="68.73"/>
    <n v="773.96"/>
    <n v="29.26"/>
  </r>
  <r>
    <s v="F027"/>
    <x v="4"/>
    <s v="2022 Q2"/>
    <s v="Scope 2"/>
    <x v="1"/>
    <n v="1089.25"/>
    <n v="51800"/>
    <n v="3042.95"/>
    <n v="71.87"/>
    <n v="714.03"/>
    <n v="10.84"/>
  </r>
  <r>
    <s v="F097"/>
    <x v="1"/>
    <s v="2023 Q2"/>
    <s v="Scope 3"/>
    <x v="0"/>
    <n v="316.08"/>
    <n v="69100"/>
    <n v="9356.02"/>
    <n v="16.5"/>
    <n v="694.92"/>
    <n v="23.67"/>
  </r>
  <r>
    <s v="F173"/>
    <x v="1"/>
    <s v="2022 Q2"/>
    <s v="Scope 1"/>
    <x v="1"/>
    <n v="2112.3200000000002"/>
    <n v="38181"/>
    <n v="691.84"/>
    <n v="33.53"/>
    <n v="114.57"/>
    <n v="9.9600000000000009"/>
  </r>
  <r>
    <s v="F093"/>
    <x v="2"/>
    <s v="2023 Q2"/>
    <s v="Scope 3"/>
    <x v="0"/>
    <n v="892.44"/>
    <n v="15553"/>
    <n v="3909.51"/>
    <n v="46.44"/>
    <s v=""/>
    <s v=""/>
  </r>
  <r>
    <s v="F097"/>
    <x v="1"/>
    <s v="2022 Q2"/>
    <s v="Scope 1"/>
    <x v="0"/>
    <n v="1569.2"/>
    <n v="69100"/>
    <n v="9356.02"/>
    <n v="16.5"/>
    <n v="694.92"/>
    <n v="23.67"/>
  </r>
  <r>
    <s v="F050"/>
    <x v="0"/>
    <s v="2023 Q1"/>
    <s v="Scope 3"/>
    <x v="1"/>
    <n v="1407.45"/>
    <n v="10067"/>
    <n v="1953.33"/>
    <n v="25.15"/>
    <n v="785.8"/>
    <n v="19.649999999999999"/>
  </r>
  <r>
    <s v="F196"/>
    <x v="4"/>
    <s v="2022 Q2"/>
    <s v="Scope 3"/>
    <x v="2"/>
    <n v="4401.59"/>
    <n v="85444"/>
    <n v="852.57"/>
    <n v="72.650000000000006"/>
    <n v="319.93"/>
    <n v="34.35"/>
  </r>
  <r>
    <s v="F148"/>
    <x v="1"/>
    <s v="2023 Q1"/>
    <s v="Scope 2"/>
    <x v="0"/>
    <n v="4331.4399999999996"/>
    <n v="47491"/>
    <n v="5781.05"/>
    <n v="92.18"/>
    <n v="344.93"/>
    <n v="36.229999999999997"/>
  </r>
  <r>
    <s v="F050"/>
    <x v="0"/>
    <s v="2023 Q2"/>
    <s v="Scope 1"/>
    <x v="1"/>
    <n v="191.28"/>
    <n v="10067"/>
    <n v="1953.33"/>
    <n v="25.15"/>
    <n v="785.8"/>
    <n v="19.649999999999999"/>
  </r>
  <r>
    <s v="F115"/>
    <x v="3"/>
    <s v="2022 Q1"/>
    <s v="Scope 1"/>
    <x v="0"/>
    <n v="3002.77"/>
    <n v="29318"/>
    <n v="9860.6200000000008"/>
    <n v="14.58"/>
    <n v="571.66"/>
    <n v="6.78"/>
  </r>
  <r>
    <s v="F017"/>
    <x v="2"/>
    <s v="2022 Q1"/>
    <s v="Scope 2"/>
    <x v="2"/>
    <n v="2511.59"/>
    <n v="71747"/>
    <n v="9838.66"/>
    <n v="7.25"/>
    <n v="224.5"/>
    <n v="39.29"/>
  </r>
  <r>
    <s v="F048"/>
    <x v="0"/>
    <s v="2023 Q2"/>
    <s v="Scope 3"/>
    <x v="1"/>
    <n v="2282.1799999999998"/>
    <n v="26338"/>
    <n v="578.73"/>
    <n v="72.52"/>
    <n v="991.36"/>
    <n v="35.39"/>
  </r>
  <r>
    <s v="F119"/>
    <x v="2"/>
    <s v="2022 Q1"/>
    <s v="Scope 2"/>
    <x v="0"/>
    <n v="4726.1099999999997"/>
    <n v="22525"/>
    <n v="9465.65"/>
    <n v="37.79"/>
    <n v="472.66"/>
    <n v="55.03"/>
  </r>
  <r>
    <s v="F054"/>
    <x v="3"/>
    <s v="2022 Q2"/>
    <s v="Scope 1"/>
    <x v="2"/>
    <n v="252.05"/>
    <n v="38869"/>
    <n v="5109.76"/>
    <n v="35.270000000000003"/>
    <n v="986.62"/>
    <n v="40.86"/>
  </r>
  <r>
    <s v="F027"/>
    <x v="4"/>
    <s v="2023 Q2"/>
    <s v="Scope 2"/>
    <x v="2"/>
    <n v="3693.42"/>
    <n v="51800"/>
    <n v="3042.95"/>
    <n v="71.87"/>
    <n v="714.03"/>
    <n v="10.84"/>
  </r>
  <r>
    <s v="F160"/>
    <x v="4"/>
    <s v="2022 Q2"/>
    <s v="Scope 3"/>
    <x v="0"/>
    <n v="2670.53"/>
    <n v="36423"/>
    <n v="589.96"/>
    <n v="30.9"/>
    <n v="111.84"/>
    <n v="23.26"/>
  </r>
  <r>
    <s v="F102"/>
    <x v="1"/>
    <s v="2022 Q2"/>
    <s v="Scope 2"/>
    <x v="1"/>
    <n v="1186.4000000000001"/>
    <n v="82377"/>
    <n v="7974.74"/>
    <n v="9.17"/>
    <s v=""/>
    <s v=""/>
  </r>
  <r>
    <s v="F175"/>
    <x v="3"/>
    <s v="2023 Q2"/>
    <s v="Scope 3"/>
    <x v="0"/>
    <n v="1201.0999999999999"/>
    <n v="94949"/>
    <n v="9714.76"/>
    <n v="64.900000000000006"/>
    <n v="241.41"/>
    <n v="20.62"/>
  </r>
  <r>
    <s v="F058"/>
    <x v="1"/>
    <s v="2022 Q1"/>
    <s v="Scope 3"/>
    <x v="0"/>
    <n v="1093.3900000000001"/>
    <n v="66398"/>
    <n v="8713.61"/>
    <n v="83.44"/>
    <n v="763.97"/>
    <n v="22.42"/>
  </r>
  <r>
    <s v="F188"/>
    <x v="3"/>
    <s v="2022 Q2"/>
    <s v="Scope 1"/>
    <x v="2"/>
    <n v="4636.55"/>
    <n v="80824"/>
    <n v="2858.92"/>
    <n v="13.97"/>
    <n v="638.89"/>
    <n v="21.98"/>
  </r>
  <r>
    <s v="F132"/>
    <x v="4"/>
    <s v="2022 Q1"/>
    <s v="Scope 3"/>
    <x v="1"/>
    <n v="1840.53"/>
    <n v="76544"/>
    <n v="8632.77"/>
    <n v="12.87"/>
    <n v="571.88"/>
    <n v="30.1"/>
  </r>
  <r>
    <s v="F188"/>
    <x v="3"/>
    <s v="2023 Q2"/>
    <s v="Scope 1"/>
    <x v="1"/>
    <n v="1036.07"/>
    <n v="80824"/>
    <n v="2858.92"/>
    <n v="13.97"/>
    <n v="638.89"/>
    <n v="21.98"/>
  </r>
  <r>
    <s v="F147"/>
    <x v="1"/>
    <s v="2022 Q2"/>
    <s v="Scope 3"/>
    <x v="1"/>
    <n v="390.78"/>
    <n v="13333"/>
    <n v="6102.15"/>
    <n v="17.670000000000002"/>
    <n v="959.2"/>
    <n v="24.24"/>
  </r>
  <r>
    <s v="F154"/>
    <x v="0"/>
    <s v="2023 Q2"/>
    <s v="Scope 2"/>
    <x v="0"/>
    <n v="4126.71"/>
    <n v="17097"/>
    <n v="9061.7800000000007"/>
    <n v="95.92"/>
    <n v="390.06"/>
    <n v="18.010000000000002"/>
  </r>
  <r>
    <s v="F036"/>
    <x v="3"/>
    <s v="2023 Q2"/>
    <s v="Scope 2"/>
    <x v="0"/>
    <n v="4171.8100000000004"/>
    <n v="53942"/>
    <n v="5904.31"/>
    <n v="32.78"/>
    <n v="553.44000000000005"/>
    <n v="29.01"/>
  </r>
  <r>
    <s v="F164"/>
    <x v="0"/>
    <s v="2022 Q1"/>
    <s v="Scope 1"/>
    <x v="2"/>
    <n v="3571.47"/>
    <n v="60710"/>
    <n v="2726.26"/>
    <n v="83.02"/>
    <n v="714.81"/>
    <n v="58.54"/>
  </r>
  <r>
    <s v="F195"/>
    <x v="1"/>
    <s v="2023 Q1"/>
    <s v="Scope 2"/>
    <x v="0"/>
    <n v="1961.65"/>
    <n v="87012"/>
    <n v="7478.13"/>
    <n v="27.22"/>
    <n v="579.80999999999995"/>
    <n v="28.6"/>
  </r>
  <r>
    <s v="F085"/>
    <x v="4"/>
    <s v="2023 Q1"/>
    <s v="Scope 1"/>
    <x v="0"/>
    <n v="3905.64"/>
    <n v="29264"/>
    <n v="8362.7199999999993"/>
    <n v="61.93"/>
    <s v=""/>
    <s v=""/>
  </r>
  <r>
    <s v="F122"/>
    <x v="4"/>
    <s v="2022 Q2"/>
    <s v="Scope 3"/>
    <x v="1"/>
    <n v="2192.9699999999998"/>
    <n v="49620"/>
    <n v="2424.31"/>
    <n v="62.09"/>
    <n v="184.92"/>
    <n v="19.55"/>
  </r>
  <r>
    <s v="F129"/>
    <x v="1"/>
    <s v="2023 Q2"/>
    <s v="Scope 1"/>
    <x v="1"/>
    <n v="369.5"/>
    <n v="58439"/>
    <n v="5817.93"/>
    <n v="63.77"/>
    <n v="143.16999999999999"/>
    <n v="52.46"/>
  </r>
  <r>
    <s v="F097"/>
    <x v="1"/>
    <s v="2022 Q2"/>
    <s v="Scope 1"/>
    <x v="1"/>
    <n v="2277.1799999999998"/>
    <n v="69100"/>
    <n v="9356.02"/>
    <n v="16.5"/>
    <n v="694.92"/>
    <n v="23.67"/>
  </r>
  <r>
    <s v="F109"/>
    <x v="0"/>
    <s v="2022 Q1"/>
    <s v="Scope 1"/>
    <x v="0"/>
    <n v="4278.8900000000003"/>
    <n v="34318"/>
    <n v="675.67"/>
    <n v="41.05"/>
    <n v="390.06"/>
    <n v="27.42"/>
  </r>
  <r>
    <s v="F028"/>
    <x v="4"/>
    <s v="2022 Q2"/>
    <s v="Scope 1"/>
    <x v="1"/>
    <n v="3665.62"/>
    <n v="73977"/>
    <n v="1646.75"/>
    <n v="43.77"/>
    <s v=""/>
    <s v=""/>
  </r>
  <r>
    <s v="F130"/>
    <x v="3"/>
    <s v="2022 Q2"/>
    <s v="Scope 3"/>
    <x v="1"/>
    <n v="4127.2299999999996"/>
    <n v="43227"/>
    <n v="5199.53"/>
    <n v="44.09"/>
    <n v="724.63"/>
    <n v="14.96"/>
  </r>
  <r>
    <s v="F173"/>
    <x v="1"/>
    <s v="2023 Q2"/>
    <s v="Scope 1"/>
    <x v="2"/>
    <n v="1251.29"/>
    <n v="38181"/>
    <n v="691.84"/>
    <n v="33.53"/>
    <n v="114.57"/>
    <n v="9.9600000000000009"/>
  </r>
  <r>
    <s v="F146"/>
    <x v="2"/>
    <s v="2022 Q2"/>
    <s v="Scope 2"/>
    <x v="1"/>
    <n v="3935.94"/>
    <n v="99115"/>
    <n v="827.26"/>
    <n v="28.88"/>
    <n v="818.45"/>
    <n v="27.59"/>
  </r>
  <r>
    <s v="F060"/>
    <x v="4"/>
    <s v="2023 Q1"/>
    <s v="Scope 2"/>
    <x v="1"/>
    <n v="1012.81"/>
    <n v="41539"/>
    <n v="982.8"/>
    <n v="79.7"/>
    <n v="851.48"/>
    <n v="13.07"/>
  </r>
  <r>
    <s v="F117"/>
    <x v="2"/>
    <s v="2023 Q2"/>
    <s v="Scope 2"/>
    <x v="1"/>
    <n v="817.03"/>
    <n v="52594"/>
    <n v="8715.0400000000009"/>
    <n v="90.54"/>
    <n v="553.44000000000005"/>
    <n v="23.44"/>
  </r>
  <r>
    <s v="F001"/>
    <x v="1"/>
    <s v="2022 Q2"/>
    <s v="Scope 2"/>
    <x v="1"/>
    <n v="4733.58"/>
    <n v="54133"/>
    <n v="8543.68"/>
    <n v="24"/>
    <n v="991.03"/>
    <n v="23.33"/>
  </r>
  <r>
    <s v="F131"/>
    <x v="4"/>
    <s v="2023 Q2"/>
    <s v="Scope 1"/>
    <x v="0"/>
    <n v="4851.63"/>
    <n v="43294"/>
    <n v="3802.13"/>
    <n v="45.84"/>
    <n v="756.78"/>
    <n v="28.42"/>
  </r>
  <r>
    <s v="F122"/>
    <x v="4"/>
    <s v="2023 Q1"/>
    <s v="Scope 2"/>
    <x v="0"/>
    <n v="2889.59"/>
    <n v="49620"/>
    <n v="2424.31"/>
    <n v="62.09"/>
    <n v="184.92"/>
    <n v="19.55"/>
  </r>
  <r>
    <s v="F007"/>
    <x v="4"/>
    <s v="2023 Q1"/>
    <s v="Scope 1"/>
    <x v="0"/>
    <n v="2545.79"/>
    <n v="35506"/>
    <n v="1892.04"/>
    <n v="61.53"/>
    <s v=""/>
    <s v=""/>
  </r>
  <r>
    <s v="F080"/>
    <x v="3"/>
    <s v="2023 Q2"/>
    <s v="Scope 3"/>
    <x v="2"/>
    <n v="3857.37"/>
    <n v="10250"/>
    <n v="4717"/>
    <n v="16.600000000000001"/>
    <n v="249.3"/>
    <n v="32.97"/>
  </r>
  <r>
    <s v="F025"/>
    <x v="4"/>
    <s v="2022 Q1"/>
    <s v="Scope 3"/>
    <x v="0"/>
    <n v="1399.19"/>
    <n v="32131"/>
    <n v="1474.23"/>
    <n v="45.47"/>
    <n v="830.73"/>
    <n v="17.97"/>
  </r>
  <r>
    <s v="F099"/>
    <x v="3"/>
    <s v="2022 Q1"/>
    <s v="Scope 2"/>
    <x v="0"/>
    <n v="1563.76"/>
    <n v="17162"/>
    <n v="5079.95"/>
    <n v="19.239999999999998"/>
    <n v="769.39"/>
    <n v="35.29"/>
  </r>
  <r>
    <s v="F119"/>
    <x v="2"/>
    <s v="2022 Q2"/>
    <s v="Scope 1"/>
    <x v="0"/>
    <n v="2518.31"/>
    <n v="22525"/>
    <n v="9465.65"/>
    <n v="37.79"/>
    <n v="472.66"/>
    <n v="55.03"/>
  </r>
  <r>
    <s v="F019"/>
    <x v="0"/>
    <s v="2023 Q2"/>
    <s v="Scope 1"/>
    <x v="1"/>
    <n v="4134.78"/>
    <n v="68018"/>
    <n v="3523.4"/>
    <n v="92.26"/>
    <n v="111.84"/>
    <n v="15.85"/>
  </r>
  <r>
    <s v="F112"/>
    <x v="4"/>
    <s v="2022 Q1"/>
    <s v="Scope 2"/>
    <x v="0"/>
    <n v="2532.84"/>
    <n v="88188"/>
    <n v="815.86"/>
    <n v="57.53"/>
    <n v="557.72"/>
    <n v="37.25"/>
  </r>
  <r>
    <s v="F064"/>
    <x v="1"/>
    <s v="2022 Q1"/>
    <s v="Scope 1"/>
    <x v="0"/>
    <n v="2192.7800000000002"/>
    <n v="70481"/>
    <n v="4452.83"/>
    <n v="91.26"/>
    <s v=""/>
    <s v=""/>
  </r>
  <r>
    <s v="F055"/>
    <x v="2"/>
    <s v="2023 Q2"/>
    <s v="Scope 2"/>
    <x v="2"/>
    <n v="2433.0700000000002"/>
    <n v="41050"/>
    <n v="6025.84"/>
    <n v="53.53"/>
    <n v="289.77"/>
    <n v="19.260000000000002"/>
  </r>
  <r>
    <s v="F076"/>
    <x v="2"/>
    <s v="2022 Q1"/>
    <s v="Scope 2"/>
    <x v="0"/>
    <n v="3760.84"/>
    <n v="41953"/>
    <n v="2379.14"/>
    <n v="65.67"/>
    <n v="571.66"/>
    <n v="14.81"/>
  </r>
  <r>
    <s v="F077"/>
    <x v="4"/>
    <s v="2022 Q1"/>
    <s v="Scope 3"/>
    <x v="0"/>
    <n v="3726.94"/>
    <n v="52836"/>
    <n v="9330.2999999999993"/>
    <n v="87.27"/>
    <s v=""/>
    <s v=""/>
  </r>
  <r>
    <s v="F110"/>
    <x v="4"/>
    <s v="2022 Q1"/>
    <s v="Scope 1"/>
    <x v="0"/>
    <n v="3670.96"/>
    <n v="85868"/>
    <n v="907.72"/>
    <n v="90.36"/>
    <n v="960.4"/>
    <n v="10.65"/>
  </r>
  <r>
    <s v="F078"/>
    <x v="0"/>
    <s v="2022 Q2"/>
    <s v="Scope 3"/>
    <x v="0"/>
    <n v="1821.13"/>
    <n v="78624"/>
    <n v="2373.27"/>
    <n v="25.07"/>
    <s v=""/>
    <s v=""/>
  </r>
  <r>
    <s v="F177"/>
    <x v="3"/>
    <s v="2023 Q2"/>
    <s v="Scope 2"/>
    <x v="0"/>
    <n v="231.16"/>
    <n v="87482"/>
    <n v="2231.7399999999998"/>
    <n v="45.43"/>
    <n v="638.89"/>
    <n v="24.69"/>
  </r>
  <r>
    <s v="F010"/>
    <x v="0"/>
    <s v="2022 Q2"/>
    <s v="Scope 3"/>
    <x v="1"/>
    <n v="1503.89"/>
    <n v="32991"/>
    <n v="8540.14"/>
    <n v="37.75"/>
    <n v="268.16000000000003"/>
    <n v="9.08"/>
  </r>
  <r>
    <s v="F056"/>
    <x v="4"/>
    <s v="2023 Q2"/>
    <s v="Scope 2"/>
    <x v="2"/>
    <n v="1448.62"/>
    <n v="99026"/>
    <n v="5453.2"/>
    <n v="57.49"/>
    <n v="231.68"/>
    <n v="24.26"/>
  </r>
  <r>
    <s v="F027"/>
    <x v="4"/>
    <s v="2022 Q2"/>
    <s v="Scope 1"/>
    <x v="0"/>
    <n v="3712.48"/>
    <n v="51800"/>
    <n v="3042.95"/>
    <n v="71.87"/>
    <n v="714.03"/>
    <n v="10.84"/>
  </r>
  <r>
    <s v="F073"/>
    <x v="3"/>
    <s v="2023 Q2"/>
    <s v="Scope 2"/>
    <x v="0"/>
    <n v="4843.3"/>
    <n v="26170"/>
    <n v="8057.54"/>
    <n v="63.71"/>
    <s v=""/>
    <s v=""/>
  </r>
  <r>
    <s v="F062"/>
    <x v="2"/>
    <s v="2023 Q2"/>
    <s v="Scope 1"/>
    <x v="1"/>
    <n v="2038.87"/>
    <n v="19265"/>
    <n v="776.6"/>
    <n v="39.75"/>
    <n v="289.77"/>
    <n v="37.270000000000003"/>
  </r>
  <r>
    <s v="F119"/>
    <x v="2"/>
    <s v="2022 Q1"/>
    <s v="Scope 2"/>
    <x v="2"/>
    <n v="501.53"/>
    <n v="22525"/>
    <n v="9465.65"/>
    <n v="37.79"/>
    <n v="472.66"/>
    <n v="55.03"/>
  </r>
  <r>
    <s v="F009"/>
    <x v="0"/>
    <s v="2023 Q1"/>
    <s v="Scope 1"/>
    <x v="2"/>
    <n v="2494.41"/>
    <n v="45644"/>
    <n v="7724.73"/>
    <n v="31"/>
    <n v="685.27"/>
    <n v="33.94"/>
  </r>
  <r>
    <s v="F039"/>
    <x v="2"/>
    <s v="2022 Q1"/>
    <s v="Scope 1"/>
    <x v="2"/>
    <n v="3410.79"/>
    <n v="40503"/>
    <n v="7447.46"/>
    <n v="98.27"/>
    <n v="209.33"/>
    <n v="39.549999999999997"/>
  </r>
  <r>
    <s v="F161"/>
    <x v="2"/>
    <s v="2022 Q1"/>
    <s v="Scope 3"/>
    <x v="1"/>
    <n v="4596.05"/>
    <n v="36171"/>
    <n v="6864.38"/>
    <n v="37.03"/>
    <n v="181.54"/>
    <n v="55.69"/>
  </r>
  <r>
    <s v="F038"/>
    <x v="4"/>
    <s v="2022 Q1"/>
    <s v="Scope 2"/>
    <x v="2"/>
    <n v="2175.48"/>
    <n v="18341"/>
    <n v="8465.57"/>
    <n v="38.39"/>
    <s v=""/>
    <s v=""/>
  </r>
  <r>
    <s v="F122"/>
    <x v="4"/>
    <s v="2022 Q1"/>
    <s v="Scope 2"/>
    <x v="0"/>
    <n v="4410.9799999999996"/>
    <n v="49620"/>
    <n v="2424.31"/>
    <n v="62.09"/>
    <n v="184.92"/>
    <n v="19.55"/>
  </r>
  <r>
    <s v="F190"/>
    <x v="0"/>
    <s v="2022 Q1"/>
    <s v="Scope 3"/>
    <x v="1"/>
    <n v="4785.2299999999996"/>
    <n v="70582"/>
    <n v="7517.59"/>
    <n v="95.71"/>
    <s v=""/>
    <s v=""/>
  </r>
  <r>
    <s v="F030"/>
    <x v="0"/>
    <s v="2023 Q2"/>
    <s v="Scope 2"/>
    <x v="1"/>
    <n v="3604.55"/>
    <n v="49924"/>
    <n v="2199.16"/>
    <n v="75.48"/>
    <n v="432.23"/>
    <n v="13.54"/>
  </r>
  <r>
    <s v="F041"/>
    <x v="1"/>
    <s v="2022 Q2"/>
    <s v="Scope 2"/>
    <x v="1"/>
    <n v="3470.96"/>
    <n v="84721"/>
    <n v="2278.9699999999998"/>
    <n v="68.53"/>
    <n v="796.34"/>
    <n v="33.590000000000003"/>
  </r>
  <r>
    <s v="F131"/>
    <x v="4"/>
    <s v="2023 Q2"/>
    <s v="Scope 1"/>
    <x v="0"/>
    <n v="3506.46"/>
    <n v="43294"/>
    <n v="3802.13"/>
    <n v="45.84"/>
    <n v="756.78"/>
    <n v="28.42"/>
  </r>
  <r>
    <s v="F004"/>
    <x v="0"/>
    <s v="2022 Q2"/>
    <s v="Scope 3"/>
    <x v="2"/>
    <n v="2058.13"/>
    <n v="83923"/>
    <n v="8768.7999999999993"/>
    <n v="65.290000000000006"/>
    <n v="579.80999999999995"/>
    <n v="34.93"/>
  </r>
  <r>
    <s v="F048"/>
    <x v="0"/>
    <s v="2023 Q1"/>
    <s v="Scope 2"/>
    <x v="2"/>
    <n v="1643.92"/>
    <n v="26338"/>
    <n v="578.73"/>
    <n v="72.52"/>
    <n v="991.36"/>
    <n v="35.39"/>
  </r>
  <r>
    <s v="F188"/>
    <x v="3"/>
    <s v="2023 Q2"/>
    <s v="Scope 2"/>
    <x v="0"/>
    <n v="2080.0300000000002"/>
    <n v="80824"/>
    <n v="2858.92"/>
    <n v="13.97"/>
    <n v="638.89"/>
    <n v="21.98"/>
  </r>
  <r>
    <s v="F105"/>
    <x v="0"/>
    <s v="2022 Q1"/>
    <s v="Scope 1"/>
    <x v="2"/>
    <n v="2465.4499999999998"/>
    <n v="27028"/>
    <n v="4617.92"/>
    <n v="57.62"/>
    <n v="780.4"/>
    <n v="24.87"/>
  </r>
  <r>
    <s v="F126"/>
    <x v="2"/>
    <s v="2022 Q2"/>
    <s v="Scope 1"/>
    <x v="2"/>
    <n v="2931.16"/>
    <n v="75508"/>
    <n v="6856.22"/>
    <n v="18.2"/>
    <n v="991.03"/>
    <n v="13.32"/>
  </r>
  <r>
    <s v="F199"/>
    <x v="0"/>
    <s v="2023 Q2"/>
    <s v="Scope 2"/>
    <x v="2"/>
    <n v="1925.79"/>
    <n v="89321"/>
    <n v="9836.34"/>
    <n v="16.989999999999998"/>
    <n v="105.67"/>
    <n v="15.41"/>
  </r>
  <r>
    <s v="F135"/>
    <x v="3"/>
    <s v="2022 Q1"/>
    <s v="Scope 1"/>
    <x v="2"/>
    <n v="1331.9"/>
    <n v="56531"/>
    <n v="8958.07"/>
    <n v="83.44"/>
    <n v="943.59"/>
    <n v="23.54"/>
  </r>
  <r>
    <s v="F106"/>
    <x v="3"/>
    <s v="2022 Q1"/>
    <s v="Scope 3"/>
    <x v="1"/>
    <n v="3932.23"/>
    <n v="98682"/>
    <n v="6220.56"/>
    <n v="70.099999999999994"/>
    <n v="724.63"/>
    <n v="27.81"/>
  </r>
  <r>
    <s v="F106"/>
    <x v="3"/>
    <s v="2022 Q2"/>
    <s v="Scope 2"/>
    <x v="2"/>
    <n v="1414.52"/>
    <n v="98682"/>
    <n v="6220.56"/>
    <n v="70.099999999999994"/>
    <n v="724.63"/>
    <n v="27.81"/>
  </r>
  <r>
    <s v="F057"/>
    <x v="1"/>
    <s v="2022 Q2"/>
    <s v="Scope 3"/>
    <x v="2"/>
    <n v="3472.69"/>
    <n v="40226"/>
    <n v="7868.86"/>
    <n v="80.53"/>
    <n v="231.68"/>
    <n v="15.92"/>
  </r>
  <r>
    <s v="F011"/>
    <x v="4"/>
    <s v="2023 Q1"/>
    <s v="Scope 2"/>
    <x v="2"/>
    <n v="1357.85"/>
    <n v="72846"/>
    <n v="5169.53"/>
    <n v="76.709999999999994"/>
    <s v=""/>
    <s v=""/>
  </r>
  <r>
    <s v="F085"/>
    <x v="4"/>
    <s v="2022 Q1"/>
    <s v="Scope 2"/>
    <x v="0"/>
    <n v="347.5"/>
    <n v="29264"/>
    <n v="8362.7199999999993"/>
    <n v="61.93"/>
    <s v=""/>
    <s v=""/>
  </r>
  <r>
    <s v="F165"/>
    <x v="4"/>
    <s v="2022 Q2"/>
    <s v="Scope 3"/>
    <x v="2"/>
    <n v="4534.2299999999996"/>
    <n v="79330"/>
    <n v="6075.23"/>
    <n v="83.97"/>
    <n v="209.33"/>
    <n v="13.62"/>
  </r>
  <r>
    <s v="F122"/>
    <x v="4"/>
    <s v="2023 Q1"/>
    <s v="Scope 1"/>
    <x v="0"/>
    <n v="3600.52"/>
    <n v="49620"/>
    <n v="2424.31"/>
    <n v="62.09"/>
    <n v="184.92"/>
    <n v="19.55"/>
  </r>
  <r>
    <s v="F130"/>
    <x v="3"/>
    <s v="2023 Q1"/>
    <s v="Scope 2"/>
    <x v="2"/>
    <n v="4875.1000000000004"/>
    <n v="43227"/>
    <n v="5199.53"/>
    <n v="44.09"/>
    <n v="724.63"/>
    <n v="14.96"/>
  </r>
  <r>
    <s v="F144"/>
    <x v="2"/>
    <s v="2022 Q1"/>
    <s v="Scope 3"/>
    <x v="0"/>
    <n v="1708.84"/>
    <n v="16868"/>
    <n v="1378.01"/>
    <n v="47.52"/>
    <s v=""/>
    <s v=""/>
  </r>
  <r>
    <s v="F183"/>
    <x v="3"/>
    <s v="2023 Q1"/>
    <s v="Scope 2"/>
    <x v="0"/>
    <n v="126.6"/>
    <n v="29860"/>
    <n v="3956.23"/>
    <n v="57.5"/>
    <n v="432.23"/>
    <n v="17.78"/>
  </r>
  <r>
    <s v="F077"/>
    <x v="4"/>
    <s v="2023 Q2"/>
    <s v="Scope 2"/>
    <x v="2"/>
    <n v="1749.03"/>
    <n v="52836"/>
    <n v="9330.2999999999993"/>
    <n v="87.27"/>
    <s v=""/>
    <s v=""/>
  </r>
  <r>
    <s v="F024"/>
    <x v="4"/>
    <s v="2022 Q1"/>
    <s v="Scope 3"/>
    <x v="2"/>
    <n v="2617.52"/>
    <n v="95718"/>
    <n v="2443.12"/>
    <n v="35.49"/>
    <n v="818.45"/>
    <n v="9.9499999999999993"/>
  </r>
  <r>
    <s v="F191"/>
    <x v="0"/>
    <s v="2022 Q2"/>
    <s v="Scope 3"/>
    <x v="0"/>
    <n v="351.56"/>
    <n v="86557"/>
    <n v="8631.2800000000007"/>
    <n v="69.53"/>
    <s v=""/>
    <s v=""/>
  </r>
  <r>
    <s v="F029"/>
    <x v="4"/>
    <s v="2023 Q1"/>
    <s v="Scope 2"/>
    <x v="0"/>
    <n v="1743.41"/>
    <n v="12262"/>
    <n v="7106.18"/>
    <n v="45.69"/>
    <n v="459.56"/>
    <n v="29.71"/>
  </r>
  <r>
    <s v="F097"/>
    <x v="1"/>
    <s v="2023 Q1"/>
    <s v="Scope 3"/>
    <x v="2"/>
    <n v="4857.87"/>
    <n v="69100"/>
    <n v="9356.02"/>
    <n v="16.5"/>
    <n v="694.92"/>
    <n v="23.67"/>
  </r>
  <r>
    <s v="F066"/>
    <x v="4"/>
    <s v="2023 Q1"/>
    <s v="Scope 1"/>
    <x v="2"/>
    <n v="2816.93"/>
    <n v="13543"/>
    <n v="7854.96"/>
    <n v="85.57"/>
    <n v="610.79999999999995"/>
    <n v="30.04"/>
  </r>
  <r>
    <s v="F121"/>
    <x v="3"/>
    <s v="2022 Q2"/>
    <s v="Scope 1"/>
    <x v="1"/>
    <n v="2641.98"/>
    <n v="11952"/>
    <n v="4637.74"/>
    <n v="63.78"/>
    <n v="886.71"/>
    <n v="29.53"/>
  </r>
  <r>
    <s v="F014"/>
    <x v="2"/>
    <s v="2023 Q1"/>
    <s v="Scope 1"/>
    <x v="1"/>
    <n v="2924.31"/>
    <n v="17416"/>
    <n v="812.06"/>
    <n v="5.7"/>
    <n v="568.27"/>
    <n v="18.03"/>
  </r>
  <r>
    <s v="F131"/>
    <x v="4"/>
    <s v="2022 Q2"/>
    <s v="Scope 3"/>
    <x v="1"/>
    <n v="2885.09"/>
    <n v="43294"/>
    <n v="3802.13"/>
    <n v="45.84"/>
    <n v="756.78"/>
    <n v="28.42"/>
  </r>
  <r>
    <s v="F013"/>
    <x v="2"/>
    <s v="2023 Q1"/>
    <s v="Scope 2"/>
    <x v="2"/>
    <n v="4563.34"/>
    <n v="72813"/>
    <n v="8818.16"/>
    <n v="54.12"/>
    <n v="986.62"/>
    <n v="42.1"/>
  </r>
  <r>
    <s v="F024"/>
    <x v="4"/>
    <s v="2022 Q1"/>
    <s v="Scope 1"/>
    <x v="1"/>
    <n v="3703.75"/>
    <n v="95718"/>
    <n v="2443.12"/>
    <n v="35.49"/>
    <n v="818.45"/>
    <n v="9.9499999999999993"/>
  </r>
  <r>
    <s v="F192"/>
    <x v="4"/>
    <s v="2022 Q2"/>
    <s v="Scope 2"/>
    <x v="0"/>
    <n v="3328.72"/>
    <n v="21914"/>
    <n v="5897.27"/>
    <n v="49.41"/>
    <n v="790.74"/>
    <n v="15.07"/>
  </r>
  <r>
    <s v="F151"/>
    <x v="2"/>
    <s v="2023 Q2"/>
    <s v="Scope 2"/>
    <x v="0"/>
    <n v="4650.1400000000003"/>
    <n v="81057"/>
    <n v="675.41"/>
    <n v="55.44"/>
    <n v="847.51"/>
    <n v="28.03"/>
  </r>
  <r>
    <s v="F106"/>
    <x v="3"/>
    <s v="2022 Q1"/>
    <s v="Scope 3"/>
    <x v="0"/>
    <n v="1410.9"/>
    <n v="98682"/>
    <n v="6220.56"/>
    <n v="70.099999999999994"/>
    <n v="724.63"/>
    <n v="27.81"/>
  </r>
  <r>
    <s v="F016"/>
    <x v="2"/>
    <s v="2022 Q2"/>
    <s v="Scope 1"/>
    <x v="0"/>
    <n v="802.15"/>
    <n v="93409"/>
    <n v="2375.83"/>
    <n v="5.83"/>
    <s v=""/>
    <s v=""/>
  </r>
  <r>
    <s v="F179"/>
    <x v="1"/>
    <s v="2023 Q1"/>
    <s v="Scope 1"/>
    <x v="1"/>
    <n v="3338.5"/>
    <n v="84524"/>
    <n v="9350.11"/>
    <n v="27.53"/>
    <n v="795.74"/>
    <n v="18.73"/>
  </r>
  <r>
    <s v="F192"/>
    <x v="4"/>
    <s v="2023 Q2"/>
    <s v="Scope 2"/>
    <x v="2"/>
    <n v="1108.8800000000001"/>
    <n v="21914"/>
    <n v="5897.27"/>
    <n v="49.41"/>
    <n v="790.74"/>
    <n v="15.07"/>
  </r>
  <r>
    <s v="F136"/>
    <x v="1"/>
    <s v="2022 Q2"/>
    <s v="Scope 1"/>
    <x v="2"/>
    <n v="350.22"/>
    <n v="43346"/>
    <n v="5559.12"/>
    <n v="39.4"/>
    <n v="571.88"/>
    <n v="32.18"/>
  </r>
  <r>
    <s v="F110"/>
    <x v="4"/>
    <s v="2022 Q2"/>
    <s v="Scope 1"/>
    <x v="1"/>
    <n v="1884.68"/>
    <n v="85868"/>
    <n v="907.72"/>
    <n v="90.36"/>
    <n v="960.4"/>
    <n v="10.65"/>
  </r>
  <r>
    <s v="F055"/>
    <x v="2"/>
    <s v="2022 Q2"/>
    <s v="Scope 3"/>
    <x v="0"/>
    <n v="2634.76"/>
    <n v="41050"/>
    <n v="6025.84"/>
    <n v="53.53"/>
    <n v="289.77"/>
    <n v="19.260000000000002"/>
  </r>
  <r>
    <s v="F004"/>
    <x v="0"/>
    <s v="2022 Q2"/>
    <s v="Scope 1"/>
    <x v="0"/>
    <n v="1677.52"/>
    <n v="83923"/>
    <n v="8768.7999999999993"/>
    <n v="65.290000000000006"/>
    <n v="579.80999999999995"/>
    <n v="34.93"/>
  </r>
  <r>
    <s v="F059"/>
    <x v="2"/>
    <s v="2022 Q1"/>
    <s v="Scope 2"/>
    <x v="0"/>
    <n v="2395.0100000000002"/>
    <n v="30934"/>
    <n v="4175.6499999999996"/>
    <n v="77.290000000000006"/>
    <n v="610.79999999999995"/>
    <n v="14.23"/>
  </r>
  <r>
    <s v="F118"/>
    <x v="0"/>
    <s v="2023 Q2"/>
    <s v="Scope 3"/>
    <x v="1"/>
    <n v="2603.0100000000002"/>
    <n v="14170"/>
    <n v="5455.23"/>
    <n v="25.46"/>
    <n v="790.74"/>
    <n v="28.78"/>
  </r>
  <r>
    <s v="F027"/>
    <x v="4"/>
    <s v="2022 Q2"/>
    <s v="Scope 3"/>
    <x v="1"/>
    <n v="1656.44"/>
    <n v="51800"/>
    <n v="3042.95"/>
    <n v="71.87"/>
    <n v="714.03"/>
    <n v="10.84"/>
  </r>
  <r>
    <s v="F061"/>
    <x v="1"/>
    <s v="2023 Q2"/>
    <s v="Scope 3"/>
    <x v="0"/>
    <n v="274.58999999999997"/>
    <n v="21386"/>
    <n v="2271.92"/>
    <n v="49.67"/>
    <s v=""/>
    <s v=""/>
  </r>
  <r>
    <s v="F159"/>
    <x v="0"/>
    <s v="2022 Q1"/>
    <s v="Scope 3"/>
    <x v="0"/>
    <n v="1298.28"/>
    <n v="72224"/>
    <n v="1613.32"/>
    <n v="39.21"/>
    <n v="111.84"/>
    <n v="28.69"/>
  </r>
  <r>
    <s v="F070"/>
    <x v="2"/>
    <s v="2023 Q1"/>
    <s v="Scope 2"/>
    <x v="1"/>
    <n v="814.66"/>
    <n v="15128"/>
    <n v="8847.09"/>
    <n v="5.25"/>
    <n v="230.57"/>
    <n v="60.48"/>
  </r>
  <r>
    <s v="F023"/>
    <x v="1"/>
    <s v="2023 Q2"/>
    <s v="Scope 1"/>
    <x v="0"/>
    <n v="4037.11"/>
    <n v="47484"/>
    <n v="3396.39"/>
    <n v="19.510000000000002"/>
    <n v="790.74"/>
    <n v="12.77"/>
  </r>
  <r>
    <s v="F125"/>
    <x v="1"/>
    <s v="2023 Q2"/>
    <s v="Scope 3"/>
    <x v="1"/>
    <n v="1604.81"/>
    <n v="82332"/>
    <n v="7134.86"/>
    <n v="22.44"/>
    <n v="553.44000000000005"/>
    <n v="13.24"/>
  </r>
  <r>
    <s v="F182"/>
    <x v="3"/>
    <s v="2023 Q2"/>
    <s v="Scope 1"/>
    <x v="2"/>
    <n v="2667.56"/>
    <n v="41027"/>
    <n v="7285.85"/>
    <n v="59.87"/>
    <n v="763.97"/>
    <n v="34.14"/>
  </r>
  <r>
    <s v="F173"/>
    <x v="1"/>
    <s v="2022 Q2"/>
    <s v="Scope 1"/>
    <x v="0"/>
    <n v="1194.52"/>
    <n v="38181"/>
    <n v="691.84"/>
    <n v="33.53"/>
    <n v="114.57"/>
    <n v="9.9600000000000009"/>
  </r>
  <r>
    <s v="F147"/>
    <x v="1"/>
    <s v="2022 Q1"/>
    <s v="Scope 2"/>
    <x v="0"/>
    <n v="4059.51"/>
    <n v="13333"/>
    <n v="6102.15"/>
    <n v="17.670000000000002"/>
    <n v="959.2"/>
    <n v="24.24"/>
  </r>
  <r>
    <s v="F110"/>
    <x v="4"/>
    <s v="2023 Q2"/>
    <s v="Scope 1"/>
    <x v="1"/>
    <n v="1051.4000000000001"/>
    <n v="85868"/>
    <n v="907.72"/>
    <n v="90.36"/>
    <n v="960.4"/>
    <n v="10.65"/>
  </r>
  <r>
    <s v="F097"/>
    <x v="1"/>
    <s v="2022 Q2"/>
    <s v="Scope 3"/>
    <x v="2"/>
    <n v="1810.54"/>
    <n v="69100"/>
    <n v="9356.02"/>
    <n v="16.5"/>
    <n v="694.92"/>
    <n v="23.67"/>
  </r>
  <r>
    <s v="F106"/>
    <x v="3"/>
    <s v="2023 Q1"/>
    <s v="Scope 1"/>
    <x v="2"/>
    <n v="2916.42"/>
    <n v="98682"/>
    <n v="6220.56"/>
    <n v="70.099999999999994"/>
    <n v="724.63"/>
    <n v="27.81"/>
  </r>
  <r>
    <s v="F087"/>
    <x v="4"/>
    <s v="2023 Q1"/>
    <s v="Scope 2"/>
    <x v="1"/>
    <n v="3852.61"/>
    <n v="44164"/>
    <n v="3869.32"/>
    <n v="13.81"/>
    <n v="943.59"/>
    <n v="16.02"/>
  </r>
  <r>
    <s v="F113"/>
    <x v="3"/>
    <s v="2023 Q1"/>
    <s v="Scope 2"/>
    <x v="0"/>
    <n v="4795.1400000000003"/>
    <n v="69636"/>
    <n v="4246.55"/>
    <n v="69.290000000000006"/>
    <n v="362.43"/>
    <n v="54.81"/>
  </r>
  <r>
    <s v="F147"/>
    <x v="1"/>
    <s v="2023 Q2"/>
    <s v="Scope 2"/>
    <x v="1"/>
    <n v="1445.25"/>
    <n v="13333"/>
    <n v="6102.15"/>
    <n v="17.670000000000002"/>
    <n v="959.2"/>
    <n v="24.24"/>
  </r>
  <r>
    <s v="F071"/>
    <x v="4"/>
    <s v="2022 Q2"/>
    <s v="Scope 2"/>
    <x v="1"/>
    <n v="869.01"/>
    <n v="26378"/>
    <n v="2915.44"/>
    <n v="29.84"/>
    <n v="311.36"/>
    <n v="26.09"/>
  </r>
  <r>
    <s v="F058"/>
    <x v="1"/>
    <s v="2023 Q2"/>
    <s v="Scope 2"/>
    <x v="1"/>
    <n v="4077.29"/>
    <n v="66398"/>
    <n v="8713.61"/>
    <n v="83.44"/>
    <n v="763.97"/>
    <n v="22.42"/>
  </r>
  <r>
    <s v="F092"/>
    <x v="4"/>
    <s v="2022 Q1"/>
    <s v="Scope 1"/>
    <x v="0"/>
    <n v="2770.18"/>
    <n v="79495"/>
    <n v="7157.48"/>
    <n v="26.84"/>
    <n v="114.57"/>
    <n v="9.83"/>
  </r>
  <r>
    <s v="F009"/>
    <x v="0"/>
    <s v="2023 Q1"/>
    <s v="Scope 3"/>
    <x v="0"/>
    <n v="2004.7"/>
    <n v="45644"/>
    <n v="7724.73"/>
    <n v="31"/>
    <n v="685.27"/>
    <n v="33.94"/>
  </r>
  <r>
    <s v="F147"/>
    <x v="1"/>
    <s v="2023 Q1"/>
    <s v="Scope 2"/>
    <x v="1"/>
    <n v="4717.47"/>
    <n v="13333"/>
    <n v="6102.15"/>
    <n v="17.670000000000002"/>
    <n v="959.2"/>
    <n v="24.24"/>
  </r>
  <r>
    <s v="F099"/>
    <x v="3"/>
    <s v="2022 Q2"/>
    <s v="Scope 3"/>
    <x v="0"/>
    <n v="1392.48"/>
    <n v="17162"/>
    <n v="5079.95"/>
    <n v="19.239999999999998"/>
    <n v="769.39"/>
    <n v="35.29"/>
  </r>
  <r>
    <s v="F169"/>
    <x v="2"/>
    <s v="2023 Q2"/>
    <s v="Scope 3"/>
    <x v="1"/>
    <n v="2563.33"/>
    <n v="44994"/>
    <n v="7305.59"/>
    <n v="91.53"/>
    <n v="790.74"/>
    <n v="27.44"/>
  </r>
  <r>
    <s v="F125"/>
    <x v="1"/>
    <s v="2023 Q1"/>
    <s v="Scope 3"/>
    <x v="1"/>
    <n v="503.86"/>
    <n v="82332"/>
    <n v="7134.86"/>
    <n v="22.44"/>
    <n v="553.44000000000005"/>
    <n v="13.24"/>
  </r>
  <r>
    <s v="F113"/>
    <x v="3"/>
    <s v="2022 Q1"/>
    <s v="Scope 2"/>
    <x v="2"/>
    <n v="897.2"/>
    <n v="69636"/>
    <n v="4246.55"/>
    <n v="69.290000000000006"/>
    <n v="362.43"/>
    <n v="54.81"/>
  </r>
  <r>
    <s v="F192"/>
    <x v="4"/>
    <s v="2023 Q2"/>
    <s v="Scope 1"/>
    <x v="1"/>
    <n v="2988.56"/>
    <n v="21914"/>
    <n v="5897.27"/>
    <n v="49.41"/>
    <n v="790.74"/>
    <n v="15.07"/>
  </r>
  <r>
    <s v="F135"/>
    <x v="3"/>
    <s v="2023 Q1"/>
    <s v="Scope 3"/>
    <x v="1"/>
    <n v="1067.23"/>
    <n v="56531"/>
    <n v="8958.07"/>
    <n v="83.44"/>
    <n v="943.59"/>
    <n v="23.54"/>
  </r>
  <r>
    <s v="F014"/>
    <x v="2"/>
    <s v="2023 Q1"/>
    <s v="Scope 3"/>
    <x v="0"/>
    <n v="2128.88"/>
    <n v="17416"/>
    <n v="812.06"/>
    <n v="5.7"/>
    <n v="568.27"/>
    <n v="18.03"/>
  </r>
  <r>
    <s v="F083"/>
    <x v="2"/>
    <s v="2022 Q2"/>
    <s v="Scope 2"/>
    <x v="1"/>
    <n v="569.36"/>
    <n v="94704"/>
    <n v="6632.95"/>
    <n v="14.76"/>
    <n v="459.56"/>
    <n v="7.54"/>
  </r>
  <r>
    <s v="F010"/>
    <x v="0"/>
    <s v="2022 Q1"/>
    <s v="Scope 1"/>
    <x v="1"/>
    <n v="2763.46"/>
    <n v="32991"/>
    <n v="8540.14"/>
    <n v="37.75"/>
    <n v="268.16000000000003"/>
    <n v="9.08"/>
  </r>
  <r>
    <s v="F026"/>
    <x v="2"/>
    <s v="2022 Q2"/>
    <s v="Scope 3"/>
    <x v="0"/>
    <n v="889.01"/>
    <n v="32246"/>
    <n v="7903.93"/>
    <n v="42.12"/>
    <n v="459.56"/>
    <n v="28.62"/>
  </r>
  <r>
    <s v="F114"/>
    <x v="1"/>
    <s v="2023 Q1"/>
    <s v="Scope 3"/>
    <x v="2"/>
    <n v="565.20000000000005"/>
    <n v="57353"/>
    <n v="2274.71"/>
    <n v="65.34"/>
    <n v="931.73"/>
    <n v="46.27"/>
  </r>
  <r>
    <s v="F159"/>
    <x v="0"/>
    <s v="2023 Q1"/>
    <s v="Scope 2"/>
    <x v="1"/>
    <n v="4475.2700000000004"/>
    <n v="72224"/>
    <n v="1613.32"/>
    <n v="39.21"/>
    <n v="111.84"/>
    <n v="28.69"/>
  </r>
  <r>
    <s v="F147"/>
    <x v="1"/>
    <s v="2022 Q2"/>
    <s v="Scope 1"/>
    <x v="0"/>
    <n v="3884.64"/>
    <n v="13333"/>
    <n v="6102.15"/>
    <n v="17.670000000000002"/>
    <n v="959.2"/>
    <n v="24.24"/>
  </r>
  <r>
    <s v="F159"/>
    <x v="0"/>
    <s v="2023 Q1"/>
    <s v="Scope 3"/>
    <x v="1"/>
    <n v="1548.15"/>
    <n v="72224"/>
    <n v="1613.32"/>
    <n v="39.21"/>
    <n v="111.84"/>
    <n v="28.69"/>
  </r>
  <r>
    <s v="F119"/>
    <x v="2"/>
    <s v="2023 Q2"/>
    <s v="Scope 1"/>
    <x v="0"/>
    <n v="1310.02"/>
    <n v="22525"/>
    <n v="9465.65"/>
    <n v="37.79"/>
    <n v="472.66"/>
    <n v="55.03"/>
  </r>
  <r>
    <s v="F080"/>
    <x v="3"/>
    <s v="2022 Q2"/>
    <s v="Scope 1"/>
    <x v="2"/>
    <n v="1833.43"/>
    <n v="10250"/>
    <n v="4717"/>
    <n v="16.600000000000001"/>
    <n v="249.3"/>
    <n v="32.97"/>
  </r>
  <r>
    <s v="F075"/>
    <x v="3"/>
    <s v="2022 Q2"/>
    <s v="Scope 1"/>
    <x v="1"/>
    <n v="1039.8399999999999"/>
    <n v="60513"/>
    <n v="4578.16"/>
    <n v="65.53"/>
    <s v=""/>
    <s v=""/>
  </r>
  <r>
    <s v="F064"/>
    <x v="1"/>
    <s v="2022 Q2"/>
    <s v="Scope 2"/>
    <x v="1"/>
    <n v="3297.47"/>
    <n v="70481"/>
    <n v="4452.83"/>
    <n v="91.26"/>
    <s v=""/>
    <s v=""/>
  </r>
  <r>
    <s v="F012"/>
    <x v="3"/>
    <s v="2022 Q2"/>
    <s v="Scope 1"/>
    <x v="0"/>
    <n v="3091.2"/>
    <n v="43747"/>
    <n v="3453.48"/>
    <n v="98.78"/>
    <n v="459.56"/>
    <n v="23.81"/>
  </r>
  <r>
    <s v="F035"/>
    <x v="4"/>
    <s v="2023 Q1"/>
    <s v="Scope 2"/>
    <x v="1"/>
    <n v="301.86"/>
    <n v="24913"/>
    <n v="5727.27"/>
    <n v="78.849999999999994"/>
    <s v=""/>
    <s v=""/>
  </r>
  <r>
    <s v="F112"/>
    <x v="4"/>
    <s v="2023 Q2"/>
    <s v="Scope 1"/>
    <x v="2"/>
    <n v="4171.41"/>
    <n v="88188"/>
    <n v="815.86"/>
    <n v="57.53"/>
    <n v="557.72"/>
    <n v="37.25"/>
  </r>
  <r>
    <s v="F179"/>
    <x v="1"/>
    <s v="2023 Q1"/>
    <s v="Scope 1"/>
    <x v="0"/>
    <n v="4337.95"/>
    <n v="84524"/>
    <n v="9350.11"/>
    <n v="27.53"/>
    <n v="795.74"/>
    <n v="18.73"/>
  </r>
  <r>
    <s v="F171"/>
    <x v="4"/>
    <s v="2023 Q1"/>
    <s v="Scope 3"/>
    <x v="2"/>
    <n v="3830.1"/>
    <n v="98356"/>
    <n v="6968.69"/>
    <n v="81.72"/>
    <n v="795.74"/>
    <n v="22.41"/>
  </r>
  <r>
    <s v="F022"/>
    <x v="4"/>
    <s v="2022 Q1"/>
    <s v="Scope 2"/>
    <x v="2"/>
    <n v="3808.17"/>
    <n v="20207"/>
    <n v="5369.46"/>
    <n v="57.51"/>
    <n v="847.51"/>
    <n v="28.45"/>
  </r>
  <r>
    <s v="F090"/>
    <x v="2"/>
    <s v="2022 Q1"/>
    <s v="Scope 1"/>
    <x v="0"/>
    <n v="3167.4"/>
    <n v="29895"/>
    <n v="1631.08"/>
    <n v="39.93"/>
    <n v="959.2"/>
    <n v="38.840000000000003"/>
  </r>
  <r>
    <s v="F139"/>
    <x v="0"/>
    <s v="2022 Q2"/>
    <s v="Scope 3"/>
    <x v="1"/>
    <n v="742.11"/>
    <n v="80904"/>
    <n v="3263.09"/>
    <n v="58.37"/>
    <n v="756.78"/>
    <n v="35.950000000000003"/>
  </r>
  <r>
    <s v="F043"/>
    <x v="0"/>
    <s v="2023 Q1"/>
    <s v="Scope 1"/>
    <x v="1"/>
    <n v="4632.6400000000003"/>
    <n v="14009"/>
    <n v="7528.98"/>
    <n v="77.62"/>
    <n v="763.97"/>
    <n v="24.91"/>
  </r>
  <r>
    <s v="F158"/>
    <x v="3"/>
    <s v="2022 Q2"/>
    <s v="Scope 1"/>
    <x v="0"/>
    <n v="1268.8"/>
    <n v="61157"/>
    <n v="7331.54"/>
    <n v="55.52"/>
    <n v="783.77"/>
    <n v="31.59"/>
  </r>
  <r>
    <s v="F171"/>
    <x v="4"/>
    <s v="2022 Q1"/>
    <s v="Scope 2"/>
    <x v="1"/>
    <n v="3546.58"/>
    <n v="98356"/>
    <n v="6968.69"/>
    <n v="81.72"/>
    <n v="795.74"/>
    <n v="22.41"/>
  </r>
  <r>
    <s v="F153"/>
    <x v="3"/>
    <s v="2023 Q2"/>
    <s v="Scope 2"/>
    <x v="0"/>
    <n v="1609.6"/>
    <n v="95306"/>
    <n v="9037.76"/>
    <n v="13.35"/>
    <n v="724.63"/>
    <n v="21.2"/>
  </r>
  <r>
    <s v="F040"/>
    <x v="0"/>
    <s v="2023 Q1"/>
    <s v="Scope 3"/>
    <x v="1"/>
    <n v="3630.71"/>
    <n v="52357"/>
    <n v="5643.16"/>
    <n v="37.130000000000003"/>
    <n v="932.3"/>
    <n v="13.43"/>
  </r>
  <r>
    <s v="F098"/>
    <x v="4"/>
    <s v="2023 Q1"/>
    <s v="Scope 1"/>
    <x v="0"/>
    <n v="999.48"/>
    <n v="28704"/>
    <n v="6009.24"/>
    <n v="39.31"/>
    <n v="479.41"/>
    <n v="19.7"/>
  </r>
  <r>
    <s v="F014"/>
    <x v="2"/>
    <s v="2022 Q2"/>
    <s v="Scope 1"/>
    <x v="1"/>
    <n v="4553.04"/>
    <n v="17416"/>
    <n v="812.06"/>
    <n v="5.7"/>
    <n v="568.27"/>
    <n v="18.03"/>
  </r>
  <r>
    <s v="F028"/>
    <x v="4"/>
    <s v="2022 Q1"/>
    <s v="Scope 3"/>
    <x v="2"/>
    <n v="1345.95"/>
    <n v="73977"/>
    <n v="1646.75"/>
    <n v="43.77"/>
    <s v=""/>
    <s v=""/>
  </r>
  <r>
    <s v="F161"/>
    <x v="2"/>
    <s v="2023 Q1"/>
    <s v="Scope 2"/>
    <x v="0"/>
    <n v="1432.5"/>
    <n v="36171"/>
    <n v="6864.38"/>
    <n v="37.03"/>
    <n v="181.54"/>
    <n v="55.69"/>
  </r>
  <r>
    <s v="F190"/>
    <x v="0"/>
    <s v="2023 Q1"/>
    <s v="Scope 2"/>
    <x v="0"/>
    <n v="2537.5"/>
    <n v="70582"/>
    <n v="7517.59"/>
    <n v="95.71"/>
    <s v=""/>
    <s v=""/>
  </r>
  <r>
    <s v="F020"/>
    <x v="2"/>
    <s v="2022 Q2"/>
    <s v="Scope 1"/>
    <x v="0"/>
    <n v="4832.05"/>
    <n v="95165"/>
    <n v="8562.76"/>
    <n v="37.54"/>
    <n v="479.41"/>
    <n v="13.64"/>
  </r>
  <r>
    <s v="F011"/>
    <x v="4"/>
    <s v="2022 Q2"/>
    <s v="Scope 1"/>
    <x v="0"/>
    <n v="3935.58"/>
    <n v="72846"/>
    <n v="5169.53"/>
    <n v="76.709999999999994"/>
    <s v=""/>
    <s v=""/>
  </r>
  <r>
    <s v="F040"/>
    <x v="0"/>
    <s v="2022 Q2"/>
    <s v="Scope 3"/>
    <x v="2"/>
    <n v="3258.29"/>
    <n v="52357"/>
    <n v="5643.16"/>
    <n v="37.130000000000003"/>
    <n v="932.3"/>
    <n v="13.43"/>
  </r>
  <r>
    <s v="F052"/>
    <x v="3"/>
    <s v="2023 Q1"/>
    <s v="Scope 1"/>
    <x v="1"/>
    <n v="1512.13"/>
    <n v="66163"/>
    <n v="1416.57"/>
    <n v="68.73"/>
    <n v="773.96"/>
    <n v="29.26"/>
  </r>
  <r>
    <s v="F060"/>
    <x v="4"/>
    <s v="2022 Q2"/>
    <s v="Scope 1"/>
    <x v="0"/>
    <n v="245.71"/>
    <n v="41539"/>
    <n v="982.8"/>
    <n v="79.7"/>
    <n v="851.48"/>
    <n v="13.07"/>
  </r>
  <r>
    <s v="F104"/>
    <x v="4"/>
    <s v="2022 Q1"/>
    <s v="Scope 1"/>
    <x v="2"/>
    <n v="3387.13"/>
    <n v="84851"/>
    <n v="560.75"/>
    <n v="80.23"/>
    <n v="610.79999999999995"/>
    <n v="26.58"/>
  </r>
  <r>
    <s v="F186"/>
    <x v="4"/>
    <s v="2022 Q1"/>
    <s v="Scope 2"/>
    <x v="1"/>
    <n v="1014.2"/>
    <n v="61942"/>
    <n v="4891.32"/>
    <n v="91.59"/>
    <n v="785.8"/>
    <n v="8.84"/>
  </r>
  <r>
    <s v="F161"/>
    <x v="2"/>
    <s v="2022 Q2"/>
    <s v="Scope 2"/>
    <x v="0"/>
    <n v="269.87"/>
    <n v="36171"/>
    <n v="6864.38"/>
    <n v="37.03"/>
    <n v="181.54"/>
    <n v="55.69"/>
  </r>
  <r>
    <s v="F157"/>
    <x v="0"/>
    <s v="2022 Q2"/>
    <s v="Scope 1"/>
    <x v="0"/>
    <n v="2444.67"/>
    <n v="15788"/>
    <n v="1824.14"/>
    <n v="52.78"/>
    <n v="571.88"/>
    <n v="8.17"/>
  </r>
  <r>
    <s v="F087"/>
    <x v="4"/>
    <s v="2023 Q2"/>
    <s v="Scope 1"/>
    <x v="0"/>
    <n v="1734.64"/>
    <n v="44164"/>
    <n v="3869.32"/>
    <n v="13.81"/>
    <n v="943.59"/>
    <n v="16.02"/>
  </r>
  <r>
    <s v="F086"/>
    <x v="4"/>
    <s v="2023 Q1"/>
    <s v="Scope 1"/>
    <x v="0"/>
    <n v="4948.8500000000004"/>
    <n v="55974"/>
    <n v="7542.28"/>
    <n v="72.430000000000007"/>
    <n v="626.54"/>
    <n v="29.46"/>
  </r>
  <r>
    <s v="F146"/>
    <x v="2"/>
    <s v="2022 Q1"/>
    <s v="Scope 3"/>
    <x v="1"/>
    <n v="2924.78"/>
    <n v="99115"/>
    <n v="827.26"/>
    <n v="28.88"/>
    <n v="818.45"/>
    <n v="27.59"/>
  </r>
  <r>
    <s v="F168"/>
    <x v="2"/>
    <s v="2022 Q1"/>
    <s v="Scope 1"/>
    <x v="0"/>
    <n v="1898.32"/>
    <n v="24095"/>
    <n v="3167.52"/>
    <n v="31.02"/>
    <n v="608.07000000000005"/>
    <n v="13.98"/>
  </r>
  <r>
    <s v="F137"/>
    <x v="0"/>
    <s v="2022 Q2"/>
    <s v="Scope 2"/>
    <x v="1"/>
    <n v="1296.76"/>
    <n v="10933"/>
    <n v="9004.3700000000008"/>
    <n v="26.84"/>
    <s v=""/>
    <s v=""/>
  </r>
  <r>
    <s v="F084"/>
    <x v="3"/>
    <s v="2023 Q2"/>
    <s v="Scope 1"/>
    <x v="2"/>
    <n v="1414.37"/>
    <n v="54136"/>
    <n v="2775.38"/>
    <n v="75.459999999999994"/>
    <n v="932.3"/>
    <n v="16.93"/>
  </r>
  <r>
    <s v="F199"/>
    <x v="0"/>
    <s v="2023 Q1"/>
    <s v="Scope 3"/>
    <x v="1"/>
    <n v="4136.07"/>
    <n v="89321"/>
    <n v="9836.34"/>
    <n v="16.989999999999998"/>
    <n v="105.67"/>
    <n v="15.41"/>
  </r>
  <r>
    <s v="F068"/>
    <x v="0"/>
    <s v="2023 Q2"/>
    <s v="Scope 2"/>
    <x v="2"/>
    <n v="3952.36"/>
    <n v="44825"/>
    <n v="6023.03"/>
    <n v="27.2"/>
    <n v="436.04"/>
    <n v="19.36"/>
  </r>
  <r>
    <s v="F147"/>
    <x v="1"/>
    <s v="2023 Q1"/>
    <s v="Scope 1"/>
    <x v="0"/>
    <n v="4563.3599999999997"/>
    <n v="13333"/>
    <n v="6102.15"/>
    <n v="17.670000000000002"/>
    <n v="959.2"/>
    <n v="24.24"/>
  </r>
  <r>
    <s v="F017"/>
    <x v="2"/>
    <s v="2023 Q2"/>
    <s v="Scope 3"/>
    <x v="1"/>
    <n v="2084.5700000000002"/>
    <n v="71747"/>
    <n v="9838.66"/>
    <n v="7.25"/>
    <n v="224.5"/>
    <n v="39.29"/>
  </r>
  <r>
    <s v="F165"/>
    <x v="4"/>
    <s v="2023 Q1"/>
    <s v="Scope 1"/>
    <x v="0"/>
    <n v="4081.51"/>
    <n v="79330"/>
    <n v="6075.23"/>
    <n v="83.97"/>
    <n v="209.33"/>
    <n v="13.62"/>
  </r>
  <r>
    <s v="F029"/>
    <x v="4"/>
    <s v="2022 Q2"/>
    <s v="Scope 2"/>
    <x v="1"/>
    <n v="4483.63"/>
    <n v="12262"/>
    <n v="7106.18"/>
    <n v="45.69"/>
    <n v="459.56"/>
    <n v="29.71"/>
  </r>
  <r>
    <s v="F135"/>
    <x v="3"/>
    <s v="2023 Q1"/>
    <s v="Scope 1"/>
    <x v="2"/>
    <n v="3368.54"/>
    <n v="56531"/>
    <n v="8958.07"/>
    <n v="83.44"/>
    <n v="943.59"/>
    <n v="23.54"/>
  </r>
  <r>
    <s v="F067"/>
    <x v="1"/>
    <s v="2022 Q2"/>
    <s v="Scope 1"/>
    <x v="2"/>
    <n v="82.35"/>
    <n v="28400"/>
    <n v="3056.67"/>
    <n v="52.68"/>
    <n v="571.88"/>
    <n v="8.6199999999999992"/>
  </r>
  <r>
    <s v="F170"/>
    <x v="2"/>
    <s v="2023 Q1"/>
    <s v="Scope 2"/>
    <x v="1"/>
    <n v="4175.62"/>
    <n v="24502"/>
    <n v="7466.86"/>
    <n v="88.83"/>
    <n v="847.51"/>
    <n v="26.48"/>
  </r>
  <r>
    <s v="F174"/>
    <x v="3"/>
    <s v="2023 Q1"/>
    <s v="Scope 1"/>
    <x v="0"/>
    <n v="1796.14"/>
    <n v="95962"/>
    <n v="524.72"/>
    <n v="49.55"/>
    <n v="991.36"/>
    <n v="18.28"/>
  </r>
  <r>
    <s v="F126"/>
    <x v="2"/>
    <s v="2023 Q1"/>
    <s v="Scope 2"/>
    <x v="1"/>
    <n v="3373.26"/>
    <n v="75508"/>
    <n v="6856.22"/>
    <n v="18.2"/>
    <n v="991.03"/>
    <n v="13.32"/>
  </r>
  <r>
    <s v="F068"/>
    <x v="0"/>
    <s v="2022 Q2"/>
    <s v="Scope 1"/>
    <x v="2"/>
    <n v="3051.55"/>
    <n v="44825"/>
    <n v="6023.03"/>
    <n v="27.2"/>
    <n v="436.04"/>
    <n v="19.36"/>
  </r>
  <r>
    <s v="F099"/>
    <x v="3"/>
    <s v="2022 Q1"/>
    <s v="Scope 2"/>
    <x v="1"/>
    <n v="3770.37"/>
    <n v="17162"/>
    <n v="5079.95"/>
    <n v="19.239999999999998"/>
    <n v="769.39"/>
    <n v="35.29"/>
  </r>
  <r>
    <s v="F171"/>
    <x v="4"/>
    <s v="2023 Q1"/>
    <s v="Scope 2"/>
    <x v="1"/>
    <n v="3887.64"/>
    <n v="98356"/>
    <n v="6968.69"/>
    <n v="81.72"/>
    <n v="795.74"/>
    <n v="22.41"/>
  </r>
  <r>
    <s v="F200"/>
    <x v="1"/>
    <s v="2022 Q1"/>
    <s v="Scope 1"/>
    <x v="0"/>
    <n v="4523.25"/>
    <n v="21081"/>
    <n v="9001.77"/>
    <n v="49.27"/>
    <n v="114.57"/>
    <n v="44.17"/>
  </r>
  <r>
    <s v="F024"/>
    <x v="4"/>
    <s v="2023 Q2"/>
    <s v="Scope 2"/>
    <x v="1"/>
    <n v="4229.33"/>
    <n v="95718"/>
    <n v="2443.12"/>
    <n v="35.49"/>
    <n v="818.45"/>
    <n v="9.9499999999999993"/>
  </r>
  <r>
    <s v="F105"/>
    <x v="0"/>
    <s v="2023 Q2"/>
    <s v="Scope 1"/>
    <x v="2"/>
    <n v="1909.18"/>
    <n v="27028"/>
    <n v="4617.92"/>
    <n v="57.62"/>
    <n v="780.4"/>
    <n v="24.87"/>
  </r>
  <r>
    <s v="F142"/>
    <x v="0"/>
    <s v="2022 Q2"/>
    <s v="Scope 1"/>
    <x v="2"/>
    <n v="1689.24"/>
    <n v="68278"/>
    <n v="3272.65"/>
    <n v="30.47"/>
    <n v="526.54999999999995"/>
    <n v="30.4"/>
  </r>
  <r>
    <s v="F037"/>
    <x v="3"/>
    <s v="2022 Q2"/>
    <s v="Scope 1"/>
    <x v="2"/>
    <n v="1270.1199999999999"/>
    <n v="97337"/>
    <n v="3362.06"/>
    <n v="55.46"/>
    <n v="459.56"/>
    <n v="10.31"/>
  </r>
  <r>
    <s v="F077"/>
    <x v="4"/>
    <s v="2022 Q1"/>
    <s v="Scope 3"/>
    <x v="1"/>
    <n v="1816.03"/>
    <n v="52836"/>
    <n v="9330.2999999999993"/>
    <n v="87.27"/>
    <s v=""/>
    <s v=""/>
  </r>
  <r>
    <s v="F169"/>
    <x v="2"/>
    <s v="2023 Q1"/>
    <s v="Scope 1"/>
    <x v="1"/>
    <n v="1943.87"/>
    <n v="44994"/>
    <n v="7305.59"/>
    <n v="91.53"/>
    <n v="790.74"/>
    <n v="27.44"/>
  </r>
  <r>
    <s v="F195"/>
    <x v="1"/>
    <s v="2022 Q1"/>
    <s v="Scope 2"/>
    <x v="1"/>
    <n v="2832.16"/>
    <n v="87012"/>
    <n v="7478.13"/>
    <n v="27.22"/>
    <n v="579.80999999999995"/>
    <n v="28.6"/>
  </r>
  <r>
    <s v="F179"/>
    <x v="1"/>
    <s v="2022 Q2"/>
    <s v="Scope 2"/>
    <x v="0"/>
    <n v="4684.57"/>
    <n v="84524"/>
    <n v="9350.11"/>
    <n v="27.53"/>
    <n v="795.74"/>
    <n v="18.73"/>
  </r>
  <r>
    <s v="F153"/>
    <x v="3"/>
    <s v="2022 Q1"/>
    <s v="Scope 3"/>
    <x v="0"/>
    <n v="785.42"/>
    <n v="95306"/>
    <n v="9037.76"/>
    <n v="13.35"/>
    <n v="724.63"/>
    <n v="21.2"/>
  </r>
  <r>
    <s v="F050"/>
    <x v="0"/>
    <s v="2022 Q1"/>
    <s v="Scope 3"/>
    <x v="2"/>
    <n v="828.31"/>
    <n v="10067"/>
    <n v="1953.33"/>
    <n v="25.15"/>
    <n v="785.8"/>
    <n v="19.649999999999999"/>
  </r>
  <r>
    <s v="F179"/>
    <x v="1"/>
    <s v="2022 Q1"/>
    <s v="Scope 1"/>
    <x v="0"/>
    <n v="4960.6099999999997"/>
    <n v="84524"/>
    <n v="9350.11"/>
    <n v="27.53"/>
    <n v="795.74"/>
    <n v="18.73"/>
  </r>
  <r>
    <s v="F076"/>
    <x v="2"/>
    <s v="2022 Q2"/>
    <s v="Scope 2"/>
    <x v="0"/>
    <n v="4377.79"/>
    <n v="41953"/>
    <n v="2379.14"/>
    <n v="65.67"/>
    <n v="571.66"/>
    <n v="14.81"/>
  </r>
  <r>
    <s v="F022"/>
    <x v="4"/>
    <s v="2022 Q2"/>
    <s v="Scope 3"/>
    <x v="1"/>
    <n v="2535.3000000000002"/>
    <n v="20207"/>
    <n v="5369.46"/>
    <n v="57.51"/>
    <n v="847.51"/>
    <n v="28.45"/>
  </r>
  <r>
    <s v="F063"/>
    <x v="4"/>
    <s v="2023 Q2"/>
    <s v="Scope 1"/>
    <x v="0"/>
    <n v="2251.6"/>
    <n v="45519"/>
    <n v="7987.69"/>
    <n v="10.86"/>
    <n v="638.89"/>
    <n v="35.04"/>
  </r>
  <r>
    <s v="F004"/>
    <x v="0"/>
    <s v="2022 Q1"/>
    <s v="Scope 3"/>
    <x v="2"/>
    <n v="733.13"/>
    <n v="83923"/>
    <n v="8768.7999999999993"/>
    <n v="65.290000000000006"/>
    <n v="579.80999999999995"/>
    <n v="34.93"/>
  </r>
  <r>
    <s v="F189"/>
    <x v="0"/>
    <s v="2022 Q1"/>
    <s v="Scope 2"/>
    <x v="1"/>
    <n v="1054.48"/>
    <n v="67820"/>
    <n v="8177.95"/>
    <n v="40.69"/>
    <n v="790.74"/>
    <n v="15.94"/>
  </r>
  <r>
    <s v="F175"/>
    <x v="3"/>
    <s v="2022 Q2"/>
    <s v="Scope 1"/>
    <x v="1"/>
    <n v="4429.91"/>
    <n v="94949"/>
    <n v="9714.76"/>
    <n v="64.900000000000006"/>
    <n v="241.41"/>
    <n v="20.62"/>
  </r>
  <r>
    <s v="F104"/>
    <x v="4"/>
    <s v="2023 Q2"/>
    <s v="Scope 3"/>
    <x v="2"/>
    <n v="3923.15"/>
    <n v="84851"/>
    <n v="560.75"/>
    <n v="80.23"/>
    <n v="610.79999999999995"/>
    <n v="26.58"/>
  </r>
  <r>
    <s v="F062"/>
    <x v="2"/>
    <s v="2022 Q2"/>
    <s v="Scope 3"/>
    <x v="0"/>
    <n v="767.46"/>
    <n v="19265"/>
    <n v="776.6"/>
    <n v="39.75"/>
    <n v="289.77"/>
    <n v="37.270000000000003"/>
  </r>
  <r>
    <s v="F173"/>
    <x v="1"/>
    <s v="2023 Q1"/>
    <s v="Scope 3"/>
    <x v="2"/>
    <n v="592.72"/>
    <n v="38181"/>
    <n v="691.84"/>
    <n v="33.53"/>
    <n v="114.57"/>
    <n v="9.9600000000000009"/>
  </r>
  <r>
    <s v="F017"/>
    <x v="2"/>
    <s v="2022 Q1"/>
    <s v="Scope 1"/>
    <x v="0"/>
    <n v="3539.99"/>
    <n v="71747"/>
    <n v="9838.66"/>
    <n v="7.25"/>
    <n v="224.5"/>
    <n v="39.29"/>
  </r>
  <r>
    <s v="F024"/>
    <x v="4"/>
    <s v="2022 Q1"/>
    <s v="Scope 3"/>
    <x v="2"/>
    <n v="2579.19"/>
    <n v="95718"/>
    <n v="2443.12"/>
    <n v="35.49"/>
    <n v="818.45"/>
    <n v="9.9499999999999993"/>
  </r>
  <r>
    <s v="F160"/>
    <x v="4"/>
    <s v="2023 Q1"/>
    <s v="Scope 2"/>
    <x v="2"/>
    <n v="4158.7700000000004"/>
    <n v="36423"/>
    <n v="589.96"/>
    <n v="30.9"/>
    <n v="111.84"/>
    <n v="23.26"/>
  </r>
  <r>
    <s v="F165"/>
    <x v="4"/>
    <s v="2022 Q2"/>
    <s v="Scope 3"/>
    <x v="1"/>
    <n v="687.46"/>
    <n v="79330"/>
    <n v="6075.23"/>
    <n v="83.97"/>
    <n v="209.33"/>
    <n v="13.62"/>
  </r>
  <r>
    <s v="F135"/>
    <x v="3"/>
    <s v="2023 Q2"/>
    <s v="Scope 1"/>
    <x v="2"/>
    <n v="2922.31"/>
    <n v="56531"/>
    <n v="8958.07"/>
    <n v="83.44"/>
    <n v="943.59"/>
    <n v="23.54"/>
  </r>
  <r>
    <s v="F137"/>
    <x v="0"/>
    <s v="2023 Q1"/>
    <s v="Scope 1"/>
    <x v="1"/>
    <n v="584.58000000000004"/>
    <n v="10933"/>
    <n v="9004.3700000000008"/>
    <n v="26.84"/>
    <s v=""/>
    <s v=""/>
  </r>
  <r>
    <s v="F001"/>
    <x v="1"/>
    <s v="2022 Q2"/>
    <s v="Scope 1"/>
    <x v="1"/>
    <n v="87.51"/>
    <n v="54133"/>
    <n v="8543.68"/>
    <n v="24"/>
    <n v="991.03"/>
    <n v="23.33"/>
  </r>
  <r>
    <s v="F183"/>
    <x v="3"/>
    <s v="2023 Q2"/>
    <s v="Scope 1"/>
    <x v="2"/>
    <n v="3948.45"/>
    <n v="29860"/>
    <n v="3956.23"/>
    <n v="57.5"/>
    <n v="432.23"/>
    <n v="17.78"/>
  </r>
  <r>
    <s v="F172"/>
    <x v="4"/>
    <s v="2023 Q1"/>
    <s v="Scope 3"/>
    <x v="1"/>
    <n v="3846.63"/>
    <n v="98396"/>
    <n v="5174.07"/>
    <n v="63.38"/>
    <n v="714.03"/>
    <n v="36.89"/>
  </r>
  <r>
    <s v="F141"/>
    <x v="1"/>
    <s v="2022 Q1"/>
    <s v="Scope 3"/>
    <x v="2"/>
    <n v="4673.8"/>
    <n v="58622"/>
    <n v="7795.36"/>
    <n v="59.81"/>
    <n v="807.86"/>
    <n v="32.130000000000003"/>
  </r>
  <r>
    <s v="F170"/>
    <x v="2"/>
    <s v="2023 Q1"/>
    <s v="Scope 2"/>
    <x v="2"/>
    <n v="4711.6899999999996"/>
    <n v="24502"/>
    <n v="7466.86"/>
    <n v="88.83"/>
    <n v="847.51"/>
    <n v="26.48"/>
  </r>
  <r>
    <s v="F017"/>
    <x v="2"/>
    <s v="2022 Q2"/>
    <s v="Scope 3"/>
    <x v="1"/>
    <n v="2670.52"/>
    <n v="71747"/>
    <n v="9838.66"/>
    <n v="7.25"/>
    <n v="224.5"/>
    <n v="39.29"/>
  </r>
  <r>
    <s v="F166"/>
    <x v="3"/>
    <s v="2023 Q1"/>
    <s v="Scope 3"/>
    <x v="1"/>
    <n v="919.4"/>
    <n v="96474"/>
    <n v="7574.39"/>
    <n v="95.54"/>
    <n v="886.71"/>
    <n v="24.84"/>
  </r>
  <r>
    <s v="F153"/>
    <x v="3"/>
    <s v="2023 Q2"/>
    <s v="Scope 1"/>
    <x v="2"/>
    <n v="4514.75"/>
    <n v="95306"/>
    <n v="9037.76"/>
    <n v="13.35"/>
    <n v="724.63"/>
    <n v="21.2"/>
  </r>
  <r>
    <s v="F161"/>
    <x v="2"/>
    <s v="2023 Q1"/>
    <s v="Scope 3"/>
    <x v="1"/>
    <n v="3766.6"/>
    <n v="36171"/>
    <n v="6864.38"/>
    <n v="37.03"/>
    <n v="181.54"/>
    <n v="55.69"/>
  </r>
  <r>
    <s v="F130"/>
    <x v="3"/>
    <s v="2023 Q2"/>
    <s v="Scope 2"/>
    <x v="0"/>
    <n v="730.13"/>
    <n v="43227"/>
    <n v="5199.53"/>
    <n v="44.09"/>
    <n v="724.63"/>
    <n v="14.96"/>
  </r>
  <r>
    <s v="F141"/>
    <x v="1"/>
    <s v="2022 Q2"/>
    <s v="Scope 1"/>
    <x v="2"/>
    <n v="2811.95"/>
    <n v="58622"/>
    <n v="7795.36"/>
    <n v="59.81"/>
    <n v="807.86"/>
    <n v="32.130000000000003"/>
  </r>
  <r>
    <s v="F017"/>
    <x v="2"/>
    <s v="2022 Q2"/>
    <s v="Scope 3"/>
    <x v="1"/>
    <n v="5044.2"/>
    <n v="71747"/>
    <n v="9838.66"/>
    <n v="7.25"/>
    <n v="224.5"/>
    <n v="39.29"/>
  </r>
  <r>
    <s v="F190"/>
    <x v="0"/>
    <s v="2022 Q1"/>
    <s v="Scope 2"/>
    <x v="1"/>
    <n v="4074.33"/>
    <n v="70582"/>
    <n v="7517.59"/>
    <n v="95.71"/>
    <s v=""/>
    <s v=""/>
  </r>
  <r>
    <s v="F117"/>
    <x v="2"/>
    <s v="2022 Q1"/>
    <s v="Scope 2"/>
    <x v="1"/>
    <n v="1048.08"/>
    <n v="52594"/>
    <n v="8715.0400000000009"/>
    <n v="90.54"/>
    <n v="553.44000000000005"/>
    <n v="23.44"/>
  </r>
  <r>
    <s v="F038"/>
    <x v="4"/>
    <s v="2023 Q1"/>
    <s v="Scope 3"/>
    <x v="1"/>
    <n v="3290.44"/>
    <n v="18341"/>
    <n v="8465.57"/>
    <n v="38.39"/>
    <s v=""/>
    <s v=""/>
  </r>
  <r>
    <s v="F006"/>
    <x v="4"/>
    <s v="2022 Q2"/>
    <s v="Scope 3"/>
    <x v="0"/>
    <n v="1966.43"/>
    <n v="11426"/>
    <n v="4439.5600000000004"/>
    <n v="52.71"/>
    <s v=""/>
    <s v=""/>
  </r>
  <r>
    <s v="F078"/>
    <x v="0"/>
    <s v="2022 Q1"/>
    <s v="Scope 2"/>
    <x v="1"/>
    <n v="2842.86"/>
    <n v="78624"/>
    <n v="2373.27"/>
    <n v="25.07"/>
    <s v=""/>
    <s v=""/>
  </r>
  <r>
    <s v="F003"/>
    <x v="3"/>
    <s v="2022 Q2"/>
    <s v="Scope 1"/>
    <x v="1"/>
    <n v="2556.0500000000002"/>
    <n v="27681"/>
    <n v="928.26"/>
    <n v="44.97"/>
    <s v=""/>
    <s v=""/>
  </r>
  <r>
    <s v="F118"/>
    <x v="0"/>
    <s v="2023 Q2"/>
    <s v="Scope 2"/>
    <x v="1"/>
    <n v="3688.09"/>
    <n v="14170"/>
    <n v="5455.23"/>
    <n v="25.46"/>
    <n v="790.74"/>
    <n v="28.78"/>
  </r>
  <r>
    <s v="F012"/>
    <x v="3"/>
    <s v="2022 Q1"/>
    <s v="Scope 3"/>
    <x v="0"/>
    <n v="3222.35"/>
    <n v="43747"/>
    <n v="3453.48"/>
    <n v="98.78"/>
    <n v="459.56"/>
    <n v="23.81"/>
  </r>
  <r>
    <s v="F063"/>
    <x v="4"/>
    <s v="2023 Q2"/>
    <s v="Scope 1"/>
    <x v="2"/>
    <n v="475.84"/>
    <n v="45519"/>
    <n v="7987.69"/>
    <n v="10.86"/>
    <n v="638.89"/>
    <n v="35.04"/>
  </r>
  <r>
    <s v="F150"/>
    <x v="4"/>
    <s v="2022 Q1"/>
    <s v="Scope 1"/>
    <x v="1"/>
    <n v="258.93"/>
    <n v="46863"/>
    <n v="6762.98"/>
    <n v="23.45"/>
    <n v="231.68"/>
    <n v="35.92"/>
  </r>
  <r>
    <s v="F028"/>
    <x v="4"/>
    <s v="2022 Q1"/>
    <s v="Scope 3"/>
    <x v="2"/>
    <n v="850.45"/>
    <n v="73977"/>
    <n v="1646.75"/>
    <n v="43.77"/>
    <s v=""/>
    <s v=""/>
  </r>
  <r>
    <s v="F171"/>
    <x v="4"/>
    <s v="2023 Q1"/>
    <s v="Scope 1"/>
    <x v="2"/>
    <n v="1887.87"/>
    <n v="98356"/>
    <n v="6968.69"/>
    <n v="81.72"/>
    <n v="795.74"/>
    <n v="22.41"/>
  </r>
  <r>
    <s v="F082"/>
    <x v="0"/>
    <s v="2023 Q1"/>
    <s v="Scope 2"/>
    <x v="2"/>
    <n v="533.01"/>
    <n v="17468"/>
    <n v="6359.73"/>
    <n v="5.22"/>
    <n v="959.2"/>
    <n v="36.92"/>
  </r>
  <r>
    <s v="F183"/>
    <x v="3"/>
    <s v="2022 Q1"/>
    <s v="Scope 2"/>
    <x v="0"/>
    <n v="572.46"/>
    <n v="29860"/>
    <n v="3956.23"/>
    <n v="57.5"/>
    <n v="432.23"/>
    <n v="17.78"/>
  </r>
  <r>
    <s v="F090"/>
    <x v="2"/>
    <s v="2022 Q2"/>
    <s v="Scope 2"/>
    <x v="2"/>
    <n v="4635.99"/>
    <n v="29895"/>
    <n v="1631.08"/>
    <n v="39.93"/>
    <n v="959.2"/>
    <n v="38.840000000000003"/>
  </r>
  <r>
    <s v="F131"/>
    <x v="4"/>
    <s v="2023 Q1"/>
    <s v="Scope 1"/>
    <x v="2"/>
    <n v="4891.97"/>
    <n v="43294"/>
    <n v="3802.13"/>
    <n v="45.84"/>
    <n v="756.78"/>
    <n v="28.42"/>
  </r>
  <r>
    <s v="F200"/>
    <x v="1"/>
    <s v="2023 Q2"/>
    <s v="Scope 2"/>
    <x v="0"/>
    <n v="1184.1400000000001"/>
    <n v="21081"/>
    <n v="9001.77"/>
    <n v="49.27"/>
    <n v="114.57"/>
    <n v="44.17"/>
  </r>
  <r>
    <s v="F028"/>
    <x v="4"/>
    <s v="2022 Q2"/>
    <s v="Scope 1"/>
    <x v="1"/>
    <n v="802.03"/>
    <n v="73977"/>
    <n v="1646.75"/>
    <n v="43.77"/>
    <s v=""/>
    <s v=""/>
  </r>
  <r>
    <s v="F042"/>
    <x v="1"/>
    <s v="2022 Q2"/>
    <s v="Scope 3"/>
    <x v="0"/>
    <n v="2408.48"/>
    <n v="58111"/>
    <n v="4610.8999999999996"/>
    <n v="21.53"/>
    <n v="268.16000000000003"/>
    <n v="13.78"/>
  </r>
  <r>
    <s v="F157"/>
    <x v="0"/>
    <s v="2022 Q2"/>
    <s v="Scope 3"/>
    <x v="1"/>
    <n v="3733.16"/>
    <n v="15788"/>
    <n v="1824.14"/>
    <n v="52.78"/>
    <n v="571.88"/>
    <n v="8.17"/>
  </r>
  <r>
    <s v="F010"/>
    <x v="0"/>
    <s v="2023 Q2"/>
    <s v="Scope 3"/>
    <x v="2"/>
    <n v="163.44999999999999"/>
    <n v="32991"/>
    <n v="8540.14"/>
    <n v="37.75"/>
    <n v="268.16000000000003"/>
    <n v="9.08"/>
  </r>
  <r>
    <s v="F053"/>
    <x v="0"/>
    <s v="2023 Q2"/>
    <s v="Scope 1"/>
    <x v="1"/>
    <n v="106.8"/>
    <n v="56392"/>
    <n v="5703.76"/>
    <n v="23.04"/>
    <n v="991.03"/>
    <n v="27.62"/>
  </r>
  <r>
    <s v="F174"/>
    <x v="3"/>
    <s v="2023 Q1"/>
    <s v="Scope 1"/>
    <x v="1"/>
    <n v="2626.92"/>
    <n v="95962"/>
    <n v="524.72"/>
    <n v="49.55"/>
    <n v="991.36"/>
    <n v="18.28"/>
  </r>
  <r>
    <s v="F139"/>
    <x v="0"/>
    <s v="2022 Q1"/>
    <s v="Scope 1"/>
    <x v="1"/>
    <n v="4932.7299999999996"/>
    <n v="80904"/>
    <n v="3263.09"/>
    <n v="58.37"/>
    <n v="756.78"/>
    <n v="35.950000000000003"/>
  </r>
  <r>
    <s v="F123"/>
    <x v="1"/>
    <s v="2022 Q1"/>
    <s v="Scope 2"/>
    <x v="2"/>
    <n v="2097.4"/>
    <n v="58113"/>
    <n v="6382.12"/>
    <n v="56.66"/>
    <n v="431.16"/>
    <n v="48.25"/>
  </r>
  <r>
    <s v="F003"/>
    <x v="3"/>
    <s v="2022 Q2"/>
    <s v="Scope 3"/>
    <x v="1"/>
    <n v="3185.28"/>
    <n v="27681"/>
    <n v="928.26"/>
    <n v="44.97"/>
    <s v=""/>
    <s v=""/>
  </r>
  <r>
    <s v="F148"/>
    <x v="1"/>
    <s v="2023 Q1"/>
    <s v="Scope 1"/>
    <x v="0"/>
    <n v="3081.68"/>
    <n v="47491"/>
    <n v="5781.05"/>
    <n v="92.18"/>
    <n v="344.93"/>
    <n v="36.229999999999997"/>
  </r>
  <r>
    <s v="F040"/>
    <x v="0"/>
    <s v="2022 Q2"/>
    <s v="Scope 2"/>
    <x v="1"/>
    <n v="1531.36"/>
    <n v="52357"/>
    <n v="5643.16"/>
    <n v="37.130000000000003"/>
    <n v="932.3"/>
    <n v="13.43"/>
  </r>
  <r>
    <s v="F067"/>
    <x v="1"/>
    <s v="2023 Q1"/>
    <s v="Scope 1"/>
    <x v="0"/>
    <n v="1564.12"/>
    <n v="28400"/>
    <n v="3056.67"/>
    <n v="52.68"/>
    <n v="571.88"/>
    <n v="8.6199999999999992"/>
  </r>
  <r>
    <s v="F108"/>
    <x v="3"/>
    <s v="2023 Q2"/>
    <s v="Scope 2"/>
    <x v="0"/>
    <n v="3016.94"/>
    <n v="39050"/>
    <n v="5885.73"/>
    <n v="93.04"/>
    <n v="318.55"/>
    <n v="39.81"/>
  </r>
  <r>
    <s v="F012"/>
    <x v="3"/>
    <s v="2023 Q1"/>
    <s v="Scope 3"/>
    <x v="1"/>
    <n v="3853.19"/>
    <n v="43747"/>
    <n v="3453.48"/>
    <n v="98.78"/>
    <n v="459.56"/>
    <n v="23.81"/>
  </r>
  <r>
    <s v="F170"/>
    <x v="2"/>
    <s v="2023 Q2"/>
    <s v="Scope 2"/>
    <x v="0"/>
    <n v="459.36"/>
    <n v="24502"/>
    <n v="7466.86"/>
    <n v="88.83"/>
    <n v="847.51"/>
    <n v="26.48"/>
  </r>
  <r>
    <s v="F180"/>
    <x v="2"/>
    <s v="2023 Q2"/>
    <s v="Scope 1"/>
    <x v="1"/>
    <n v="2792.22"/>
    <n v="13302"/>
    <n v="821.51"/>
    <n v="69.599999999999994"/>
    <n v="795.74"/>
    <n v="9.39"/>
  </r>
  <r>
    <s v="F100"/>
    <x v="0"/>
    <s v="2023 Q1"/>
    <s v="Scope 2"/>
    <x v="1"/>
    <n v="4129.93"/>
    <n v="90632"/>
    <n v="5292.17"/>
    <n v="78.45"/>
    <n v="571.88"/>
    <n v="20.93"/>
  </r>
  <r>
    <s v="F130"/>
    <x v="3"/>
    <s v="2023 Q1"/>
    <s v="Scope 2"/>
    <x v="1"/>
    <n v="2515.67"/>
    <n v="43227"/>
    <n v="5199.53"/>
    <n v="44.09"/>
    <n v="724.63"/>
    <n v="14.96"/>
  </r>
  <r>
    <s v="F017"/>
    <x v="2"/>
    <s v="2022 Q2"/>
    <s v="Scope 3"/>
    <x v="0"/>
    <n v="1577.95"/>
    <n v="71747"/>
    <n v="9838.66"/>
    <n v="7.25"/>
    <n v="224.5"/>
    <n v="39.29"/>
  </r>
  <r>
    <s v="F031"/>
    <x v="3"/>
    <s v="2022 Q2"/>
    <s v="Scope 3"/>
    <x v="2"/>
    <n v="4224.2"/>
    <n v="86263"/>
    <n v="3213.71"/>
    <n v="98.39"/>
    <n v="662.74"/>
    <n v="20.66"/>
  </r>
  <r>
    <s v="F108"/>
    <x v="3"/>
    <s v="2023 Q2"/>
    <s v="Scope 3"/>
    <x v="2"/>
    <n v="4932.3999999999996"/>
    <n v="39050"/>
    <n v="5885.73"/>
    <n v="93.04"/>
    <n v="318.55"/>
    <n v="39.81"/>
  </r>
  <r>
    <s v="F189"/>
    <x v="0"/>
    <s v="2022 Q2"/>
    <s v="Scope 2"/>
    <x v="0"/>
    <n v="1505.22"/>
    <n v="67820"/>
    <n v="8177.95"/>
    <n v="40.69"/>
    <n v="790.74"/>
    <n v="15.94"/>
  </r>
  <r>
    <s v="F009"/>
    <x v="0"/>
    <s v="2023 Q2"/>
    <s v="Scope 3"/>
    <x v="1"/>
    <n v="2186.84"/>
    <n v="45644"/>
    <n v="7724.73"/>
    <n v="31"/>
    <n v="685.27"/>
    <n v="33.94"/>
  </r>
  <r>
    <s v="F010"/>
    <x v="0"/>
    <s v="2022 Q2"/>
    <s v="Scope 1"/>
    <x v="0"/>
    <n v="1236.5999999999999"/>
    <n v="32991"/>
    <n v="8540.14"/>
    <n v="37.75"/>
    <n v="268.16000000000003"/>
    <n v="9.08"/>
  </r>
  <r>
    <s v="F102"/>
    <x v="1"/>
    <s v="2023 Q1"/>
    <s v="Scope 1"/>
    <x v="0"/>
    <n v="950.62"/>
    <n v="82377"/>
    <n v="7974.74"/>
    <n v="9.17"/>
    <s v=""/>
    <s v=""/>
  </r>
  <r>
    <s v="F189"/>
    <x v="0"/>
    <s v="2023 Q1"/>
    <s v="Scope 3"/>
    <x v="0"/>
    <n v="1417.73"/>
    <n v="67820"/>
    <n v="8177.95"/>
    <n v="40.69"/>
    <n v="790.74"/>
    <n v="15.94"/>
  </r>
  <r>
    <s v="F096"/>
    <x v="0"/>
    <s v="2022 Q1"/>
    <s v="Scope 1"/>
    <x v="0"/>
    <n v="1840.6"/>
    <n v="21388"/>
    <n v="5249.39"/>
    <n v="64.2"/>
    <n v="571.66"/>
    <n v="17.87"/>
  </r>
  <r>
    <s v="F022"/>
    <x v="4"/>
    <s v="2023 Q1"/>
    <s v="Scope 2"/>
    <x v="1"/>
    <n v="136.41"/>
    <n v="20207"/>
    <n v="5369.46"/>
    <n v="57.51"/>
    <n v="847.51"/>
    <n v="28.45"/>
  </r>
  <r>
    <s v="F139"/>
    <x v="0"/>
    <s v="2023 Q2"/>
    <s v="Scope 1"/>
    <x v="2"/>
    <n v="2167.6999999999998"/>
    <n v="80904"/>
    <n v="3263.09"/>
    <n v="58.37"/>
    <n v="756.78"/>
    <n v="35.950000000000003"/>
  </r>
  <r>
    <s v="F097"/>
    <x v="1"/>
    <s v="2022 Q2"/>
    <s v="Scope 2"/>
    <x v="2"/>
    <n v="3755.45"/>
    <n v="69100"/>
    <n v="9356.02"/>
    <n v="16.5"/>
    <n v="694.92"/>
    <n v="23.67"/>
  </r>
  <r>
    <s v="F064"/>
    <x v="1"/>
    <s v="2022 Q2"/>
    <s v="Scope 2"/>
    <x v="0"/>
    <n v="1313.84"/>
    <n v="70481"/>
    <n v="4452.83"/>
    <n v="91.26"/>
    <s v=""/>
    <s v=""/>
  </r>
  <r>
    <s v="F155"/>
    <x v="2"/>
    <s v="2022 Q2"/>
    <s v="Scope 3"/>
    <x v="0"/>
    <n v="460.08"/>
    <n v="75736"/>
    <n v="6287.07"/>
    <n v="63.11"/>
    <n v="851.48"/>
    <n v="25.39"/>
  </r>
  <r>
    <s v="F098"/>
    <x v="4"/>
    <s v="2022 Q2"/>
    <s v="Scope 3"/>
    <x v="2"/>
    <n v="2230.08"/>
    <n v="28704"/>
    <n v="6009.24"/>
    <n v="39.31"/>
    <n v="479.41"/>
    <n v="19.7"/>
  </r>
  <r>
    <s v="F158"/>
    <x v="3"/>
    <s v="2022 Q1"/>
    <s v="Scope 1"/>
    <x v="2"/>
    <n v="324.83"/>
    <n v="61157"/>
    <n v="7331.54"/>
    <n v="55.52"/>
    <n v="783.77"/>
    <n v="31.59"/>
  </r>
  <r>
    <s v="F119"/>
    <x v="2"/>
    <s v="2023 Q2"/>
    <s v="Scope 3"/>
    <x v="0"/>
    <n v="621.27"/>
    <n v="22525"/>
    <n v="9465.65"/>
    <n v="37.79"/>
    <n v="472.66"/>
    <n v="55.03"/>
  </r>
  <r>
    <s v="F178"/>
    <x v="3"/>
    <s v="2023 Q2"/>
    <s v="Scope 2"/>
    <x v="0"/>
    <n v="1054.75"/>
    <n v="94861"/>
    <n v="8363.57"/>
    <n v="90.29"/>
    <n v="289.77"/>
    <n v="11.3"/>
  </r>
  <r>
    <s v="F082"/>
    <x v="0"/>
    <s v="2022 Q2"/>
    <s v="Scope 3"/>
    <x v="1"/>
    <n v="5086.7299999999996"/>
    <n v="17468"/>
    <n v="6359.73"/>
    <n v="5.22"/>
    <n v="959.2"/>
    <n v="36.92"/>
  </r>
  <r>
    <s v="F080"/>
    <x v="3"/>
    <s v="2023 Q2"/>
    <s v="Scope 2"/>
    <x v="2"/>
    <n v="733.07"/>
    <n v="10250"/>
    <n v="4717"/>
    <n v="16.600000000000001"/>
    <n v="249.3"/>
    <n v="32.97"/>
  </r>
  <r>
    <s v="F184"/>
    <x v="0"/>
    <s v="2022 Q2"/>
    <s v="Scope 1"/>
    <x v="2"/>
    <n v="4608.12"/>
    <n v="22201"/>
    <n v="2853.66"/>
    <n v="71.94"/>
    <n v="991.03"/>
    <n v="21.4"/>
  </r>
  <r>
    <s v="F134"/>
    <x v="3"/>
    <s v="2023 Q2"/>
    <s v="Scope 2"/>
    <x v="0"/>
    <n v="3092.45"/>
    <n v="16256"/>
    <n v="2127.1799999999998"/>
    <n v="38.94"/>
    <n v="796.34"/>
    <n v="66.41"/>
  </r>
  <r>
    <s v="F024"/>
    <x v="4"/>
    <s v="2023 Q1"/>
    <s v="Scope 1"/>
    <x v="1"/>
    <n v="824.2"/>
    <n v="95718"/>
    <n v="2443.12"/>
    <n v="35.49"/>
    <n v="818.45"/>
    <n v="9.9499999999999993"/>
  </r>
  <r>
    <s v="F026"/>
    <x v="2"/>
    <s v="2022 Q1"/>
    <s v="Scope 2"/>
    <x v="0"/>
    <n v="1816.62"/>
    <n v="32246"/>
    <n v="7903.93"/>
    <n v="42.12"/>
    <n v="459.56"/>
    <n v="28.62"/>
  </r>
  <r>
    <s v="F155"/>
    <x v="2"/>
    <s v="2022 Q2"/>
    <s v="Scope 3"/>
    <x v="1"/>
    <n v="1750.32"/>
    <n v="75736"/>
    <n v="6287.07"/>
    <n v="63.11"/>
    <n v="851.48"/>
    <n v="25.39"/>
  </r>
  <r>
    <s v="F043"/>
    <x v="0"/>
    <s v="2022 Q2"/>
    <s v="Scope 3"/>
    <x v="0"/>
    <n v="4387.17"/>
    <n v="14009"/>
    <n v="7528.98"/>
    <n v="77.62"/>
    <n v="763.97"/>
    <n v="24.91"/>
  </r>
  <r>
    <s v="F179"/>
    <x v="1"/>
    <s v="2023 Q2"/>
    <s v="Scope 2"/>
    <x v="2"/>
    <n v="3959.46"/>
    <n v="84524"/>
    <n v="9350.11"/>
    <n v="27.53"/>
    <n v="795.74"/>
    <n v="18.73"/>
  </r>
  <r>
    <s v="F120"/>
    <x v="4"/>
    <s v="2023 Q2"/>
    <s v="Scope 2"/>
    <x v="2"/>
    <n v="976.87"/>
    <n v="57215"/>
    <n v="3227.1"/>
    <n v="32.909999999999997"/>
    <n v="951.35"/>
    <n v="33.299999999999997"/>
  </r>
  <r>
    <s v="F037"/>
    <x v="3"/>
    <s v="2022 Q1"/>
    <s v="Scope 1"/>
    <x v="2"/>
    <n v="836.5"/>
    <n v="97337"/>
    <n v="3362.06"/>
    <n v="55.46"/>
    <n v="459.56"/>
    <n v="10.31"/>
  </r>
  <r>
    <s v="F066"/>
    <x v="4"/>
    <s v="2023 Q1"/>
    <s v="Scope 1"/>
    <x v="1"/>
    <n v="4095.46"/>
    <n v="13543"/>
    <n v="7854.96"/>
    <n v="85.57"/>
    <n v="610.79999999999995"/>
    <n v="30.04"/>
  </r>
  <r>
    <s v="F041"/>
    <x v="1"/>
    <s v="2023 Q2"/>
    <s v="Scope 2"/>
    <x v="1"/>
    <n v="3574.84"/>
    <n v="84721"/>
    <n v="2278.9699999999998"/>
    <n v="68.53"/>
    <n v="796.34"/>
    <n v="33.590000000000003"/>
  </r>
  <r>
    <s v="F110"/>
    <x v="4"/>
    <s v="2023 Q1"/>
    <s v="Scope 2"/>
    <x v="2"/>
    <n v="4705.34"/>
    <n v="85868"/>
    <n v="907.72"/>
    <n v="90.36"/>
    <n v="960.4"/>
    <n v="10.65"/>
  </r>
  <r>
    <s v="F154"/>
    <x v="0"/>
    <s v="2022 Q2"/>
    <s v="Scope 1"/>
    <x v="2"/>
    <n v="4617.59"/>
    <n v="17097"/>
    <n v="9061.7800000000007"/>
    <n v="95.92"/>
    <n v="390.06"/>
    <n v="18.010000000000002"/>
  </r>
  <r>
    <s v="F117"/>
    <x v="2"/>
    <s v="2022 Q1"/>
    <s v="Scope 1"/>
    <x v="0"/>
    <n v="3378.57"/>
    <n v="52594"/>
    <n v="8715.0400000000009"/>
    <n v="90.54"/>
    <n v="553.44000000000005"/>
    <n v="23.44"/>
  </r>
  <r>
    <s v="F106"/>
    <x v="3"/>
    <s v="2023 Q2"/>
    <s v="Scope 2"/>
    <x v="0"/>
    <n v="1071.83"/>
    <n v="98682"/>
    <n v="6220.56"/>
    <n v="70.099999999999994"/>
    <n v="724.63"/>
    <n v="27.81"/>
  </r>
  <r>
    <s v="F140"/>
    <x v="4"/>
    <s v="2022 Q2"/>
    <s v="Scope 3"/>
    <x v="2"/>
    <n v="958.65"/>
    <n v="94347"/>
    <n v="2272.58"/>
    <n v="34.75"/>
    <n v="472.66"/>
    <n v="44.97"/>
  </r>
  <r>
    <s v="F017"/>
    <x v="2"/>
    <s v="2023 Q2"/>
    <s v="Scope 3"/>
    <x v="2"/>
    <n v="1194.6400000000001"/>
    <n v="71747"/>
    <n v="9838.66"/>
    <n v="7.25"/>
    <n v="224.5"/>
    <n v="39.29"/>
  </r>
  <r>
    <s v="F151"/>
    <x v="2"/>
    <s v="2023 Q1"/>
    <s v="Scope 3"/>
    <x v="2"/>
    <n v="1366.75"/>
    <n v="81057"/>
    <n v="675.41"/>
    <n v="55.44"/>
    <n v="847.51"/>
    <n v="28.03"/>
  </r>
  <r>
    <s v="F056"/>
    <x v="4"/>
    <s v="2023 Q2"/>
    <s v="Scope 1"/>
    <x v="1"/>
    <n v="1936.56"/>
    <n v="99026"/>
    <n v="5453.2"/>
    <n v="57.49"/>
    <n v="231.68"/>
    <n v="24.26"/>
  </r>
  <r>
    <s v="F065"/>
    <x v="1"/>
    <s v="2022 Q2"/>
    <s v="Scope 3"/>
    <x v="0"/>
    <n v="872.02"/>
    <n v="91031"/>
    <n v="1783.57"/>
    <n v="32.049999999999997"/>
    <n v="532.27"/>
    <n v="15.2"/>
  </r>
  <r>
    <s v="F026"/>
    <x v="2"/>
    <s v="2023 Q1"/>
    <s v="Scope 2"/>
    <x v="1"/>
    <n v="4730.6899999999996"/>
    <n v="32246"/>
    <n v="7903.93"/>
    <n v="42.12"/>
    <n v="459.56"/>
    <n v="28.62"/>
  </r>
  <r>
    <s v="F036"/>
    <x v="3"/>
    <s v="2022 Q2"/>
    <s v="Scope 3"/>
    <x v="0"/>
    <n v="3135.12"/>
    <n v="53942"/>
    <n v="5904.31"/>
    <n v="32.78"/>
    <n v="553.44000000000005"/>
    <n v="29.01"/>
  </r>
  <r>
    <s v="F076"/>
    <x v="2"/>
    <s v="2023 Q2"/>
    <s v="Scope 3"/>
    <x v="1"/>
    <n v="1288.69"/>
    <n v="41953"/>
    <n v="2379.14"/>
    <n v="65.67"/>
    <n v="571.66"/>
    <n v="14.81"/>
  </r>
  <r>
    <s v="F172"/>
    <x v="4"/>
    <s v="2022 Q1"/>
    <s v="Scope 1"/>
    <x v="0"/>
    <n v="3302.89"/>
    <n v="98396"/>
    <n v="5174.07"/>
    <n v="63.38"/>
    <n v="714.03"/>
    <n v="36.89"/>
  </r>
  <r>
    <s v="F136"/>
    <x v="1"/>
    <s v="2022 Q2"/>
    <s v="Scope 2"/>
    <x v="1"/>
    <n v="1167.23"/>
    <n v="43346"/>
    <n v="5559.12"/>
    <n v="39.4"/>
    <n v="571.88"/>
    <n v="32.18"/>
  </r>
  <r>
    <s v="F101"/>
    <x v="3"/>
    <s v="2023 Q1"/>
    <s v="Scope 3"/>
    <x v="0"/>
    <n v="1716.99"/>
    <n v="65719"/>
    <n v="9362.41"/>
    <n v="86.55"/>
    <n v="932.3"/>
    <n v="28.9"/>
  </r>
  <r>
    <s v="F133"/>
    <x v="2"/>
    <s v="2022 Q2"/>
    <s v="Scope 2"/>
    <x v="2"/>
    <n v="2018.44"/>
    <n v="41168"/>
    <n v="8226.77"/>
    <n v="42.55"/>
    <n v="724.63"/>
    <n v="12.64"/>
  </r>
  <r>
    <s v="F174"/>
    <x v="3"/>
    <s v="2023 Q2"/>
    <s v="Scope 3"/>
    <x v="0"/>
    <n v="5025.54"/>
    <n v="95962"/>
    <n v="524.72"/>
    <n v="49.55"/>
    <n v="991.36"/>
    <n v="18.28"/>
  </r>
  <r>
    <s v="F062"/>
    <x v="2"/>
    <s v="2023 Q1"/>
    <s v="Scope 3"/>
    <x v="1"/>
    <n v="2513.3000000000002"/>
    <n v="19265"/>
    <n v="776.6"/>
    <n v="39.75"/>
    <n v="289.77"/>
    <n v="37.270000000000003"/>
  </r>
  <r>
    <s v="F109"/>
    <x v="0"/>
    <s v="2022 Q1"/>
    <s v="Scope 1"/>
    <x v="1"/>
    <n v="2145.48"/>
    <n v="34318"/>
    <n v="675.67"/>
    <n v="41.05"/>
    <n v="390.06"/>
    <n v="27.42"/>
  </r>
  <r>
    <s v="F025"/>
    <x v="4"/>
    <s v="2022 Q2"/>
    <s v="Scope 1"/>
    <x v="0"/>
    <n v="1701.79"/>
    <n v="32131"/>
    <n v="1474.23"/>
    <n v="45.47"/>
    <n v="830.73"/>
    <n v="17.97"/>
  </r>
  <r>
    <s v="F127"/>
    <x v="3"/>
    <s v="2023 Q1"/>
    <s v="Scope 2"/>
    <x v="1"/>
    <n v="1017.33"/>
    <n v="77400"/>
    <n v="7504.8"/>
    <n v="68.819999999999993"/>
    <s v=""/>
    <s v=""/>
  </r>
  <r>
    <s v="F062"/>
    <x v="2"/>
    <s v="2022 Q1"/>
    <s v="Scope 2"/>
    <x v="1"/>
    <n v="4417.58"/>
    <n v="19265"/>
    <n v="776.6"/>
    <n v="39.75"/>
    <n v="289.77"/>
    <n v="37.270000000000003"/>
  </r>
  <r>
    <s v="F153"/>
    <x v="3"/>
    <s v="2022 Q1"/>
    <s v="Scope 1"/>
    <x v="0"/>
    <n v="2948.39"/>
    <n v="95306"/>
    <n v="9037.76"/>
    <n v="13.35"/>
    <n v="724.63"/>
    <n v="21.2"/>
  </r>
  <r>
    <s v="F029"/>
    <x v="4"/>
    <s v="2023 Q2"/>
    <s v="Scope 2"/>
    <x v="2"/>
    <n v="2543.38"/>
    <n v="12262"/>
    <n v="7106.18"/>
    <n v="45.69"/>
    <n v="459.56"/>
    <n v="29.71"/>
  </r>
  <r>
    <s v="F038"/>
    <x v="4"/>
    <s v="2022 Q2"/>
    <s v="Scope 3"/>
    <x v="1"/>
    <n v="3031.49"/>
    <n v="18341"/>
    <n v="8465.57"/>
    <n v="38.39"/>
    <s v=""/>
    <s v=""/>
  </r>
  <r>
    <s v="F128"/>
    <x v="2"/>
    <s v="2023 Q1"/>
    <s v="Scope 3"/>
    <x v="1"/>
    <n v="4209.3500000000004"/>
    <n v="68216"/>
    <n v="9562.33"/>
    <n v="63.59"/>
    <n v="830.73"/>
    <n v="46.68"/>
  </r>
  <r>
    <s v="F015"/>
    <x v="4"/>
    <s v="2022 Q1"/>
    <s v="Scope 1"/>
    <x v="2"/>
    <n v="3571.08"/>
    <n v="80488"/>
    <n v="7629.95"/>
    <n v="63.83"/>
    <n v="847.51"/>
    <n v="9.9"/>
  </r>
  <r>
    <s v="F005"/>
    <x v="4"/>
    <s v="2022 Q1"/>
    <s v="Scope 2"/>
    <x v="1"/>
    <n v="887.49"/>
    <n v="61743"/>
    <n v="7426.75"/>
    <n v="26.39"/>
    <n v="527.37"/>
    <n v="39.28"/>
  </r>
  <r>
    <s v="F147"/>
    <x v="1"/>
    <s v="2022 Q1"/>
    <s v="Scope 2"/>
    <x v="0"/>
    <n v="1618.49"/>
    <n v="13333"/>
    <n v="6102.15"/>
    <n v="17.670000000000002"/>
    <n v="959.2"/>
    <n v="24.24"/>
  </r>
  <r>
    <s v="F192"/>
    <x v="4"/>
    <s v="2022 Q1"/>
    <s v="Scope 3"/>
    <x v="0"/>
    <n v="4625.46"/>
    <n v="21914"/>
    <n v="5897.27"/>
    <n v="49.41"/>
    <n v="790.74"/>
    <n v="15.07"/>
  </r>
  <r>
    <s v="F153"/>
    <x v="3"/>
    <s v="2023 Q1"/>
    <s v="Scope 2"/>
    <x v="0"/>
    <n v="968.64"/>
    <n v="95306"/>
    <n v="9037.76"/>
    <n v="13.35"/>
    <n v="724.63"/>
    <n v="21.2"/>
  </r>
  <r>
    <s v="F095"/>
    <x v="2"/>
    <s v="2023 Q2"/>
    <s v="Scope 3"/>
    <x v="1"/>
    <n v="2182.06"/>
    <n v="49885"/>
    <n v="6845.46"/>
    <n v="58.4"/>
    <n v="341.24"/>
    <n v="19.309999999999999"/>
  </r>
  <r>
    <s v="F054"/>
    <x v="3"/>
    <s v="2023 Q2"/>
    <s v="Scope 3"/>
    <x v="2"/>
    <n v="2401.34"/>
    <n v="38869"/>
    <n v="5109.76"/>
    <n v="35.270000000000003"/>
    <n v="986.62"/>
    <n v="40.86"/>
  </r>
  <r>
    <s v="F045"/>
    <x v="0"/>
    <s v="2023 Q1"/>
    <s v="Scope 3"/>
    <x v="0"/>
    <n v="1887.97"/>
    <n v="34725"/>
    <n v="3269.89"/>
    <n v="78.86"/>
    <n v="436.04"/>
    <n v="31.8"/>
  </r>
  <r>
    <s v="F046"/>
    <x v="4"/>
    <s v="2023 Q1"/>
    <s v="Scope 1"/>
    <x v="1"/>
    <n v="1740.85"/>
    <n v="87337"/>
    <n v="3603.06"/>
    <n v="67.13"/>
    <s v=""/>
    <s v=""/>
  </r>
  <r>
    <s v="F176"/>
    <x v="4"/>
    <s v="2022 Q1"/>
    <s v="Scope 3"/>
    <x v="2"/>
    <n v="4524.0200000000004"/>
    <n v="18726"/>
    <n v="5099.54"/>
    <n v="71.05"/>
    <n v="714.03"/>
    <n v="32.29"/>
  </r>
  <r>
    <s v="F175"/>
    <x v="3"/>
    <s v="2023 Q1"/>
    <s v="Scope 3"/>
    <x v="0"/>
    <n v="4975.54"/>
    <n v="94949"/>
    <n v="9714.76"/>
    <n v="64.900000000000006"/>
    <n v="241.41"/>
    <n v="20.62"/>
  </r>
  <r>
    <s v="F168"/>
    <x v="2"/>
    <s v="2022 Q2"/>
    <s v="Scope 2"/>
    <x v="0"/>
    <n v="1573"/>
    <n v="24095"/>
    <n v="3167.52"/>
    <n v="31.02"/>
    <n v="608.07000000000005"/>
    <n v="13.98"/>
  </r>
  <r>
    <s v="F141"/>
    <x v="1"/>
    <s v="2023 Q1"/>
    <s v="Scope 2"/>
    <x v="0"/>
    <n v="1578.72"/>
    <n v="58622"/>
    <n v="7795.36"/>
    <n v="59.81"/>
    <n v="807.86"/>
    <n v="32.130000000000003"/>
  </r>
  <r>
    <s v="F196"/>
    <x v="4"/>
    <s v="2023 Q1"/>
    <s v="Scope 3"/>
    <x v="2"/>
    <n v="3818.5"/>
    <n v="85444"/>
    <n v="852.57"/>
    <n v="72.650000000000006"/>
    <n v="319.93"/>
    <n v="34.35"/>
  </r>
  <r>
    <s v="F197"/>
    <x v="2"/>
    <s v="2023 Q2"/>
    <s v="Scope 2"/>
    <x v="2"/>
    <n v="2731.54"/>
    <n v="59617"/>
    <n v="5000.95"/>
    <n v="80.36"/>
    <n v="532.27"/>
    <n v="25.24"/>
  </r>
  <r>
    <s v="F156"/>
    <x v="2"/>
    <s v="2022 Q1"/>
    <s v="Scope 1"/>
    <x v="2"/>
    <n v="156.84"/>
    <n v="88308"/>
    <n v="7802.07"/>
    <n v="36.130000000000003"/>
    <n v="557.72"/>
    <n v="62.75"/>
  </r>
  <r>
    <s v="F063"/>
    <x v="4"/>
    <s v="2023 Q2"/>
    <s v="Scope 2"/>
    <x v="0"/>
    <n v="300.70999999999998"/>
    <n v="45519"/>
    <n v="7987.69"/>
    <n v="10.86"/>
    <n v="638.89"/>
    <n v="35.04"/>
  </r>
  <r>
    <s v="F162"/>
    <x v="3"/>
    <s v="2023 Q1"/>
    <s v="Scope 2"/>
    <x v="0"/>
    <n v="4929.3599999999997"/>
    <n v="18175"/>
    <n v="8349.49"/>
    <n v="39.97"/>
    <n v="818.45"/>
    <n v="19.04"/>
  </r>
  <r>
    <s v="F184"/>
    <x v="0"/>
    <s v="2022 Q2"/>
    <s v="Scope 3"/>
    <x v="0"/>
    <n v="2623.47"/>
    <n v="22201"/>
    <n v="2853.66"/>
    <n v="71.94"/>
    <n v="991.03"/>
    <n v="21.4"/>
  </r>
  <r>
    <s v="F144"/>
    <x v="2"/>
    <s v="2023 Q2"/>
    <s v="Scope 3"/>
    <x v="0"/>
    <n v="3247.07"/>
    <n v="16868"/>
    <n v="1378.01"/>
    <n v="47.52"/>
    <s v=""/>
    <s v=""/>
  </r>
  <r>
    <s v="F151"/>
    <x v="2"/>
    <s v="2023 Q2"/>
    <s v="Scope 2"/>
    <x v="2"/>
    <n v="1917.71"/>
    <n v="81057"/>
    <n v="675.41"/>
    <n v="55.44"/>
    <n v="847.51"/>
    <n v="28.03"/>
  </r>
  <r>
    <s v="F159"/>
    <x v="0"/>
    <s v="2022 Q2"/>
    <s v="Scope 2"/>
    <x v="2"/>
    <n v="3841.45"/>
    <n v="72224"/>
    <n v="1613.32"/>
    <n v="39.21"/>
    <n v="111.84"/>
    <n v="28.69"/>
  </r>
  <r>
    <s v="F089"/>
    <x v="4"/>
    <s v="2023 Q1"/>
    <s v="Scope 2"/>
    <x v="0"/>
    <n v="4035.07"/>
    <n v="58895"/>
    <n v="3039.17"/>
    <n v="59.82"/>
    <n v="785.8"/>
    <n v="22.92"/>
  </r>
  <r>
    <s v="F004"/>
    <x v="0"/>
    <s v="2023 Q1"/>
    <s v="Scope 1"/>
    <x v="1"/>
    <n v="3477.6"/>
    <n v="83923"/>
    <n v="8768.7999999999993"/>
    <n v="65.290000000000006"/>
    <n v="579.80999999999995"/>
    <n v="34.93"/>
  </r>
  <r>
    <s v="F110"/>
    <x v="4"/>
    <s v="2022 Q1"/>
    <s v="Scope 1"/>
    <x v="2"/>
    <n v="1743.67"/>
    <n v="85868"/>
    <n v="907.72"/>
    <n v="90.36"/>
    <n v="960.4"/>
    <n v="10.65"/>
  </r>
  <r>
    <s v="F124"/>
    <x v="3"/>
    <s v="2022 Q1"/>
    <s v="Scope 3"/>
    <x v="2"/>
    <n v="2351.44"/>
    <n v="37309"/>
    <n v="4508.54"/>
    <n v="47.15"/>
    <n v="951.35"/>
    <n v="47.12"/>
  </r>
  <r>
    <s v="F105"/>
    <x v="0"/>
    <s v="2022 Q1"/>
    <s v="Scope 1"/>
    <x v="0"/>
    <n v="4335.1400000000003"/>
    <n v="27028"/>
    <n v="4617.92"/>
    <n v="57.62"/>
    <n v="780.4"/>
    <n v="24.87"/>
  </r>
  <r>
    <s v="F197"/>
    <x v="2"/>
    <s v="2022 Q1"/>
    <s v="Scope 2"/>
    <x v="1"/>
    <n v="4697.66"/>
    <n v="59617"/>
    <n v="5000.95"/>
    <n v="80.36"/>
    <n v="532.27"/>
    <n v="25.24"/>
  </r>
  <r>
    <s v="F085"/>
    <x v="4"/>
    <s v="2023 Q2"/>
    <s v="Scope 2"/>
    <x v="1"/>
    <n v="3378.49"/>
    <n v="29264"/>
    <n v="8362.7199999999993"/>
    <n v="61.93"/>
    <s v=""/>
    <s v=""/>
  </r>
  <r>
    <s v="F191"/>
    <x v="0"/>
    <s v="2023 Q1"/>
    <s v="Scope 1"/>
    <x v="0"/>
    <n v="4068.86"/>
    <n v="86557"/>
    <n v="8631.2800000000007"/>
    <n v="69.53"/>
    <s v=""/>
    <s v=""/>
  </r>
  <r>
    <s v="F134"/>
    <x v="3"/>
    <s v="2023 Q1"/>
    <s v="Scope 3"/>
    <x v="0"/>
    <n v="4658.54"/>
    <n v="16256"/>
    <n v="2127.1799999999998"/>
    <n v="38.94"/>
    <n v="796.34"/>
    <n v="66.41"/>
  </r>
  <r>
    <s v="F126"/>
    <x v="2"/>
    <s v="2022 Q1"/>
    <s v="Scope 3"/>
    <x v="0"/>
    <n v="3516.45"/>
    <n v="75508"/>
    <n v="6856.22"/>
    <n v="18.2"/>
    <n v="991.03"/>
    <n v="13.32"/>
  </r>
  <r>
    <s v="F044"/>
    <x v="1"/>
    <s v="2023 Q1"/>
    <s v="Scope 3"/>
    <x v="1"/>
    <n v="3133.83"/>
    <n v="93661"/>
    <n v="7324.58"/>
    <n v="23.55"/>
    <n v="390.06"/>
    <n v="23.14"/>
  </r>
  <r>
    <s v="F025"/>
    <x v="4"/>
    <s v="2022 Q2"/>
    <s v="Scope 2"/>
    <x v="1"/>
    <n v="1951.82"/>
    <n v="32131"/>
    <n v="1474.23"/>
    <n v="45.47"/>
    <n v="830.73"/>
    <n v="17.97"/>
  </r>
  <r>
    <s v="F028"/>
    <x v="4"/>
    <s v="2023 Q1"/>
    <s v="Scope 3"/>
    <x v="0"/>
    <n v="2056.02"/>
    <n v="73977"/>
    <n v="1646.75"/>
    <n v="43.77"/>
    <s v=""/>
    <s v=""/>
  </r>
  <r>
    <s v="F103"/>
    <x v="4"/>
    <s v="2023 Q2"/>
    <s v="Scope 1"/>
    <x v="0"/>
    <n v="377.76"/>
    <n v="22309"/>
    <n v="3656.29"/>
    <n v="75.25"/>
    <n v="795.74"/>
    <n v="26.99"/>
  </r>
  <r>
    <s v="F043"/>
    <x v="0"/>
    <s v="2022 Q1"/>
    <s v="Scope 1"/>
    <x v="2"/>
    <n v="4676.8"/>
    <n v="14009"/>
    <n v="7528.98"/>
    <n v="77.62"/>
    <n v="763.97"/>
    <n v="24.91"/>
  </r>
  <r>
    <s v="F123"/>
    <x v="1"/>
    <s v="2023 Q2"/>
    <s v="Scope 3"/>
    <x v="1"/>
    <n v="3984.46"/>
    <n v="58113"/>
    <n v="6382.12"/>
    <n v="56.66"/>
    <n v="431.16"/>
    <n v="48.25"/>
  </r>
  <r>
    <s v="F117"/>
    <x v="2"/>
    <s v="2022 Q2"/>
    <s v="Scope 3"/>
    <x v="1"/>
    <n v="1346.68"/>
    <n v="52594"/>
    <n v="8715.0400000000009"/>
    <n v="90.54"/>
    <n v="553.44000000000005"/>
    <n v="23.44"/>
  </r>
  <r>
    <s v="F007"/>
    <x v="4"/>
    <s v="2022 Q2"/>
    <s v="Scope 3"/>
    <x v="2"/>
    <n v="4869.82"/>
    <n v="35506"/>
    <n v="1892.04"/>
    <n v="61.53"/>
    <s v=""/>
    <s v=""/>
  </r>
  <r>
    <s v="F043"/>
    <x v="0"/>
    <s v="2023 Q1"/>
    <s v="Scope 3"/>
    <x v="1"/>
    <n v="2329.09"/>
    <n v="14009"/>
    <n v="7528.98"/>
    <n v="77.62"/>
    <n v="763.97"/>
    <n v="24.91"/>
  </r>
  <r>
    <s v="F188"/>
    <x v="3"/>
    <s v="2022 Q1"/>
    <s v="Scope 3"/>
    <x v="1"/>
    <n v="4828.6000000000004"/>
    <n v="80824"/>
    <n v="2858.92"/>
    <n v="13.97"/>
    <n v="638.89"/>
    <n v="21.98"/>
  </r>
  <r>
    <s v="F125"/>
    <x v="1"/>
    <s v="2022 Q1"/>
    <s v="Scope 2"/>
    <x v="0"/>
    <n v="3423.67"/>
    <n v="82332"/>
    <n v="7134.86"/>
    <n v="22.44"/>
    <n v="553.44000000000005"/>
    <n v="13.24"/>
  </r>
  <r>
    <s v="F123"/>
    <x v="1"/>
    <s v="2023 Q1"/>
    <s v="Scope 1"/>
    <x v="0"/>
    <n v="2957.49"/>
    <n v="58113"/>
    <n v="6382.12"/>
    <n v="56.66"/>
    <n v="431.16"/>
    <n v="48.25"/>
  </r>
  <r>
    <s v="F051"/>
    <x v="4"/>
    <s v="2022 Q2"/>
    <s v="Scope 1"/>
    <x v="1"/>
    <n v="3128.34"/>
    <n v="56752"/>
    <n v="4177.68"/>
    <n v="10.96"/>
    <n v="694.92"/>
    <n v="9.8699999999999992"/>
  </r>
  <r>
    <s v="F174"/>
    <x v="3"/>
    <s v="2023 Q1"/>
    <s v="Scope 3"/>
    <x v="2"/>
    <n v="4548.07"/>
    <n v="95962"/>
    <n v="524.72"/>
    <n v="49.55"/>
    <n v="991.36"/>
    <n v="18.28"/>
  </r>
  <r>
    <s v="F010"/>
    <x v="0"/>
    <s v="2023 Q2"/>
    <s v="Scope 1"/>
    <x v="1"/>
    <n v="3929.66"/>
    <n v="32991"/>
    <n v="8540.14"/>
    <n v="37.75"/>
    <n v="268.16000000000003"/>
    <n v="9.08"/>
  </r>
  <r>
    <s v="F028"/>
    <x v="4"/>
    <s v="2022 Q2"/>
    <s v="Scope 3"/>
    <x v="0"/>
    <n v="3790.62"/>
    <n v="73977"/>
    <n v="1646.75"/>
    <n v="43.77"/>
    <s v=""/>
    <s v=""/>
  </r>
  <r>
    <s v="F155"/>
    <x v="2"/>
    <s v="2022 Q2"/>
    <s v="Scope 2"/>
    <x v="2"/>
    <n v="4480.07"/>
    <n v="75736"/>
    <n v="6287.07"/>
    <n v="63.11"/>
    <n v="851.48"/>
    <n v="25.39"/>
  </r>
  <r>
    <s v="F103"/>
    <x v="4"/>
    <s v="2023 Q2"/>
    <s v="Scope 2"/>
    <x v="0"/>
    <n v="4123.79"/>
    <n v="22309"/>
    <n v="3656.29"/>
    <n v="75.25"/>
    <n v="795.74"/>
    <n v="26.99"/>
  </r>
  <r>
    <s v="F037"/>
    <x v="3"/>
    <s v="2022 Q2"/>
    <s v="Scope 1"/>
    <x v="0"/>
    <n v="100.8"/>
    <n v="97337"/>
    <n v="3362.06"/>
    <n v="55.46"/>
    <n v="459.56"/>
    <n v="10.31"/>
  </r>
  <r>
    <s v="F082"/>
    <x v="0"/>
    <s v="2023 Q2"/>
    <s v="Scope 2"/>
    <x v="0"/>
    <n v="4783.3999999999996"/>
    <n v="17468"/>
    <n v="6359.73"/>
    <n v="5.22"/>
    <n v="959.2"/>
    <n v="36.92"/>
  </r>
  <r>
    <s v="F167"/>
    <x v="2"/>
    <s v="2023 Q2"/>
    <s v="Scope 3"/>
    <x v="0"/>
    <n v="2568.52"/>
    <n v="94128"/>
    <n v="8117.82"/>
    <n v="73.83"/>
    <n v="532.27"/>
    <n v="31.74"/>
  </r>
  <r>
    <s v="F008"/>
    <x v="3"/>
    <s v="2022 Q2"/>
    <s v="Scope 2"/>
    <x v="1"/>
    <n v="246.64"/>
    <n v="50306"/>
    <n v="7031.37"/>
    <n v="13.27"/>
    <s v=""/>
    <s v=""/>
  </r>
  <r>
    <s v="F019"/>
    <x v="0"/>
    <s v="2022 Q1"/>
    <s v="Scope 1"/>
    <x v="1"/>
    <n v="498.61"/>
    <n v="68018"/>
    <n v="3523.4"/>
    <n v="92.26"/>
    <n v="111.84"/>
    <n v="15.85"/>
  </r>
  <r>
    <s v="F050"/>
    <x v="0"/>
    <s v="2022 Q1"/>
    <s v="Scope 1"/>
    <x v="0"/>
    <n v="3705.73"/>
    <n v="10067"/>
    <n v="1953.33"/>
    <n v="25.15"/>
    <n v="785.8"/>
    <n v="19.649999999999999"/>
  </r>
  <r>
    <s v="F001"/>
    <x v="1"/>
    <s v="2023 Q2"/>
    <s v="Scope 2"/>
    <x v="2"/>
    <n v="470.38"/>
    <n v="54133"/>
    <n v="8543.68"/>
    <n v="24"/>
    <n v="991.03"/>
    <n v="23.33"/>
  </r>
  <r>
    <s v="F132"/>
    <x v="4"/>
    <s v="2023 Q2"/>
    <s v="Scope 2"/>
    <x v="0"/>
    <n v="2355.87"/>
    <n v="76544"/>
    <n v="8632.77"/>
    <n v="12.87"/>
    <n v="571.88"/>
    <n v="30.1"/>
  </r>
  <r>
    <s v="F138"/>
    <x v="0"/>
    <s v="2022 Q2"/>
    <s v="Scope 1"/>
    <x v="0"/>
    <n v="484.51"/>
    <n v="94393"/>
    <n v="6691.7"/>
    <n v="74.790000000000006"/>
    <n v="867.66"/>
    <n v="32.97"/>
  </r>
  <r>
    <s v="F106"/>
    <x v="3"/>
    <s v="2023 Q2"/>
    <s v="Scope 1"/>
    <x v="1"/>
    <n v="3299.33"/>
    <n v="98682"/>
    <n v="6220.56"/>
    <n v="70.099999999999994"/>
    <n v="724.63"/>
    <n v="27.81"/>
  </r>
  <r>
    <s v="F064"/>
    <x v="1"/>
    <s v="2023 Q1"/>
    <s v="Scope 2"/>
    <x v="0"/>
    <n v="3312.29"/>
    <n v="70481"/>
    <n v="4452.83"/>
    <n v="91.26"/>
    <s v=""/>
    <s v=""/>
  </r>
  <r>
    <s v="F071"/>
    <x v="4"/>
    <s v="2022 Q1"/>
    <s v="Scope 2"/>
    <x v="1"/>
    <n v="2017.59"/>
    <n v="26378"/>
    <n v="2915.44"/>
    <n v="29.84"/>
    <n v="311.36"/>
    <n v="26.09"/>
  </r>
  <r>
    <s v="F027"/>
    <x v="4"/>
    <s v="2023 Q1"/>
    <s v="Scope 3"/>
    <x v="0"/>
    <n v="3564.21"/>
    <n v="51800"/>
    <n v="3042.95"/>
    <n v="71.87"/>
    <n v="714.03"/>
    <n v="10.84"/>
  </r>
  <r>
    <s v="F174"/>
    <x v="3"/>
    <s v="2022 Q2"/>
    <s v="Scope 3"/>
    <x v="2"/>
    <n v="4913.54"/>
    <n v="95962"/>
    <n v="524.72"/>
    <n v="49.55"/>
    <n v="991.36"/>
    <n v="18.28"/>
  </r>
  <r>
    <s v="F066"/>
    <x v="4"/>
    <s v="2023 Q1"/>
    <s v="Scope 3"/>
    <x v="0"/>
    <n v="1184.8599999999999"/>
    <n v="13543"/>
    <n v="7854.96"/>
    <n v="85.57"/>
    <n v="610.79999999999995"/>
    <n v="30.04"/>
  </r>
  <r>
    <s v="F088"/>
    <x v="0"/>
    <s v="2023 Q1"/>
    <s v="Scope 1"/>
    <x v="2"/>
    <n v="3845.16"/>
    <n v="77330"/>
    <n v="6936.58"/>
    <n v="82.3"/>
    <n v="264.23"/>
    <n v="28.19"/>
  </r>
  <r>
    <s v="F173"/>
    <x v="1"/>
    <s v="2023 Q1"/>
    <s v="Scope 2"/>
    <x v="0"/>
    <n v="2288.2800000000002"/>
    <n v="38181"/>
    <n v="691.84"/>
    <n v="33.53"/>
    <n v="114.57"/>
    <n v="9.9600000000000009"/>
  </r>
  <r>
    <s v="F182"/>
    <x v="3"/>
    <s v="2023 Q1"/>
    <s v="Scope 2"/>
    <x v="1"/>
    <n v="751.28"/>
    <n v="41027"/>
    <n v="7285.85"/>
    <n v="59.87"/>
    <n v="763.97"/>
    <n v="34.14"/>
  </r>
  <r>
    <s v="F116"/>
    <x v="2"/>
    <s v="2023 Q1"/>
    <s v="Scope 2"/>
    <x v="2"/>
    <n v="2159.65"/>
    <n v="48501"/>
    <n v="7209.77"/>
    <n v="92.51"/>
    <s v=""/>
    <s v=""/>
  </r>
  <r>
    <s v="F099"/>
    <x v="3"/>
    <s v="2023 Q1"/>
    <s v="Scope 2"/>
    <x v="1"/>
    <n v="3251.65"/>
    <n v="17162"/>
    <n v="5079.95"/>
    <n v="19.239999999999998"/>
    <n v="769.39"/>
    <n v="35.29"/>
  </r>
  <r>
    <s v="F156"/>
    <x v="2"/>
    <s v="2023 Q2"/>
    <s v="Scope 3"/>
    <x v="2"/>
    <n v="4889.75"/>
    <n v="88308"/>
    <n v="7802.07"/>
    <n v="36.130000000000003"/>
    <n v="557.72"/>
    <n v="62.75"/>
  </r>
  <r>
    <s v="F052"/>
    <x v="3"/>
    <s v="2023 Q2"/>
    <s v="Scope 2"/>
    <x v="0"/>
    <n v="608.37"/>
    <n v="66163"/>
    <n v="1416.57"/>
    <n v="68.73"/>
    <n v="773.96"/>
    <n v="29.26"/>
  </r>
  <r>
    <s v="F173"/>
    <x v="1"/>
    <s v="2022 Q2"/>
    <s v="Scope 3"/>
    <x v="0"/>
    <n v="3246.99"/>
    <n v="38181"/>
    <n v="691.84"/>
    <n v="33.53"/>
    <n v="114.57"/>
    <n v="9.9600000000000009"/>
  </r>
  <r>
    <s v="F017"/>
    <x v="2"/>
    <s v="2023 Q1"/>
    <s v="Scope 1"/>
    <x v="0"/>
    <n v="4214.38"/>
    <n v="71747"/>
    <n v="9838.66"/>
    <n v="7.25"/>
    <n v="224.5"/>
    <n v="39.29"/>
  </r>
  <r>
    <s v="F065"/>
    <x v="1"/>
    <s v="2022 Q2"/>
    <s v="Scope 2"/>
    <x v="0"/>
    <n v="2178.11"/>
    <n v="91031"/>
    <n v="1783.57"/>
    <n v="32.049999999999997"/>
    <n v="532.27"/>
    <n v="15.2"/>
  </r>
  <r>
    <s v="F026"/>
    <x v="2"/>
    <s v="2023 Q2"/>
    <s v="Scope 2"/>
    <x v="0"/>
    <n v="4250.24"/>
    <n v="32246"/>
    <n v="7903.93"/>
    <n v="42.12"/>
    <n v="459.56"/>
    <n v="28.62"/>
  </r>
  <r>
    <s v="F132"/>
    <x v="4"/>
    <s v="2023 Q1"/>
    <s v="Scope 1"/>
    <x v="0"/>
    <n v="1294.92"/>
    <n v="76544"/>
    <n v="8632.77"/>
    <n v="12.87"/>
    <n v="571.88"/>
    <n v="30.1"/>
  </r>
  <r>
    <s v="F156"/>
    <x v="2"/>
    <s v="2022 Q2"/>
    <s v="Scope 1"/>
    <x v="2"/>
    <n v="498.85"/>
    <n v="88308"/>
    <n v="7802.07"/>
    <n v="36.130000000000003"/>
    <n v="557.72"/>
    <n v="62.75"/>
  </r>
  <r>
    <s v="F032"/>
    <x v="1"/>
    <s v="2023 Q2"/>
    <s v="Scope 2"/>
    <x v="1"/>
    <n v="4605.3599999999997"/>
    <n v="33688"/>
    <n v="9495.48"/>
    <n v="55.55"/>
    <n v="780.4"/>
    <n v="30.98"/>
  </r>
  <r>
    <s v="F155"/>
    <x v="2"/>
    <s v="2023 Q2"/>
    <s v="Scope 1"/>
    <x v="2"/>
    <n v="4590.9799999999996"/>
    <n v="75736"/>
    <n v="6287.07"/>
    <n v="63.11"/>
    <n v="851.48"/>
    <n v="25.39"/>
  </r>
  <r>
    <s v="F001"/>
    <x v="1"/>
    <s v="2022 Q2"/>
    <s v="Scope 2"/>
    <x v="1"/>
    <n v="2454.27"/>
    <n v="54133"/>
    <n v="8543.68"/>
    <n v="24"/>
    <n v="991.03"/>
    <n v="23.33"/>
  </r>
  <r>
    <s v="F127"/>
    <x v="3"/>
    <s v="2022 Q2"/>
    <s v="Scope 3"/>
    <x v="2"/>
    <n v="2083"/>
    <n v="77400"/>
    <n v="7504.8"/>
    <n v="68.819999999999993"/>
    <s v=""/>
    <s v=""/>
  </r>
  <r>
    <s v="F035"/>
    <x v="4"/>
    <s v="2022 Q1"/>
    <s v="Scope 3"/>
    <x v="2"/>
    <n v="3207.76"/>
    <n v="24913"/>
    <n v="5727.27"/>
    <n v="78.849999999999994"/>
    <s v=""/>
    <s v=""/>
  </r>
  <r>
    <s v="F055"/>
    <x v="2"/>
    <s v="2022 Q1"/>
    <s v="Scope 3"/>
    <x v="0"/>
    <n v="4200.42"/>
    <n v="41050"/>
    <n v="6025.84"/>
    <n v="53.53"/>
    <n v="289.77"/>
    <n v="19.260000000000002"/>
  </r>
  <r>
    <s v="F097"/>
    <x v="1"/>
    <s v="2023 Q2"/>
    <s v="Scope 3"/>
    <x v="0"/>
    <n v="4705.21"/>
    <n v="69100"/>
    <n v="9356.02"/>
    <n v="16.5"/>
    <n v="694.92"/>
    <n v="23.67"/>
  </r>
  <r>
    <s v="F194"/>
    <x v="3"/>
    <s v="2022 Q2"/>
    <s v="Scope 1"/>
    <x v="2"/>
    <n v="171.51"/>
    <n v="42382"/>
    <n v="5116.6899999999996"/>
    <n v="80.42"/>
    <n v="626.54"/>
    <n v="70.540000000000006"/>
  </r>
  <r>
    <s v="F001"/>
    <x v="1"/>
    <s v="2023 Q1"/>
    <s v="Scope 3"/>
    <x v="2"/>
    <n v="2210.63"/>
    <n v="54133"/>
    <n v="8543.68"/>
    <n v="24"/>
    <n v="991.03"/>
    <n v="23.33"/>
  </r>
  <r>
    <s v="F021"/>
    <x v="1"/>
    <s v="2023 Q2"/>
    <s v="Scope 3"/>
    <x v="2"/>
    <n v="4978.93"/>
    <n v="44657"/>
    <n v="7867.98"/>
    <n v="96.01"/>
    <n v="694.92"/>
    <n v="26.24"/>
  </r>
  <r>
    <s v="F199"/>
    <x v="0"/>
    <s v="2022 Q1"/>
    <s v="Scope 2"/>
    <x v="1"/>
    <n v="3657.98"/>
    <n v="89321"/>
    <n v="9836.34"/>
    <n v="16.989999999999998"/>
    <n v="105.67"/>
    <n v="15.41"/>
  </r>
  <r>
    <s v="F090"/>
    <x v="2"/>
    <s v="2023 Q2"/>
    <s v="Scope 2"/>
    <x v="2"/>
    <n v="1516.4"/>
    <n v="29895"/>
    <n v="1631.08"/>
    <n v="39.93"/>
    <n v="959.2"/>
    <n v="38.840000000000003"/>
  </r>
  <r>
    <s v="F008"/>
    <x v="3"/>
    <s v="2023 Q2"/>
    <s v="Scope 2"/>
    <x v="0"/>
    <n v="1707.15"/>
    <n v="50306"/>
    <n v="7031.37"/>
    <n v="13.27"/>
    <s v=""/>
    <s v=""/>
  </r>
  <r>
    <s v="F073"/>
    <x v="3"/>
    <s v="2023 Q1"/>
    <s v="Scope 1"/>
    <x v="2"/>
    <n v="526.19000000000005"/>
    <n v="26170"/>
    <n v="8057.54"/>
    <n v="63.71"/>
    <s v=""/>
    <s v=""/>
  </r>
  <r>
    <s v="F119"/>
    <x v="2"/>
    <s v="2022 Q1"/>
    <s v="Scope 3"/>
    <x v="2"/>
    <n v="5253.41"/>
    <n v="22525"/>
    <n v="9465.65"/>
    <n v="37.79"/>
    <n v="472.66"/>
    <n v="55.03"/>
  </r>
  <r>
    <s v="F028"/>
    <x v="4"/>
    <s v="2022 Q1"/>
    <s v="Scope 3"/>
    <x v="1"/>
    <n v="3617.9"/>
    <n v="73977"/>
    <n v="1646.75"/>
    <n v="43.77"/>
    <s v=""/>
    <s v=""/>
  </r>
  <r>
    <s v="F004"/>
    <x v="0"/>
    <s v="2022 Q2"/>
    <s v="Scope 2"/>
    <x v="0"/>
    <n v="698.65"/>
    <n v="83923"/>
    <n v="8768.7999999999993"/>
    <n v="65.290000000000006"/>
    <n v="579.80999999999995"/>
    <n v="34.93"/>
  </r>
  <r>
    <s v="F021"/>
    <x v="1"/>
    <s v="2023 Q2"/>
    <s v="Scope 3"/>
    <x v="2"/>
    <n v="4671.97"/>
    <n v="44657"/>
    <n v="7867.98"/>
    <n v="96.01"/>
    <n v="694.92"/>
    <n v="26.24"/>
  </r>
  <r>
    <s v="F122"/>
    <x v="4"/>
    <s v="2023 Q2"/>
    <s v="Scope 1"/>
    <x v="1"/>
    <n v="4339.82"/>
    <n v="49620"/>
    <n v="2424.31"/>
    <n v="62.09"/>
    <n v="184.92"/>
    <n v="19.55"/>
  </r>
  <r>
    <s v="F127"/>
    <x v="3"/>
    <s v="2022 Q2"/>
    <s v="Scope 3"/>
    <x v="2"/>
    <n v="132.41999999999999"/>
    <n v="77400"/>
    <n v="7504.8"/>
    <n v="68.819999999999993"/>
    <s v=""/>
    <s v=""/>
  </r>
  <r>
    <s v="F101"/>
    <x v="3"/>
    <s v="2023 Q1"/>
    <s v="Scope 1"/>
    <x v="0"/>
    <n v="1388.99"/>
    <n v="65719"/>
    <n v="9362.41"/>
    <n v="86.55"/>
    <n v="932.3"/>
    <n v="28.9"/>
  </r>
  <r>
    <s v="F177"/>
    <x v="3"/>
    <s v="2023 Q2"/>
    <s v="Scope 1"/>
    <x v="0"/>
    <n v="3966.31"/>
    <n v="87482"/>
    <n v="2231.7399999999998"/>
    <n v="45.43"/>
    <n v="638.89"/>
    <n v="24.69"/>
  </r>
  <r>
    <s v="F039"/>
    <x v="2"/>
    <s v="2022 Q2"/>
    <s v="Scope 2"/>
    <x v="1"/>
    <n v="2647.7"/>
    <n v="40503"/>
    <n v="7447.46"/>
    <n v="98.27"/>
    <n v="209.33"/>
    <n v="39.549999999999997"/>
  </r>
  <r>
    <s v="F004"/>
    <x v="0"/>
    <s v="2022 Q2"/>
    <s v="Scope 2"/>
    <x v="2"/>
    <n v="3541.47"/>
    <n v="83923"/>
    <n v="8768.7999999999993"/>
    <n v="65.290000000000006"/>
    <n v="579.80999999999995"/>
    <n v="34.93"/>
  </r>
  <r>
    <s v="F166"/>
    <x v="3"/>
    <s v="2023 Q2"/>
    <s v="Scope 2"/>
    <x v="0"/>
    <n v="2083.98"/>
    <n v="96474"/>
    <n v="7574.39"/>
    <n v="95.54"/>
    <n v="886.71"/>
    <n v="24.84"/>
  </r>
  <r>
    <s v="F031"/>
    <x v="3"/>
    <s v="2023 Q2"/>
    <s v="Scope 3"/>
    <x v="1"/>
    <n v="3597.22"/>
    <n v="86263"/>
    <n v="3213.71"/>
    <n v="98.39"/>
    <n v="662.74"/>
    <n v="20.66"/>
  </r>
  <r>
    <s v="F075"/>
    <x v="3"/>
    <s v="2022 Q1"/>
    <s v="Scope 2"/>
    <x v="2"/>
    <n v="3828.14"/>
    <n v="60513"/>
    <n v="4578.16"/>
    <n v="65.53"/>
    <s v=""/>
    <s v=""/>
  </r>
  <r>
    <s v="F115"/>
    <x v="3"/>
    <s v="2023 Q2"/>
    <s v="Scope 3"/>
    <x v="0"/>
    <n v="3705.62"/>
    <n v="29318"/>
    <n v="9860.6200000000008"/>
    <n v="14.58"/>
    <n v="571.66"/>
    <n v="6.78"/>
  </r>
  <r>
    <s v="F034"/>
    <x v="4"/>
    <s v="2022 Q1"/>
    <s v="Scope 3"/>
    <x v="1"/>
    <n v="2912.25"/>
    <n v="67213"/>
    <n v="5533.81"/>
    <n v="90.88"/>
    <n v="467.3"/>
    <n v="53.15"/>
  </r>
  <r>
    <s v="F175"/>
    <x v="3"/>
    <s v="2023 Q1"/>
    <s v="Scope 2"/>
    <x v="2"/>
    <n v="1004.91"/>
    <n v="94949"/>
    <n v="9714.76"/>
    <n v="64.900000000000006"/>
    <n v="241.41"/>
    <n v="20.62"/>
  </r>
  <r>
    <s v="F082"/>
    <x v="0"/>
    <s v="2023 Q1"/>
    <s v="Scope 1"/>
    <x v="0"/>
    <n v="4429.63"/>
    <n v="17468"/>
    <n v="6359.73"/>
    <n v="5.22"/>
    <n v="959.2"/>
    <n v="36.92"/>
  </r>
  <r>
    <s v="F184"/>
    <x v="0"/>
    <s v="2022 Q2"/>
    <s v="Scope 3"/>
    <x v="0"/>
    <n v="4951.92"/>
    <n v="22201"/>
    <n v="2853.66"/>
    <n v="71.94"/>
    <n v="991.03"/>
    <n v="21.4"/>
  </r>
  <r>
    <s v="F107"/>
    <x v="2"/>
    <s v="2022 Q1"/>
    <s v="Scope 3"/>
    <x v="2"/>
    <n v="2036.07"/>
    <n v="43512"/>
    <n v="5352.18"/>
    <n v="6.17"/>
    <n v="311.36"/>
    <n v="28.72"/>
  </r>
  <r>
    <s v="F157"/>
    <x v="0"/>
    <s v="2022 Q1"/>
    <s v="Scope 2"/>
    <x v="0"/>
    <n v="4936.1400000000003"/>
    <n v="15788"/>
    <n v="1824.14"/>
    <n v="52.78"/>
    <n v="571.88"/>
    <n v="8.17"/>
  </r>
  <r>
    <s v="F088"/>
    <x v="0"/>
    <s v="2023 Q1"/>
    <s v="Scope 2"/>
    <x v="1"/>
    <n v="2419.77"/>
    <n v="77330"/>
    <n v="6936.58"/>
    <n v="82.3"/>
    <n v="264.23"/>
    <n v="28.19"/>
  </r>
  <r>
    <s v="F015"/>
    <x v="4"/>
    <s v="2023 Q1"/>
    <s v="Scope 3"/>
    <x v="1"/>
    <n v="574.96"/>
    <n v="80488"/>
    <n v="7629.95"/>
    <n v="63.83"/>
    <n v="847.51"/>
    <n v="9.9"/>
  </r>
  <r>
    <s v="F136"/>
    <x v="1"/>
    <s v="2022 Q2"/>
    <s v="Scope 2"/>
    <x v="0"/>
    <n v="2530.5"/>
    <n v="43346"/>
    <n v="5559.12"/>
    <n v="39.4"/>
    <n v="571.88"/>
    <n v="32.18"/>
  </r>
  <r>
    <s v="F114"/>
    <x v="1"/>
    <s v="2023 Q1"/>
    <s v="Scope 2"/>
    <x v="0"/>
    <n v="4691.6499999999996"/>
    <n v="57353"/>
    <n v="2274.71"/>
    <n v="65.34"/>
    <n v="931.73"/>
    <n v="46.27"/>
  </r>
  <r>
    <s v="F157"/>
    <x v="0"/>
    <s v="2023 Q2"/>
    <s v="Scope 2"/>
    <x v="1"/>
    <n v="3798.92"/>
    <n v="15788"/>
    <n v="1824.14"/>
    <n v="52.78"/>
    <n v="571.88"/>
    <n v="8.17"/>
  </r>
  <r>
    <s v="F006"/>
    <x v="4"/>
    <s v="2022 Q1"/>
    <s v="Scope 1"/>
    <x v="2"/>
    <n v="473.15"/>
    <n v="11426"/>
    <n v="4439.5600000000004"/>
    <n v="52.71"/>
    <s v=""/>
    <s v=""/>
  </r>
  <r>
    <s v="F162"/>
    <x v="3"/>
    <s v="2023 Q1"/>
    <s v="Scope 2"/>
    <x v="1"/>
    <n v="2684.5"/>
    <n v="18175"/>
    <n v="8349.49"/>
    <n v="39.97"/>
    <n v="818.45"/>
    <n v="19.04"/>
  </r>
  <r>
    <s v="F168"/>
    <x v="2"/>
    <s v="2023 Q1"/>
    <s v="Scope 3"/>
    <x v="0"/>
    <n v="3207.97"/>
    <n v="24095"/>
    <n v="3167.52"/>
    <n v="31.02"/>
    <n v="608.07000000000005"/>
    <n v="13.98"/>
  </r>
  <r>
    <s v="F004"/>
    <x v="0"/>
    <s v="2023 Q2"/>
    <s v="Scope 3"/>
    <x v="1"/>
    <n v="2986.02"/>
    <n v="83923"/>
    <n v="8768.7999999999993"/>
    <n v="65.290000000000006"/>
    <n v="579.80999999999995"/>
    <n v="34.93"/>
  </r>
  <r>
    <s v="F132"/>
    <x v="4"/>
    <s v="2022 Q1"/>
    <s v="Scope 2"/>
    <x v="0"/>
    <n v="862.55"/>
    <n v="76544"/>
    <n v="8632.77"/>
    <n v="12.87"/>
    <n v="571.88"/>
    <n v="30.1"/>
  </r>
  <r>
    <s v="F021"/>
    <x v="1"/>
    <s v="2023 Q1"/>
    <s v="Scope 1"/>
    <x v="1"/>
    <n v="827.65"/>
    <n v="44657"/>
    <n v="7867.98"/>
    <n v="96.01"/>
    <n v="694.92"/>
    <n v="26.24"/>
  </r>
  <r>
    <s v="F125"/>
    <x v="1"/>
    <s v="2022 Q1"/>
    <s v="Scope 2"/>
    <x v="0"/>
    <n v="1683.73"/>
    <n v="82332"/>
    <n v="7134.86"/>
    <n v="22.44"/>
    <n v="553.44000000000005"/>
    <n v="13.24"/>
  </r>
  <r>
    <s v="F027"/>
    <x v="4"/>
    <s v="2022 Q2"/>
    <s v="Scope 1"/>
    <x v="2"/>
    <n v="1942.34"/>
    <n v="51800"/>
    <n v="3042.95"/>
    <n v="71.87"/>
    <n v="714.03"/>
    <n v="10.84"/>
  </r>
  <r>
    <s v="F001"/>
    <x v="1"/>
    <s v="2023 Q1"/>
    <s v="Scope 1"/>
    <x v="0"/>
    <n v="4550.1099999999997"/>
    <n v="54133"/>
    <n v="8543.68"/>
    <n v="24"/>
    <n v="991.03"/>
    <n v="23.33"/>
  </r>
  <r>
    <s v="F094"/>
    <x v="3"/>
    <s v="2022 Q1"/>
    <s v="Scope 3"/>
    <x v="1"/>
    <n v="3667.99"/>
    <n v="40553"/>
    <n v="4875.2299999999996"/>
    <n v="23.33"/>
    <n v="818.45"/>
    <n v="19.420000000000002"/>
  </r>
  <r>
    <s v="F034"/>
    <x v="4"/>
    <s v="2023 Q2"/>
    <s v="Scope 1"/>
    <x v="2"/>
    <n v="4318.42"/>
    <n v="67213"/>
    <n v="5533.81"/>
    <n v="90.88"/>
    <n v="467.3"/>
    <n v="53.15"/>
  </r>
  <r>
    <s v="F175"/>
    <x v="3"/>
    <s v="2023 Q2"/>
    <s v="Scope 1"/>
    <x v="0"/>
    <n v="3660.75"/>
    <n v="94949"/>
    <n v="9714.76"/>
    <n v="64.900000000000006"/>
    <n v="241.41"/>
    <n v="20.62"/>
  </r>
  <r>
    <s v="F195"/>
    <x v="1"/>
    <s v="2022 Q2"/>
    <s v="Scope 1"/>
    <x v="1"/>
    <n v="1074.46"/>
    <n v="87012"/>
    <n v="7478.13"/>
    <n v="27.22"/>
    <n v="579.80999999999995"/>
    <n v="28.6"/>
  </r>
  <r>
    <s v="F152"/>
    <x v="4"/>
    <s v="2023 Q2"/>
    <s v="Scope 1"/>
    <x v="2"/>
    <n v="4228.88"/>
    <n v="90679"/>
    <n v="7266.82"/>
    <n v="23.3"/>
    <n v="943.59"/>
    <n v="15.81"/>
  </r>
  <r>
    <s v="F124"/>
    <x v="3"/>
    <s v="2023 Q1"/>
    <s v="Scope 1"/>
    <x v="2"/>
    <n v="2827.96"/>
    <n v="37309"/>
    <n v="4508.54"/>
    <n v="47.15"/>
    <n v="951.35"/>
    <n v="47.12"/>
  </r>
  <r>
    <s v="F181"/>
    <x v="3"/>
    <s v="2022 Q1"/>
    <s v="Scope 3"/>
    <x v="0"/>
    <n v="1375.52"/>
    <n v="42485"/>
    <n v="4755.75"/>
    <n v="10.19"/>
    <n v="662.74"/>
    <n v="36.79"/>
  </r>
  <r>
    <s v="F197"/>
    <x v="2"/>
    <s v="2022 Q2"/>
    <s v="Scope 3"/>
    <x v="1"/>
    <n v="3501.6"/>
    <n v="59617"/>
    <n v="5000.95"/>
    <n v="80.36"/>
    <n v="532.27"/>
    <n v="25.24"/>
  </r>
  <r>
    <s v="F166"/>
    <x v="3"/>
    <s v="2023 Q2"/>
    <s v="Scope 3"/>
    <x v="1"/>
    <n v="3492.98"/>
    <n v="96474"/>
    <n v="7574.39"/>
    <n v="95.54"/>
    <n v="886.71"/>
    <n v="24.84"/>
  </r>
  <r>
    <s v="F160"/>
    <x v="4"/>
    <s v="2022 Q2"/>
    <s v="Scope 3"/>
    <x v="2"/>
    <n v="1594.78"/>
    <n v="36423"/>
    <n v="589.96"/>
    <n v="30.9"/>
    <n v="111.84"/>
    <n v="23.26"/>
  </r>
  <r>
    <s v="F100"/>
    <x v="0"/>
    <s v="2022 Q1"/>
    <s v="Scope 3"/>
    <x v="1"/>
    <n v="4328.83"/>
    <n v="90632"/>
    <n v="5292.17"/>
    <n v="78.45"/>
    <n v="571.88"/>
    <n v="20.93"/>
  </r>
  <r>
    <s v="F068"/>
    <x v="0"/>
    <s v="2023 Q1"/>
    <s v="Scope 3"/>
    <x v="0"/>
    <n v="3820.76"/>
    <n v="44825"/>
    <n v="6023.03"/>
    <n v="27.2"/>
    <n v="436.04"/>
    <n v="19.36"/>
  </r>
  <r>
    <s v="F049"/>
    <x v="0"/>
    <s v="2022 Q1"/>
    <s v="Scope 1"/>
    <x v="0"/>
    <n v="2495.33"/>
    <n v="65666"/>
    <n v="7269.98"/>
    <n v="75.62"/>
    <s v=""/>
    <s v=""/>
  </r>
  <r>
    <s v="F051"/>
    <x v="4"/>
    <s v="2023 Q2"/>
    <s v="Scope 2"/>
    <x v="0"/>
    <n v="286.39"/>
    <n v="56752"/>
    <n v="4177.68"/>
    <n v="10.96"/>
    <n v="694.92"/>
    <n v="9.8699999999999992"/>
  </r>
  <r>
    <s v="F056"/>
    <x v="4"/>
    <s v="2023 Q1"/>
    <s v="Scope 1"/>
    <x v="0"/>
    <n v="1994.05"/>
    <n v="99026"/>
    <n v="5453.2"/>
    <n v="57.49"/>
    <n v="231.68"/>
    <n v="24.26"/>
  </r>
  <r>
    <s v="F141"/>
    <x v="1"/>
    <s v="2022 Q2"/>
    <s v="Scope 1"/>
    <x v="0"/>
    <n v="2165.4299999999998"/>
    <n v="58622"/>
    <n v="7795.36"/>
    <n v="59.81"/>
    <n v="807.86"/>
    <n v="32.130000000000003"/>
  </r>
  <r>
    <s v="F107"/>
    <x v="2"/>
    <s v="2023 Q2"/>
    <s v="Scope 2"/>
    <x v="1"/>
    <n v="4197.01"/>
    <n v="43512"/>
    <n v="5352.18"/>
    <n v="6.17"/>
    <n v="311.36"/>
    <n v="28.72"/>
  </r>
  <r>
    <s v="F191"/>
    <x v="0"/>
    <s v="2023 Q1"/>
    <s v="Scope 3"/>
    <x v="0"/>
    <n v="1921.28"/>
    <n v="86557"/>
    <n v="8631.2800000000007"/>
    <n v="69.53"/>
    <s v=""/>
    <s v=""/>
  </r>
  <r>
    <s v="F161"/>
    <x v="2"/>
    <s v="2022 Q2"/>
    <s v="Scope 2"/>
    <x v="2"/>
    <n v="3491.72"/>
    <n v="36171"/>
    <n v="6864.38"/>
    <n v="37.03"/>
    <n v="181.54"/>
    <n v="55.69"/>
  </r>
  <r>
    <s v="F044"/>
    <x v="1"/>
    <s v="2023 Q1"/>
    <s v="Scope 3"/>
    <x v="0"/>
    <n v="2500.0700000000002"/>
    <n v="93661"/>
    <n v="7324.58"/>
    <n v="23.55"/>
    <n v="390.06"/>
    <n v="23.14"/>
  </r>
  <r>
    <s v="F189"/>
    <x v="0"/>
    <s v="2022 Q2"/>
    <s v="Scope 2"/>
    <x v="0"/>
    <n v="818.77"/>
    <n v="67820"/>
    <n v="8177.95"/>
    <n v="40.69"/>
    <n v="790.74"/>
    <n v="15.94"/>
  </r>
  <r>
    <s v="F035"/>
    <x v="4"/>
    <s v="2022 Q1"/>
    <s v="Scope 2"/>
    <x v="1"/>
    <n v="316.76"/>
    <n v="24913"/>
    <n v="5727.27"/>
    <n v="78.849999999999994"/>
    <s v=""/>
    <s v=""/>
  </r>
  <r>
    <s v="F067"/>
    <x v="1"/>
    <s v="2022 Q2"/>
    <s v="Scope 2"/>
    <x v="1"/>
    <n v="2524.56"/>
    <n v="28400"/>
    <n v="3056.67"/>
    <n v="52.68"/>
    <n v="571.88"/>
    <n v="8.6199999999999992"/>
  </r>
  <r>
    <s v="F146"/>
    <x v="2"/>
    <s v="2023 Q1"/>
    <s v="Scope 3"/>
    <x v="1"/>
    <n v="1374.22"/>
    <n v="99115"/>
    <n v="827.26"/>
    <n v="28.88"/>
    <n v="818.45"/>
    <n v="27.59"/>
  </r>
  <r>
    <s v="F157"/>
    <x v="0"/>
    <s v="2022 Q2"/>
    <s v="Scope 2"/>
    <x v="0"/>
    <n v="3494.63"/>
    <n v="15788"/>
    <n v="1824.14"/>
    <n v="52.78"/>
    <n v="571.88"/>
    <n v="8.17"/>
  </r>
  <r>
    <s v="F015"/>
    <x v="4"/>
    <s v="2022 Q2"/>
    <s v="Scope 3"/>
    <x v="2"/>
    <n v="1436.94"/>
    <n v="80488"/>
    <n v="7629.95"/>
    <n v="63.83"/>
    <n v="847.51"/>
    <n v="9.9"/>
  </r>
  <r>
    <s v="F188"/>
    <x v="3"/>
    <s v="2022 Q2"/>
    <s v="Scope 2"/>
    <x v="0"/>
    <n v="1993.57"/>
    <n v="80824"/>
    <n v="2858.92"/>
    <n v="13.97"/>
    <n v="638.89"/>
    <n v="21.98"/>
  </r>
  <r>
    <s v="F027"/>
    <x v="4"/>
    <s v="2022 Q1"/>
    <s v="Scope 1"/>
    <x v="1"/>
    <n v="2563.0100000000002"/>
    <n v="51800"/>
    <n v="3042.95"/>
    <n v="71.87"/>
    <n v="714.03"/>
    <n v="10.84"/>
  </r>
  <r>
    <s v="F145"/>
    <x v="4"/>
    <s v="2022 Q2"/>
    <s v="Scope 2"/>
    <x v="0"/>
    <n v="3772.31"/>
    <n v="68492"/>
    <n v="3533.88"/>
    <n v="52.99"/>
    <n v="847.51"/>
    <n v="7.14"/>
  </r>
  <r>
    <s v="F051"/>
    <x v="4"/>
    <s v="2022 Q1"/>
    <s v="Scope 2"/>
    <x v="1"/>
    <n v="1624.65"/>
    <n v="56752"/>
    <n v="4177.68"/>
    <n v="10.96"/>
    <n v="694.92"/>
    <n v="9.8699999999999992"/>
  </r>
  <r>
    <s v="F138"/>
    <x v="0"/>
    <s v="2022 Q2"/>
    <s v="Scope 2"/>
    <x v="0"/>
    <n v="4535.0200000000004"/>
    <n v="94393"/>
    <n v="6691.7"/>
    <n v="74.790000000000006"/>
    <n v="867.66"/>
    <n v="32.97"/>
  </r>
  <r>
    <s v="F004"/>
    <x v="0"/>
    <s v="2022 Q2"/>
    <s v="Scope 3"/>
    <x v="2"/>
    <n v="3532.27"/>
    <n v="83923"/>
    <n v="8768.7999999999993"/>
    <n v="65.290000000000006"/>
    <n v="579.80999999999995"/>
    <n v="34.93"/>
  </r>
  <r>
    <s v="F096"/>
    <x v="0"/>
    <s v="2022 Q2"/>
    <s v="Scope 1"/>
    <x v="1"/>
    <n v="2581.0300000000002"/>
    <n v="21388"/>
    <n v="5249.39"/>
    <n v="64.2"/>
    <n v="571.66"/>
    <n v="17.87"/>
  </r>
  <r>
    <s v="F020"/>
    <x v="2"/>
    <s v="2023 Q1"/>
    <s v="Scope 3"/>
    <x v="1"/>
    <n v="4518.38"/>
    <n v="95165"/>
    <n v="8562.76"/>
    <n v="37.54"/>
    <n v="479.41"/>
    <n v="13.64"/>
  </r>
  <r>
    <s v="F055"/>
    <x v="2"/>
    <s v="2022 Q2"/>
    <s v="Scope 2"/>
    <x v="2"/>
    <n v="4506.08"/>
    <n v="41050"/>
    <n v="6025.84"/>
    <n v="53.53"/>
    <n v="289.77"/>
    <n v="19.260000000000002"/>
  </r>
  <r>
    <s v="F113"/>
    <x v="3"/>
    <s v="2022 Q1"/>
    <s v="Scope 3"/>
    <x v="1"/>
    <n v="3055.51"/>
    <n v="69636"/>
    <n v="4246.55"/>
    <n v="69.290000000000006"/>
    <n v="362.43"/>
    <n v="54.81"/>
  </r>
  <r>
    <s v="F063"/>
    <x v="4"/>
    <s v="2022 Q1"/>
    <s v="Scope 1"/>
    <x v="1"/>
    <n v="1376.96"/>
    <n v="45519"/>
    <n v="7987.69"/>
    <n v="10.86"/>
    <n v="638.89"/>
    <n v="35.04"/>
  </r>
  <r>
    <s v="F054"/>
    <x v="3"/>
    <s v="2022 Q1"/>
    <s v="Scope 3"/>
    <x v="1"/>
    <n v="3798.95"/>
    <n v="38869"/>
    <n v="5109.76"/>
    <n v="35.270000000000003"/>
    <n v="986.62"/>
    <n v="40.86"/>
  </r>
  <r>
    <s v="F033"/>
    <x v="0"/>
    <s v="2022 Q1"/>
    <s v="Scope 2"/>
    <x v="1"/>
    <n v="1881.41"/>
    <n v="47727"/>
    <n v="8907.33"/>
    <n v="47.4"/>
    <n v="344.93"/>
    <n v="43.18"/>
  </r>
  <r>
    <s v="F145"/>
    <x v="4"/>
    <s v="2023 Q1"/>
    <s v="Scope 1"/>
    <x v="2"/>
    <n v="1308.54"/>
    <n v="68492"/>
    <n v="3533.88"/>
    <n v="52.99"/>
    <n v="847.51"/>
    <n v="7.14"/>
  </r>
  <r>
    <s v="F056"/>
    <x v="4"/>
    <s v="2022 Q2"/>
    <s v="Scope 2"/>
    <x v="1"/>
    <n v="706.73"/>
    <n v="99026"/>
    <n v="5453.2"/>
    <n v="57.49"/>
    <n v="231.68"/>
    <n v="24.26"/>
  </r>
  <r>
    <s v="F051"/>
    <x v="4"/>
    <s v="2023 Q2"/>
    <s v="Scope 3"/>
    <x v="2"/>
    <n v="3595.4"/>
    <n v="56752"/>
    <n v="4177.68"/>
    <n v="10.96"/>
    <n v="694.92"/>
    <n v="9.8699999999999992"/>
  </r>
  <r>
    <s v="F167"/>
    <x v="2"/>
    <s v="2023 Q2"/>
    <s v="Scope 1"/>
    <x v="0"/>
    <n v="1990.59"/>
    <n v="94128"/>
    <n v="8117.82"/>
    <n v="73.83"/>
    <n v="532.27"/>
    <n v="31.74"/>
  </r>
  <r>
    <s v="F112"/>
    <x v="4"/>
    <s v="2022 Q1"/>
    <s v="Scope 3"/>
    <x v="2"/>
    <n v="4212.5"/>
    <n v="88188"/>
    <n v="815.86"/>
    <n v="57.53"/>
    <n v="557.72"/>
    <n v="37.25"/>
  </r>
  <r>
    <s v="F030"/>
    <x v="0"/>
    <s v="2022 Q1"/>
    <s v="Scope 3"/>
    <x v="1"/>
    <n v="2388.2399999999998"/>
    <n v="49924"/>
    <n v="2199.16"/>
    <n v="75.48"/>
    <n v="432.23"/>
    <n v="13.54"/>
  </r>
  <r>
    <s v="F181"/>
    <x v="3"/>
    <s v="2023 Q1"/>
    <s v="Scope 3"/>
    <x v="2"/>
    <n v="318.92"/>
    <n v="42485"/>
    <n v="4755.75"/>
    <n v="10.19"/>
    <n v="662.74"/>
    <n v="36.79"/>
  </r>
  <r>
    <s v="F107"/>
    <x v="2"/>
    <s v="2022 Q2"/>
    <s v="Scope 1"/>
    <x v="0"/>
    <n v="365.96"/>
    <n v="43512"/>
    <n v="5352.18"/>
    <n v="6.17"/>
    <n v="311.36"/>
    <n v="28.72"/>
  </r>
  <r>
    <s v="F105"/>
    <x v="0"/>
    <s v="2023 Q1"/>
    <s v="Scope 2"/>
    <x v="0"/>
    <n v="1353.72"/>
    <n v="27028"/>
    <n v="4617.92"/>
    <n v="57.62"/>
    <n v="780.4"/>
    <n v="24.87"/>
  </r>
  <r>
    <s v="F141"/>
    <x v="1"/>
    <s v="2023 Q1"/>
    <s v="Scope 1"/>
    <x v="2"/>
    <n v="3026.73"/>
    <n v="58622"/>
    <n v="7795.36"/>
    <n v="59.81"/>
    <n v="807.86"/>
    <n v="32.130000000000003"/>
  </r>
  <r>
    <s v="F138"/>
    <x v="0"/>
    <s v="2022 Q2"/>
    <s v="Scope 1"/>
    <x v="0"/>
    <n v="4344.96"/>
    <n v="94393"/>
    <n v="6691.7"/>
    <n v="74.790000000000006"/>
    <n v="867.66"/>
    <n v="32.97"/>
  </r>
  <r>
    <s v="F027"/>
    <x v="4"/>
    <s v="2022 Q1"/>
    <s v="Scope 3"/>
    <x v="0"/>
    <n v="2412.9"/>
    <n v="51800"/>
    <n v="3042.95"/>
    <n v="71.87"/>
    <n v="714.03"/>
    <n v="10.84"/>
  </r>
  <r>
    <s v="F064"/>
    <x v="1"/>
    <s v="2022 Q2"/>
    <s v="Scope 2"/>
    <x v="2"/>
    <n v="4239.84"/>
    <n v="70481"/>
    <n v="4452.83"/>
    <n v="91.26"/>
    <s v=""/>
    <s v=""/>
  </r>
  <r>
    <s v="F157"/>
    <x v="0"/>
    <s v="2022 Q2"/>
    <s v="Scope 3"/>
    <x v="1"/>
    <n v="3759.01"/>
    <n v="15788"/>
    <n v="1824.14"/>
    <n v="52.78"/>
    <n v="571.88"/>
    <n v="8.17"/>
  </r>
  <r>
    <s v="F062"/>
    <x v="2"/>
    <s v="2023 Q2"/>
    <s v="Scope 1"/>
    <x v="0"/>
    <n v="3558.82"/>
    <n v="19265"/>
    <n v="776.6"/>
    <n v="39.75"/>
    <n v="289.77"/>
    <n v="37.270000000000003"/>
  </r>
  <r>
    <s v="F083"/>
    <x v="2"/>
    <s v="2022 Q2"/>
    <s v="Scope 2"/>
    <x v="1"/>
    <n v="2610.12"/>
    <n v="94704"/>
    <n v="6632.95"/>
    <n v="14.76"/>
    <n v="459.56"/>
    <n v="7.54"/>
  </r>
  <r>
    <s v="F011"/>
    <x v="4"/>
    <s v="2023 Q1"/>
    <s v="Scope 2"/>
    <x v="0"/>
    <n v="2651.33"/>
    <n v="72846"/>
    <n v="5169.53"/>
    <n v="76.709999999999994"/>
    <s v=""/>
    <s v=""/>
  </r>
  <r>
    <s v="F071"/>
    <x v="4"/>
    <s v="2023 Q2"/>
    <s v="Scope 2"/>
    <x v="2"/>
    <n v="1018.53"/>
    <n v="26378"/>
    <n v="2915.44"/>
    <n v="29.84"/>
    <n v="311.36"/>
    <n v="26.09"/>
  </r>
  <r>
    <s v="F064"/>
    <x v="1"/>
    <s v="2023 Q2"/>
    <s v="Scope 3"/>
    <x v="1"/>
    <n v="503.93"/>
    <n v="70481"/>
    <n v="4452.83"/>
    <n v="91.26"/>
    <s v=""/>
    <s v=""/>
  </r>
  <r>
    <s v="F120"/>
    <x v="4"/>
    <s v="2022 Q2"/>
    <s v="Scope 3"/>
    <x v="0"/>
    <n v="3013.45"/>
    <n v="57215"/>
    <n v="3227.1"/>
    <n v="32.909999999999997"/>
    <n v="951.35"/>
    <n v="33.299999999999997"/>
  </r>
  <r>
    <s v="F044"/>
    <x v="1"/>
    <s v="2022 Q2"/>
    <s v="Scope 2"/>
    <x v="0"/>
    <n v="1639.95"/>
    <n v="93661"/>
    <n v="7324.58"/>
    <n v="23.55"/>
    <n v="390.06"/>
    <n v="23.14"/>
  </r>
  <r>
    <s v="F053"/>
    <x v="0"/>
    <s v="2023 Q2"/>
    <s v="Scope 1"/>
    <x v="2"/>
    <n v="4092.48"/>
    <n v="56392"/>
    <n v="5703.76"/>
    <n v="23.04"/>
    <n v="991.03"/>
    <n v="27.62"/>
  </r>
  <r>
    <s v="F035"/>
    <x v="4"/>
    <s v="2022 Q2"/>
    <s v="Scope 1"/>
    <x v="1"/>
    <n v="730.62"/>
    <n v="24913"/>
    <n v="5727.27"/>
    <n v="78.849999999999994"/>
    <s v=""/>
    <s v=""/>
  </r>
  <r>
    <s v="F143"/>
    <x v="1"/>
    <s v="2022 Q1"/>
    <s v="Scope 3"/>
    <x v="2"/>
    <n v="5247.89"/>
    <n v="29406"/>
    <n v="5281.69"/>
    <n v="27.01"/>
    <n v="231.68"/>
    <n v="13.88"/>
  </r>
  <r>
    <s v="F129"/>
    <x v="1"/>
    <s v="2023 Q1"/>
    <s v="Scope 1"/>
    <x v="2"/>
    <n v="2947.53"/>
    <n v="58439"/>
    <n v="5817.93"/>
    <n v="63.77"/>
    <n v="143.16999999999999"/>
    <n v="52.46"/>
  </r>
  <r>
    <s v="F072"/>
    <x v="2"/>
    <s v="2022 Q1"/>
    <s v="Scope 2"/>
    <x v="2"/>
    <n v="571.92999999999995"/>
    <n v="95292"/>
    <n v="697.47"/>
    <n v="88.35"/>
    <n v="114.57"/>
    <n v="36.04"/>
  </r>
  <r>
    <s v="F031"/>
    <x v="3"/>
    <s v="2022 Q1"/>
    <s v="Scope 3"/>
    <x v="1"/>
    <n v="4065.74"/>
    <n v="86263"/>
    <n v="3213.71"/>
    <n v="98.39"/>
    <n v="662.74"/>
    <n v="20.66"/>
  </r>
  <r>
    <s v="F139"/>
    <x v="0"/>
    <s v="2022 Q1"/>
    <s v="Scope 3"/>
    <x v="0"/>
    <n v="1983.3"/>
    <n v="80904"/>
    <n v="3263.09"/>
    <n v="58.37"/>
    <n v="756.78"/>
    <n v="35.950000000000003"/>
  </r>
  <r>
    <s v="F047"/>
    <x v="0"/>
    <s v="2023 Q1"/>
    <s v="Scope 1"/>
    <x v="2"/>
    <n v="3226.08"/>
    <n v="39568"/>
    <n v="3580.54"/>
    <n v="78.08"/>
    <n v="635.72"/>
    <n v="67.36"/>
  </r>
  <r>
    <s v="F027"/>
    <x v="4"/>
    <s v="2022 Q1"/>
    <s v="Scope 3"/>
    <x v="1"/>
    <n v="885.44"/>
    <n v="51800"/>
    <n v="3042.95"/>
    <n v="71.87"/>
    <n v="714.03"/>
    <n v="10.84"/>
  </r>
  <r>
    <s v="F029"/>
    <x v="4"/>
    <s v="2022 Q2"/>
    <s v="Scope 1"/>
    <x v="1"/>
    <n v="3998.24"/>
    <n v="12262"/>
    <n v="7106.18"/>
    <n v="45.69"/>
    <n v="459.56"/>
    <n v="29.71"/>
  </r>
  <r>
    <s v="F113"/>
    <x v="3"/>
    <s v="2023 Q2"/>
    <s v="Scope 1"/>
    <x v="1"/>
    <n v="2639.81"/>
    <n v="69636"/>
    <n v="4246.55"/>
    <n v="69.290000000000006"/>
    <n v="362.43"/>
    <n v="54.81"/>
  </r>
  <r>
    <s v="F187"/>
    <x v="2"/>
    <s v="2023 Q1"/>
    <s v="Scope 1"/>
    <x v="0"/>
    <n v="2835.04"/>
    <n v="77317"/>
    <n v="4862.95"/>
    <n v="89.78"/>
    <n v="960.4"/>
    <n v="31.34"/>
  </r>
  <r>
    <s v="F158"/>
    <x v="3"/>
    <s v="2023 Q2"/>
    <s v="Scope 1"/>
    <x v="0"/>
    <n v="2182.6999999999998"/>
    <n v="61157"/>
    <n v="7331.54"/>
    <n v="55.52"/>
    <n v="783.77"/>
    <n v="31.59"/>
  </r>
  <r>
    <s v="F173"/>
    <x v="1"/>
    <s v="2022 Q2"/>
    <s v="Scope 2"/>
    <x v="0"/>
    <n v="3507.39"/>
    <n v="38181"/>
    <n v="691.84"/>
    <n v="33.53"/>
    <n v="114.57"/>
    <n v="9.9600000000000009"/>
  </r>
  <r>
    <s v="F040"/>
    <x v="0"/>
    <s v="2022 Q2"/>
    <s v="Scope 1"/>
    <x v="2"/>
    <n v="4743.79"/>
    <n v="52357"/>
    <n v="5643.16"/>
    <n v="37.130000000000003"/>
    <n v="932.3"/>
    <n v="13.43"/>
  </r>
  <r>
    <s v="F020"/>
    <x v="2"/>
    <s v="2022 Q2"/>
    <s v="Scope 2"/>
    <x v="0"/>
    <n v="2798.51"/>
    <n v="95165"/>
    <n v="8562.76"/>
    <n v="37.54"/>
    <n v="479.41"/>
    <n v="13.64"/>
  </r>
  <r>
    <s v="F138"/>
    <x v="0"/>
    <s v="2022 Q1"/>
    <s v="Scope 1"/>
    <x v="1"/>
    <n v="2111.5100000000002"/>
    <n v="94393"/>
    <n v="6691.7"/>
    <n v="74.790000000000006"/>
    <n v="867.66"/>
    <n v="32.97"/>
  </r>
  <r>
    <s v="F018"/>
    <x v="4"/>
    <s v="2022 Q1"/>
    <s v="Scope 2"/>
    <x v="1"/>
    <n v="440.45"/>
    <n v="69305"/>
    <n v="3203.67"/>
    <n v="83.65"/>
    <n v="173.67"/>
    <n v="67.040000000000006"/>
  </r>
  <r>
    <s v="F084"/>
    <x v="3"/>
    <s v="2022 Q2"/>
    <s v="Scope 1"/>
    <x v="1"/>
    <n v="2532.06"/>
    <n v="54136"/>
    <n v="2775.38"/>
    <n v="75.459999999999994"/>
    <n v="932.3"/>
    <n v="16.93"/>
  </r>
  <r>
    <s v="F116"/>
    <x v="2"/>
    <s v="2022 Q2"/>
    <s v="Scope 3"/>
    <x v="1"/>
    <n v="3682.33"/>
    <n v="48501"/>
    <n v="7209.77"/>
    <n v="92.51"/>
    <s v=""/>
    <s v=""/>
  </r>
  <r>
    <s v="F003"/>
    <x v="3"/>
    <s v="2023 Q2"/>
    <s v="Scope 2"/>
    <x v="1"/>
    <n v="1546.78"/>
    <n v="27681"/>
    <n v="928.26"/>
    <n v="44.97"/>
    <s v=""/>
    <s v=""/>
  </r>
  <r>
    <s v="F053"/>
    <x v="0"/>
    <s v="2023 Q2"/>
    <s v="Scope 2"/>
    <x v="1"/>
    <n v="2135.9699999999998"/>
    <n v="56392"/>
    <n v="5703.76"/>
    <n v="23.04"/>
    <n v="991.03"/>
    <n v="27.62"/>
  </r>
  <r>
    <s v="F011"/>
    <x v="4"/>
    <s v="2022 Q2"/>
    <s v="Scope 2"/>
    <x v="0"/>
    <n v="1344"/>
    <n v="72846"/>
    <n v="5169.53"/>
    <n v="76.709999999999994"/>
    <s v=""/>
    <s v=""/>
  </r>
  <r>
    <s v="F083"/>
    <x v="2"/>
    <s v="2023 Q2"/>
    <s v="Scope 2"/>
    <x v="0"/>
    <n v="1009.35"/>
    <n v="94704"/>
    <n v="6632.95"/>
    <n v="14.76"/>
    <n v="459.56"/>
    <n v="7.54"/>
  </r>
  <r>
    <s v="F120"/>
    <x v="4"/>
    <s v="2022 Q1"/>
    <s v="Scope 2"/>
    <x v="2"/>
    <n v="1620.64"/>
    <n v="57215"/>
    <n v="3227.1"/>
    <n v="32.909999999999997"/>
    <n v="951.35"/>
    <n v="33.299999999999997"/>
  </r>
  <r>
    <s v="F063"/>
    <x v="4"/>
    <s v="2023 Q1"/>
    <s v="Scope 1"/>
    <x v="0"/>
    <n v="3874.19"/>
    <n v="45519"/>
    <n v="7987.69"/>
    <n v="10.86"/>
    <n v="638.89"/>
    <n v="35.04"/>
  </r>
  <r>
    <s v="F176"/>
    <x v="4"/>
    <s v="2022 Q1"/>
    <s v="Scope 2"/>
    <x v="1"/>
    <n v="3045.93"/>
    <n v="18726"/>
    <n v="5099.54"/>
    <n v="71.05"/>
    <n v="714.03"/>
    <n v="32.29"/>
  </r>
  <r>
    <s v="F074"/>
    <x v="1"/>
    <s v="2022 Q1"/>
    <s v="Scope 2"/>
    <x v="2"/>
    <n v="1476.28"/>
    <n v="25148"/>
    <n v="9604.5499999999993"/>
    <n v="63.47"/>
    <n v="209.33"/>
    <n v="30.01"/>
  </r>
  <r>
    <s v="F199"/>
    <x v="0"/>
    <s v="2023 Q2"/>
    <s v="Scope 3"/>
    <x v="1"/>
    <n v="3862.25"/>
    <n v="89321"/>
    <n v="9836.34"/>
    <n v="16.989999999999998"/>
    <n v="105.67"/>
    <n v="15.41"/>
  </r>
  <r>
    <s v="F116"/>
    <x v="2"/>
    <s v="2022 Q2"/>
    <s v="Scope 1"/>
    <x v="2"/>
    <n v="2517.98"/>
    <n v="48501"/>
    <n v="7209.77"/>
    <n v="92.51"/>
    <s v=""/>
    <s v=""/>
  </r>
  <r>
    <s v="F069"/>
    <x v="4"/>
    <s v="2023 Q2"/>
    <s v="Scope 1"/>
    <x v="0"/>
    <n v="3737.89"/>
    <n v="85488"/>
    <n v="9691.57"/>
    <n v="96.98"/>
    <s v=""/>
    <s v=""/>
  </r>
  <r>
    <s v="F009"/>
    <x v="0"/>
    <s v="2022 Q2"/>
    <s v="Scope 1"/>
    <x v="0"/>
    <n v="1111.82"/>
    <n v="45644"/>
    <n v="7724.73"/>
    <n v="31"/>
    <n v="685.27"/>
    <n v="33.94"/>
  </r>
  <r>
    <s v="F054"/>
    <x v="3"/>
    <s v="2023 Q2"/>
    <s v="Scope 1"/>
    <x v="2"/>
    <n v="4547.9799999999996"/>
    <n v="38869"/>
    <n v="5109.76"/>
    <n v="35.270000000000003"/>
    <n v="986.62"/>
    <n v="40.86"/>
  </r>
  <r>
    <s v="F180"/>
    <x v="2"/>
    <s v="2022 Q2"/>
    <s v="Scope 3"/>
    <x v="2"/>
    <n v="5035.87"/>
    <n v="13302"/>
    <n v="821.51"/>
    <n v="69.599999999999994"/>
    <n v="795.74"/>
    <n v="9.39"/>
  </r>
  <r>
    <s v="F061"/>
    <x v="1"/>
    <s v="2022 Q1"/>
    <s v="Scope 1"/>
    <x v="1"/>
    <n v="666.62"/>
    <n v="21386"/>
    <n v="2271.92"/>
    <n v="49.67"/>
    <s v=""/>
    <s v=""/>
  </r>
  <r>
    <s v="F144"/>
    <x v="2"/>
    <s v="2022 Q1"/>
    <s v="Scope 2"/>
    <x v="2"/>
    <n v="4848.67"/>
    <n v="16868"/>
    <n v="1378.01"/>
    <n v="47.52"/>
    <s v=""/>
    <s v=""/>
  </r>
  <r>
    <s v="F098"/>
    <x v="4"/>
    <s v="2022 Q2"/>
    <s v="Scope 2"/>
    <x v="2"/>
    <n v="965.26"/>
    <n v="28704"/>
    <n v="6009.24"/>
    <n v="39.31"/>
    <n v="479.41"/>
    <n v="19.7"/>
  </r>
  <r>
    <s v="F031"/>
    <x v="3"/>
    <s v="2023 Q1"/>
    <s v="Scope 3"/>
    <x v="2"/>
    <n v="3352.88"/>
    <n v="86263"/>
    <n v="3213.71"/>
    <n v="98.39"/>
    <n v="662.74"/>
    <n v="20.66"/>
  </r>
  <r>
    <s v="F163"/>
    <x v="1"/>
    <s v="2023 Q2"/>
    <s v="Scope 3"/>
    <x v="2"/>
    <n v="3960.69"/>
    <n v="97040"/>
    <n v="5727.14"/>
    <n v="38.19"/>
    <n v="714.03"/>
    <n v="19.98"/>
  </r>
  <r>
    <s v="F035"/>
    <x v="4"/>
    <s v="2022 Q1"/>
    <s v="Scope 2"/>
    <x v="2"/>
    <n v="4162.58"/>
    <n v="24913"/>
    <n v="5727.27"/>
    <n v="78.849999999999994"/>
    <s v=""/>
    <s v=""/>
  </r>
  <r>
    <s v="F183"/>
    <x v="3"/>
    <s v="2022 Q2"/>
    <s v="Scope 2"/>
    <x v="2"/>
    <n v="3555.25"/>
    <n v="29860"/>
    <n v="3956.23"/>
    <n v="57.5"/>
    <n v="432.23"/>
    <n v="17.78"/>
  </r>
  <r>
    <s v="F173"/>
    <x v="1"/>
    <s v="2023 Q1"/>
    <s v="Scope 3"/>
    <x v="2"/>
    <n v="4585.8900000000003"/>
    <n v="38181"/>
    <n v="691.84"/>
    <n v="33.53"/>
    <n v="114.57"/>
    <n v="9.9600000000000009"/>
  </r>
  <r>
    <s v="F128"/>
    <x v="2"/>
    <s v="2022 Q1"/>
    <s v="Scope 3"/>
    <x v="2"/>
    <n v="875.53"/>
    <n v="68216"/>
    <n v="9562.33"/>
    <n v="63.59"/>
    <n v="830.73"/>
    <n v="46.68"/>
  </r>
  <r>
    <s v="F123"/>
    <x v="1"/>
    <s v="2022 Q1"/>
    <s v="Scope 3"/>
    <x v="2"/>
    <n v="3686.68"/>
    <n v="58113"/>
    <n v="6382.12"/>
    <n v="56.66"/>
    <n v="431.16"/>
    <n v="48.25"/>
  </r>
  <r>
    <s v="F122"/>
    <x v="4"/>
    <s v="2022 Q1"/>
    <s v="Scope 1"/>
    <x v="2"/>
    <n v="2899.46"/>
    <n v="49620"/>
    <n v="2424.31"/>
    <n v="62.09"/>
    <n v="184.92"/>
    <n v="19.55"/>
  </r>
  <r>
    <s v="F025"/>
    <x v="4"/>
    <s v="2023 Q2"/>
    <s v="Scope 2"/>
    <x v="1"/>
    <n v="429.01"/>
    <n v="32131"/>
    <n v="1474.23"/>
    <n v="45.47"/>
    <n v="830.73"/>
    <n v="17.97"/>
  </r>
  <r>
    <s v="F128"/>
    <x v="2"/>
    <s v="2022 Q2"/>
    <s v="Scope 3"/>
    <x v="0"/>
    <n v="1770.19"/>
    <n v="68216"/>
    <n v="9562.33"/>
    <n v="63.59"/>
    <n v="830.73"/>
    <n v="46.68"/>
  </r>
  <r>
    <s v="F019"/>
    <x v="0"/>
    <s v="2023 Q2"/>
    <s v="Scope 2"/>
    <x v="1"/>
    <n v="2143.0300000000002"/>
    <n v="68018"/>
    <n v="3523.4"/>
    <n v="92.26"/>
    <n v="111.84"/>
    <n v="15.85"/>
  </r>
  <r>
    <s v="F166"/>
    <x v="3"/>
    <s v="2022 Q1"/>
    <s v="Scope 1"/>
    <x v="1"/>
    <n v="81.83"/>
    <n v="96474"/>
    <n v="7574.39"/>
    <n v="95.54"/>
    <n v="886.71"/>
    <n v="24.84"/>
  </r>
  <r>
    <s v="F116"/>
    <x v="2"/>
    <s v="2023 Q2"/>
    <s v="Scope 3"/>
    <x v="2"/>
    <n v="2577.6"/>
    <n v="48501"/>
    <n v="7209.77"/>
    <n v="92.51"/>
    <s v=""/>
    <s v=""/>
  </r>
  <r>
    <s v="F074"/>
    <x v="1"/>
    <s v="2022 Q1"/>
    <s v="Scope 3"/>
    <x v="1"/>
    <n v="5027.8599999999997"/>
    <n v="25148"/>
    <n v="9604.5499999999993"/>
    <n v="63.47"/>
    <n v="209.33"/>
    <n v="30.01"/>
  </r>
  <r>
    <s v="F148"/>
    <x v="1"/>
    <s v="2023 Q2"/>
    <s v="Scope 2"/>
    <x v="1"/>
    <n v="3269.61"/>
    <n v="47491"/>
    <n v="5781.05"/>
    <n v="92.18"/>
    <n v="344.93"/>
    <n v="36.229999999999997"/>
  </r>
  <r>
    <s v="F123"/>
    <x v="1"/>
    <s v="2022 Q2"/>
    <s v="Scope 3"/>
    <x v="0"/>
    <n v="3769.66"/>
    <n v="58113"/>
    <n v="6382.12"/>
    <n v="56.66"/>
    <n v="431.16"/>
    <n v="48.25"/>
  </r>
  <r>
    <s v="F011"/>
    <x v="4"/>
    <s v="2023 Q2"/>
    <s v="Scope 1"/>
    <x v="0"/>
    <n v="3970.3"/>
    <n v="72846"/>
    <n v="5169.53"/>
    <n v="76.709999999999994"/>
    <s v=""/>
    <s v=""/>
  </r>
  <r>
    <s v="F167"/>
    <x v="2"/>
    <s v="2023 Q2"/>
    <s v="Scope 1"/>
    <x v="0"/>
    <n v="2665.16"/>
    <n v="94128"/>
    <n v="8117.82"/>
    <n v="73.83"/>
    <n v="532.27"/>
    <n v="31.74"/>
  </r>
  <r>
    <s v="F200"/>
    <x v="1"/>
    <s v="2023 Q2"/>
    <s v="Scope 1"/>
    <x v="2"/>
    <n v="374.88"/>
    <n v="21081"/>
    <n v="9001.77"/>
    <n v="49.27"/>
    <n v="114.57"/>
    <n v="44.17"/>
  </r>
  <r>
    <s v="F165"/>
    <x v="4"/>
    <s v="2022 Q2"/>
    <s v="Scope 3"/>
    <x v="0"/>
    <n v="1106.08"/>
    <n v="79330"/>
    <n v="6075.23"/>
    <n v="83.97"/>
    <n v="209.33"/>
    <n v="13.62"/>
  </r>
  <r>
    <s v="F146"/>
    <x v="2"/>
    <s v="2022 Q1"/>
    <s v="Scope 3"/>
    <x v="1"/>
    <n v="2876.48"/>
    <n v="99115"/>
    <n v="827.26"/>
    <n v="28.88"/>
    <n v="818.45"/>
    <n v="27.59"/>
  </r>
  <r>
    <s v="F190"/>
    <x v="0"/>
    <s v="2023 Q1"/>
    <s v="Scope 1"/>
    <x v="2"/>
    <n v="4394.3599999999997"/>
    <n v="70582"/>
    <n v="7517.59"/>
    <n v="95.71"/>
    <s v=""/>
    <s v=""/>
  </r>
  <r>
    <s v="F136"/>
    <x v="1"/>
    <s v="2023 Q1"/>
    <s v="Scope 2"/>
    <x v="0"/>
    <n v="3682.56"/>
    <n v="43346"/>
    <n v="5559.12"/>
    <n v="39.4"/>
    <n v="571.88"/>
    <n v="32.18"/>
  </r>
  <r>
    <s v="F138"/>
    <x v="0"/>
    <s v="2023 Q2"/>
    <s v="Scope 1"/>
    <x v="2"/>
    <n v="2576.87"/>
    <n v="94393"/>
    <n v="6691.7"/>
    <n v="74.790000000000006"/>
    <n v="867.66"/>
    <n v="32.97"/>
  </r>
  <r>
    <s v="F188"/>
    <x v="3"/>
    <s v="2023 Q2"/>
    <s v="Scope 1"/>
    <x v="1"/>
    <n v="4625.6000000000004"/>
    <n v="80824"/>
    <n v="2858.92"/>
    <n v="13.97"/>
    <n v="638.89"/>
    <n v="21.98"/>
  </r>
  <r>
    <s v="F157"/>
    <x v="0"/>
    <s v="2023 Q2"/>
    <s v="Scope 1"/>
    <x v="2"/>
    <n v="3554.21"/>
    <n v="15788"/>
    <n v="1824.14"/>
    <n v="52.78"/>
    <n v="571.88"/>
    <n v="8.17"/>
  </r>
  <r>
    <s v="F040"/>
    <x v="0"/>
    <s v="2023 Q1"/>
    <s v="Scope 1"/>
    <x v="2"/>
    <n v="2525.88"/>
    <n v="52357"/>
    <n v="5643.16"/>
    <n v="37.130000000000003"/>
    <n v="932.3"/>
    <n v="13.43"/>
  </r>
  <r>
    <s v="F197"/>
    <x v="2"/>
    <s v="2022 Q1"/>
    <s v="Scope 3"/>
    <x v="1"/>
    <n v="2134.8000000000002"/>
    <n v="59617"/>
    <n v="5000.95"/>
    <n v="80.36"/>
    <n v="532.27"/>
    <n v="25.24"/>
  </r>
  <r>
    <s v="F126"/>
    <x v="2"/>
    <s v="2023 Q1"/>
    <s v="Scope 2"/>
    <x v="0"/>
    <n v="798.55"/>
    <n v="75508"/>
    <n v="6856.22"/>
    <n v="18.2"/>
    <n v="991.03"/>
    <n v="13.32"/>
  </r>
  <r>
    <s v="F146"/>
    <x v="2"/>
    <s v="2022 Q1"/>
    <s v="Scope 2"/>
    <x v="2"/>
    <n v="4426.58"/>
    <n v="99115"/>
    <n v="827.26"/>
    <n v="28.88"/>
    <n v="818.45"/>
    <n v="27.59"/>
  </r>
  <r>
    <s v="F196"/>
    <x v="4"/>
    <s v="2023 Q1"/>
    <s v="Scope 1"/>
    <x v="1"/>
    <n v="2921.55"/>
    <n v="85444"/>
    <n v="852.57"/>
    <n v="72.650000000000006"/>
    <n v="319.93"/>
    <n v="34.35"/>
  </r>
  <r>
    <s v="F111"/>
    <x v="3"/>
    <s v="2023 Q1"/>
    <s v="Scope 1"/>
    <x v="2"/>
    <n v="1534.55"/>
    <n v="10907"/>
    <n v="4748.66"/>
    <n v="39.36"/>
    <n v="986.62"/>
    <n v="17.04"/>
  </r>
  <r>
    <s v="F021"/>
    <x v="1"/>
    <s v="2022 Q2"/>
    <s v="Scope 3"/>
    <x v="1"/>
    <n v="3062.35"/>
    <n v="44657"/>
    <n v="7867.98"/>
    <n v="96.01"/>
    <n v="694.92"/>
    <n v="26.24"/>
  </r>
  <r>
    <s v="F035"/>
    <x v="4"/>
    <s v="2022 Q1"/>
    <s v="Scope 3"/>
    <x v="1"/>
    <n v="1828.37"/>
    <n v="24913"/>
    <n v="5727.27"/>
    <n v="78.849999999999994"/>
    <s v=""/>
    <s v=""/>
  </r>
  <r>
    <s v="F098"/>
    <x v="4"/>
    <s v="2022 Q1"/>
    <s v="Scope 3"/>
    <x v="1"/>
    <n v="2945.04"/>
    <n v="28704"/>
    <n v="6009.24"/>
    <n v="39.31"/>
    <n v="479.41"/>
    <n v="19.7"/>
  </r>
  <r>
    <s v="F025"/>
    <x v="4"/>
    <s v="2023 Q1"/>
    <s v="Scope 2"/>
    <x v="0"/>
    <n v="2905.61"/>
    <n v="32131"/>
    <n v="1474.23"/>
    <n v="45.47"/>
    <n v="830.73"/>
    <n v="17.97"/>
  </r>
  <r>
    <s v="F187"/>
    <x v="2"/>
    <s v="2023 Q2"/>
    <s v="Scope 2"/>
    <x v="2"/>
    <n v="3354.34"/>
    <n v="77317"/>
    <n v="4862.95"/>
    <n v="89.78"/>
    <n v="960.4"/>
    <n v="31.34"/>
  </r>
  <r>
    <s v="F055"/>
    <x v="2"/>
    <s v="2023 Q2"/>
    <s v="Scope 1"/>
    <x v="0"/>
    <n v="4622.8599999999997"/>
    <n v="41050"/>
    <n v="6025.84"/>
    <n v="53.53"/>
    <n v="289.77"/>
    <n v="19.260000000000002"/>
  </r>
  <r>
    <s v="F078"/>
    <x v="0"/>
    <s v="2022 Q2"/>
    <s v="Scope 3"/>
    <x v="2"/>
    <n v="4374"/>
    <n v="78624"/>
    <n v="2373.27"/>
    <n v="25.07"/>
    <s v=""/>
    <s v=""/>
  </r>
  <r>
    <s v="F027"/>
    <x v="4"/>
    <s v="2023 Q1"/>
    <s v="Scope 2"/>
    <x v="0"/>
    <n v="1375.43"/>
    <n v="51800"/>
    <n v="3042.95"/>
    <n v="71.87"/>
    <n v="714.03"/>
    <n v="10.84"/>
  </r>
  <r>
    <s v="F072"/>
    <x v="2"/>
    <s v="2022 Q1"/>
    <s v="Scope 3"/>
    <x v="2"/>
    <n v="4136.82"/>
    <n v="95292"/>
    <n v="697.47"/>
    <n v="88.35"/>
    <n v="114.57"/>
    <n v="36.04"/>
  </r>
  <r>
    <s v="F082"/>
    <x v="0"/>
    <s v="2022 Q2"/>
    <s v="Scope 3"/>
    <x v="0"/>
    <n v="2988.46"/>
    <n v="17468"/>
    <n v="6359.73"/>
    <n v="5.22"/>
    <n v="959.2"/>
    <n v="36.92"/>
  </r>
  <r>
    <s v="F015"/>
    <x v="4"/>
    <s v="2023 Q2"/>
    <s v="Scope 3"/>
    <x v="1"/>
    <n v="724.74"/>
    <n v="80488"/>
    <n v="7629.95"/>
    <n v="63.83"/>
    <n v="847.51"/>
    <n v="9.9"/>
  </r>
  <r>
    <s v="F135"/>
    <x v="3"/>
    <s v="2022 Q1"/>
    <s v="Scope 2"/>
    <x v="1"/>
    <n v="4727.37"/>
    <n v="56531"/>
    <n v="8958.07"/>
    <n v="83.44"/>
    <n v="943.59"/>
    <n v="23.54"/>
  </r>
  <r>
    <s v="F067"/>
    <x v="1"/>
    <s v="2022 Q2"/>
    <s v="Scope 2"/>
    <x v="2"/>
    <n v="78.44"/>
    <n v="28400"/>
    <n v="3056.67"/>
    <n v="52.68"/>
    <n v="571.88"/>
    <n v="8.6199999999999992"/>
  </r>
  <r>
    <s v="F141"/>
    <x v="1"/>
    <s v="2022 Q1"/>
    <s v="Scope 1"/>
    <x v="2"/>
    <n v="4289.21"/>
    <n v="58622"/>
    <n v="7795.36"/>
    <n v="59.81"/>
    <n v="807.86"/>
    <n v="32.130000000000003"/>
  </r>
  <r>
    <s v="F163"/>
    <x v="1"/>
    <s v="2023 Q1"/>
    <s v="Scope 1"/>
    <x v="1"/>
    <n v="1666.98"/>
    <n v="97040"/>
    <n v="5727.14"/>
    <n v="38.19"/>
    <n v="714.03"/>
    <n v="19.98"/>
  </r>
  <r>
    <s v="F194"/>
    <x v="3"/>
    <s v="2022 Q2"/>
    <s v="Scope 1"/>
    <x v="1"/>
    <n v="1277.3399999999999"/>
    <n v="42382"/>
    <n v="5116.6899999999996"/>
    <n v="80.42"/>
    <n v="626.54"/>
    <n v="70.540000000000006"/>
  </r>
  <r>
    <s v="F145"/>
    <x v="4"/>
    <s v="2022 Q2"/>
    <s v="Scope 2"/>
    <x v="2"/>
    <n v="371.36"/>
    <n v="68492"/>
    <n v="3533.88"/>
    <n v="52.99"/>
    <n v="847.51"/>
    <n v="7.14"/>
  </r>
  <r>
    <s v="F083"/>
    <x v="2"/>
    <s v="2022 Q2"/>
    <s v="Scope 3"/>
    <x v="1"/>
    <n v="4247.17"/>
    <n v="94704"/>
    <n v="6632.95"/>
    <n v="14.76"/>
    <n v="459.56"/>
    <n v="7.54"/>
  </r>
  <r>
    <s v="F053"/>
    <x v="0"/>
    <s v="2022 Q2"/>
    <s v="Scope 1"/>
    <x v="1"/>
    <n v="3150.39"/>
    <n v="56392"/>
    <n v="5703.76"/>
    <n v="23.04"/>
    <n v="991.03"/>
    <n v="27.62"/>
  </r>
  <r>
    <s v="F014"/>
    <x v="2"/>
    <s v="2022 Q2"/>
    <s v="Scope 3"/>
    <x v="1"/>
    <n v="3071.44"/>
    <n v="17416"/>
    <n v="812.06"/>
    <n v="5.7"/>
    <n v="568.27"/>
    <n v="18.03"/>
  </r>
  <r>
    <s v="F026"/>
    <x v="2"/>
    <s v="2022 Q2"/>
    <s v="Scope 1"/>
    <x v="1"/>
    <n v="341.64"/>
    <n v="32246"/>
    <n v="7903.93"/>
    <n v="42.12"/>
    <n v="459.56"/>
    <n v="28.62"/>
  </r>
  <r>
    <s v="F045"/>
    <x v="0"/>
    <s v="2022 Q2"/>
    <s v="Scope 2"/>
    <x v="2"/>
    <n v="4075.39"/>
    <n v="34725"/>
    <n v="3269.89"/>
    <n v="78.86"/>
    <n v="436.04"/>
    <n v="31.8"/>
  </r>
  <r>
    <s v="F155"/>
    <x v="2"/>
    <s v="2022 Q1"/>
    <s v="Scope 2"/>
    <x v="2"/>
    <n v="4062.72"/>
    <n v="75736"/>
    <n v="6287.07"/>
    <n v="63.11"/>
    <n v="851.48"/>
    <n v="25.39"/>
  </r>
  <r>
    <s v="F077"/>
    <x v="4"/>
    <s v="2022 Q2"/>
    <s v="Scope 2"/>
    <x v="1"/>
    <n v="3930.54"/>
    <n v="52836"/>
    <n v="9330.2999999999993"/>
    <n v="87.27"/>
    <s v=""/>
    <s v=""/>
  </r>
  <r>
    <s v="F129"/>
    <x v="1"/>
    <s v="2023 Q2"/>
    <s v="Scope 1"/>
    <x v="0"/>
    <n v="1919.26"/>
    <n v="58439"/>
    <n v="5817.93"/>
    <n v="63.77"/>
    <n v="143.16999999999999"/>
    <n v="52.46"/>
  </r>
  <r>
    <s v="F049"/>
    <x v="0"/>
    <s v="2022 Q2"/>
    <s v="Scope 1"/>
    <x v="0"/>
    <n v="3554.23"/>
    <n v="65666"/>
    <n v="7269.98"/>
    <n v="75.62"/>
    <s v=""/>
    <s v=""/>
  </r>
  <r>
    <s v="F102"/>
    <x v="1"/>
    <s v="2022 Q2"/>
    <s v="Scope 3"/>
    <x v="2"/>
    <n v="493.58"/>
    <n v="82377"/>
    <n v="7974.74"/>
    <n v="9.17"/>
    <s v=""/>
    <s v=""/>
  </r>
  <r>
    <s v="F193"/>
    <x v="1"/>
    <s v="2023 Q2"/>
    <s v="Scope 3"/>
    <x v="0"/>
    <n v="2362.16"/>
    <n v="15333"/>
    <n v="2570.54"/>
    <n v="41.07"/>
    <n v="390.06"/>
    <n v="31.43"/>
  </r>
  <r>
    <s v="F058"/>
    <x v="1"/>
    <s v="2022 Q2"/>
    <s v="Scope 1"/>
    <x v="1"/>
    <n v="984.26"/>
    <n v="66398"/>
    <n v="8713.61"/>
    <n v="83.44"/>
    <n v="763.97"/>
    <n v="22.42"/>
  </r>
  <r>
    <s v="F177"/>
    <x v="3"/>
    <s v="2023 Q2"/>
    <s v="Scope 2"/>
    <x v="2"/>
    <n v="2223.0500000000002"/>
    <n v="87482"/>
    <n v="2231.7399999999998"/>
    <n v="45.43"/>
    <n v="638.89"/>
    <n v="24.69"/>
  </r>
  <r>
    <s v="F042"/>
    <x v="1"/>
    <s v="2023 Q1"/>
    <s v="Scope 3"/>
    <x v="2"/>
    <n v="2498.85"/>
    <n v="58111"/>
    <n v="4610.8999999999996"/>
    <n v="21.53"/>
    <n v="268.16000000000003"/>
    <n v="13.78"/>
  </r>
  <r>
    <s v="F158"/>
    <x v="3"/>
    <s v="2022 Q1"/>
    <s v="Scope 3"/>
    <x v="0"/>
    <n v="857.66"/>
    <n v="61157"/>
    <n v="7331.54"/>
    <n v="55.52"/>
    <n v="783.77"/>
    <n v="31.59"/>
  </r>
  <r>
    <s v="F100"/>
    <x v="0"/>
    <s v="2022 Q1"/>
    <s v="Scope 1"/>
    <x v="1"/>
    <n v="2079.4"/>
    <n v="90632"/>
    <n v="5292.17"/>
    <n v="78.45"/>
    <n v="571.88"/>
    <n v="20.93"/>
  </r>
  <r>
    <s v="F057"/>
    <x v="1"/>
    <s v="2022 Q2"/>
    <s v="Scope 2"/>
    <x v="1"/>
    <n v="2644.71"/>
    <n v="40226"/>
    <n v="7868.86"/>
    <n v="80.53"/>
    <n v="231.68"/>
    <n v="15.92"/>
  </r>
  <r>
    <s v="F064"/>
    <x v="1"/>
    <s v="2022 Q1"/>
    <s v="Scope 1"/>
    <x v="1"/>
    <n v="813.42"/>
    <n v="70481"/>
    <n v="4452.83"/>
    <n v="91.26"/>
    <s v=""/>
    <s v=""/>
  </r>
  <r>
    <s v="F186"/>
    <x v="4"/>
    <s v="2023 Q2"/>
    <s v="Scope 3"/>
    <x v="1"/>
    <n v="1500.74"/>
    <n v="61942"/>
    <n v="4891.32"/>
    <n v="91.59"/>
    <n v="785.8"/>
    <n v="8.84"/>
  </r>
  <r>
    <s v="F199"/>
    <x v="0"/>
    <s v="2023 Q1"/>
    <s v="Scope 1"/>
    <x v="2"/>
    <n v="2099.7800000000002"/>
    <n v="89321"/>
    <n v="9836.34"/>
    <n v="16.989999999999998"/>
    <n v="105.67"/>
    <n v="15.41"/>
  </r>
  <r>
    <s v="F053"/>
    <x v="0"/>
    <s v="2022 Q2"/>
    <s v="Scope 3"/>
    <x v="0"/>
    <n v="3573.18"/>
    <n v="56392"/>
    <n v="5703.76"/>
    <n v="23.04"/>
    <n v="991.03"/>
    <n v="27.62"/>
  </r>
  <r>
    <s v="F070"/>
    <x v="2"/>
    <s v="2023 Q2"/>
    <s v="Scope 3"/>
    <x v="1"/>
    <n v="3666.98"/>
    <n v="15128"/>
    <n v="8847.09"/>
    <n v="5.25"/>
    <n v="230.57"/>
    <n v="60.48"/>
  </r>
  <r>
    <s v="F166"/>
    <x v="3"/>
    <s v="2022 Q2"/>
    <s v="Scope 2"/>
    <x v="1"/>
    <n v="4772.12"/>
    <n v="96474"/>
    <n v="7574.39"/>
    <n v="95.54"/>
    <n v="886.71"/>
    <n v="24.84"/>
  </r>
  <r>
    <s v="F073"/>
    <x v="3"/>
    <s v="2023 Q2"/>
    <s v="Scope 3"/>
    <x v="2"/>
    <n v="4691.37"/>
    <n v="26170"/>
    <n v="8057.54"/>
    <n v="63.71"/>
    <s v=""/>
    <s v=""/>
  </r>
  <r>
    <s v="F038"/>
    <x v="4"/>
    <s v="2023 Q2"/>
    <s v="Scope 1"/>
    <x v="1"/>
    <n v="2731.04"/>
    <n v="18341"/>
    <n v="8465.57"/>
    <n v="38.39"/>
    <s v=""/>
    <s v=""/>
  </r>
  <r>
    <s v="F060"/>
    <x v="4"/>
    <s v="2022 Q1"/>
    <s v="Scope 1"/>
    <x v="2"/>
    <n v="3020.79"/>
    <n v="41539"/>
    <n v="982.8"/>
    <n v="79.7"/>
    <n v="851.48"/>
    <n v="13.07"/>
  </r>
  <r>
    <s v="F131"/>
    <x v="4"/>
    <s v="2023 Q1"/>
    <s v="Scope 2"/>
    <x v="2"/>
    <n v="1086.79"/>
    <n v="43294"/>
    <n v="3802.13"/>
    <n v="45.84"/>
    <n v="756.78"/>
    <n v="28.42"/>
  </r>
  <r>
    <s v="F125"/>
    <x v="1"/>
    <s v="2023 Q2"/>
    <s v="Scope 3"/>
    <x v="2"/>
    <n v="5115.13"/>
    <n v="82332"/>
    <n v="7134.86"/>
    <n v="22.44"/>
    <n v="553.44000000000005"/>
    <n v="13.24"/>
  </r>
  <r>
    <s v="F128"/>
    <x v="2"/>
    <s v="2023 Q2"/>
    <s v="Scope 1"/>
    <x v="0"/>
    <n v="2958.7"/>
    <n v="68216"/>
    <n v="9562.33"/>
    <n v="63.59"/>
    <n v="830.73"/>
    <n v="46.68"/>
  </r>
  <r>
    <s v="F071"/>
    <x v="4"/>
    <s v="2023 Q2"/>
    <s v="Scope 3"/>
    <x v="0"/>
    <n v="1571.97"/>
    <n v="26378"/>
    <n v="2915.44"/>
    <n v="29.84"/>
    <n v="311.36"/>
    <n v="26.09"/>
  </r>
  <r>
    <s v="F009"/>
    <x v="0"/>
    <s v="2022 Q2"/>
    <s v="Scope 2"/>
    <x v="1"/>
    <n v="2745.85"/>
    <n v="45644"/>
    <n v="7724.73"/>
    <n v="31"/>
    <n v="685.27"/>
    <n v="33.94"/>
  </r>
  <r>
    <s v="F151"/>
    <x v="2"/>
    <s v="2023 Q2"/>
    <s v="Scope 2"/>
    <x v="2"/>
    <n v="1531"/>
    <n v="81057"/>
    <n v="675.41"/>
    <n v="55.44"/>
    <n v="847.51"/>
    <n v="28.03"/>
  </r>
  <r>
    <s v="F146"/>
    <x v="2"/>
    <s v="2022 Q1"/>
    <s v="Scope 3"/>
    <x v="0"/>
    <n v="4709.8"/>
    <n v="99115"/>
    <n v="827.26"/>
    <n v="28.88"/>
    <n v="818.45"/>
    <n v="27.59"/>
  </r>
  <r>
    <s v="F170"/>
    <x v="2"/>
    <s v="2023 Q1"/>
    <s v="Scope 2"/>
    <x v="2"/>
    <n v="830.08"/>
    <n v="24502"/>
    <n v="7466.86"/>
    <n v="88.83"/>
    <n v="847.51"/>
    <n v="26.48"/>
  </r>
  <r>
    <s v="F058"/>
    <x v="1"/>
    <s v="2022 Q1"/>
    <s v="Scope 2"/>
    <x v="1"/>
    <n v="4453.8999999999996"/>
    <n v="66398"/>
    <n v="8713.61"/>
    <n v="83.44"/>
    <n v="763.97"/>
    <n v="22.42"/>
  </r>
  <r>
    <s v="F181"/>
    <x v="3"/>
    <s v="2022 Q2"/>
    <s v="Scope 2"/>
    <x v="2"/>
    <n v="4791.93"/>
    <n v="42485"/>
    <n v="4755.75"/>
    <n v="10.19"/>
    <n v="662.74"/>
    <n v="36.79"/>
  </r>
  <r>
    <s v="F062"/>
    <x v="2"/>
    <s v="2022 Q2"/>
    <s v="Scope 3"/>
    <x v="0"/>
    <n v="2280.11"/>
    <n v="19265"/>
    <n v="776.6"/>
    <n v="39.75"/>
    <n v="289.77"/>
    <n v="37.270000000000003"/>
  </r>
  <r>
    <s v="F108"/>
    <x v="3"/>
    <s v="2023 Q1"/>
    <s v="Scope 3"/>
    <x v="2"/>
    <n v="4839.8100000000004"/>
    <n v="39050"/>
    <n v="5885.73"/>
    <n v="93.04"/>
    <n v="318.55"/>
    <n v="39.81"/>
  </r>
  <r>
    <s v="F196"/>
    <x v="4"/>
    <s v="2022 Q2"/>
    <s v="Scope 1"/>
    <x v="2"/>
    <n v="506.81"/>
    <n v="85444"/>
    <n v="852.57"/>
    <n v="72.650000000000006"/>
    <n v="319.93"/>
    <n v="34.35"/>
  </r>
  <r>
    <s v="F194"/>
    <x v="3"/>
    <s v="2022 Q2"/>
    <s v="Scope 3"/>
    <x v="1"/>
    <n v="3907.24"/>
    <n v="42382"/>
    <n v="5116.6899999999996"/>
    <n v="80.42"/>
    <n v="626.54"/>
    <n v="70.540000000000006"/>
  </r>
  <r>
    <s v="F180"/>
    <x v="2"/>
    <s v="2022 Q2"/>
    <s v="Scope 3"/>
    <x v="1"/>
    <n v="2483.8200000000002"/>
    <n v="13302"/>
    <n v="821.51"/>
    <n v="69.599999999999994"/>
    <n v="795.74"/>
    <n v="9.39"/>
  </r>
  <r>
    <s v="F116"/>
    <x v="2"/>
    <s v="2023 Q2"/>
    <s v="Scope 2"/>
    <x v="0"/>
    <n v="139.57"/>
    <n v="48501"/>
    <n v="7209.77"/>
    <n v="92.51"/>
    <s v=""/>
    <s v=""/>
  </r>
  <r>
    <s v="F066"/>
    <x v="4"/>
    <s v="2022 Q2"/>
    <s v="Scope 3"/>
    <x v="1"/>
    <n v="2912.66"/>
    <n v="13543"/>
    <n v="7854.96"/>
    <n v="85.57"/>
    <n v="610.79999999999995"/>
    <n v="30.04"/>
  </r>
  <r>
    <s v="F061"/>
    <x v="1"/>
    <s v="2023 Q1"/>
    <s v="Scope 1"/>
    <x v="1"/>
    <n v="479.83"/>
    <n v="21386"/>
    <n v="2271.92"/>
    <n v="49.67"/>
    <s v=""/>
    <s v=""/>
  </r>
  <r>
    <s v="F145"/>
    <x v="4"/>
    <s v="2023 Q1"/>
    <s v="Scope 3"/>
    <x v="1"/>
    <n v="5275.24"/>
    <n v="68492"/>
    <n v="3533.88"/>
    <n v="52.99"/>
    <n v="847.51"/>
    <n v="7.14"/>
  </r>
  <r>
    <s v="F128"/>
    <x v="2"/>
    <s v="2022 Q1"/>
    <s v="Scope 1"/>
    <x v="1"/>
    <n v="3515.66"/>
    <n v="68216"/>
    <n v="9562.33"/>
    <n v="63.59"/>
    <n v="830.73"/>
    <n v="46.68"/>
  </r>
  <r>
    <s v="F064"/>
    <x v="1"/>
    <s v="2023 Q1"/>
    <s v="Scope 3"/>
    <x v="1"/>
    <n v="771.45"/>
    <n v="70481"/>
    <n v="4452.83"/>
    <n v="91.26"/>
    <s v=""/>
    <s v=""/>
  </r>
  <r>
    <s v="F185"/>
    <x v="0"/>
    <s v="2023 Q1"/>
    <s v="Scope 2"/>
    <x v="1"/>
    <n v="705.84"/>
    <n v="68820"/>
    <n v="9612.25"/>
    <n v="83.51"/>
    <n v="867.66"/>
    <n v="18.88"/>
  </r>
  <r>
    <s v="F007"/>
    <x v="4"/>
    <s v="2023 Q2"/>
    <s v="Scope 3"/>
    <x v="0"/>
    <n v="3398.71"/>
    <n v="35506"/>
    <n v="1892.04"/>
    <n v="61.53"/>
    <s v=""/>
    <s v=""/>
  </r>
  <r>
    <s v="F018"/>
    <x v="4"/>
    <s v="2023 Q1"/>
    <s v="Scope 2"/>
    <x v="2"/>
    <n v="2433.04"/>
    <n v="69305"/>
    <n v="3203.67"/>
    <n v="83.65"/>
    <n v="173.67"/>
    <n v="67.04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A4897-2DDE-4696-B6B0-BCB78A67E2D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V3:Z10" firstHeaderRow="1" firstDataRow="2" firstDataCol="1"/>
  <pivotFields count="7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dataField="1" showAll="0"/>
    <pivotField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Emissions (tons)" fld="5" baseField="0" baseItem="0"/>
  </dataFields>
  <formats count="1">
    <format dxfId="4">
      <pivotArea outline="0" collapsedLevelsAreSubtotals="1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FEB8A-4832-4169-8178-4B1A127F351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3:L7" firstHeaderRow="1" firstDataRow="1" firstDataCol="1"/>
  <pivotFields count="7">
    <pivotField showAll="0"/>
    <pivotField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Emissions (tons)" fld="5" baseField="0" baseItem="0"/>
  </dataFields>
  <formats count="2">
    <format dxfId="22">
      <pivotArea outline="0" collapsedLevelsAreSubtotals="1" fieldPosition="0"/>
    </format>
    <format dxfId="6">
      <pivotArea dataOnly="0" labelOnly="1" outline="0" axis="axisValues" fieldPosition="0"/>
    </format>
  </format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0D6FC-8F08-4041-9AF5-E818CC7C2C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I10" firstHeaderRow="1" firstDataRow="2" firstDataCol="1"/>
  <pivotFields count="7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Emissions (tons)" fld="5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F73EC-75E3-4063-8D92-20FBB40079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7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Emissions (tons)" fld="5" baseField="0" baseItem="0" numFmtId="1"/>
  </dataFields>
  <formats count="1">
    <format dxfId="2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43A66-67A4-4040-A985-2EE1A8AC89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Q3:R6" firstHeaderRow="1" firstDataRow="1" firstDataCol="1"/>
  <pivotFields count="7"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Emissions (tons)" fld="5" baseField="0" baseItem="0"/>
  </dataFields>
  <formats count="1">
    <format dxfId="24">
      <pivotArea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D4E8B-F177-473C-93B8-B1EF9C3CCA8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M3:N9" firstHeaderRow="1" firstDataRow="1" firstDataCol="1"/>
  <pivotFields count="11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Estimated Carbon Footprint (tons CO₂e)" fld="9" baseField="1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DD6A3-2BDC-4698-89E6-D3FD963031A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K9" firstHeaderRow="1" firstDataRow="1" firstDataCol="1"/>
  <pivotFields count="11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Energy Consumption (MWh)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D00DE-A8F9-4D6B-BFCC-E6C59CBD3D3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H9" firstHeaderRow="1" firstDataRow="1" firstDataCol="1"/>
  <pivotFields count="11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Production Volume (units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D28F-DDD7-48CC-AD83-FF2E721A381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1" firstDataRow="2" firstDataCol="1"/>
  <pivotFields count="11">
    <pivotField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4"/>
    </i>
    <i>
      <x v="3"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Emissions (tons)" fld="5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2DC675-420A-4AFB-98C4-0BD9C47833C7}" autoFormatId="16" applyNumberFormats="0" applyBorderFormats="0" applyFontFormats="0" applyPatternFormats="0" applyAlignmentFormats="0" applyWidthHeightFormats="0">
  <queryTableRefresh nextId="8">
    <queryTableFields count="7">
      <queryTableField id="1" name="Facility ID" tableColumnId="1"/>
      <queryTableField id="2" name="Facility Name" tableColumnId="2"/>
      <queryTableField id="3" name="Reporting Period" tableColumnId="3"/>
      <queryTableField id="4" name="Scope" tableColumnId="4"/>
      <queryTableField id="5" name="GHG Type" tableColumnId="5"/>
      <queryTableField id="6" name="Emissions (tons)" tableColumnId="6"/>
      <queryTableField id="7" name="Year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2A8F7E-865C-4DEC-A90B-6DCDCA3936C7}" autoFormatId="16" applyNumberFormats="0" applyBorderFormats="0" applyFontFormats="0" applyPatternFormats="0" applyAlignmentFormats="0" applyWidthHeightFormats="0">
  <queryTableRefresh nextId="6">
    <queryTableFields count="5">
      <queryTableField id="1" name="Facility ID" tableColumnId="1"/>
      <queryTableField id="2" name="Facility Name" tableColumnId="2"/>
      <queryTableField id="3" name="Production Volume (units)" tableColumnId="3"/>
      <queryTableField id="4" name="Energy Consumption (MWh)" tableColumnId="4"/>
      <queryTableField id="5" name="Waste (ton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065FD2F-C521-48DE-800F-A969BC7EFEED}" autoFormatId="16" applyNumberFormats="0" applyBorderFormats="0" applyFontFormats="0" applyPatternFormats="0" applyAlignmentFormats="0" applyWidthHeightFormats="0">
  <queryTableRefresh nextId="6">
    <queryTableFields count="4">
      <queryTableField id="3" name="Facility ID" tableColumnId="3"/>
      <queryTableField id="1" name="Supplier ID" tableColumnId="1"/>
      <queryTableField id="2" name="Estimated Carbon Footprint (tons CO₂e)" tableColumnId="2"/>
      <queryTableField id="4" name="Income Distribution (%)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F55894-7224-4626-BD6A-5D04952F1792}" autoFormatId="16" applyNumberFormats="0" applyBorderFormats="0" applyFontFormats="0" applyPatternFormats="0" applyAlignmentFormats="0" applyWidthHeightFormats="0">
  <queryTableRefresh nextId="11" unboundColumnsRight="3">
    <queryTableFields count="9">
      <queryTableField id="1" name="Facility ID" tableColumnId="1"/>
      <queryTableField id="2" name="Facility Name" tableColumnId="2"/>
      <queryTableField id="3" name="Reporting Period" tableColumnId="3"/>
      <queryTableField id="4" name="Scope" tableColumnId="4"/>
      <queryTableField id="5" name="GHG Type" tableColumnId="5"/>
      <queryTableField id="6" name="Emissions (tons)" tableColumnId="6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Year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2EFAF-69DD-4275-AF62-ABAA5C1E023B}" name="Table1" displayName="Table1" ref="A1:F2001" totalsRowShown="0" headerRowDxfId="61" dataDxfId="59" headerRowBorderDxfId="60" tableBorderDxfId="58" totalsRowBorderDxfId="57">
  <autoFilter ref="A1:F2001" xr:uid="{84C2EFAF-69DD-4275-AF62-ABAA5C1E023B}"/>
  <tableColumns count="6">
    <tableColumn id="1" xr3:uid="{F2DBF93F-F812-4AC7-BC09-67D05290046D}" name="Facility ID" dataDxfId="56"/>
    <tableColumn id="2" xr3:uid="{3820F013-0B20-4823-BE13-A1A2D51589B4}" name="Facility Name" dataDxfId="55"/>
    <tableColumn id="3" xr3:uid="{50214AE0-ABDA-49EA-9CBA-D3A8B14AEB8B}" name="Reporting Period" dataDxfId="54"/>
    <tableColumn id="4" xr3:uid="{E0E6D820-2968-4A5E-A145-8AFEB27433B5}" name="Scope" dataDxfId="53"/>
    <tableColumn id="5" xr3:uid="{AE8A2658-2365-40FE-85DF-542BD0F56DEE}" name="GHG Type" dataDxfId="52"/>
    <tableColumn id="6" xr3:uid="{D30F8F01-6D9C-4CF6-A9E6-3AEA050459F6}" name="Emissions (tons)" dataDxfId="51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48DD4-74D8-4BB5-BFC5-9B0AF48B734B}" name="Table3" displayName="Table3" ref="A1:E201" totalsRowShown="0" headerRowDxfId="50" dataDxfId="48" headerRowBorderDxfId="49" tableBorderDxfId="47" totalsRowBorderDxfId="46">
  <autoFilter ref="A1:E201" xr:uid="{11B48DD4-74D8-4BB5-BFC5-9B0AF48B734B}"/>
  <tableColumns count="5">
    <tableColumn id="1" xr3:uid="{7BD7849D-B127-4615-B383-38F1539917CD}" name="Facility ID" dataDxfId="45"/>
    <tableColumn id="2" xr3:uid="{7F286BE3-8275-4090-92F2-B6E910A2333F}" name="Facility Name" dataDxfId="44"/>
    <tableColumn id="3" xr3:uid="{70276EFF-1929-4D53-8CE0-D56F626B2BC8}" name="Production Volume (units)" dataDxfId="43"/>
    <tableColumn id="4" xr3:uid="{03DF5624-D7A4-49CC-BEAF-F4AEA2826A58}" name="Energy Consumption (MWh)" dataDxfId="42"/>
    <tableColumn id="5" xr3:uid="{BFFD3E99-EA3F-49F9-BE36-B800016BFB90}" name="Waste (tons)" dataDxfId="41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970A0B-7484-4BE2-A359-9D6F4FB5950A}" name="Table5" displayName="Table5" ref="A1:C101" totalsRowShown="0" headerRowDxfId="40" headerRowBorderDxfId="39" tableBorderDxfId="38" totalsRowBorderDxfId="37">
  <autoFilter ref="A1:C101" xr:uid="{2B970A0B-7484-4BE2-A359-9D6F4FB5950A}"/>
  <tableColumns count="3">
    <tableColumn id="1" xr3:uid="{06044C4A-8554-4828-A895-D3B614855650}" name="Supplier ID" dataDxfId="36"/>
    <tableColumn id="2" xr3:uid="{49FC795E-89E5-4836-A373-EAE396ABACF5}" name="Estimated Carbon Footprint (tons CO₂e)" dataDxfId="35"/>
    <tableColumn id="3" xr3:uid="{E9236412-61F0-4FA9-AD7D-215756882FE4}" name="Income Distribution (%)" dataDxfId="3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1E3A9-05FD-460D-91BB-AC70B39624C3}" name="Emission" displayName="Emission" ref="A1:G2001" tableType="queryTable" totalsRowShown="0">
  <autoFilter ref="A1:G2001" xr:uid="{1881E3A9-05FD-460D-91BB-AC70B39624C3}"/>
  <tableColumns count="7">
    <tableColumn id="1" xr3:uid="{AAAD1B92-3FC1-4017-9209-730AB5BE1475}" uniqueName="1" name="Facility ID" queryTableFieldId="1" dataDxfId="33"/>
    <tableColumn id="2" xr3:uid="{C0BFAE13-1FE4-44C9-8C70-F9BB29E8FFD1}" uniqueName="2" name="Facility Name" queryTableFieldId="2" dataDxfId="32"/>
    <tableColumn id="3" xr3:uid="{D42589EA-2663-488B-A83D-F51CE544AF6F}" uniqueName="3" name="Reporting Period" queryTableFieldId="3" dataDxfId="31"/>
    <tableColumn id="4" xr3:uid="{9929B225-313C-4589-B3F5-F9B9D56D4CC0}" uniqueName="4" name="Scope" queryTableFieldId="4" dataDxfId="30"/>
    <tableColumn id="5" xr3:uid="{E0EE0124-B5F3-4F02-92E2-B87A07460973}" uniqueName="5" name="GHG Type" queryTableFieldId="5" dataDxfId="29"/>
    <tableColumn id="6" xr3:uid="{75E6E207-277D-43AF-8832-245BCAC6ACC0}" uniqueName="6" name="Emissions (tons)" queryTableFieldId="6"/>
    <tableColumn id="7" xr3:uid="{B5664984-144C-4D22-BFFC-6AD1860E7BA7}" uniqueName="7" name="Year" queryTableFieldId="7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A6139-E81D-4AA6-90A7-81942FCC1670}" name="Operational" displayName="Operational" ref="A1:E201" tableType="queryTable" totalsRowShown="0">
  <autoFilter ref="A1:E201" xr:uid="{5EAA6139-E81D-4AA6-90A7-81942FCC1670}"/>
  <tableColumns count="5">
    <tableColumn id="1" xr3:uid="{E2BE2AE1-396C-4261-83DB-8A57AA8513B2}" uniqueName="1" name="Facility ID" queryTableFieldId="1" dataDxfId="28"/>
    <tableColumn id="2" xr3:uid="{13253F00-556A-4774-97F2-44DC9439E856}" uniqueName="2" name="Facility Name" queryTableFieldId="2" dataDxfId="27"/>
    <tableColumn id="3" xr3:uid="{11749566-3A47-4FAA-8A9B-8E3086E8FF66}" uniqueName="3" name="Production Volume (units)" queryTableFieldId="3"/>
    <tableColumn id="4" xr3:uid="{C74337B8-E27F-4FEA-99EB-B1673E9C39C9}" uniqueName="4" name="Energy Consumption (MWh)" queryTableFieldId="4"/>
    <tableColumn id="5" xr3:uid="{2ED451D0-0177-4456-9F98-31DC2ACFC264}" uniqueName="5" name="Waste (tons)" queryTableFieldId="5"/>
  </tableColumns>
  <tableStyleInfo name="TableStyleMedium2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59B858-6278-4154-8411-6FBE0A3B0A59}" name="Suppliar" displayName="Suppliar" ref="A1:D364" tableType="queryTable" totalsRowShown="0">
  <autoFilter ref="A1:D364" xr:uid="{BC59B858-6278-4154-8411-6FBE0A3B0A59}"/>
  <tableColumns count="4">
    <tableColumn id="3" xr3:uid="{AEA6812B-E205-41C0-9CC8-FB84F16F8982}" uniqueName="3" name="Facility ID" queryTableFieldId="3" dataDxfId="26"/>
    <tableColumn id="1" xr3:uid="{DAD4BA59-538D-4CE1-AE76-5DA97C148969}" uniqueName="1" name="Supplier ID" queryTableFieldId="1" dataDxfId="25"/>
    <tableColumn id="2" xr3:uid="{9D88AE6F-F82E-436F-B3AD-6155EF31A080}" uniqueName="2" name="Estimated Carbon Footprint (tons CO₂e)" queryTableFieldId="2"/>
    <tableColumn id="4" xr3:uid="{E238DFB9-4D92-4943-B95E-E148C0954830}" uniqueName="4" name="Income Distribution (%)" queryTableFieldId="4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E78C2E-58F5-470F-A764-F15348830537}" name="Emission8" displayName="Emission8" ref="A1:I2001" tableType="queryTable" totalsRowShown="0" headerRowDxfId="21">
  <tableColumns count="9">
    <tableColumn id="1" xr3:uid="{206D0342-33CD-4F7C-ABDD-27CC969DB710}" uniqueName="1" name="Facility ID" queryTableFieldId="1" dataDxfId="20"/>
    <tableColumn id="2" xr3:uid="{1DD9E06D-11C7-41F7-8382-725C3C70F899}" uniqueName="2" name="Facility Name" queryTableFieldId="2" dataDxfId="19"/>
    <tableColumn id="3" xr3:uid="{A182678A-B3A3-4539-93FB-FC4460F7CE04}" uniqueName="3" name="Reporting Period" queryTableFieldId="3" dataDxfId="18"/>
    <tableColumn id="4" xr3:uid="{13F1AA29-F645-4235-B46A-BD13D3F14F5A}" uniqueName="4" name="Scope" queryTableFieldId="4" dataDxfId="17"/>
    <tableColumn id="5" xr3:uid="{F2FC8EC4-B6AE-49CB-8B29-8C9AA13C5EC2}" uniqueName="5" name="GHG Type" queryTableFieldId="5" dataDxfId="16"/>
    <tableColumn id="6" xr3:uid="{CD8BEC63-0DFC-40B5-8ACE-C3EE684216B0}" uniqueName="6" name="Emissions (tons)" queryTableFieldId="6"/>
    <tableColumn id="8" xr3:uid="{D956B6C4-FB41-4BB6-9D49-DCCCAC917229}" uniqueName="8" name="Production Volume (units)" queryTableFieldId="8" dataDxfId="15">
      <calculatedColumnFormula>INDEX(Operational[Production Volume (units)],MATCH(Emission8[[#This Row],[Facility ID]],Operational[Facility ID],0))</calculatedColumnFormula>
    </tableColumn>
    <tableColumn id="9" xr3:uid="{0D1ED15F-51DA-47DB-BA1B-078BB659253A}" uniqueName="9" name="Energy Consumption (MWh)" queryTableFieldId="9" dataDxfId="14">
      <calculatedColumnFormula>INDEX(Operational[Energy Consumption (MWh)],MATCH(Emission8[[#This Row],[Facility ID]],Operational[Facility ID],0))</calculatedColumnFormula>
    </tableColumn>
    <tableColumn id="10" xr3:uid="{73A31C2D-E4F6-495C-8383-3C15630136F2}" uniqueName="10" name="Waste (tons)" queryTableFieldId="10" dataDxfId="13">
      <calculatedColumnFormula>INDEX(Operational[Waste (tons)],MATCH(Emission8[[#This Row],[Facility ID]],Operational[Facility ID],0))</calculatedColumnFormula>
    </tableColumn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F2001"/>
  <sheetViews>
    <sheetView workbookViewId="0">
      <selection activeCell="A2" sqref="A2"/>
    </sheetView>
  </sheetViews>
  <sheetFormatPr defaultColWidth="14.4140625" defaultRowHeight="15" customHeight="1" x14ac:dyDescent="0.3"/>
  <cols>
    <col min="1" max="1" width="14.75" customWidth="1"/>
    <col min="2" max="2" width="22.9140625" customWidth="1"/>
    <col min="3" max="3" width="20.25" customWidth="1"/>
    <col min="4" max="4" width="13.25" customWidth="1"/>
    <col min="5" max="5" width="14.5" customWidth="1"/>
    <col min="6" max="6" width="19.6640625" customWidth="1"/>
    <col min="7" max="7" width="8.6640625" customWidth="1"/>
    <col min="8" max="26" width="8" customWidth="1"/>
  </cols>
  <sheetData>
    <row r="1" spans="1:6" ht="1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4" x14ac:dyDescent="0.3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5">
        <v>2435.5974077284709</v>
      </c>
    </row>
    <row r="3" spans="1:6" ht="14" x14ac:dyDescent="0.3">
      <c r="A3" s="4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5">
        <v>835.45</v>
      </c>
    </row>
    <row r="4" spans="1:6" ht="14" x14ac:dyDescent="0.3">
      <c r="A4" s="4" t="s">
        <v>16</v>
      </c>
      <c r="B4" s="2" t="s">
        <v>17</v>
      </c>
      <c r="C4" s="2" t="s">
        <v>13</v>
      </c>
      <c r="D4" s="2" t="s">
        <v>14</v>
      </c>
      <c r="E4" s="2" t="s">
        <v>15</v>
      </c>
      <c r="F4" s="5">
        <v>3430.45</v>
      </c>
    </row>
    <row r="5" spans="1:6" ht="14" x14ac:dyDescent="0.3">
      <c r="A5" s="4" t="s">
        <v>18</v>
      </c>
      <c r="B5" s="2" t="s">
        <v>19</v>
      </c>
      <c r="C5" s="2" t="s">
        <v>8</v>
      </c>
      <c r="D5" s="2" t="s">
        <v>14</v>
      </c>
      <c r="E5" s="2" t="s">
        <v>15</v>
      </c>
      <c r="F5" s="5">
        <v>4214.24</v>
      </c>
    </row>
    <row r="6" spans="1:6" ht="14" x14ac:dyDescent="0.3">
      <c r="A6" s="4" t="s">
        <v>20</v>
      </c>
      <c r="B6" s="2" t="s">
        <v>17</v>
      </c>
      <c r="C6" s="2" t="s">
        <v>13</v>
      </c>
      <c r="D6" s="2" t="s">
        <v>9</v>
      </c>
      <c r="E6" s="2" t="s">
        <v>10</v>
      </c>
      <c r="F6" s="5">
        <v>605.59354688541328</v>
      </c>
    </row>
    <row r="7" spans="1:6" ht="14" x14ac:dyDescent="0.3">
      <c r="A7" s="4" t="s">
        <v>21</v>
      </c>
      <c r="B7" s="2" t="s">
        <v>19</v>
      </c>
      <c r="C7" s="2" t="s">
        <v>13</v>
      </c>
      <c r="D7" s="2" t="s">
        <v>14</v>
      </c>
      <c r="E7" s="2" t="s">
        <v>10</v>
      </c>
      <c r="F7" s="5">
        <v>656.33</v>
      </c>
    </row>
    <row r="8" spans="1:6" ht="14" x14ac:dyDescent="0.3">
      <c r="A8" s="4" t="s">
        <v>22</v>
      </c>
      <c r="B8" s="2" t="s">
        <v>12</v>
      </c>
      <c r="C8" s="2" t="s">
        <v>23</v>
      </c>
      <c r="D8" s="2" t="s">
        <v>9</v>
      </c>
      <c r="E8" s="2" t="s">
        <v>24</v>
      </c>
      <c r="F8" s="5">
        <v>4455.9340897099037</v>
      </c>
    </row>
    <row r="9" spans="1:6" ht="14" x14ac:dyDescent="0.3">
      <c r="A9" s="4" t="s">
        <v>25</v>
      </c>
      <c r="B9" s="2" t="s">
        <v>19</v>
      </c>
      <c r="C9" s="2" t="s">
        <v>13</v>
      </c>
      <c r="D9" s="2" t="s">
        <v>9</v>
      </c>
      <c r="E9" s="2" t="s">
        <v>10</v>
      </c>
      <c r="F9" s="5">
        <v>660.19753644292234</v>
      </c>
    </row>
    <row r="10" spans="1:6" ht="14" x14ac:dyDescent="0.3">
      <c r="A10" s="4" t="s">
        <v>26</v>
      </c>
      <c r="B10" s="2" t="s">
        <v>17</v>
      </c>
      <c r="C10" s="2" t="s">
        <v>23</v>
      </c>
      <c r="D10" s="2" t="s">
        <v>9</v>
      </c>
      <c r="E10" s="2" t="s">
        <v>10</v>
      </c>
      <c r="F10" s="5">
        <v>1883.304312726556</v>
      </c>
    </row>
    <row r="11" spans="1:6" ht="14" x14ac:dyDescent="0.3">
      <c r="A11" s="4" t="s">
        <v>27</v>
      </c>
      <c r="B11" s="2" t="s">
        <v>12</v>
      </c>
      <c r="C11" s="2" t="s">
        <v>8</v>
      </c>
      <c r="D11" s="2" t="s">
        <v>28</v>
      </c>
      <c r="E11" s="2" t="s">
        <v>24</v>
      </c>
      <c r="F11" s="5">
        <v>221.01</v>
      </c>
    </row>
    <row r="12" spans="1:6" ht="14" x14ac:dyDescent="0.3">
      <c r="A12" s="4" t="s">
        <v>29</v>
      </c>
      <c r="B12" s="2" t="s">
        <v>30</v>
      </c>
      <c r="C12" s="2" t="s">
        <v>8</v>
      </c>
      <c r="D12" s="2" t="s">
        <v>28</v>
      </c>
      <c r="E12" s="2" t="s">
        <v>10</v>
      </c>
      <c r="F12" s="5">
        <v>4737.0600000000004</v>
      </c>
    </row>
    <row r="13" spans="1:6" ht="14" x14ac:dyDescent="0.3">
      <c r="A13" s="4" t="s">
        <v>31</v>
      </c>
      <c r="B13" s="2" t="s">
        <v>30</v>
      </c>
      <c r="C13" s="2" t="s">
        <v>8</v>
      </c>
      <c r="D13" s="2" t="s">
        <v>9</v>
      </c>
      <c r="E13" s="2" t="s">
        <v>24</v>
      </c>
      <c r="F13" s="5">
        <v>1951.279028648808</v>
      </c>
    </row>
    <row r="14" spans="1:6" ht="14" x14ac:dyDescent="0.3">
      <c r="A14" s="4" t="s">
        <v>32</v>
      </c>
      <c r="B14" s="2" t="s">
        <v>7</v>
      </c>
      <c r="C14" s="2" t="s">
        <v>13</v>
      </c>
      <c r="D14" s="2" t="s">
        <v>28</v>
      </c>
      <c r="E14" s="2" t="s">
        <v>10</v>
      </c>
      <c r="F14" s="5">
        <v>4320.1099999999997</v>
      </c>
    </row>
    <row r="15" spans="1:6" ht="14" x14ac:dyDescent="0.3">
      <c r="A15" s="4" t="s">
        <v>21</v>
      </c>
      <c r="B15" s="2" t="s">
        <v>19</v>
      </c>
      <c r="C15" s="2" t="s">
        <v>8</v>
      </c>
      <c r="D15" s="2" t="s">
        <v>28</v>
      </c>
      <c r="E15" s="2" t="s">
        <v>15</v>
      </c>
      <c r="F15" s="5">
        <v>2179.33</v>
      </c>
    </row>
    <row r="16" spans="1:6" ht="14" x14ac:dyDescent="0.3">
      <c r="A16" s="4" t="s">
        <v>33</v>
      </c>
      <c r="B16" s="2" t="s">
        <v>19</v>
      </c>
      <c r="C16" s="2" t="s">
        <v>34</v>
      </c>
      <c r="D16" s="2" t="s">
        <v>14</v>
      </c>
      <c r="E16" s="2" t="s">
        <v>10</v>
      </c>
      <c r="F16" s="5">
        <v>3612.19</v>
      </c>
    </row>
    <row r="17" spans="1:6" ht="14" x14ac:dyDescent="0.3">
      <c r="A17" s="4" t="s">
        <v>35</v>
      </c>
      <c r="B17" s="2" t="s">
        <v>19</v>
      </c>
      <c r="C17" s="2" t="s">
        <v>8</v>
      </c>
      <c r="D17" s="2" t="s">
        <v>28</v>
      </c>
      <c r="E17" s="2" t="s">
        <v>24</v>
      </c>
      <c r="F17" s="5">
        <v>1270.3599999999999</v>
      </c>
    </row>
    <row r="18" spans="1:6" ht="14" x14ac:dyDescent="0.3">
      <c r="A18" s="4" t="s">
        <v>36</v>
      </c>
      <c r="B18" s="2" t="s">
        <v>12</v>
      </c>
      <c r="C18" s="2" t="s">
        <v>23</v>
      </c>
      <c r="D18" s="2" t="s">
        <v>28</v>
      </c>
      <c r="E18" s="2" t="s">
        <v>10</v>
      </c>
      <c r="F18" s="5">
        <v>1630.06</v>
      </c>
    </row>
    <row r="19" spans="1:6" ht="14" x14ac:dyDescent="0.3">
      <c r="A19" s="4" t="s">
        <v>37</v>
      </c>
      <c r="B19" s="2" t="s">
        <v>17</v>
      </c>
      <c r="C19" s="2" t="s">
        <v>34</v>
      </c>
      <c r="D19" s="2" t="s">
        <v>9</v>
      </c>
      <c r="E19" s="2" t="s">
        <v>24</v>
      </c>
      <c r="F19" s="5">
        <v>3063.6059128357838</v>
      </c>
    </row>
    <row r="20" spans="1:6" ht="14" x14ac:dyDescent="0.3">
      <c r="A20" s="4" t="s">
        <v>38</v>
      </c>
      <c r="B20" s="2" t="s">
        <v>30</v>
      </c>
      <c r="C20" s="2" t="s">
        <v>8</v>
      </c>
      <c r="D20" s="2" t="s">
        <v>9</v>
      </c>
      <c r="E20" s="2" t="s">
        <v>24</v>
      </c>
      <c r="F20" s="5">
        <v>2447.4218505709891</v>
      </c>
    </row>
    <row r="21" spans="1:6" ht="15.75" customHeight="1" x14ac:dyDescent="0.3">
      <c r="A21" s="4" t="s">
        <v>39</v>
      </c>
      <c r="B21" s="2" t="s">
        <v>7</v>
      </c>
      <c r="C21" s="2" t="s">
        <v>13</v>
      </c>
      <c r="D21" s="2" t="s">
        <v>28</v>
      </c>
      <c r="E21" s="2" t="s">
        <v>24</v>
      </c>
      <c r="F21" s="5">
        <v>4170.13</v>
      </c>
    </row>
    <row r="22" spans="1:6" ht="15.75" customHeight="1" x14ac:dyDescent="0.3">
      <c r="A22" s="4" t="s">
        <v>40</v>
      </c>
      <c r="B22" s="2" t="s">
        <v>19</v>
      </c>
      <c r="C22" s="2" t="s">
        <v>23</v>
      </c>
      <c r="D22" s="2" t="s">
        <v>9</v>
      </c>
      <c r="E22" s="2" t="s">
        <v>15</v>
      </c>
      <c r="F22" s="5">
        <v>2099.6404548425958</v>
      </c>
    </row>
    <row r="23" spans="1:6" ht="15.75" customHeight="1" x14ac:dyDescent="0.3">
      <c r="A23" s="4" t="s">
        <v>41</v>
      </c>
      <c r="B23" s="2" t="s">
        <v>30</v>
      </c>
      <c r="C23" s="2" t="s">
        <v>23</v>
      </c>
      <c r="D23" s="2" t="s">
        <v>28</v>
      </c>
      <c r="E23" s="2" t="s">
        <v>15</v>
      </c>
      <c r="F23" s="5">
        <v>3701.02</v>
      </c>
    </row>
    <row r="24" spans="1:6" ht="15.75" customHeight="1" x14ac:dyDescent="0.3">
      <c r="A24" s="4" t="s">
        <v>42</v>
      </c>
      <c r="B24" s="2" t="s">
        <v>30</v>
      </c>
      <c r="C24" s="2" t="s">
        <v>23</v>
      </c>
      <c r="D24" s="2" t="s">
        <v>28</v>
      </c>
      <c r="E24" s="2" t="s">
        <v>10</v>
      </c>
      <c r="F24" s="5">
        <v>1262.77</v>
      </c>
    </row>
    <row r="25" spans="1:6" ht="15.75" customHeight="1" x14ac:dyDescent="0.3">
      <c r="A25" s="4" t="s">
        <v>43</v>
      </c>
      <c r="B25" s="2" t="s">
        <v>17</v>
      </c>
      <c r="C25" s="2" t="s">
        <v>8</v>
      </c>
      <c r="D25" s="2" t="s">
        <v>14</v>
      </c>
      <c r="E25" s="2" t="s">
        <v>24</v>
      </c>
      <c r="F25" s="5">
        <v>2741.92</v>
      </c>
    </row>
    <row r="26" spans="1:6" ht="15.75" customHeight="1" x14ac:dyDescent="0.3">
      <c r="A26" s="4" t="s">
        <v>29</v>
      </c>
      <c r="B26" s="2" t="s">
        <v>30</v>
      </c>
      <c r="C26" s="2" t="s">
        <v>8</v>
      </c>
      <c r="D26" s="2" t="s">
        <v>14</v>
      </c>
      <c r="E26" s="2" t="s">
        <v>24</v>
      </c>
      <c r="F26" s="5">
        <v>1824.14</v>
      </c>
    </row>
    <row r="27" spans="1:6" ht="15.75" customHeight="1" x14ac:dyDescent="0.3">
      <c r="A27" s="4" t="s">
        <v>44</v>
      </c>
      <c r="B27" s="2" t="s">
        <v>19</v>
      </c>
      <c r="C27" s="2" t="s">
        <v>23</v>
      </c>
      <c r="D27" s="2" t="s">
        <v>9</v>
      </c>
      <c r="E27" s="2" t="s">
        <v>10</v>
      </c>
      <c r="F27" s="5">
        <v>738.4386323197657</v>
      </c>
    </row>
    <row r="28" spans="1:6" ht="15.75" customHeight="1" x14ac:dyDescent="0.3">
      <c r="A28" s="4" t="s">
        <v>45</v>
      </c>
      <c r="B28" s="2" t="s">
        <v>7</v>
      </c>
      <c r="C28" s="2" t="s">
        <v>13</v>
      </c>
      <c r="D28" s="2" t="s">
        <v>9</v>
      </c>
      <c r="E28" s="2" t="s">
        <v>15</v>
      </c>
      <c r="F28" s="5">
        <v>2856.7613375476958</v>
      </c>
    </row>
    <row r="29" spans="1:6" ht="15.75" customHeight="1" x14ac:dyDescent="0.3">
      <c r="A29" s="4" t="s">
        <v>46</v>
      </c>
      <c r="B29" s="2" t="s">
        <v>30</v>
      </c>
      <c r="C29" s="2" t="s">
        <v>13</v>
      </c>
      <c r="D29" s="2" t="s">
        <v>14</v>
      </c>
      <c r="E29" s="2" t="s">
        <v>24</v>
      </c>
      <c r="F29" s="5">
        <v>1787.35</v>
      </c>
    </row>
    <row r="30" spans="1:6" ht="15.75" customHeight="1" x14ac:dyDescent="0.3">
      <c r="A30" s="4" t="s">
        <v>47</v>
      </c>
      <c r="B30" s="2" t="s">
        <v>30</v>
      </c>
      <c r="C30" s="2" t="s">
        <v>23</v>
      </c>
      <c r="D30" s="2" t="s">
        <v>9</v>
      </c>
      <c r="E30" s="2" t="s">
        <v>15</v>
      </c>
      <c r="F30" s="5">
        <v>5138.8326193378434</v>
      </c>
    </row>
    <row r="31" spans="1:6" ht="15.75" customHeight="1" x14ac:dyDescent="0.3">
      <c r="A31" s="4" t="s">
        <v>48</v>
      </c>
      <c r="B31" s="2" t="s">
        <v>19</v>
      </c>
      <c r="C31" s="2" t="s">
        <v>8</v>
      </c>
      <c r="D31" s="2" t="s">
        <v>9</v>
      </c>
      <c r="E31" s="2" t="s">
        <v>10</v>
      </c>
      <c r="F31" s="5">
        <v>5005.4416867734872</v>
      </c>
    </row>
    <row r="32" spans="1:6" ht="15.75" customHeight="1" x14ac:dyDescent="0.3">
      <c r="A32" s="4" t="s">
        <v>49</v>
      </c>
      <c r="B32" s="2" t="s">
        <v>19</v>
      </c>
      <c r="C32" s="2" t="s">
        <v>23</v>
      </c>
      <c r="D32" s="2" t="s">
        <v>28</v>
      </c>
      <c r="E32" s="2" t="s">
        <v>24</v>
      </c>
      <c r="F32" s="5">
        <v>4053.3</v>
      </c>
    </row>
    <row r="33" spans="1:6" ht="15.75" customHeight="1" x14ac:dyDescent="0.3">
      <c r="A33" s="4" t="s">
        <v>50</v>
      </c>
      <c r="B33" s="2" t="s">
        <v>19</v>
      </c>
      <c r="C33" s="2" t="s">
        <v>23</v>
      </c>
      <c r="D33" s="2" t="s">
        <v>28</v>
      </c>
      <c r="E33" s="2" t="s">
        <v>24</v>
      </c>
      <c r="F33" s="5">
        <v>280.72000000000003</v>
      </c>
    </row>
    <row r="34" spans="1:6" ht="15.75" customHeight="1" x14ac:dyDescent="0.3">
      <c r="A34" s="4" t="s">
        <v>51</v>
      </c>
      <c r="B34" s="2" t="s">
        <v>30</v>
      </c>
      <c r="C34" s="2" t="s">
        <v>23</v>
      </c>
      <c r="D34" s="2" t="s">
        <v>14</v>
      </c>
      <c r="E34" s="2" t="s">
        <v>24</v>
      </c>
      <c r="F34" s="5">
        <v>329.41</v>
      </c>
    </row>
    <row r="35" spans="1:6" ht="15.75" customHeight="1" x14ac:dyDescent="0.3">
      <c r="A35" s="4" t="s">
        <v>52</v>
      </c>
      <c r="B35" s="2" t="s">
        <v>19</v>
      </c>
      <c r="C35" s="2" t="s">
        <v>13</v>
      </c>
      <c r="D35" s="2" t="s">
        <v>14</v>
      </c>
      <c r="E35" s="2" t="s">
        <v>15</v>
      </c>
      <c r="F35" s="5">
        <v>4133.74</v>
      </c>
    </row>
    <row r="36" spans="1:6" ht="15.75" customHeight="1" x14ac:dyDescent="0.3">
      <c r="A36" s="4" t="s">
        <v>53</v>
      </c>
      <c r="B36" s="2" t="s">
        <v>7</v>
      </c>
      <c r="C36" s="2" t="s">
        <v>34</v>
      </c>
      <c r="D36" s="2" t="s">
        <v>28</v>
      </c>
      <c r="E36" s="2" t="s">
        <v>15</v>
      </c>
      <c r="F36" s="5">
        <v>2773.3</v>
      </c>
    </row>
    <row r="37" spans="1:6" ht="15.75" customHeight="1" x14ac:dyDescent="0.3">
      <c r="A37" s="4" t="s">
        <v>54</v>
      </c>
      <c r="B37" s="2" t="s">
        <v>12</v>
      </c>
      <c r="C37" s="2" t="s">
        <v>13</v>
      </c>
      <c r="D37" s="2" t="s">
        <v>9</v>
      </c>
      <c r="E37" s="2" t="s">
        <v>10</v>
      </c>
      <c r="F37" s="5">
        <v>3482.077747330246</v>
      </c>
    </row>
    <row r="38" spans="1:6" ht="15.75" customHeight="1" x14ac:dyDescent="0.3">
      <c r="A38" s="4" t="s">
        <v>55</v>
      </c>
      <c r="B38" s="2" t="s">
        <v>12</v>
      </c>
      <c r="C38" s="2" t="s">
        <v>34</v>
      </c>
      <c r="D38" s="2" t="s">
        <v>9</v>
      </c>
      <c r="E38" s="2" t="s">
        <v>10</v>
      </c>
      <c r="F38" s="5">
        <v>1953.707398905615</v>
      </c>
    </row>
    <row r="39" spans="1:6" ht="15.75" customHeight="1" x14ac:dyDescent="0.3">
      <c r="A39" s="4" t="s">
        <v>29</v>
      </c>
      <c r="B39" s="2" t="s">
        <v>30</v>
      </c>
      <c r="C39" s="2" t="s">
        <v>34</v>
      </c>
      <c r="D39" s="2" t="s">
        <v>14</v>
      </c>
      <c r="E39" s="2" t="s">
        <v>15</v>
      </c>
      <c r="F39" s="5">
        <v>4444.76</v>
      </c>
    </row>
    <row r="40" spans="1:6" ht="15.75" customHeight="1" x14ac:dyDescent="0.3">
      <c r="A40" s="4" t="s">
        <v>55</v>
      </c>
      <c r="B40" s="2" t="s">
        <v>12</v>
      </c>
      <c r="C40" s="2" t="s">
        <v>23</v>
      </c>
      <c r="D40" s="2" t="s">
        <v>28</v>
      </c>
      <c r="E40" s="2" t="s">
        <v>15</v>
      </c>
      <c r="F40" s="5">
        <v>1836.99</v>
      </c>
    </row>
    <row r="41" spans="1:6" ht="15.75" customHeight="1" x14ac:dyDescent="0.3">
      <c r="A41" s="4" t="s">
        <v>56</v>
      </c>
      <c r="B41" s="2" t="s">
        <v>19</v>
      </c>
      <c r="C41" s="2" t="s">
        <v>8</v>
      </c>
      <c r="D41" s="2" t="s">
        <v>14</v>
      </c>
      <c r="E41" s="2" t="s">
        <v>15</v>
      </c>
      <c r="F41" s="5">
        <v>793.9</v>
      </c>
    </row>
    <row r="42" spans="1:6" ht="15.75" customHeight="1" x14ac:dyDescent="0.3">
      <c r="A42" s="4" t="s">
        <v>57</v>
      </c>
      <c r="B42" s="2" t="s">
        <v>19</v>
      </c>
      <c r="C42" s="2" t="s">
        <v>34</v>
      </c>
      <c r="D42" s="2" t="s">
        <v>28</v>
      </c>
      <c r="E42" s="2" t="s">
        <v>24</v>
      </c>
      <c r="F42" s="5">
        <v>1445.28</v>
      </c>
    </row>
    <row r="43" spans="1:6" ht="15.75" customHeight="1" x14ac:dyDescent="0.3">
      <c r="A43" s="4" t="s">
        <v>58</v>
      </c>
      <c r="B43" s="2" t="s">
        <v>17</v>
      </c>
      <c r="C43" s="2" t="s">
        <v>34</v>
      </c>
      <c r="D43" s="2" t="s">
        <v>9</v>
      </c>
      <c r="E43" s="2" t="s">
        <v>24</v>
      </c>
      <c r="F43" s="5">
        <v>1246.7280685550411</v>
      </c>
    </row>
    <row r="44" spans="1:6" ht="15.75" customHeight="1" x14ac:dyDescent="0.3">
      <c r="A44" s="4" t="s">
        <v>59</v>
      </c>
      <c r="B44" s="2" t="s">
        <v>17</v>
      </c>
      <c r="C44" s="2" t="s">
        <v>34</v>
      </c>
      <c r="D44" s="2" t="s">
        <v>14</v>
      </c>
      <c r="E44" s="2" t="s">
        <v>10</v>
      </c>
      <c r="F44" s="5">
        <v>527.16999999999996</v>
      </c>
    </row>
    <row r="45" spans="1:6" ht="15.75" customHeight="1" x14ac:dyDescent="0.3">
      <c r="A45" s="4" t="s">
        <v>60</v>
      </c>
      <c r="B45" s="2" t="s">
        <v>12</v>
      </c>
      <c r="C45" s="2" t="s">
        <v>34</v>
      </c>
      <c r="D45" s="2" t="s">
        <v>14</v>
      </c>
      <c r="E45" s="2" t="s">
        <v>15</v>
      </c>
      <c r="F45" s="5">
        <v>542.33000000000004</v>
      </c>
    </row>
    <row r="46" spans="1:6" ht="15.75" customHeight="1" x14ac:dyDescent="0.3">
      <c r="A46" s="4" t="s">
        <v>61</v>
      </c>
      <c r="B46" s="2" t="s">
        <v>30</v>
      </c>
      <c r="C46" s="2" t="s">
        <v>34</v>
      </c>
      <c r="D46" s="2" t="s">
        <v>28</v>
      </c>
      <c r="E46" s="2" t="s">
        <v>24</v>
      </c>
      <c r="F46" s="5">
        <v>636.07000000000005</v>
      </c>
    </row>
    <row r="47" spans="1:6" ht="15.75" customHeight="1" x14ac:dyDescent="0.3">
      <c r="A47" s="4" t="s">
        <v>62</v>
      </c>
      <c r="B47" s="2" t="s">
        <v>30</v>
      </c>
      <c r="C47" s="2" t="s">
        <v>34</v>
      </c>
      <c r="D47" s="2" t="s">
        <v>9</v>
      </c>
      <c r="E47" s="2" t="s">
        <v>15</v>
      </c>
      <c r="F47" s="5">
        <v>3898.198373877015</v>
      </c>
    </row>
    <row r="48" spans="1:6" ht="15.75" customHeight="1" x14ac:dyDescent="0.3">
      <c r="A48" s="4" t="s">
        <v>63</v>
      </c>
      <c r="B48" s="2" t="s">
        <v>12</v>
      </c>
      <c r="C48" s="2" t="s">
        <v>34</v>
      </c>
      <c r="D48" s="2" t="s">
        <v>9</v>
      </c>
      <c r="E48" s="2" t="s">
        <v>24</v>
      </c>
      <c r="F48" s="5">
        <v>525.24931204508346</v>
      </c>
    </row>
    <row r="49" spans="1:6" ht="15.75" customHeight="1" x14ac:dyDescent="0.3">
      <c r="A49" s="4" t="s">
        <v>64</v>
      </c>
      <c r="B49" s="2" t="s">
        <v>30</v>
      </c>
      <c r="C49" s="2" t="s">
        <v>8</v>
      </c>
      <c r="D49" s="2" t="s">
        <v>14</v>
      </c>
      <c r="E49" s="2" t="s">
        <v>15</v>
      </c>
      <c r="F49" s="5">
        <v>1135.03</v>
      </c>
    </row>
    <row r="50" spans="1:6" ht="15.75" customHeight="1" x14ac:dyDescent="0.3">
      <c r="A50" s="4" t="s">
        <v>37</v>
      </c>
      <c r="B50" s="2" t="s">
        <v>17</v>
      </c>
      <c r="C50" s="2" t="s">
        <v>23</v>
      </c>
      <c r="D50" s="2" t="s">
        <v>9</v>
      </c>
      <c r="E50" s="2" t="s">
        <v>24</v>
      </c>
      <c r="F50" s="5">
        <v>1670.5063610635179</v>
      </c>
    </row>
    <row r="51" spans="1:6" ht="15.75" customHeight="1" x14ac:dyDescent="0.3">
      <c r="A51" s="4" t="s">
        <v>65</v>
      </c>
      <c r="B51" s="2" t="s">
        <v>30</v>
      </c>
      <c r="C51" s="2" t="s">
        <v>13</v>
      </c>
      <c r="D51" s="2" t="s">
        <v>9</v>
      </c>
      <c r="E51" s="2" t="s">
        <v>10</v>
      </c>
      <c r="F51" s="5">
        <v>939.61298336004518</v>
      </c>
    </row>
    <row r="52" spans="1:6" ht="15.75" customHeight="1" x14ac:dyDescent="0.3">
      <c r="A52" s="4" t="s">
        <v>49</v>
      </c>
      <c r="B52" s="2" t="s">
        <v>19</v>
      </c>
      <c r="C52" s="2" t="s">
        <v>34</v>
      </c>
      <c r="D52" s="2" t="s">
        <v>28</v>
      </c>
      <c r="E52" s="2" t="s">
        <v>10</v>
      </c>
      <c r="F52" s="5">
        <v>1436.13</v>
      </c>
    </row>
    <row r="53" spans="1:6" ht="15.75" customHeight="1" x14ac:dyDescent="0.3">
      <c r="A53" s="4" t="s">
        <v>66</v>
      </c>
      <c r="B53" s="2" t="s">
        <v>30</v>
      </c>
      <c r="C53" s="2" t="s">
        <v>34</v>
      </c>
      <c r="D53" s="2" t="s">
        <v>9</v>
      </c>
      <c r="E53" s="2" t="s">
        <v>24</v>
      </c>
      <c r="F53" s="5">
        <v>3950.0002071358181</v>
      </c>
    </row>
    <row r="54" spans="1:6" ht="15.75" customHeight="1" x14ac:dyDescent="0.3">
      <c r="A54" s="4" t="s">
        <v>67</v>
      </c>
      <c r="B54" s="2" t="s">
        <v>7</v>
      </c>
      <c r="C54" s="2" t="s">
        <v>8</v>
      </c>
      <c r="D54" s="2" t="s">
        <v>9</v>
      </c>
      <c r="E54" s="2" t="s">
        <v>10</v>
      </c>
      <c r="F54" s="5">
        <v>4777.7700000000004</v>
      </c>
    </row>
    <row r="55" spans="1:6" ht="15.75" customHeight="1" x14ac:dyDescent="0.3">
      <c r="A55" s="4" t="s">
        <v>68</v>
      </c>
      <c r="B55" s="2" t="s">
        <v>12</v>
      </c>
      <c r="C55" s="2" t="s">
        <v>13</v>
      </c>
      <c r="D55" s="2" t="s">
        <v>9</v>
      </c>
      <c r="E55" s="2" t="s">
        <v>10</v>
      </c>
      <c r="F55" s="5">
        <v>739.48049094030057</v>
      </c>
    </row>
    <row r="56" spans="1:6" ht="15.75" customHeight="1" x14ac:dyDescent="0.3">
      <c r="A56" s="4" t="s">
        <v>69</v>
      </c>
      <c r="B56" s="2" t="s">
        <v>7</v>
      </c>
      <c r="C56" s="2" t="s">
        <v>23</v>
      </c>
      <c r="D56" s="2" t="s">
        <v>14</v>
      </c>
      <c r="E56" s="2" t="s">
        <v>10</v>
      </c>
      <c r="F56" s="5">
        <v>2957.08</v>
      </c>
    </row>
    <row r="57" spans="1:6" ht="15.75" customHeight="1" x14ac:dyDescent="0.3">
      <c r="A57" s="4" t="s">
        <v>70</v>
      </c>
      <c r="B57" s="2" t="s">
        <v>19</v>
      </c>
      <c r="C57" s="2" t="s">
        <v>13</v>
      </c>
      <c r="D57" s="2" t="s">
        <v>28</v>
      </c>
      <c r="E57" s="2" t="s">
        <v>24</v>
      </c>
      <c r="F57" s="5">
        <v>4782.28</v>
      </c>
    </row>
    <row r="58" spans="1:6" ht="15.75" customHeight="1" x14ac:dyDescent="0.3">
      <c r="A58" s="4" t="s">
        <v>53</v>
      </c>
      <c r="B58" s="2" t="s">
        <v>7</v>
      </c>
      <c r="C58" s="2" t="s">
        <v>34</v>
      </c>
      <c r="D58" s="2" t="s">
        <v>14</v>
      </c>
      <c r="E58" s="2" t="s">
        <v>15</v>
      </c>
      <c r="F58" s="5">
        <v>3836.23</v>
      </c>
    </row>
    <row r="59" spans="1:6" ht="15.75" customHeight="1" x14ac:dyDescent="0.3">
      <c r="A59" s="4" t="s">
        <v>71</v>
      </c>
      <c r="B59" s="2" t="s">
        <v>7</v>
      </c>
      <c r="C59" s="2" t="s">
        <v>13</v>
      </c>
      <c r="D59" s="2" t="s">
        <v>28</v>
      </c>
      <c r="E59" s="2" t="s">
        <v>10</v>
      </c>
      <c r="F59" s="5">
        <v>4410.6400000000003</v>
      </c>
    </row>
    <row r="60" spans="1:6" ht="15.75" customHeight="1" x14ac:dyDescent="0.3">
      <c r="A60" s="4" t="s">
        <v>70</v>
      </c>
      <c r="B60" s="2" t="s">
        <v>19</v>
      </c>
      <c r="C60" s="2" t="s">
        <v>34</v>
      </c>
      <c r="D60" s="2" t="s">
        <v>28</v>
      </c>
      <c r="E60" s="2" t="s">
        <v>24</v>
      </c>
      <c r="F60" s="5">
        <v>1861.93</v>
      </c>
    </row>
    <row r="61" spans="1:6" ht="15.75" customHeight="1" x14ac:dyDescent="0.3">
      <c r="A61" s="4" t="s">
        <v>72</v>
      </c>
      <c r="B61" s="2" t="s">
        <v>19</v>
      </c>
      <c r="C61" s="2" t="s">
        <v>8</v>
      </c>
      <c r="D61" s="2" t="s">
        <v>14</v>
      </c>
      <c r="E61" s="2" t="s">
        <v>10</v>
      </c>
      <c r="F61" s="5">
        <v>3332.83</v>
      </c>
    </row>
    <row r="62" spans="1:6" ht="15.75" customHeight="1" x14ac:dyDescent="0.3">
      <c r="A62" s="4" t="s">
        <v>73</v>
      </c>
      <c r="B62" s="2" t="s">
        <v>30</v>
      </c>
      <c r="C62" s="2" t="s">
        <v>34</v>
      </c>
      <c r="D62" s="2" t="s">
        <v>28</v>
      </c>
      <c r="E62" s="2" t="s">
        <v>24</v>
      </c>
      <c r="F62" s="5">
        <v>2649.83</v>
      </c>
    </row>
    <row r="63" spans="1:6" ht="15.75" customHeight="1" x14ac:dyDescent="0.3">
      <c r="A63" s="4" t="s">
        <v>74</v>
      </c>
      <c r="B63" s="2" t="s">
        <v>19</v>
      </c>
      <c r="C63" s="2" t="s">
        <v>8</v>
      </c>
      <c r="D63" s="2" t="s">
        <v>14</v>
      </c>
      <c r="E63" s="2" t="s">
        <v>24</v>
      </c>
      <c r="F63" s="5">
        <v>3224.33</v>
      </c>
    </row>
    <row r="64" spans="1:6" ht="15.75" customHeight="1" x14ac:dyDescent="0.3">
      <c r="A64" s="4" t="s">
        <v>22</v>
      </c>
      <c r="B64" s="2" t="s">
        <v>12</v>
      </c>
      <c r="C64" s="2" t="s">
        <v>23</v>
      </c>
      <c r="D64" s="2" t="s">
        <v>9</v>
      </c>
      <c r="E64" s="2" t="s">
        <v>10</v>
      </c>
      <c r="F64" s="5">
        <v>881.21756684570096</v>
      </c>
    </row>
    <row r="65" spans="1:6" ht="15.75" customHeight="1" x14ac:dyDescent="0.3">
      <c r="A65" s="4" t="s">
        <v>75</v>
      </c>
      <c r="B65" s="2" t="s">
        <v>19</v>
      </c>
      <c r="C65" s="2" t="s">
        <v>13</v>
      </c>
      <c r="D65" s="2" t="s">
        <v>9</v>
      </c>
      <c r="E65" s="2" t="s">
        <v>15</v>
      </c>
      <c r="F65" s="5">
        <v>5563.3195435402686</v>
      </c>
    </row>
    <row r="66" spans="1:6" ht="15.75" customHeight="1" x14ac:dyDescent="0.3">
      <c r="A66" s="4" t="s">
        <v>76</v>
      </c>
      <c r="B66" s="2" t="s">
        <v>17</v>
      </c>
      <c r="C66" s="2" t="s">
        <v>34</v>
      </c>
      <c r="D66" s="2" t="s">
        <v>28</v>
      </c>
      <c r="E66" s="2" t="s">
        <v>24</v>
      </c>
      <c r="F66" s="5">
        <v>2558.1799999999998</v>
      </c>
    </row>
    <row r="67" spans="1:6" ht="15.75" customHeight="1" x14ac:dyDescent="0.3">
      <c r="A67" s="4" t="s">
        <v>77</v>
      </c>
      <c r="B67" s="2" t="s">
        <v>30</v>
      </c>
      <c r="C67" s="2" t="s">
        <v>23</v>
      </c>
      <c r="D67" s="2" t="s">
        <v>9</v>
      </c>
      <c r="E67" s="2" t="s">
        <v>10</v>
      </c>
      <c r="F67" s="5">
        <v>2013.870322342912</v>
      </c>
    </row>
    <row r="68" spans="1:6" ht="15.75" customHeight="1" x14ac:dyDescent="0.3">
      <c r="A68" s="4" t="s">
        <v>78</v>
      </c>
      <c r="B68" s="2" t="s">
        <v>7</v>
      </c>
      <c r="C68" s="2" t="s">
        <v>23</v>
      </c>
      <c r="D68" s="2" t="s">
        <v>28</v>
      </c>
      <c r="E68" s="2" t="s">
        <v>15</v>
      </c>
      <c r="F68" s="5">
        <v>1752.18</v>
      </c>
    </row>
    <row r="69" spans="1:6" ht="15.75" customHeight="1" x14ac:dyDescent="0.3">
      <c r="A69" s="4" t="s">
        <v>79</v>
      </c>
      <c r="B69" s="2" t="s">
        <v>17</v>
      </c>
      <c r="C69" s="2" t="s">
        <v>13</v>
      </c>
      <c r="D69" s="2" t="s">
        <v>28</v>
      </c>
      <c r="E69" s="2" t="s">
        <v>24</v>
      </c>
      <c r="F69" s="5">
        <v>4152.92</v>
      </c>
    </row>
    <row r="70" spans="1:6" ht="15.75" customHeight="1" x14ac:dyDescent="0.3">
      <c r="A70" s="4" t="s">
        <v>80</v>
      </c>
      <c r="B70" s="2" t="s">
        <v>17</v>
      </c>
      <c r="C70" s="2" t="s">
        <v>13</v>
      </c>
      <c r="D70" s="2" t="s">
        <v>28</v>
      </c>
      <c r="E70" s="2" t="s">
        <v>15</v>
      </c>
      <c r="F70" s="5">
        <v>61.94</v>
      </c>
    </row>
    <row r="71" spans="1:6" ht="15.75" customHeight="1" x14ac:dyDescent="0.3">
      <c r="A71" s="4" t="s">
        <v>66</v>
      </c>
      <c r="B71" s="2" t="s">
        <v>30</v>
      </c>
      <c r="C71" s="2" t="s">
        <v>34</v>
      </c>
      <c r="D71" s="2" t="s">
        <v>9</v>
      </c>
      <c r="E71" s="2" t="s">
        <v>15</v>
      </c>
      <c r="F71" s="5">
        <v>4862.4353585851513</v>
      </c>
    </row>
    <row r="72" spans="1:6" ht="15.75" customHeight="1" x14ac:dyDescent="0.3">
      <c r="A72" s="4" t="s">
        <v>81</v>
      </c>
      <c r="B72" s="2" t="s">
        <v>12</v>
      </c>
      <c r="C72" s="2" t="s">
        <v>23</v>
      </c>
      <c r="D72" s="2" t="s">
        <v>9</v>
      </c>
      <c r="E72" s="2" t="s">
        <v>10</v>
      </c>
      <c r="F72" s="5">
        <v>1930.129142461245</v>
      </c>
    </row>
    <row r="73" spans="1:6" ht="15.75" customHeight="1" x14ac:dyDescent="0.3">
      <c r="A73" s="4" t="s">
        <v>82</v>
      </c>
      <c r="B73" s="2" t="s">
        <v>17</v>
      </c>
      <c r="C73" s="2" t="s">
        <v>34</v>
      </c>
      <c r="D73" s="2" t="s">
        <v>28</v>
      </c>
      <c r="E73" s="2" t="s">
        <v>24</v>
      </c>
      <c r="F73" s="5">
        <v>2818.75</v>
      </c>
    </row>
    <row r="74" spans="1:6" ht="15.75" customHeight="1" x14ac:dyDescent="0.3">
      <c r="A74" s="4" t="s">
        <v>83</v>
      </c>
      <c r="B74" s="2" t="s">
        <v>17</v>
      </c>
      <c r="C74" s="2" t="s">
        <v>8</v>
      </c>
      <c r="D74" s="2" t="s">
        <v>9</v>
      </c>
      <c r="E74" s="2" t="s">
        <v>24</v>
      </c>
      <c r="F74" s="5">
        <v>2368.6695921407372</v>
      </c>
    </row>
    <row r="75" spans="1:6" ht="15.75" customHeight="1" x14ac:dyDescent="0.3">
      <c r="A75" s="4" t="s">
        <v>54</v>
      </c>
      <c r="B75" s="2" t="s">
        <v>12</v>
      </c>
      <c r="C75" s="2" t="s">
        <v>34</v>
      </c>
      <c r="D75" s="2" t="s">
        <v>14</v>
      </c>
      <c r="E75" s="2" t="s">
        <v>15</v>
      </c>
      <c r="F75" s="5">
        <v>1533.98</v>
      </c>
    </row>
    <row r="76" spans="1:6" ht="15.75" customHeight="1" x14ac:dyDescent="0.3">
      <c r="A76" s="4" t="s">
        <v>68</v>
      </c>
      <c r="B76" s="2" t="s">
        <v>12</v>
      </c>
      <c r="C76" s="2" t="s">
        <v>34</v>
      </c>
      <c r="D76" s="2" t="s">
        <v>14</v>
      </c>
      <c r="E76" s="2" t="s">
        <v>24</v>
      </c>
      <c r="F76" s="5">
        <v>249.89</v>
      </c>
    </row>
    <row r="77" spans="1:6" ht="15.75" customHeight="1" x14ac:dyDescent="0.3">
      <c r="A77" s="4" t="s">
        <v>84</v>
      </c>
      <c r="B77" s="2" t="s">
        <v>30</v>
      </c>
      <c r="C77" s="2" t="s">
        <v>13</v>
      </c>
      <c r="D77" s="2" t="s">
        <v>9</v>
      </c>
      <c r="E77" s="2" t="s">
        <v>15</v>
      </c>
      <c r="F77" s="5">
        <v>4797.8755946467563</v>
      </c>
    </row>
    <row r="78" spans="1:6" ht="15.75" customHeight="1" x14ac:dyDescent="0.3">
      <c r="A78" s="4" t="s">
        <v>85</v>
      </c>
      <c r="B78" s="2" t="s">
        <v>30</v>
      </c>
      <c r="C78" s="2" t="s">
        <v>23</v>
      </c>
      <c r="D78" s="2" t="s">
        <v>14</v>
      </c>
      <c r="E78" s="2" t="s">
        <v>24</v>
      </c>
      <c r="F78" s="5">
        <v>534.05999999999995</v>
      </c>
    </row>
    <row r="79" spans="1:6" ht="15.75" customHeight="1" x14ac:dyDescent="0.3">
      <c r="A79" s="4" t="s">
        <v>86</v>
      </c>
      <c r="B79" s="2" t="s">
        <v>19</v>
      </c>
      <c r="C79" s="2" t="s">
        <v>13</v>
      </c>
      <c r="D79" s="2" t="s">
        <v>14</v>
      </c>
      <c r="E79" s="2" t="s">
        <v>10</v>
      </c>
      <c r="F79" s="5">
        <v>4285.8999999999996</v>
      </c>
    </row>
    <row r="80" spans="1:6" ht="15.75" customHeight="1" x14ac:dyDescent="0.3">
      <c r="A80" s="4" t="s">
        <v>87</v>
      </c>
      <c r="B80" s="2" t="s">
        <v>12</v>
      </c>
      <c r="C80" s="2" t="s">
        <v>34</v>
      </c>
      <c r="D80" s="2" t="s">
        <v>28</v>
      </c>
      <c r="E80" s="2" t="s">
        <v>10</v>
      </c>
      <c r="F80" s="5">
        <v>1042.25</v>
      </c>
    </row>
    <row r="81" spans="1:6" ht="15.75" customHeight="1" x14ac:dyDescent="0.3">
      <c r="A81" s="4" t="s">
        <v>88</v>
      </c>
      <c r="B81" s="2" t="s">
        <v>7</v>
      </c>
      <c r="C81" s="2" t="s">
        <v>34</v>
      </c>
      <c r="D81" s="2" t="s">
        <v>9</v>
      </c>
      <c r="E81" s="2" t="s">
        <v>24</v>
      </c>
      <c r="F81" s="5">
        <v>1836.685121941709</v>
      </c>
    </row>
    <row r="82" spans="1:6" ht="15.75" customHeight="1" x14ac:dyDescent="0.3">
      <c r="A82" s="4" t="s">
        <v>89</v>
      </c>
      <c r="B82" s="2" t="s">
        <v>17</v>
      </c>
      <c r="C82" s="2" t="s">
        <v>13</v>
      </c>
      <c r="D82" s="2" t="s">
        <v>28</v>
      </c>
      <c r="E82" s="2" t="s">
        <v>15</v>
      </c>
      <c r="F82" s="5">
        <v>3337.6</v>
      </c>
    </row>
    <row r="83" spans="1:6" ht="15.75" customHeight="1" x14ac:dyDescent="0.3">
      <c r="A83" s="4" t="s">
        <v>32</v>
      </c>
      <c r="B83" s="2" t="s">
        <v>7</v>
      </c>
      <c r="C83" s="2" t="s">
        <v>34</v>
      </c>
      <c r="D83" s="2" t="s">
        <v>14</v>
      </c>
      <c r="E83" s="2" t="s">
        <v>15</v>
      </c>
      <c r="F83" s="5">
        <v>2632.11</v>
      </c>
    </row>
    <row r="84" spans="1:6" ht="15.75" customHeight="1" x14ac:dyDescent="0.3">
      <c r="A84" s="4" t="s">
        <v>90</v>
      </c>
      <c r="B84" s="2" t="s">
        <v>19</v>
      </c>
      <c r="C84" s="2" t="s">
        <v>23</v>
      </c>
      <c r="D84" s="2" t="s">
        <v>28</v>
      </c>
      <c r="E84" s="2" t="s">
        <v>24</v>
      </c>
      <c r="F84" s="5">
        <v>2011.5</v>
      </c>
    </row>
    <row r="85" spans="1:6" ht="15.75" customHeight="1" x14ac:dyDescent="0.3">
      <c r="A85" s="4" t="s">
        <v>91</v>
      </c>
      <c r="B85" s="2" t="s">
        <v>30</v>
      </c>
      <c r="C85" s="2" t="s">
        <v>23</v>
      </c>
      <c r="D85" s="2" t="s">
        <v>28</v>
      </c>
      <c r="E85" s="2" t="s">
        <v>15</v>
      </c>
      <c r="F85" s="5">
        <v>724.26</v>
      </c>
    </row>
    <row r="86" spans="1:6" ht="15.75" customHeight="1" x14ac:dyDescent="0.3">
      <c r="A86" s="4" t="s">
        <v>6</v>
      </c>
      <c r="B86" s="2" t="s">
        <v>7</v>
      </c>
      <c r="C86" s="2" t="s">
        <v>23</v>
      </c>
      <c r="D86" s="2" t="s">
        <v>14</v>
      </c>
      <c r="E86" s="2" t="s">
        <v>24</v>
      </c>
      <c r="F86" s="5">
        <v>2373.2600000000002</v>
      </c>
    </row>
    <row r="87" spans="1:6" ht="15.75" customHeight="1" x14ac:dyDescent="0.3">
      <c r="A87" s="4" t="s">
        <v>47</v>
      </c>
      <c r="B87" s="2" t="s">
        <v>30</v>
      </c>
      <c r="C87" s="2" t="s">
        <v>34</v>
      </c>
      <c r="D87" s="2" t="s">
        <v>28</v>
      </c>
      <c r="E87" s="2" t="s">
        <v>24</v>
      </c>
      <c r="F87" s="5">
        <v>1440.9</v>
      </c>
    </row>
    <row r="88" spans="1:6" ht="15.75" customHeight="1" x14ac:dyDescent="0.3">
      <c r="A88" s="4" t="s">
        <v>92</v>
      </c>
      <c r="B88" s="2" t="s">
        <v>30</v>
      </c>
      <c r="C88" s="2" t="s">
        <v>13</v>
      </c>
      <c r="D88" s="2" t="s">
        <v>28</v>
      </c>
      <c r="E88" s="2" t="s">
        <v>10</v>
      </c>
      <c r="F88" s="5">
        <v>569.39</v>
      </c>
    </row>
    <row r="89" spans="1:6" ht="15.75" customHeight="1" x14ac:dyDescent="0.3">
      <c r="A89" s="4" t="s">
        <v>43</v>
      </c>
      <c r="B89" s="2" t="s">
        <v>17</v>
      </c>
      <c r="C89" s="2" t="s">
        <v>23</v>
      </c>
      <c r="D89" s="2" t="s">
        <v>14</v>
      </c>
      <c r="E89" s="2" t="s">
        <v>24</v>
      </c>
      <c r="F89" s="5">
        <v>1161.74</v>
      </c>
    </row>
    <row r="90" spans="1:6" ht="15.75" customHeight="1" x14ac:dyDescent="0.3">
      <c r="A90" s="4" t="s">
        <v>37</v>
      </c>
      <c r="B90" s="2" t="s">
        <v>17</v>
      </c>
      <c r="C90" s="2" t="s">
        <v>8</v>
      </c>
      <c r="D90" s="2" t="s">
        <v>9</v>
      </c>
      <c r="E90" s="2" t="s">
        <v>24</v>
      </c>
      <c r="F90" s="5">
        <v>4200.5000111469881</v>
      </c>
    </row>
    <row r="91" spans="1:6" ht="15.75" customHeight="1" x14ac:dyDescent="0.3">
      <c r="A91" s="4" t="s">
        <v>55</v>
      </c>
      <c r="B91" s="2" t="s">
        <v>12</v>
      </c>
      <c r="C91" s="2" t="s">
        <v>8</v>
      </c>
      <c r="D91" s="2" t="s">
        <v>14</v>
      </c>
      <c r="E91" s="2" t="s">
        <v>15</v>
      </c>
      <c r="F91" s="5">
        <v>2311.5500000000002</v>
      </c>
    </row>
    <row r="92" spans="1:6" ht="15.75" customHeight="1" x14ac:dyDescent="0.3">
      <c r="A92" s="4" t="s">
        <v>93</v>
      </c>
      <c r="B92" s="2" t="s">
        <v>30</v>
      </c>
      <c r="C92" s="2" t="s">
        <v>8</v>
      </c>
      <c r="D92" s="2" t="s">
        <v>28</v>
      </c>
      <c r="E92" s="2" t="s">
        <v>15</v>
      </c>
      <c r="F92" s="5">
        <v>2116.64</v>
      </c>
    </row>
    <row r="93" spans="1:6" ht="15.75" customHeight="1" x14ac:dyDescent="0.3">
      <c r="A93" s="4" t="s">
        <v>94</v>
      </c>
      <c r="B93" s="2" t="s">
        <v>7</v>
      </c>
      <c r="C93" s="2" t="s">
        <v>13</v>
      </c>
      <c r="D93" s="2" t="s">
        <v>28</v>
      </c>
      <c r="E93" s="2" t="s">
        <v>15</v>
      </c>
      <c r="F93" s="5">
        <v>2833.88</v>
      </c>
    </row>
    <row r="94" spans="1:6" ht="15.75" customHeight="1" x14ac:dyDescent="0.3">
      <c r="A94" s="4" t="s">
        <v>95</v>
      </c>
      <c r="B94" s="2" t="s">
        <v>30</v>
      </c>
      <c r="C94" s="2" t="s">
        <v>8</v>
      </c>
      <c r="D94" s="2" t="s">
        <v>28</v>
      </c>
      <c r="E94" s="2" t="s">
        <v>10</v>
      </c>
      <c r="F94" s="5">
        <v>2605.96</v>
      </c>
    </row>
    <row r="95" spans="1:6" ht="15.75" customHeight="1" x14ac:dyDescent="0.3">
      <c r="A95" s="4" t="s">
        <v>69</v>
      </c>
      <c r="B95" s="2" t="s">
        <v>7</v>
      </c>
      <c r="C95" s="2" t="s">
        <v>34</v>
      </c>
      <c r="D95" s="2" t="s">
        <v>9</v>
      </c>
      <c r="E95" s="2" t="s">
        <v>24</v>
      </c>
      <c r="F95" s="5">
        <v>532.45395829563051</v>
      </c>
    </row>
    <row r="96" spans="1:6" ht="15.75" customHeight="1" x14ac:dyDescent="0.3">
      <c r="A96" s="4" t="s">
        <v>96</v>
      </c>
      <c r="B96" s="2" t="s">
        <v>19</v>
      </c>
      <c r="C96" s="2" t="s">
        <v>13</v>
      </c>
      <c r="D96" s="2" t="s">
        <v>9</v>
      </c>
      <c r="E96" s="2" t="s">
        <v>24</v>
      </c>
      <c r="F96" s="5">
        <v>1876.955465715984</v>
      </c>
    </row>
    <row r="97" spans="1:6" ht="15.75" customHeight="1" x14ac:dyDescent="0.3">
      <c r="A97" s="4" t="s">
        <v>97</v>
      </c>
      <c r="B97" s="2" t="s">
        <v>7</v>
      </c>
      <c r="C97" s="2" t="s">
        <v>13</v>
      </c>
      <c r="D97" s="2" t="s">
        <v>14</v>
      </c>
      <c r="E97" s="2" t="s">
        <v>15</v>
      </c>
      <c r="F97" s="5">
        <v>522.41</v>
      </c>
    </row>
    <row r="98" spans="1:6" ht="15.75" customHeight="1" x14ac:dyDescent="0.3">
      <c r="A98" s="4" t="s">
        <v>98</v>
      </c>
      <c r="B98" s="2" t="s">
        <v>19</v>
      </c>
      <c r="C98" s="2" t="s">
        <v>23</v>
      </c>
      <c r="D98" s="2" t="s">
        <v>9</v>
      </c>
      <c r="E98" s="2" t="s">
        <v>10</v>
      </c>
      <c r="F98" s="5">
        <v>4953.9799999999996</v>
      </c>
    </row>
    <row r="99" spans="1:6" ht="15.75" customHeight="1" x14ac:dyDescent="0.3">
      <c r="A99" s="4" t="s">
        <v>99</v>
      </c>
      <c r="B99" s="2" t="s">
        <v>19</v>
      </c>
      <c r="C99" s="2" t="s">
        <v>13</v>
      </c>
      <c r="D99" s="2" t="s">
        <v>9</v>
      </c>
      <c r="E99" s="2" t="s">
        <v>15</v>
      </c>
      <c r="F99" s="5">
        <v>2322.96</v>
      </c>
    </row>
    <row r="100" spans="1:6" ht="15.75" customHeight="1" x14ac:dyDescent="0.3">
      <c r="A100" s="4" t="s">
        <v>80</v>
      </c>
      <c r="B100" s="2" t="s">
        <v>17</v>
      </c>
      <c r="C100" s="2" t="s">
        <v>34</v>
      </c>
      <c r="D100" s="2" t="s">
        <v>28</v>
      </c>
      <c r="E100" s="2" t="s">
        <v>24</v>
      </c>
      <c r="F100" s="5">
        <v>4662.91</v>
      </c>
    </row>
    <row r="101" spans="1:6" ht="15.75" customHeight="1" x14ac:dyDescent="0.3">
      <c r="A101" s="4" t="s">
        <v>100</v>
      </c>
      <c r="B101" s="2" t="s">
        <v>7</v>
      </c>
      <c r="C101" s="2" t="s">
        <v>23</v>
      </c>
      <c r="D101" s="2" t="s">
        <v>28</v>
      </c>
      <c r="E101" s="2" t="s">
        <v>24</v>
      </c>
      <c r="F101" s="5">
        <v>1907.29</v>
      </c>
    </row>
    <row r="102" spans="1:6" ht="15.75" customHeight="1" x14ac:dyDescent="0.3">
      <c r="A102" s="4" t="s">
        <v>101</v>
      </c>
      <c r="B102" s="2" t="s">
        <v>19</v>
      </c>
      <c r="C102" s="2" t="s">
        <v>13</v>
      </c>
      <c r="D102" s="2" t="s">
        <v>9</v>
      </c>
      <c r="E102" s="2" t="s">
        <v>15</v>
      </c>
      <c r="F102" s="5">
        <v>1668.5872367069601</v>
      </c>
    </row>
    <row r="103" spans="1:6" ht="15.75" customHeight="1" x14ac:dyDescent="0.3">
      <c r="A103" s="4" t="s">
        <v>102</v>
      </c>
      <c r="B103" s="2" t="s">
        <v>19</v>
      </c>
      <c r="C103" s="2" t="s">
        <v>34</v>
      </c>
      <c r="D103" s="2" t="s">
        <v>14</v>
      </c>
      <c r="E103" s="2" t="s">
        <v>24</v>
      </c>
      <c r="F103" s="5">
        <v>3260.51</v>
      </c>
    </row>
    <row r="104" spans="1:6" ht="15.75" customHeight="1" x14ac:dyDescent="0.3">
      <c r="A104" s="4" t="s">
        <v>103</v>
      </c>
      <c r="B104" s="2" t="s">
        <v>19</v>
      </c>
      <c r="C104" s="2" t="s">
        <v>8</v>
      </c>
      <c r="D104" s="2" t="s">
        <v>14</v>
      </c>
      <c r="E104" s="2" t="s">
        <v>10</v>
      </c>
      <c r="F104" s="5">
        <v>2218.4699999999998</v>
      </c>
    </row>
    <row r="105" spans="1:6" ht="15.75" customHeight="1" x14ac:dyDescent="0.3">
      <c r="A105" s="4" t="s">
        <v>78</v>
      </c>
      <c r="B105" s="2" t="s">
        <v>7</v>
      </c>
      <c r="C105" s="2" t="s">
        <v>34</v>
      </c>
      <c r="D105" s="2" t="s">
        <v>14</v>
      </c>
      <c r="E105" s="2" t="s">
        <v>10</v>
      </c>
      <c r="F105" s="5">
        <v>479.85</v>
      </c>
    </row>
    <row r="106" spans="1:6" ht="15.75" customHeight="1" x14ac:dyDescent="0.3">
      <c r="A106" s="4" t="s">
        <v>104</v>
      </c>
      <c r="B106" s="2" t="s">
        <v>17</v>
      </c>
      <c r="C106" s="2" t="s">
        <v>8</v>
      </c>
      <c r="D106" s="2" t="s">
        <v>28</v>
      </c>
      <c r="E106" s="2" t="s">
        <v>15</v>
      </c>
      <c r="F106" s="5">
        <v>401.65</v>
      </c>
    </row>
    <row r="107" spans="1:6" ht="15.75" customHeight="1" x14ac:dyDescent="0.3">
      <c r="A107" s="4" t="s">
        <v>105</v>
      </c>
      <c r="B107" s="2" t="s">
        <v>30</v>
      </c>
      <c r="C107" s="2" t="s">
        <v>34</v>
      </c>
      <c r="D107" s="2" t="s">
        <v>28</v>
      </c>
      <c r="E107" s="2" t="s">
        <v>24</v>
      </c>
      <c r="F107" s="5">
        <v>4844.9399999999996</v>
      </c>
    </row>
    <row r="108" spans="1:6" ht="15.75" customHeight="1" x14ac:dyDescent="0.3">
      <c r="A108" s="4" t="s">
        <v>106</v>
      </c>
      <c r="B108" s="2" t="s">
        <v>12</v>
      </c>
      <c r="C108" s="2" t="s">
        <v>34</v>
      </c>
      <c r="D108" s="2" t="s">
        <v>14</v>
      </c>
      <c r="E108" s="2" t="s">
        <v>10</v>
      </c>
      <c r="F108" s="5">
        <v>1954.31</v>
      </c>
    </row>
    <row r="109" spans="1:6" ht="15.75" customHeight="1" x14ac:dyDescent="0.3">
      <c r="A109" s="4" t="s">
        <v>66</v>
      </c>
      <c r="B109" s="2" t="s">
        <v>30</v>
      </c>
      <c r="C109" s="2" t="s">
        <v>23</v>
      </c>
      <c r="D109" s="2" t="s">
        <v>28</v>
      </c>
      <c r="E109" s="2" t="s">
        <v>15</v>
      </c>
      <c r="F109" s="5">
        <v>2094.86</v>
      </c>
    </row>
    <row r="110" spans="1:6" ht="15.75" customHeight="1" x14ac:dyDescent="0.3">
      <c r="A110" s="4" t="s">
        <v>107</v>
      </c>
      <c r="B110" s="2" t="s">
        <v>30</v>
      </c>
      <c r="C110" s="2" t="s">
        <v>8</v>
      </c>
      <c r="D110" s="2" t="s">
        <v>28</v>
      </c>
      <c r="E110" s="2" t="s">
        <v>24</v>
      </c>
      <c r="F110" s="5">
        <v>3876.8</v>
      </c>
    </row>
    <row r="111" spans="1:6" ht="15.75" customHeight="1" x14ac:dyDescent="0.3">
      <c r="A111" s="4" t="s">
        <v>45</v>
      </c>
      <c r="B111" s="2" t="s">
        <v>7</v>
      </c>
      <c r="C111" s="2" t="s">
        <v>34</v>
      </c>
      <c r="D111" s="2" t="s">
        <v>28</v>
      </c>
      <c r="E111" s="2" t="s">
        <v>10</v>
      </c>
      <c r="F111" s="5">
        <v>3209.34</v>
      </c>
    </row>
    <row r="112" spans="1:6" ht="15.75" customHeight="1" x14ac:dyDescent="0.3">
      <c r="A112" s="4" t="s">
        <v>108</v>
      </c>
      <c r="B112" s="2" t="s">
        <v>7</v>
      </c>
      <c r="C112" s="2" t="s">
        <v>8</v>
      </c>
      <c r="D112" s="2" t="s">
        <v>28</v>
      </c>
      <c r="E112" s="2" t="s">
        <v>24</v>
      </c>
      <c r="F112" s="5">
        <v>1290.4100000000001</v>
      </c>
    </row>
    <row r="113" spans="1:6" ht="15.75" customHeight="1" x14ac:dyDescent="0.3">
      <c r="A113" s="4" t="s">
        <v>42</v>
      </c>
      <c r="B113" s="2" t="s">
        <v>30</v>
      </c>
      <c r="C113" s="2" t="s">
        <v>13</v>
      </c>
      <c r="D113" s="2" t="s">
        <v>14</v>
      </c>
      <c r="E113" s="2" t="s">
        <v>24</v>
      </c>
      <c r="F113" s="5">
        <v>3768.03</v>
      </c>
    </row>
    <row r="114" spans="1:6" ht="15.75" customHeight="1" x14ac:dyDescent="0.3">
      <c r="A114" s="4" t="s">
        <v>109</v>
      </c>
      <c r="B114" s="2" t="s">
        <v>12</v>
      </c>
      <c r="C114" s="2" t="s">
        <v>8</v>
      </c>
      <c r="D114" s="2" t="s">
        <v>28</v>
      </c>
      <c r="E114" s="2" t="s">
        <v>10</v>
      </c>
      <c r="F114" s="5">
        <v>2209.6</v>
      </c>
    </row>
    <row r="115" spans="1:6" ht="15.75" customHeight="1" x14ac:dyDescent="0.3">
      <c r="A115" s="4" t="s">
        <v>110</v>
      </c>
      <c r="B115" s="2" t="s">
        <v>12</v>
      </c>
      <c r="C115" s="2" t="s">
        <v>34</v>
      </c>
      <c r="D115" s="2" t="s">
        <v>9</v>
      </c>
      <c r="E115" s="2" t="s">
        <v>24</v>
      </c>
      <c r="F115" s="5">
        <v>3789.17</v>
      </c>
    </row>
    <row r="116" spans="1:6" ht="15.75" customHeight="1" x14ac:dyDescent="0.3">
      <c r="A116" s="4" t="s">
        <v>111</v>
      </c>
      <c r="B116" s="2" t="s">
        <v>19</v>
      </c>
      <c r="C116" s="2" t="s">
        <v>8</v>
      </c>
      <c r="D116" s="2" t="s">
        <v>28</v>
      </c>
      <c r="E116" s="2" t="s">
        <v>10</v>
      </c>
      <c r="F116" s="5">
        <v>2970.05</v>
      </c>
    </row>
    <row r="117" spans="1:6" ht="15.75" customHeight="1" x14ac:dyDescent="0.3">
      <c r="A117" s="4" t="s">
        <v>112</v>
      </c>
      <c r="B117" s="2" t="s">
        <v>30</v>
      </c>
      <c r="C117" s="2" t="s">
        <v>23</v>
      </c>
      <c r="D117" s="2" t="s">
        <v>28</v>
      </c>
      <c r="E117" s="2" t="s">
        <v>10</v>
      </c>
      <c r="F117" s="5">
        <v>1858.31</v>
      </c>
    </row>
    <row r="118" spans="1:6" ht="15.75" customHeight="1" x14ac:dyDescent="0.3">
      <c r="A118" s="4" t="s">
        <v>62</v>
      </c>
      <c r="B118" s="2" t="s">
        <v>30</v>
      </c>
      <c r="C118" s="2" t="s">
        <v>8</v>
      </c>
      <c r="D118" s="2" t="s">
        <v>9</v>
      </c>
      <c r="E118" s="2" t="s">
        <v>10</v>
      </c>
      <c r="F118" s="5">
        <v>3702.9533960905442</v>
      </c>
    </row>
    <row r="119" spans="1:6" ht="15.75" customHeight="1" x14ac:dyDescent="0.3">
      <c r="A119" s="4" t="s">
        <v>113</v>
      </c>
      <c r="B119" s="2" t="s">
        <v>30</v>
      </c>
      <c r="C119" s="2" t="s">
        <v>23</v>
      </c>
      <c r="D119" s="2" t="s">
        <v>28</v>
      </c>
      <c r="E119" s="2" t="s">
        <v>10</v>
      </c>
      <c r="F119" s="5">
        <v>3276</v>
      </c>
    </row>
    <row r="120" spans="1:6" ht="15.75" customHeight="1" x14ac:dyDescent="0.3">
      <c r="A120" s="4" t="s">
        <v>114</v>
      </c>
      <c r="B120" s="2" t="s">
        <v>30</v>
      </c>
      <c r="C120" s="2" t="s">
        <v>8</v>
      </c>
      <c r="D120" s="2" t="s">
        <v>14</v>
      </c>
      <c r="E120" s="2" t="s">
        <v>24</v>
      </c>
      <c r="F120" s="5">
        <v>526.37</v>
      </c>
    </row>
    <row r="121" spans="1:6" ht="15.75" customHeight="1" x14ac:dyDescent="0.3">
      <c r="A121" s="4" t="s">
        <v>115</v>
      </c>
      <c r="B121" s="2" t="s">
        <v>19</v>
      </c>
      <c r="C121" s="2" t="s">
        <v>13</v>
      </c>
      <c r="D121" s="2" t="s">
        <v>14</v>
      </c>
      <c r="E121" s="2" t="s">
        <v>10</v>
      </c>
      <c r="F121" s="5">
        <v>445.6</v>
      </c>
    </row>
    <row r="122" spans="1:6" ht="15.75" customHeight="1" x14ac:dyDescent="0.3">
      <c r="A122" s="4" t="s">
        <v>116</v>
      </c>
      <c r="B122" s="2" t="s">
        <v>17</v>
      </c>
      <c r="C122" s="2" t="s">
        <v>34</v>
      </c>
      <c r="D122" s="2" t="s">
        <v>9</v>
      </c>
      <c r="E122" s="2" t="s">
        <v>15</v>
      </c>
      <c r="F122" s="5">
        <v>4486.2700950101444</v>
      </c>
    </row>
    <row r="123" spans="1:6" ht="15.75" customHeight="1" x14ac:dyDescent="0.3">
      <c r="A123" s="4" t="s">
        <v>111</v>
      </c>
      <c r="B123" s="2" t="s">
        <v>19</v>
      </c>
      <c r="C123" s="2" t="s">
        <v>13</v>
      </c>
      <c r="D123" s="2" t="s">
        <v>9</v>
      </c>
      <c r="E123" s="2" t="s">
        <v>15</v>
      </c>
      <c r="F123" s="5">
        <v>1770.541684931432</v>
      </c>
    </row>
    <row r="124" spans="1:6" ht="15.75" customHeight="1" x14ac:dyDescent="0.3">
      <c r="A124" s="4" t="s">
        <v>102</v>
      </c>
      <c r="B124" s="2" t="s">
        <v>19</v>
      </c>
      <c r="C124" s="2" t="s">
        <v>34</v>
      </c>
      <c r="D124" s="2" t="s">
        <v>9</v>
      </c>
      <c r="E124" s="2" t="s">
        <v>24</v>
      </c>
      <c r="F124" s="5">
        <v>2762.1897461085468</v>
      </c>
    </row>
    <row r="125" spans="1:6" ht="15.75" customHeight="1" x14ac:dyDescent="0.3">
      <c r="A125" s="4" t="s">
        <v>50</v>
      </c>
      <c r="B125" s="2" t="s">
        <v>19</v>
      </c>
      <c r="C125" s="2" t="s">
        <v>34</v>
      </c>
      <c r="D125" s="2" t="s">
        <v>14</v>
      </c>
      <c r="E125" s="2" t="s">
        <v>15</v>
      </c>
      <c r="F125" s="5">
        <v>1531.3</v>
      </c>
    </row>
    <row r="126" spans="1:6" ht="15.75" customHeight="1" x14ac:dyDescent="0.3">
      <c r="A126" s="4" t="s">
        <v>86</v>
      </c>
      <c r="B126" s="2" t="s">
        <v>19</v>
      </c>
      <c r="C126" s="2" t="s">
        <v>34</v>
      </c>
      <c r="D126" s="2" t="s">
        <v>9</v>
      </c>
      <c r="E126" s="2" t="s">
        <v>15</v>
      </c>
      <c r="F126" s="5">
        <v>4453.3686583748668</v>
      </c>
    </row>
    <row r="127" spans="1:6" ht="15.75" customHeight="1" x14ac:dyDescent="0.3">
      <c r="A127" s="4" t="s">
        <v>71</v>
      </c>
      <c r="B127" s="2" t="s">
        <v>7</v>
      </c>
      <c r="C127" s="2" t="s">
        <v>23</v>
      </c>
      <c r="D127" s="2" t="s">
        <v>28</v>
      </c>
      <c r="E127" s="2" t="s">
        <v>10</v>
      </c>
      <c r="F127" s="5">
        <v>4934.5600000000004</v>
      </c>
    </row>
    <row r="128" spans="1:6" ht="15.75" customHeight="1" x14ac:dyDescent="0.3">
      <c r="A128" s="4" t="s">
        <v>117</v>
      </c>
      <c r="B128" s="2" t="s">
        <v>7</v>
      </c>
      <c r="C128" s="2" t="s">
        <v>13</v>
      </c>
      <c r="D128" s="2" t="s">
        <v>14</v>
      </c>
      <c r="E128" s="2" t="s">
        <v>10</v>
      </c>
      <c r="F128" s="5">
        <v>1164.7</v>
      </c>
    </row>
    <row r="129" spans="1:6" ht="15.75" customHeight="1" x14ac:dyDescent="0.3">
      <c r="A129" s="4" t="s">
        <v>118</v>
      </c>
      <c r="B129" s="2" t="s">
        <v>30</v>
      </c>
      <c r="C129" s="2" t="s">
        <v>13</v>
      </c>
      <c r="D129" s="2" t="s">
        <v>14</v>
      </c>
      <c r="E129" s="2" t="s">
        <v>24</v>
      </c>
      <c r="F129" s="5">
        <v>2732.08</v>
      </c>
    </row>
    <row r="130" spans="1:6" ht="15.75" customHeight="1" x14ac:dyDescent="0.3">
      <c r="A130" s="4" t="s">
        <v>84</v>
      </c>
      <c r="B130" s="2" t="s">
        <v>30</v>
      </c>
      <c r="C130" s="2" t="s">
        <v>13</v>
      </c>
      <c r="D130" s="2" t="s">
        <v>9</v>
      </c>
      <c r="E130" s="2" t="s">
        <v>10</v>
      </c>
      <c r="F130" s="5">
        <v>3114.497430094877</v>
      </c>
    </row>
    <row r="131" spans="1:6" ht="15.75" customHeight="1" x14ac:dyDescent="0.3">
      <c r="A131" s="4" t="s">
        <v>119</v>
      </c>
      <c r="B131" s="2" t="s">
        <v>30</v>
      </c>
      <c r="C131" s="2" t="s">
        <v>23</v>
      </c>
      <c r="D131" s="2" t="s">
        <v>14</v>
      </c>
      <c r="E131" s="2" t="s">
        <v>10</v>
      </c>
      <c r="F131" s="5">
        <v>3329.18</v>
      </c>
    </row>
    <row r="132" spans="1:6" ht="15.75" customHeight="1" x14ac:dyDescent="0.3">
      <c r="A132" s="4" t="s">
        <v>120</v>
      </c>
      <c r="B132" s="2" t="s">
        <v>30</v>
      </c>
      <c r="C132" s="2" t="s">
        <v>23</v>
      </c>
      <c r="D132" s="2" t="s">
        <v>28</v>
      </c>
      <c r="E132" s="2" t="s">
        <v>10</v>
      </c>
      <c r="F132" s="5">
        <v>3195.93</v>
      </c>
    </row>
    <row r="133" spans="1:6" ht="15.75" customHeight="1" x14ac:dyDescent="0.3">
      <c r="A133" s="4" t="s">
        <v>91</v>
      </c>
      <c r="B133" s="2" t="s">
        <v>30</v>
      </c>
      <c r="C133" s="2" t="s">
        <v>8</v>
      </c>
      <c r="D133" s="2" t="s">
        <v>28</v>
      </c>
      <c r="E133" s="2" t="s">
        <v>15</v>
      </c>
      <c r="F133" s="5">
        <v>1246.5</v>
      </c>
    </row>
    <row r="134" spans="1:6" ht="15.75" customHeight="1" x14ac:dyDescent="0.3">
      <c r="A134" s="4" t="s">
        <v>121</v>
      </c>
      <c r="B134" s="2" t="s">
        <v>30</v>
      </c>
      <c r="C134" s="2" t="s">
        <v>8</v>
      </c>
      <c r="D134" s="2" t="s">
        <v>28</v>
      </c>
      <c r="E134" s="2" t="s">
        <v>10</v>
      </c>
      <c r="F134" s="5">
        <v>2737.6</v>
      </c>
    </row>
    <row r="135" spans="1:6" ht="15.75" customHeight="1" x14ac:dyDescent="0.3">
      <c r="A135" s="4" t="s">
        <v>122</v>
      </c>
      <c r="B135" s="2" t="s">
        <v>19</v>
      </c>
      <c r="C135" s="2" t="s">
        <v>34</v>
      </c>
      <c r="D135" s="2" t="s">
        <v>28</v>
      </c>
      <c r="E135" s="2" t="s">
        <v>15</v>
      </c>
      <c r="F135" s="5">
        <v>1722.2</v>
      </c>
    </row>
    <row r="136" spans="1:6" ht="15.75" customHeight="1" x14ac:dyDescent="0.3">
      <c r="A136" s="4" t="s">
        <v>123</v>
      </c>
      <c r="B136" s="2" t="s">
        <v>30</v>
      </c>
      <c r="C136" s="2" t="s">
        <v>8</v>
      </c>
      <c r="D136" s="2" t="s">
        <v>14</v>
      </c>
      <c r="E136" s="2" t="s">
        <v>15</v>
      </c>
      <c r="F136" s="5">
        <v>4036.12</v>
      </c>
    </row>
    <row r="137" spans="1:6" ht="15.75" customHeight="1" x14ac:dyDescent="0.3">
      <c r="A137" s="4" t="s">
        <v>124</v>
      </c>
      <c r="B137" s="2" t="s">
        <v>12</v>
      </c>
      <c r="C137" s="2" t="s">
        <v>23</v>
      </c>
      <c r="D137" s="2" t="s">
        <v>28</v>
      </c>
      <c r="E137" s="2" t="s">
        <v>10</v>
      </c>
      <c r="F137" s="5">
        <v>897.74</v>
      </c>
    </row>
    <row r="138" spans="1:6" ht="15.75" customHeight="1" x14ac:dyDescent="0.3">
      <c r="A138" s="4" t="s">
        <v>125</v>
      </c>
      <c r="B138" s="2" t="s">
        <v>7</v>
      </c>
      <c r="C138" s="2" t="s">
        <v>23</v>
      </c>
      <c r="D138" s="2" t="s">
        <v>14</v>
      </c>
      <c r="E138" s="2" t="s">
        <v>10</v>
      </c>
      <c r="F138" s="5">
        <v>1853.54</v>
      </c>
    </row>
    <row r="139" spans="1:6" ht="15.75" customHeight="1" x14ac:dyDescent="0.3">
      <c r="A139" s="4" t="s">
        <v>121</v>
      </c>
      <c r="B139" s="2" t="s">
        <v>30</v>
      </c>
      <c r="C139" s="2" t="s">
        <v>34</v>
      </c>
      <c r="D139" s="2" t="s">
        <v>14</v>
      </c>
      <c r="E139" s="2" t="s">
        <v>15</v>
      </c>
      <c r="F139" s="5">
        <v>4674.16</v>
      </c>
    </row>
    <row r="140" spans="1:6" ht="15.75" customHeight="1" x14ac:dyDescent="0.3">
      <c r="A140" s="4" t="s">
        <v>123</v>
      </c>
      <c r="B140" s="2" t="s">
        <v>30</v>
      </c>
      <c r="C140" s="2" t="s">
        <v>13</v>
      </c>
      <c r="D140" s="2" t="s">
        <v>9</v>
      </c>
      <c r="E140" s="2" t="s">
        <v>15</v>
      </c>
      <c r="F140" s="5">
        <v>4723.6000000000004</v>
      </c>
    </row>
    <row r="141" spans="1:6" ht="15.75" customHeight="1" x14ac:dyDescent="0.3">
      <c r="A141" s="4" t="s">
        <v>117</v>
      </c>
      <c r="B141" s="2" t="s">
        <v>7</v>
      </c>
      <c r="C141" s="2" t="s">
        <v>23</v>
      </c>
      <c r="D141" s="2" t="s">
        <v>9</v>
      </c>
      <c r="E141" s="2" t="s">
        <v>10</v>
      </c>
      <c r="F141" s="5">
        <v>3244.2138884844712</v>
      </c>
    </row>
    <row r="142" spans="1:6" ht="15.75" customHeight="1" x14ac:dyDescent="0.3">
      <c r="A142" s="4" t="s">
        <v>18</v>
      </c>
      <c r="B142" s="2" t="s">
        <v>19</v>
      </c>
      <c r="C142" s="2" t="s">
        <v>13</v>
      </c>
      <c r="D142" s="2" t="s">
        <v>14</v>
      </c>
      <c r="E142" s="2" t="s">
        <v>24</v>
      </c>
      <c r="F142" s="5">
        <v>980.22</v>
      </c>
    </row>
    <row r="143" spans="1:6" ht="15.75" customHeight="1" x14ac:dyDescent="0.3">
      <c r="A143" s="4" t="s">
        <v>126</v>
      </c>
      <c r="B143" s="2" t="s">
        <v>30</v>
      </c>
      <c r="C143" s="2" t="s">
        <v>8</v>
      </c>
      <c r="D143" s="2" t="s">
        <v>28</v>
      </c>
      <c r="E143" s="2" t="s">
        <v>15</v>
      </c>
      <c r="F143" s="5">
        <v>4810.13</v>
      </c>
    </row>
    <row r="144" spans="1:6" ht="15.75" customHeight="1" x14ac:dyDescent="0.3">
      <c r="A144" s="4" t="s">
        <v>127</v>
      </c>
      <c r="B144" s="2" t="s">
        <v>17</v>
      </c>
      <c r="C144" s="2" t="s">
        <v>23</v>
      </c>
      <c r="D144" s="2" t="s">
        <v>28</v>
      </c>
      <c r="E144" s="2" t="s">
        <v>24</v>
      </c>
      <c r="F144" s="5">
        <v>3868.27</v>
      </c>
    </row>
    <row r="145" spans="1:6" ht="15.75" customHeight="1" x14ac:dyDescent="0.3">
      <c r="A145" s="4" t="s">
        <v>114</v>
      </c>
      <c r="B145" s="2" t="s">
        <v>30</v>
      </c>
      <c r="C145" s="2" t="s">
        <v>8</v>
      </c>
      <c r="D145" s="2" t="s">
        <v>28</v>
      </c>
      <c r="E145" s="2" t="s">
        <v>24</v>
      </c>
      <c r="F145" s="5">
        <v>714.41</v>
      </c>
    </row>
    <row r="146" spans="1:6" ht="15.75" customHeight="1" x14ac:dyDescent="0.3">
      <c r="A146" s="4" t="s">
        <v>117</v>
      </c>
      <c r="B146" s="2" t="s">
        <v>7</v>
      </c>
      <c r="C146" s="2" t="s">
        <v>13</v>
      </c>
      <c r="D146" s="2" t="s">
        <v>9</v>
      </c>
      <c r="E146" s="2" t="s">
        <v>10</v>
      </c>
      <c r="F146" s="5">
        <v>1121.0578935177909</v>
      </c>
    </row>
    <row r="147" spans="1:6" ht="15.75" customHeight="1" x14ac:dyDescent="0.3">
      <c r="A147" s="4" t="s">
        <v>128</v>
      </c>
      <c r="B147" s="2" t="s">
        <v>12</v>
      </c>
      <c r="C147" s="2" t="s">
        <v>13</v>
      </c>
      <c r="D147" s="2" t="s">
        <v>9</v>
      </c>
      <c r="E147" s="2" t="s">
        <v>24</v>
      </c>
      <c r="F147" s="5">
        <v>1645.674402900906</v>
      </c>
    </row>
    <row r="148" spans="1:6" ht="15.75" customHeight="1" x14ac:dyDescent="0.3">
      <c r="A148" s="4" t="s">
        <v>129</v>
      </c>
      <c r="B148" s="2" t="s">
        <v>17</v>
      </c>
      <c r="C148" s="2" t="s">
        <v>34</v>
      </c>
      <c r="D148" s="2" t="s">
        <v>9</v>
      </c>
      <c r="E148" s="2" t="s">
        <v>15</v>
      </c>
      <c r="F148" s="5">
        <v>3519.737244637276</v>
      </c>
    </row>
    <row r="149" spans="1:6" ht="15.75" customHeight="1" x14ac:dyDescent="0.3">
      <c r="A149" s="4" t="s">
        <v>82</v>
      </c>
      <c r="B149" s="2" t="s">
        <v>17</v>
      </c>
      <c r="C149" s="2" t="s">
        <v>34</v>
      </c>
      <c r="D149" s="2" t="s">
        <v>9</v>
      </c>
      <c r="E149" s="2" t="s">
        <v>24</v>
      </c>
      <c r="F149" s="5">
        <v>2222.6799999999998</v>
      </c>
    </row>
    <row r="150" spans="1:6" ht="15.75" customHeight="1" x14ac:dyDescent="0.3">
      <c r="A150" s="4" t="s">
        <v>80</v>
      </c>
      <c r="B150" s="2" t="s">
        <v>17</v>
      </c>
      <c r="C150" s="2" t="s">
        <v>34</v>
      </c>
      <c r="D150" s="2" t="s">
        <v>14</v>
      </c>
      <c r="E150" s="2" t="s">
        <v>15</v>
      </c>
      <c r="F150" s="5">
        <v>261.56</v>
      </c>
    </row>
    <row r="151" spans="1:6" ht="15.75" customHeight="1" x14ac:dyDescent="0.3">
      <c r="A151" s="4" t="s">
        <v>63</v>
      </c>
      <c r="B151" s="2" t="s">
        <v>12</v>
      </c>
      <c r="C151" s="2" t="s">
        <v>34</v>
      </c>
      <c r="D151" s="2" t="s">
        <v>9</v>
      </c>
      <c r="E151" s="2" t="s">
        <v>24</v>
      </c>
      <c r="F151" s="5">
        <v>4724.5603346971384</v>
      </c>
    </row>
    <row r="152" spans="1:6" ht="15.75" customHeight="1" x14ac:dyDescent="0.3">
      <c r="A152" s="4" t="s">
        <v>130</v>
      </c>
      <c r="B152" s="2" t="s">
        <v>12</v>
      </c>
      <c r="C152" s="2" t="s">
        <v>13</v>
      </c>
      <c r="D152" s="2" t="s">
        <v>14</v>
      </c>
      <c r="E152" s="2" t="s">
        <v>10</v>
      </c>
      <c r="F152" s="5">
        <v>1696.11</v>
      </c>
    </row>
    <row r="153" spans="1:6" ht="15.75" customHeight="1" x14ac:dyDescent="0.3">
      <c r="A153" s="4" t="s">
        <v>131</v>
      </c>
      <c r="B153" s="2" t="s">
        <v>17</v>
      </c>
      <c r="C153" s="2" t="s">
        <v>13</v>
      </c>
      <c r="D153" s="2" t="s">
        <v>28</v>
      </c>
      <c r="E153" s="2" t="s">
        <v>24</v>
      </c>
      <c r="F153" s="5">
        <v>1447.34</v>
      </c>
    </row>
    <row r="154" spans="1:6" ht="15.75" customHeight="1" x14ac:dyDescent="0.3">
      <c r="A154" s="4" t="s">
        <v>132</v>
      </c>
      <c r="B154" s="2" t="s">
        <v>19</v>
      </c>
      <c r="C154" s="2" t="s">
        <v>13</v>
      </c>
      <c r="D154" s="2" t="s">
        <v>14</v>
      </c>
      <c r="E154" s="2" t="s">
        <v>24</v>
      </c>
      <c r="F154" s="5">
        <v>3456.69</v>
      </c>
    </row>
    <row r="155" spans="1:6" ht="15.75" customHeight="1" x14ac:dyDescent="0.3">
      <c r="A155" s="4" t="s">
        <v>47</v>
      </c>
      <c r="B155" s="2" t="s">
        <v>30</v>
      </c>
      <c r="C155" s="2" t="s">
        <v>34</v>
      </c>
      <c r="D155" s="2" t="s">
        <v>28</v>
      </c>
      <c r="E155" s="2" t="s">
        <v>10</v>
      </c>
      <c r="F155" s="5">
        <v>1842.07</v>
      </c>
    </row>
    <row r="156" spans="1:6" ht="15.75" customHeight="1" x14ac:dyDescent="0.3">
      <c r="A156" s="4" t="s">
        <v>133</v>
      </c>
      <c r="B156" s="2" t="s">
        <v>17</v>
      </c>
      <c r="C156" s="2" t="s">
        <v>13</v>
      </c>
      <c r="D156" s="2" t="s">
        <v>9</v>
      </c>
      <c r="E156" s="2" t="s">
        <v>15</v>
      </c>
      <c r="F156" s="5">
        <v>670.69</v>
      </c>
    </row>
    <row r="157" spans="1:6" ht="15.75" customHeight="1" x14ac:dyDescent="0.3">
      <c r="A157" s="4" t="s">
        <v>134</v>
      </c>
      <c r="B157" s="2" t="s">
        <v>7</v>
      </c>
      <c r="C157" s="2" t="s">
        <v>23</v>
      </c>
      <c r="D157" s="2" t="s">
        <v>9</v>
      </c>
      <c r="E157" s="2" t="s">
        <v>15</v>
      </c>
      <c r="F157" s="5">
        <v>1143.2019804232079</v>
      </c>
    </row>
    <row r="158" spans="1:6" ht="15.75" customHeight="1" x14ac:dyDescent="0.3">
      <c r="A158" s="4" t="s">
        <v>80</v>
      </c>
      <c r="B158" s="2" t="s">
        <v>17</v>
      </c>
      <c r="C158" s="2" t="s">
        <v>23</v>
      </c>
      <c r="D158" s="2" t="s">
        <v>9</v>
      </c>
      <c r="E158" s="2" t="s">
        <v>10</v>
      </c>
      <c r="F158" s="5">
        <v>3475.514974478871</v>
      </c>
    </row>
    <row r="159" spans="1:6" ht="15.75" customHeight="1" x14ac:dyDescent="0.3">
      <c r="A159" s="4" t="s">
        <v>92</v>
      </c>
      <c r="B159" s="2" t="s">
        <v>30</v>
      </c>
      <c r="C159" s="2" t="s">
        <v>34</v>
      </c>
      <c r="D159" s="2" t="s">
        <v>28</v>
      </c>
      <c r="E159" s="2" t="s">
        <v>10</v>
      </c>
      <c r="F159" s="5">
        <v>1313.1</v>
      </c>
    </row>
    <row r="160" spans="1:6" ht="15.75" customHeight="1" x14ac:dyDescent="0.3">
      <c r="A160" s="4" t="s">
        <v>90</v>
      </c>
      <c r="B160" s="2" t="s">
        <v>19</v>
      </c>
      <c r="C160" s="2" t="s">
        <v>13</v>
      </c>
      <c r="D160" s="2" t="s">
        <v>14</v>
      </c>
      <c r="E160" s="2" t="s">
        <v>24</v>
      </c>
      <c r="F160" s="5">
        <v>2271.65</v>
      </c>
    </row>
    <row r="161" spans="1:6" ht="15.75" customHeight="1" x14ac:dyDescent="0.3">
      <c r="A161" s="4" t="s">
        <v>80</v>
      </c>
      <c r="B161" s="2" t="s">
        <v>17</v>
      </c>
      <c r="C161" s="2" t="s">
        <v>8</v>
      </c>
      <c r="D161" s="2" t="s">
        <v>9</v>
      </c>
      <c r="E161" s="2" t="s">
        <v>15</v>
      </c>
      <c r="F161" s="5">
        <v>4185.7462964304368</v>
      </c>
    </row>
    <row r="162" spans="1:6" ht="15.75" customHeight="1" x14ac:dyDescent="0.3">
      <c r="A162" s="4" t="s">
        <v>86</v>
      </c>
      <c r="B162" s="2" t="s">
        <v>19</v>
      </c>
      <c r="C162" s="2" t="s">
        <v>13</v>
      </c>
      <c r="D162" s="2" t="s">
        <v>9</v>
      </c>
      <c r="E162" s="2" t="s">
        <v>10</v>
      </c>
      <c r="F162" s="5">
        <v>704.33660399112352</v>
      </c>
    </row>
    <row r="163" spans="1:6" ht="15.75" customHeight="1" x14ac:dyDescent="0.3">
      <c r="A163" s="4" t="s">
        <v>135</v>
      </c>
      <c r="B163" s="2" t="s">
        <v>12</v>
      </c>
      <c r="C163" s="2" t="s">
        <v>8</v>
      </c>
      <c r="D163" s="2" t="s">
        <v>9</v>
      </c>
      <c r="E163" s="2" t="s">
        <v>24</v>
      </c>
      <c r="F163" s="5">
        <v>801.11</v>
      </c>
    </row>
    <row r="164" spans="1:6" ht="15.75" customHeight="1" x14ac:dyDescent="0.3">
      <c r="A164" s="4" t="s">
        <v>21</v>
      </c>
      <c r="B164" s="2" t="s">
        <v>19</v>
      </c>
      <c r="C164" s="2" t="s">
        <v>13</v>
      </c>
      <c r="D164" s="2" t="s">
        <v>14</v>
      </c>
      <c r="E164" s="2" t="s">
        <v>10</v>
      </c>
      <c r="F164" s="5">
        <v>1685.02</v>
      </c>
    </row>
    <row r="165" spans="1:6" ht="15.75" customHeight="1" x14ac:dyDescent="0.3">
      <c r="A165" s="4" t="s">
        <v>132</v>
      </c>
      <c r="B165" s="2" t="s">
        <v>19</v>
      </c>
      <c r="C165" s="2" t="s">
        <v>8</v>
      </c>
      <c r="D165" s="2" t="s">
        <v>14</v>
      </c>
      <c r="E165" s="2" t="s">
        <v>10</v>
      </c>
      <c r="F165" s="5">
        <v>4811.95</v>
      </c>
    </row>
    <row r="166" spans="1:6" ht="15.75" customHeight="1" x14ac:dyDescent="0.3">
      <c r="A166" s="4" t="s">
        <v>136</v>
      </c>
      <c r="B166" s="2" t="s">
        <v>17</v>
      </c>
      <c r="C166" s="2" t="s">
        <v>23</v>
      </c>
      <c r="D166" s="2" t="s">
        <v>9</v>
      </c>
      <c r="E166" s="2" t="s">
        <v>24</v>
      </c>
      <c r="F166" s="5">
        <v>5093.515613100506</v>
      </c>
    </row>
    <row r="167" spans="1:6" ht="15.75" customHeight="1" x14ac:dyDescent="0.3">
      <c r="A167" s="4" t="s">
        <v>120</v>
      </c>
      <c r="B167" s="2" t="s">
        <v>30</v>
      </c>
      <c r="C167" s="2" t="s">
        <v>23</v>
      </c>
      <c r="D167" s="2" t="s">
        <v>9</v>
      </c>
      <c r="E167" s="2" t="s">
        <v>24</v>
      </c>
      <c r="F167" s="5">
        <v>4205.3747647439977</v>
      </c>
    </row>
    <row r="168" spans="1:6" ht="15.75" customHeight="1" x14ac:dyDescent="0.3">
      <c r="A168" s="4" t="s">
        <v>56</v>
      </c>
      <c r="B168" s="2" t="s">
        <v>19</v>
      </c>
      <c r="C168" s="2" t="s">
        <v>23</v>
      </c>
      <c r="D168" s="2" t="s">
        <v>9</v>
      </c>
      <c r="E168" s="2" t="s">
        <v>15</v>
      </c>
      <c r="F168" s="5">
        <v>1288.354116162589</v>
      </c>
    </row>
    <row r="169" spans="1:6" ht="15.75" customHeight="1" x14ac:dyDescent="0.3">
      <c r="A169" s="4" t="s">
        <v>93</v>
      </c>
      <c r="B169" s="2" t="s">
        <v>30</v>
      </c>
      <c r="C169" s="2" t="s">
        <v>8</v>
      </c>
      <c r="D169" s="2" t="s">
        <v>14</v>
      </c>
      <c r="E169" s="2" t="s">
        <v>24</v>
      </c>
      <c r="F169" s="5">
        <v>2663.02</v>
      </c>
    </row>
    <row r="170" spans="1:6" ht="15.75" customHeight="1" x14ac:dyDescent="0.3">
      <c r="A170" s="4" t="s">
        <v>136</v>
      </c>
      <c r="B170" s="2" t="s">
        <v>17</v>
      </c>
      <c r="C170" s="2" t="s">
        <v>8</v>
      </c>
      <c r="D170" s="2" t="s">
        <v>14</v>
      </c>
      <c r="E170" s="2" t="s">
        <v>10</v>
      </c>
      <c r="F170" s="5">
        <v>2844.55</v>
      </c>
    </row>
    <row r="171" spans="1:6" ht="15.75" customHeight="1" x14ac:dyDescent="0.3">
      <c r="A171" s="4" t="s">
        <v>137</v>
      </c>
      <c r="B171" s="2" t="s">
        <v>17</v>
      </c>
      <c r="C171" s="2" t="s">
        <v>13</v>
      </c>
      <c r="D171" s="2" t="s">
        <v>28</v>
      </c>
      <c r="E171" s="2" t="s">
        <v>10</v>
      </c>
      <c r="F171" s="5">
        <v>1998.08</v>
      </c>
    </row>
    <row r="172" spans="1:6" ht="15.75" customHeight="1" x14ac:dyDescent="0.3">
      <c r="A172" s="4" t="s">
        <v>53</v>
      </c>
      <c r="B172" s="2" t="s">
        <v>7</v>
      </c>
      <c r="C172" s="2" t="s">
        <v>23</v>
      </c>
      <c r="D172" s="2" t="s">
        <v>14</v>
      </c>
      <c r="E172" s="2" t="s">
        <v>10</v>
      </c>
      <c r="F172" s="5">
        <v>241.97</v>
      </c>
    </row>
    <row r="173" spans="1:6" ht="15.75" customHeight="1" x14ac:dyDescent="0.3">
      <c r="A173" s="4" t="s">
        <v>138</v>
      </c>
      <c r="B173" s="2" t="s">
        <v>12</v>
      </c>
      <c r="C173" s="2" t="s">
        <v>13</v>
      </c>
      <c r="D173" s="2" t="s">
        <v>9</v>
      </c>
      <c r="E173" s="2" t="s">
        <v>15</v>
      </c>
      <c r="F173" s="5">
        <v>2907.894665554817</v>
      </c>
    </row>
    <row r="174" spans="1:6" ht="15.75" customHeight="1" x14ac:dyDescent="0.3">
      <c r="A174" s="4" t="s">
        <v>64</v>
      </c>
      <c r="B174" s="2" t="s">
        <v>30</v>
      </c>
      <c r="C174" s="2" t="s">
        <v>23</v>
      </c>
      <c r="D174" s="2" t="s">
        <v>9</v>
      </c>
      <c r="E174" s="2" t="s">
        <v>15</v>
      </c>
      <c r="F174" s="5">
        <v>4728.95</v>
      </c>
    </row>
    <row r="175" spans="1:6" ht="15.75" customHeight="1" x14ac:dyDescent="0.3">
      <c r="A175" s="4" t="s">
        <v>50</v>
      </c>
      <c r="B175" s="2" t="s">
        <v>19</v>
      </c>
      <c r="C175" s="2" t="s">
        <v>13</v>
      </c>
      <c r="D175" s="2" t="s">
        <v>14</v>
      </c>
      <c r="E175" s="2" t="s">
        <v>24</v>
      </c>
      <c r="F175" s="5">
        <v>4265.8500000000004</v>
      </c>
    </row>
    <row r="176" spans="1:6" ht="15.75" customHeight="1" x14ac:dyDescent="0.3">
      <c r="A176" s="4" t="s">
        <v>139</v>
      </c>
      <c r="B176" s="2" t="s">
        <v>7</v>
      </c>
      <c r="C176" s="2" t="s">
        <v>23</v>
      </c>
      <c r="D176" s="2" t="s">
        <v>9</v>
      </c>
      <c r="E176" s="2" t="s">
        <v>24</v>
      </c>
      <c r="F176" s="5">
        <v>2361.5527537485918</v>
      </c>
    </row>
    <row r="177" spans="1:6" ht="15.75" customHeight="1" x14ac:dyDescent="0.3">
      <c r="A177" s="4" t="s">
        <v>58</v>
      </c>
      <c r="B177" s="2" t="s">
        <v>17</v>
      </c>
      <c r="C177" s="2" t="s">
        <v>23</v>
      </c>
      <c r="D177" s="2" t="s">
        <v>14</v>
      </c>
      <c r="E177" s="2" t="s">
        <v>10</v>
      </c>
      <c r="F177" s="5">
        <v>235.74</v>
      </c>
    </row>
    <row r="178" spans="1:6" ht="15.75" customHeight="1" x14ac:dyDescent="0.3">
      <c r="A178" s="4" t="s">
        <v>88</v>
      </c>
      <c r="B178" s="2" t="s">
        <v>7</v>
      </c>
      <c r="C178" s="2" t="s">
        <v>23</v>
      </c>
      <c r="D178" s="2" t="s">
        <v>28</v>
      </c>
      <c r="E178" s="2" t="s">
        <v>10</v>
      </c>
      <c r="F178" s="5">
        <v>2737</v>
      </c>
    </row>
    <row r="179" spans="1:6" ht="15.75" customHeight="1" x14ac:dyDescent="0.3">
      <c r="A179" s="4" t="s">
        <v>140</v>
      </c>
      <c r="B179" s="2" t="s">
        <v>17</v>
      </c>
      <c r="C179" s="2" t="s">
        <v>8</v>
      </c>
      <c r="D179" s="2" t="s">
        <v>28</v>
      </c>
      <c r="E179" s="2" t="s">
        <v>15</v>
      </c>
      <c r="F179" s="5">
        <v>1539.15</v>
      </c>
    </row>
    <row r="180" spans="1:6" ht="15.75" customHeight="1" x14ac:dyDescent="0.3">
      <c r="A180" s="4" t="s">
        <v>82</v>
      </c>
      <c r="B180" s="2" t="s">
        <v>17</v>
      </c>
      <c r="C180" s="2" t="s">
        <v>8</v>
      </c>
      <c r="D180" s="2" t="s">
        <v>28</v>
      </c>
      <c r="E180" s="2" t="s">
        <v>10</v>
      </c>
      <c r="F180" s="5">
        <v>502.47</v>
      </c>
    </row>
    <row r="181" spans="1:6" ht="15.75" customHeight="1" x14ac:dyDescent="0.3">
      <c r="A181" s="4" t="s">
        <v>120</v>
      </c>
      <c r="B181" s="2" t="s">
        <v>30</v>
      </c>
      <c r="C181" s="2" t="s">
        <v>8</v>
      </c>
      <c r="D181" s="2" t="s">
        <v>14</v>
      </c>
      <c r="E181" s="2" t="s">
        <v>15</v>
      </c>
      <c r="F181" s="5">
        <v>2710.93</v>
      </c>
    </row>
    <row r="182" spans="1:6" ht="15.75" customHeight="1" x14ac:dyDescent="0.3">
      <c r="A182" s="4" t="s">
        <v>141</v>
      </c>
      <c r="B182" s="2" t="s">
        <v>7</v>
      </c>
      <c r="C182" s="2" t="s">
        <v>34</v>
      </c>
      <c r="D182" s="2" t="s">
        <v>9</v>
      </c>
      <c r="E182" s="2" t="s">
        <v>10</v>
      </c>
      <c r="F182" s="5">
        <v>2286.242042626784</v>
      </c>
    </row>
    <row r="183" spans="1:6" ht="15.75" customHeight="1" x14ac:dyDescent="0.3">
      <c r="A183" s="4" t="s">
        <v>21</v>
      </c>
      <c r="B183" s="2" t="s">
        <v>19</v>
      </c>
      <c r="C183" s="2" t="s">
        <v>23</v>
      </c>
      <c r="D183" s="2" t="s">
        <v>9</v>
      </c>
      <c r="E183" s="2" t="s">
        <v>10</v>
      </c>
      <c r="F183" s="5">
        <v>3819.9789235455642</v>
      </c>
    </row>
    <row r="184" spans="1:6" ht="15.75" customHeight="1" x14ac:dyDescent="0.3">
      <c r="A184" s="4" t="s">
        <v>62</v>
      </c>
      <c r="B184" s="2" t="s">
        <v>30</v>
      </c>
      <c r="C184" s="2" t="s">
        <v>8</v>
      </c>
      <c r="D184" s="2" t="s">
        <v>14</v>
      </c>
      <c r="E184" s="2" t="s">
        <v>15</v>
      </c>
      <c r="F184" s="5">
        <v>2138.08</v>
      </c>
    </row>
    <row r="185" spans="1:6" ht="15.75" customHeight="1" x14ac:dyDescent="0.3">
      <c r="A185" s="4" t="s">
        <v>142</v>
      </c>
      <c r="B185" s="2" t="s">
        <v>17</v>
      </c>
      <c r="C185" s="2" t="s">
        <v>8</v>
      </c>
      <c r="D185" s="2" t="s">
        <v>28</v>
      </c>
      <c r="E185" s="2" t="s">
        <v>24</v>
      </c>
      <c r="F185" s="5">
        <v>747.74</v>
      </c>
    </row>
    <row r="186" spans="1:6" ht="15.75" customHeight="1" x14ac:dyDescent="0.3">
      <c r="A186" s="4" t="s">
        <v>143</v>
      </c>
      <c r="B186" s="2" t="s">
        <v>17</v>
      </c>
      <c r="C186" s="2" t="s">
        <v>34</v>
      </c>
      <c r="D186" s="2" t="s">
        <v>28</v>
      </c>
      <c r="E186" s="2" t="s">
        <v>24</v>
      </c>
      <c r="F186" s="5">
        <v>1025.55</v>
      </c>
    </row>
    <row r="187" spans="1:6" ht="15.75" customHeight="1" x14ac:dyDescent="0.3">
      <c r="A187" s="4" t="s">
        <v>144</v>
      </c>
      <c r="B187" s="2" t="s">
        <v>30</v>
      </c>
      <c r="C187" s="2" t="s">
        <v>8</v>
      </c>
      <c r="D187" s="2" t="s">
        <v>9</v>
      </c>
      <c r="E187" s="2" t="s">
        <v>15</v>
      </c>
      <c r="F187" s="5">
        <v>3382</v>
      </c>
    </row>
    <row r="188" spans="1:6" ht="15.75" customHeight="1" x14ac:dyDescent="0.3">
      <c r="A188" s="4" t="s">
        <v>145</v>
      </c>
      <c r="B188" s="2" t="s">
        <v>7</v>
      </c>
      <c r="C188" s="2" t="s">
        <v>23</v>
      </c>
      <c r="D188" s="2" t="s">
        <v>14</v>
      </c>
      <c r="E188" s="2" t="s">
        <v>24</v>
      </c>
      <c r="F188" s="5">
        <v>1772.18</v>
      </c>
    </row>
    <row r="189" spans="1:6" ht="15.75" customHeight="1" x14ac:dyDescent="0.3">
      <c r="A189" s="4" t="s">
        <v>81</v>
      </c>
      <c r="B189" s="2" t="s">
        <v>12</v>
      </c>
      <c r="C189" s="2" t="s">
        <v>13</v>
      </c>
      <c r="D189" s="2" t="s">
        <v>28</v>
      </c>
      <c r="E189" s="2" t="s">
        <v>24</v>
      </c>
      <c r="F189" s="5">
        <v>2150.66</v>
      </c>
    </row>
    <row r="190" spans="1:6" ht="15.75" customHeight="1" x14ac:dyDescent="0.3">
      <c r="A190" s="4" t="s">
        <v>129</v>
      </c>
      <c r="B190" s="2" t="s">
        <v>17</v>
      </c>
      <c r="C190" s="2" t="s">
        <v>34</v>
      </c>
      <c r="D190" s="2" t="s">
        <v>14</v>
      </c>
      <c r="E190" s="2" t="s">
        <v>15</v>
      </c>
      <c r="F190" s="5">
        <v>3214.91</v>
      </c>
    </row>
    <row r="191" spans="1:6" ht="15.75" customHeight="1" x14ac:dyDescent="0.3">
      <c r="A191" s="4" t="s">
        <v>54</v>
      </c>
      <c r="B191" s="2" t="s">
        <v>12</v>
      </c>
      <c r="C191" s="2" t="s">
        <v>34</v>
      </c>
      <c r="D191" s="2" t="s">
        <v>14</v>
      </c>
      <c r="E191" s="2" t="s">
        <v>24</v>
      </c>
      <c r="F191" s="5">
        <v>1475.38</v>
      </c>
    </row>
    <row r="192" spans="1:6" ht="15.75" customHeight="1" x14ac:dyDescent="0.3">
      <c r="A192" s="4" t="s">
        <v>26</v>
      </c>
      <c r="B192" s="2" t="s">
        <v>17</v>
      </c>
      <c r="C192" s="2" t="s">
        <v>8</v>
      </c>
      <c r="D192" s="2" t="s">
        <v>28</v>
      </c>
      <c r="E192" s="2" t="s">
        <v>24</v>
      </c>
      <c r="F192" s="5">
        <v>2631.42</v>
      </c>
    </row>
    <row r="193" spans="1:6" ht="15.75" customHeight="1" x14ac:dyDescent="0.3">
      <c r="A193" s="4" t="s">
        <v>78</v>
      </c>
      <c r="B193" s="2" t="s">
        <v>7</v>
      </c>
      <c r="C193" s="2" t="s">
        <v>13</v>
      </c>
      <c r="D193" s="2" t="s">
        <v>14</v>
      </c>
      <c r="E193" s="2" t="s">
        <v>15</v>
      </c>
      <c r="F193" s="5">
        <v>2973.99</v>
      </c>
    </row>
    <row r="194" spans="1:6" ht="15.75" customHeight="1" x14ac:dyDescent="0.3">
      <c r="A194" s="4" t="s">
        <v>44</v>
      </c>
      <c r="B194" s="2" t="s">
        <v>19</v>
      </c>
      <c r="C194" s="2" t="s">
        <v>8</v>
      </c>
      <c r="D194" s="2" t="s">
        <v>14</v>
      </c>
      <c r="E194" s="2" t="s">
        <v>24</v>
      </c>
      <c r="F194" s="5">
        <v>587.89</v>
      </c>
    </row>
    <row r="195" spans="1:6" ht="15.75" customHeight="1" x14ac:dyDescent="0.3">
      <c r="A195" s="4" t="s">
        <v>146</v>
      </c>
      <c r="B195" s="2" t="s">
        <v>7</v>
      </c>
      <c r="C195" s="2" t="s">
        <v>34</v>
      </c>
      <c r="D195" s="2" t="s">
        <v>14</v>
      </c>
      <c r="E195" s="2" t="s">
        <v>24</v>
      </c>
      <c r="F195" s="5">
        <v>599.52</v>
      </c>
    </row>
    <row r="196" spans="1:6" ht="15.75" customHeight="1" x14ac:dyDescent="0.3">
      <c r="A196" s="4" t="s">
        <v>147</v>
      </c>
      <c r="B196" s="2" t="s">
        <v>17</v>
      </c>
      <c r="C196" s="2" t="s">
        <v>8</v>
      </c>
      <c r="D196" s="2" t="s">
        <v>28</v>
      </c>
      <c r="E196" s="2" t="s">
        <v>10</v>
      </c>
      <c r="F196" s="5">
        <v>1993.42</v>
      </c>
    </row>
    <row r="197" spans="1:6" ht="15.75" customHeight="1" x14ac:dyDescent="0.3">
      <c r="A197" s="4" t="s">
        <v>148</v>
      </c>
      <c r="B197" s="2" t="s">
        <v>17</v>
      </c>
      <c r="C197" s="2" t="s">
        <v>13</v>
      </c>
      <c r="D197" s="2" t="s">
        <v>14</v>
      </c>
      <c r="E197" s="2" t="s">
        <v>10</v>
      </c>
      <c r="F197" s="5">
        <v>1395.49</v>
      </c>
    </row>
    <row r="198" spans="1:6" ht="15.75" customHeight="1" x14ac:dyDescent="0.3">
      <c r="A198" s="4" t="s">
        <v>59</v>
      </c>
      <c r="B198" s="2" t="s">
        <v>17</v>
      </c>
      <c r="C198" s="2" t="s">
        <v>13</v>
      </c>
      <c r="D198" s="2" t="s">
        <v>9</v>
      </c>
      <c r="E198" s="2" t="s">
        <v>15</v>
      </c>
      <c r="F198" s="5">
        <v>2509.14</v>
      </c>
    </row>
    <row r="199" spans="1:6" ht="15.75" customHeight="1" x14ac:dyDescent="0.3">
      <c r="A199" s="4" t="s">
        <v>101</v>
      </c>
      <c r="B199" s="2" t="s">
        <v>19</v>
      </c>
      <c r="C199" s="2" t="s">
        <v>23</v>
      </c>
      <c r="D199" s="2" t="s">
        <v>9</v>
      </c>
      <c r="E199" s="2" t="s">
        <v>24</v>
      </c>
      <c r="F199" s="5">
        <v>2619.1304724242682</v>
      </c>
    </row>
    <row r="200" spans="1:6" ht="15.75" customHeight="1" x14ac:dyDescent="0.3">
      <c r="A200" s="4" t="s">
        <v>61</v>
      </c>
      <c r="B200" s="2" t="s">
        <v>30</v>
      </c>
      <c r="C200" s="2" t="s">
        <v>13</v>
      </c>
      <c r="D200" s="2" t="s">
        <v>14</v>
      </c>
      <c r="E200" s="2" t="s">
        <v>10</v>
      </c>
      <c r="F200" s="5">
        <v>1192.6600000000001</v>
      </c>
    </row>
    <row r="201" spans="1:6" ht="15.75" customHeight="1" x14ac:dyDescent="0.3">
      <c r="A201" s="4" t="s">
        <v>101</v>
      </c>
      <c r="B201" s="2" t="s">
        <v>19</v>
      </c>
      <c r="C201" s="2" t="s">
        <v>34</v>
      </c>
      <c r="D201" s="2" t="s">
        <v>9</v>
      </c>
      <c r="E201" s="2" t="s">
        <v>24</v>
      </c>
      <c r="F201" s="5">
        <v>639.35639623347538</v>
      </c>
    </row>
    <row r="202" spans="1:6" ht="15.75" customHeight="1" x14ac:dyDescent="0.3">
      <c r="A202" s="4" t="s">
        <v>47</v>
      </c>
      <c r="B202" s="2" t="s">
        <v>30</v>
      </c>
      <c r="C202" s="2" t="s">
        <v>13</v>
      </c>
      <c r="D202" s="2" t="s">
        <v>28</v>
      </c>
      <c r="E202" s="2" t="s">
        <v>24</v>
      </c>
      <c r="F202" s="5">
        <v>3446.07</v>
      </c>
    </row>
    <row r="203" spans="1:6" ht="15.75" customHeight="1" x14ac:dyDescent="0.3">
      <c r="A203" s="4" t="s">
        <v>149</v>
      </c>
      <c r="B203" s="2" t="s">
        <v>17</v>
      </c>
      <c r="C203" s="2" t="s">
        <v>13</v>
      </c>
      <c r="D203" s="2" t="s">
        <v>9</v>
      </c>
      <c r="E203" s="2" t="s">
        <v>10</v>
      </c>
      <c r="F203" s="5">
        <v>2973.1976184187611</v>
      </c>
    </row>
    <row r="204" spans="1:6" ht="15.75" customHeight="1" x14ac:dyDescent="0.3">
      <c r="A204" s="4" t="s">
        <v>41</v>
      </c>
      <c r="B204" s="2" t="s">
        <v>30</v>
      </c>
      <c r="C204" s="2" t="s">
        <v>13</v>
      </c>
      <c r="D204" s="2" t="s">
        <v>28</v>
      </c>
      <c r="E204" s="2" t="s">
        <v>15</v>
      </c>
      <c r="F204" s="5">
        <v>4562.24</v>
      </c>
    </row>
    <row r="205" spans="1:6" ht="15.75" customHeight="1" x14ac:dyDescent="0.3">
      <c r="A205" s="4" t="s">
        <v>74</v>
      </c>
      <c r="B205" s="2" t="s">
        <v>19</v>
      </c>
      <c r="C205" s="2" t="s">
        <v>13</v>
      </c>
      <c r="D205" s="2" t="s">
        <v>28</v>
      </c>
      <c r="E205" s="2" t="s">
        <v>15</v>
      </c>
      <c r="F205" s="5">
        <v>3500.64</v>
      </c>
    </row>
    <row r="206" spans="1:6" ht="15.75" customHeight="1" x14ac:dyDescent="0.3">
      <c r="A206" s="4" t="s">
        <v>29</v>
      </c>
      <c r="B206" s="2" t="s">
        <v>30</v>
      </c>
      <c r="C206" s="2" t="s">
        <v>8</v>
      </c>
      <c r="D206" s="2" t="s">
        <v>28</v>
      </c>
      <c r="E206" s="2" t="s">
        <v>24</v>
      </c>
      <c r="F206" s="5">
        <v>3289.66</v>
      </c>
    </row>
    <row r="207" spans="1:6" ht="15.75" customHeight="1" x14ac:dyDescent="0.3">
      <c r="A207" s="4" t="s">
        <v>53</v>
      </c>
      <c r="B207" s="2" t="s">
        <v>7</v>
      </c>
      <c r="C207" s="2" t="s">
        <v>34</v>
      </c>
      <c r="D207" s="2" t="s">
        <v>14</v>
      </c>
      <c r="E207" s="2" t="s">
        <v>15</v>
      </c>
      <c r="F207" s="5">
        <v>540.26</v>
      </c>
    </row>
    <row r="208" spans="1:6" ht="15.75" customHeight="1" x14ac:dyDescent="0.3">
      <c r="A208" s="4" t="s">
        <v>150</v>
      </c>
      <c r="B208" s="2" t="s">
        <v>30</v>
      </c>
      <c r="C208" s="2" t="s">
        <v>23</v>
      </c>
      <c r="D208" s="2" t="s">
        <v>14</v>
      </c>
      <c r="E208" s="2" t="s">
        <v>15</v>
      </c>
      <c r="F208" s="5">
        <v>3784.31</v>
      </c>
    </row>
    <row r="209" spans="1:6" ht="15.75" customHeight="1" x14ac:dyDescent="0.3">
      <c r="A209" s="4" t="s">
        <v>33</v>
      </c>
      <c r="B209" s="2" t="s">
        <v>19</v>
      </c>
      <c r="C209" s="2" t="s">
        <v>13</v>
      </c>
      <c r="D209" s="2" t="s">
        <v>28</v>
      </c>
      <c r="E209" s="2" t="s">
        <v>24</v>
      </c>
      <c r="F209" s="5">
        <v>2320.83</v>
      </c>
    </row>
    <row r="210" spans="1:6" ht="15.75" customHeight="1" x14ac:dyDescent="0.3">
      <c r="A210" s="4" t="s">
        <v>82</v>
      </c>
      <c r="B210" s="2" t="s">
        <v>17</v>
      </c>
      <c r="C210" s="2" t="s">
        <v>34</v>
      </c>
      <c r="D210" s="2" t="s">
        <v>14</v>
      </c>
      <c r="E210" s="2" t="s">
        <v>15</v>
      </c>
      <c r="F210" s="5">
        <v>2311.4499999999998</v>
      </c>
    </row>
    <row r="211" spans="1:6" ht="15.75" customHeight="1" x14ac:dyDescent="0.3">
      <c r="A211" s="4" t="s">
        <v>122</v>
      </c>
      <c r="B211" s="2" t="s">
        <v>19</v>
      </c>
      <c r="C211" s="2" t="s">
        <v>23</v>
      </c>
      <c r="D211" s="2" t="s">
        <v>28</v>
      </c>
      <c r="E211" s="2" t="s">
        <v>10</v>
      </c>
      <c r="F211" s="5">
        <v>4836.59</v>
      </c>
    </row>
    <row r="212" spans="1:6" ht="15.75" customHeight="1" x14ac:dyDescent="0.3">
      <c r="A212" s="4" t="s">
        <v>64</v>
      </c>
      <c r="B212" s="2" t="s">
        <v>30</v>
      </c>
      <c r="C212" s="2" t="s">
        <v>13</v>
      </c>
      <c r="D212" s="2" t="s">
        <v>28</v>
      </c>
      <c r="E212" s="2" t="s">
        <v>15</v>
      </c>
      <c r="F212" s="5">
        <v>4870.82</v>
      </c>
    </row>
    <row r="213" spans="1:6" ht="15.75" customHeight="1" x14ac:dyDescent="0.3">
      <c r="A213" s="4" t="s">
        <v>151</v>
      </c>
      <c r="B213" s="2" t="s">
        <v>12</v>
      </c>
      <c r="C213" s="2" t="s">
        <v>23</v>
      </c>
      <c r="D213" s="2" t="s">
        <v>28</v>
      </c>
      <c r="E213" s="2" t="s">
        <v>15</v>
      </c>
      <c r="F213" s="5">
        <v>4492.74</v>
      </c>
    </row>
    <row r="214" spans="1:6" ht="15.75" customHeight="1" x14ac:dyDescent="0.3">
      <c r="A214" s="4" t="s">
        <v>152</v>
      </c>
      <c r="B214" s="2" t="s">
        <v>30</v>
      </c>
      <c r="C214" s="2" t="s">
        <v>34</v>
      </c>
      <c r="D214" s="2" t="s">
        <v>14</v>
      </c>
      <c r="E214" s="2" t="s">
        <v>10</v>
      </c>
      <c r="F214" s="5">
        <v>2776.43</v>
      </c>
    </row>
    <row r="215" spans="1:6" ht="15.75" customHeight="1" x14ac:dyDescent="0.3">
      <c r="A215" s="4" t="s">
        <v>16</v>
      </c>
      <c r="B215" s="2" t="s">
        <v>17</v>
      </c>
      <c r="C215" s="2" t="s">
        <v>23</v>
      </c>
      <c r="D215" s="2" t="s">
        <v>28</v>
      </c>
      <c r="E215" s="2" t="s">
        <v>10</v>
      </c>
      <c r="F215" s="5">
        <v>4987.59</v>
      </c>
    </row>
    <row r="216" spans="1:6" ht="15.75" customHeight="1" x14ac:dyDescent="0.3">
      <c r="A216" s="4" t="s">
        <v>153</v>
      </c>
      <c r="B216" s="2" t="s">
        <v>7</v>
      </c>
      <c r="C216" s="2" t="s">
        <v>8</v>
      </c>
      <c r="D216" s="2" t="s">
        <v>9</v>
      </c>
      <c r="E216" s="2" t="s">
        <v>10</v>
      </c>
      <c r="F216" s="5">
        <v>1335.760899953817</v>
      </c>
    </row>
    <row r="217" spans="1:6" ht="15.75" customHeight="1" x14ac:dyDescent="0.3">
      <c r="A217" s="4" t="s">
        <v>39</v>
      </c>
      <c r="B217" s="2" t="s">
        <v>7</v>
      </c>
      <c r="C217" s="2" t="s">
        <v>34</v>
      </c>
      <c r="D217" s="2" t="s">
        <v>14</v>
      </c>
      <c r="E217" s="2" t="s">
        <v>10</v>
      </c>
      <c r="F217" s="5">
        <v>1293.21</v>
      </c>
    </row>
    <row r="218" spans="1:6" ht="15.75" customHeight="1" x14ac:dyDescent="0.3">
      <c r="A218" s="4" t="s">
        <v>154</v>
      </c>
      <c r="B218" s="2" t="s">
        <v>12</v>
      </c>
      <c r="C218" s="2" t="s">
        <v>34</v>
      </c>
      <c r="D218" s="2" t="s">
        <v>28</v>
      </c>
      <c r="E218" s="2" t="s">
        <v>24</v>
      </c>
      <c r="F218" s="5">
        <v>1708</v>
      </c>
    </row>
    <row r="219" spans="1:6" ht="15.75" customHeight="1" x14ac:dyDescent="0.3">
      <c r="A219" s="4" t="s">
        <v>99</v>
      </c>
      <c r="B219" s="2" t="s">
        <v>19</v>
      </c>
      <c r="C219" s="2" t="s">
        <v>13</v>
      </c>
      <c r="D219" s="2" t="s">
        <v>28</v>
      </c>
      <c r="E219" s="2" t="s">
        <v>24</v>
      </c>
      <c r="F219" s="5">
        <v>4594.9799999999996</v>
      </c>
    </row>
    <row r="220" spans="1:6" ht="15.75" customHeight="1" x14ac:dyDescent="0.3">
      <c r="A220" s="4" t="s">
        <v>155</v>
      </c>
      <c r="B220" s="2" t="s">
        <v>7</v>
      </c>
      <c r="C220" s="2" t="s">
        <v>23</v>
      </c>
      <c r="D220" s="2" t="s">
        <v>14</v>
      </c>
      <c r="E220" s="2" t="s">
        <v>10</v>
      </c>
      <c r="F220" s="5">
        <v>831.81</v>
      </c>
    </row>
    <row r="221" spans="1:6" ht="15.75" customHeight="1" x14ac:dyDescent="0.3">
      <c r="A221" s="4" t="s">
        <v>156</v>
      </c>
      <c r="B221" s="2" t="s">
        <v>17</v>
      </c>
      <c r="C221" s="2" t="s">
        <v>23</v>
      </c>
      <c r="D221" s="2" t="s">
        <v>14</v>
      </c>
      <c r="E221" s="2" t="s">
        <v>10</v>
      </c>
      <c r="F221" s="5">
        <v>2545.9</v>
      </c>
    </row>
    <row r="222" spans="1:6" ht="15.75" customHeight="1" x14ac:dyDescent="0.3">
      <c r="A222" s="4" t="s">
        <v>149</v>
      </c>
      <c r="B222" s="2" t="s">
        <v>17</v>
      </c>
      <c r="C222" s="2" t="s">
        <v>34</v>
      </c>
      <c r="D222" s="2" t="s">
        <v>9</v>
      </c>
      <c r="E222" s="2" t="s">
        <v>10</v>
      </c>
      <c r="F222" s="5">
        <v>1207.136298239134</v>
      </c>
    </row>
    <row r="223" spans="1:6" ht="15.75" customHeight="1" x14ac:dyDescent="0.3">
      <c r="A223" s="4" t="s">
        <v>33</v>
      </c>
      <c r="B223" s="2" t="s">
        <v>19</v>
      </c>
      <c r="C223" s="2" t="s">
        <v>23</v>
      </c>
      <c r="D223" s="2" t="s">
        <v>9</v>
      </c>
      <c r="E223" s="2" t="s">
        <v>24</v>
      </c>
      <c r="F223" s="5">
        <v>2790.802827612994</v>
      </c>
    </row>
    <row r="224" spans="1:6" ht="15.75" customHeight="1" x14ac:dyDescent="0.3">
      <c r="A224" s="4" t="s">
        <v>157</v>
      </c>
      <c r="B224" s="2" t="s">
        <v>30</v>
      </c>
      <c r="C224" s="2" t="s">
        <v>23</v>
      </c>
      <c r="D224" s="2" t="s">
        <v>28</v>
      </c>
      <c r="E224" s="2" t="s">
        <v>15</v>
      </c>
      <c r="F224" s="5">
        <v>1945.28</v>
      </c>
    </row>
    <row r="225" spans="1:6" ht="15.75" customHeight="1" x14ac:dyDescent="0.3">
      <c r="A225" s="4" t="s">
        <v>16</v>
      </c>
      <c r="B225" s="2" t="s">
        <v>17</v>
      </c>
      <c r="C225" s="2" t="s">
        <v>34</v>
      </c>
      <c r="D225" s="2" t="s">
        <v>9</v>
      </c>
      <c r="E225" s="2" t="s">
        <v>24</v>
      </c>
      <c r="F225" s="5">
        <v>3670.5421858161321</v>
      </c>
    </row>
    <row r="226" spans="1:6" ht="15.75" customHeight="1" x14ac:dyDescent="0.3">
      <c r="A226" s="4" t="s">
        <v>44</v>
      </c>
      <c r="B226" s="2" t="s">
        <v>19</v>
      </c>
      <c r="C226" s="2" t="s">
        <v>13</v>
      </c>
      <c r="D226" s="2" t="s">
        <v>14</v>
      </c>
      <c r="E226" s="2" t="s">
        <v>24</v>
      </c>
      <c r="F226" s="5">
        <v>1954.98</v>
      </c>
    </row>
    <row r="227" spans="1:6" ht="15.75" customHeight="1" x14ac:dyDescent="0.3">
      <c r="A227" s="4" t="s">
        <v>84</v>
      </c>
      <c r="B227" s="2" t="s">
        <v>30</v>
      </c>
      <c r="C227" s="2" t="s">
        <v>13</v>
      </c>
      <c r="D227" s="2" t="s">
        <v>14</v>
      </c>
      <c r="E227" s="2" t="s">
        <v>15</v>
      </c>
      <c r="F227" s="5">
        <v>2205.38</v>
      </c>
    </row>
    <row r="228" spans="1:6" ht="15.75" customHeight="1" x14ac:dyDescent="0.3">
      <c r="A228" s="4" t="s">
        <v>40</v>
      </c>
      <c r="B228" s="2" t="s">
        <v>19</v>
      </c>
      <c r="C228" s="2" t="s">
        <v>23</v>
      </c>
      <c r="D228" s="2" t="s">
        <v>14</v>
      </c>
      <c r="E228" s="2" t="s">
        <v>24</v>
      </c>
      <c r="F228" s="5">
        <v>1900.73</v>
      </c>
    </row>
    <row r="229" spans="1:6" ht="15.75" customHeight="1" x14ac:dyDescent="0.3">
      <c r="A229" s="4" t="s">
        <v>49</v>
      </c>
      <c r="B229" s="2" t="s">
        <v>19</v>
      </c>
      <c r="C229" s="2" t="s">
        <v>13</v>
      </c>
      <c r="D229" s="2" t="s">
        <v>9</v>
      </c>
      <c r="E229" s="2" t="s">
        <v>10</v>
      </c>
      <c r="F229" s="5">
        <v>2512.7800000000002</v>
      </c>
    </row>
    <row r="230" spans="1:6" ht="15.75" customHeight="1" x14ac:dyDescent="0.3">
      <c r="A230" s="4" t="s">
        <v>134</v>
      </c>
      <c r="B230" s="2" t="s">
        <v>7</v>
      </c>
      <c r="C230" s="2" t="s">
        <v>23</v>
      </c>
      <c r="D230" s="2" t="s">
        <v>9</v>
      </c>
      <c r="E230" s="2" t="s">
        <v>15</v>
      </c>
      <c r="F230" s="5">
        <v>3560.2940319893378</v>
      </c>
    </row>
    <row r="231" spans="1:6" ht="15.75" customHeight="1" x14ac:dyDescent="0.3">
      <c r="A231" s="4" t="s">
        <v>66</v>
      </c>
      <c r="B231" s="2" t="s">
        <v>30</v>
      </c>
      <c r="C231" s="2" t="s">
        <v>23</v>
      </c>
      <c r="D231" s="2" t="s">
        <v>14</v>
      </c>
      <c r="E231" s="2" t="s">
        <v>10</v>
      </c>
      <c r="F231" s="5">
        <v>4844.28</v>
      </c>
    </row>
    <row r="232" spans="1:6" ht="15.75" customHeight="1" x14ac:dyDescent="0.3">
      <c r="A232" s="4" t="s">
        <v>94</v>
      </c>
      <c r="B232" s="2" t="s">
        <v>7</v>
      </c>
      <c r="C232" s="2" t="s">
        <v>13</v>
      </c>
      <c r="D232" s="2" t="s">
        <v>14</v>
      </c>
      <c r="E232" s="2" t="s">
        <v>15</v>
      </c>
      <c r="F232" s="5">
        <v>3100.15</v>
      </c>
    </row>
    <row r="233" spans="1:6" ht="15.75" customHeight="1" x14ac:dyDescent="0.3">
      <c r="A233" s="4" t="s">
        <v>53</v>
      </c>
      <c r="B233" s="2" t="s">
        <v>7</v>
      </c>
      <c r="C233" s="2" t="s">
        <v>8</v>
      </c>
      <c r="D233" s="2" t="s">
        <v>28</v>
      </c>
      <c r="E233" s="2" t="s">
        <v>15</v>
      </c>
      <c r="F233" s="5">
        <v>2791.16</v>
      </c>
    </row>
    <row r="234" spans="1:6" ht="15.75" customHeight="1" x14ac:dyDescent="0.3">
      <c r="A234" s="4" t="s">
        <v>130</v>
      </c>
      <c r="B234" s="2" t="s">
        <v>12</v>
      </c>
      <c r="C234" s="2" t="s">
        <v>8</v>
      </c>
      <c r="D234" s="2" t="s">
        <v>14</v>
      </c>
      <c r="E234" s="2" t="s">
        <v>15</v>
      </c>
      <c r="F234" s="5">
        <v>774.95</v>
      </c>
    </row>
    <row r="235" spans="1:6" ht="15.75" customHeight="1" x14ac:dyDescent="0.3">
      <c r="A235" s="4" t="s">
        <v>29</v>
      </c>
      <c r="B235" s="2" t="s">
        <v>30</v>
      </c>
      <c r="C235" s="2" t="s">
        <v>8</v>
      </c>
      <c r="D235" s="2" t="s">
        <v>9</v>
      </c>
      <c r="E235" s="2" t="s">
        <v>15</v>
      </c>
      <c r="F235" s="5">
        <v>2907.1210239765292</v>
      </c>
    </row>
    <row r="236" spans="1:6" ht="15.75" customHeight="1" x14ac:dyDescent="0.3">
      <c r="A236" s="4" t="s">
        <v>158</v>
      </c>
      <c r="B236" s="2" t="s">
        <v>30</v>
      </c>
      <c r="C236" s="2" t="s">
        <v>23</v>
      </c>
      <c r="D236" s="2" t="s">
        <v>9</v>
      </c>
      <c r="E236" s="2" t="s">
        <v>10</v>
      </c>
      <c r="F236" s="5">
        <v>1885.37</v>
      </c>
    </row>
    <row r="237" spans="1:6" ht="15.75" customHeight="1" x14ac:dyDescent="0.3">
      <c r="A237" s="4" t="s">
        <v>55</v>
      </c>
      <c r="B237" s="2" t="s">
        <v>12</v>
      </c>
      <c r="C237" s="2" t="s">
        <v>23</v>
      </c>
      <c r="D237" s="2" t="s">
        <v>9</v>
      </c>
      <c r="E237" s="2" t="s">
        <v>10</v>
      </c>
      <c r="F237" s="5">
        <v>3784.5787531389342</v>
      </c>
    </row>
    <row r="238" spans="1:6" ht="15.75" customHeight="1" x14ac:dyDescent="0.3">
      <c r="A238" s="4" t="s">
        <v>102</v>
      </c>
      <c r="B238" s="2" t="s">
        <v>19</v>
      </c>
      <c r="C238" s="2" t="s">
        <v>34</v>
      </c>
      <c r="D238" s="2" t="s">
        <v>28</v>
      </c>
      <c r="E238" s="2" t="s">
        <v>10</v>
      </c>
      <c r="F238" s="5">
        <v>2788.31</v>
      </c>
    </row>
    <row r="239" spans="1:6" ht="15.75" customHeight="1" x14ac:dyDescent="0.3">
      <c r="A239" s="4" t="s">
        <v>150</v>
      </c>
      <c r="B239" s="2" t="s">
        <v>30</v>
      </c>
      <c r="C239" s="2" t="s">
        <v>13</v>
      </c>
      <c r="D239" s="2" t="s">
        <v>14</v>
      </c>
      <c r="E239" s="2" t="s">
        <v>15</v>
      </c>
      <c r="F239" s="5">
        <v>3315.9</v>
      </c>
    </row>
    <row r="240" spans="1:6" ht="15.75" customHeight="1" x14ac:dyDescent="0.3">
      <c r="A240" s="4" t="s">
        <v>159</v>
      </c>
      <c r="B240" s="2" t="s">
        <v>7</v>
      </c>
      <c r="C240" s="2" t="s">
        <v>34</v>
      </c>
      <c r="D240" s="2" t="s">
        <v>28</v>
      </c>
      <c r="E240" s="2" t="s">
        <v>24</v>
      </c>
      <c r="F240" s="5">
        <v>1940.67</v>
      </c>
    </row>
    <row r="241" spans="1:6" ht="15.75" customHeight="1" x14ac:dyDescent="0.3">
      <c r="A241" s="4" t="s">
        <v>160</v>
      </c>
      <c r="B241" s="2" t="s">
        <v>30</v>
      </c>
      <c r="C241" s="2" t="s">
        <v>13</v>
      </c>
      <c r="D241" s="2" t="s">
        <v>9</v>
      </c>
      <c r="E241" s="2" t="s">
        <v>24</v>
      </c>
      <c r="F241" s="5">
        <v>4052.32</v>
      </c>
    </row>
    <row r="242" spans="1:6" ht="15.75" customHeight="1" x14ac:dyDescent="0.3">
      <c r="A242" s="4" t="s">
        <v>161</v>
      </c>
      <c r="B242" s="2" t="s">
        <v>7</v>
      </c>
      <c r="C242" s="2" t="s">
        <v>34</v>
      </c>
      <c r="D242" s="2" t="s">
        <v>9</v>
      </c>
      <c r="E242" s="2" t="s">
        <v>10</v>
      </c>
      <c r="F242" s="5">
        <v>1277.2953508013491</v>
      </c>
    </row>
    <row r="243" spans="1:6" ht="15.75" customHeight="1" x14ac:dyDescent="0.3">
      <c r="A243" s="4" t="s">
        <v>149</v>
      </c>
      <c r="B243" s="2" t="s">
        <v>17</v>
      </c>
      <c r="C243" s="2" t="s">
        <v>13</v>
      </c>
      <c r="D243" s="2" t="s">
        <v>28</v>
      </c>
      <c r="E243" s="2" t="s">
        <v>15</v>
      </c>
      <c r="F243" s="5">
        <v>1024.25</v>
      </c>
    </row>
    <row r="244" spans="1:6" ht="15.75" customHeight="1" x14ac:dyDescent="0.3">
      <c r="A244" s="4" t="s">
        <v>64</v>
      </c>
      <c r="B244" s="2" t="s">
        <v>30</v>
      </c>
      <c r="C244" s="2" t="s">
        <v>8</v>
      </c>
      <c r="D244" s="2" t="s">
        <v>28</v>
      </c>
      <c r="E244" s="2" t="s">
        <v>10</v>
      </c>
      <c r="F244" s="5">
        <v>167.21</v>
      </c>
    </row>
    <row r="245" spans="1:6" ht="15.75" customHeight="1" x14ac:dyDescent="0.3">
      <c r="A245" s="4" t="s">
        <v>162</v>
      </c>
      <c r="B245" s="2" t="s">
        <v>30</v>
      </c>
      <c r="C245" s="2" t="s">
        <v>23</v>
      </c>
      <c r="D245" s="2" t="s">
        <v>28</v>
      </c>
      <c r="E245" s="2" t="s">
        <v>10</v>
      </c>
      <c r="F245" s="5">
        <v>996.06</v>
      </c>
    </row>
    <row r="246" spans="1:6" ht="15.75" customHeight="1" x14ac:dyDescent="0.3">
      <c r="A246" s="4" t="s">
        <v>163</v>
      </c>
      <c r="B246" s="2" t="s">
        <v>19</v>
      </c>
      <c r="C246" s="2" t="s">
        <v>34</v>
      </c>
      <c r="D246" s="2" t="s">
        <v>28</v>
      </c>
      <c r="E246" s="2" t="s">
        <v>10</v>
      </c>
      <c r="F246" s="5">
        <v>1827.8</v>
      </c>
    </row>
    <row r="247" spans="1:6" ht="15.75" customHeight="1" x14ac:dyDescent="0.3">
      <c r="A247" s="4" t="s">
        <v>29</v>
      </c>
      <c r="B247" s="2" t="s">
        <v>30</v>
      </c>
      <c r="C247" s="2" t="s">
        <v>34</v>
      </c>
      <c r="D247" s="2" t="s">
        <v>28</v>
      </c>
      <c r="E247" s="2" t="s">
        <v>24</v>
      </c>
      <c r="F247" s="5">
        <v>4065.52</v>
      </c>
    </row>
    <row r="248" spans="1:6" ht="15.75" customHeight="1" x14ac:dyDescent="0.3">
      <c r="A248" s="4" t="s">
        <v>121</v>
      </c>
      <c r="B248" s="2" t="s">
        <v>30</v>
      </c>
      <c r="C248" s="2" t="s">
        <v>23</v>
      </c>
      <c r="D248" s="2" t="s">
        <v>9</v>
      </c>
      <c r="E248" s="2" t="s">
        <v>10</v>
      </c>
      <c r="F248" s="5">
        <v>484.81994284239721</v>
      </c>
    </row>
    <row r="249" spans="1:6" ht="15.75" customHeight="1" x14ac:dyDescent="0.3">
      <c r="A249" s="4" t="s">
        <v>164</v>
      </c>
      <c r="B249" s="2" t="s">
        <v>19</v>
      </c>
      <c r="C249" s="2" t="s">
        <v>8</v>
      </c>
      <c r="D249" s="2" t="s">
        <v>9</v>
      </c>
      <c r="E249" s="2" t="s">
        <v>24</v>
      </c>
      <c r="F249" s="5">
        <v>4023.012836767688</v>
      </c>
    </row>
    <row r="250" spans="1:6" ht="15.75" customHeight="1" x14ac:dyDescent="0.3">
      <c r="A250" s="4" t="s">
        <v>87</v>
      </c>
      <c r="B250" s="2" t="s">
        <v>12</v>
      </c>
      <c r="C250" s="2" t="s">
        <v>8</v>
      </c>
      <c r="D250" s="2" t="s">
        <v>9</v>
      </c>
      <c r="E250" s="2" t="s">
        <v>24</v>
      </c>
      <c r="F250" s="5">
        <v>895.43359580507763</v>
      </c>
    </row>
    <row r="251" spans="1:6" ht="15.75" customHeight="1" x14ac:dyDescent="0.3">
      <c r="A251" s="4" t="s">
        <v>94</v>
      </c>
      <c r="B251" s="2" t="s">
        <v>7</v>
      </c>
      <c r="C251" s="2" t="s">
        <v>23</v>
      </c>
      <c r="D251" s="2" t="s">
        <v>9</v>
      </c>
      <c r="E251" s="2" t="s">
        <v>24</v>
      </c>
      <c r="F251" s="5">
        <v>1949.103004915678</v>
      </c>
    </row>
    <row r="252" spans="1:6" ht="15.75" customHeight="1" x14ac:dyDescent="0.3">
      <c r="A252" s="4" t="s">
        <v>29</v>
      </c>
      <c r="B252" s="2" t="s">
        <v>30</v>
      </c>
      <c r="C252" s="2" t="s">
        <v>23</v>
      </c>
      <c r="D252" s="2" t="s">
        <v>28</v>
      </c>
      <c r="E252" s="2" t="s">
        <v>24</v>
      </c>
      <c r="F252" s="5">
        <v>3777.75</v>
      </c>
    </row>
    <row r="253" spans="1:6" ht="15.75" customHeight="1" x14ac:dyDescent="0.3">
      <c r="A253" s="4" t="s">
        <v>35</v>
      </c>
      <c r="B253" s="2" t="s">
        <v>19</v>
      </c>
      <c r="C253" s="2" t="s">
        <v>13</v>
      </c>
      <c r="D253" s="2" t="s">
        <v>14</v>
      </c>
      <c r="E253" s="2" t="s">
        <v>24</v>
      </c>
      <c r="F253" s="5">
        <v>3625.63</v>
      </c>
    </row>
    <row r="254" spans="1:6" ht="15.75" customHeight="1" x14ac:dyDescent="0.3">
      <c r="A254" s="4" t="s">
        <v>18</v>
      </c>
      <c r="B254" s="2" t="s">
        <v>19</v>
      </c>
      <c r="C254" s="2" t="s">
        <v>34</v>
      </c>
      <c r="D254" s="2" t="s">
        <v>14</v>
      </c>
      <c r="E254" s="2" t="s">
        <v>24</v>
      </c>
      <c r="F254" s="5">
        <v>2991.57</v>
      </c>
    </row>
    <row r="255" spans="1:6" ht="15.75" customHeight="1" x14ac:dyDescent="0.3">
      <c r="A255" s="4" t="s">
        <v>65</v>
      </c>
      <c r="B255" s="2" t="s">
        <v>30</v>
      </c>
      <c r="C255" s="2" t="s">
        <v>8</v>
      </c>
      <c r="D255" s="2" t="s">
        <v>14</v>
      </c>
      <c r="E255" s="2" t="s">
        <v>15</v>
      </c>
      <c r="F255" s="5">
        <v>1016.04</v>
      </c>
    </row>
    <row r="256" spans="1:6" ht="15.75" customHeight="1" x14ac:dyDescent="0.3">
      <c r="A256" s="4" t="s">
        <v>156</v>
      </c>
      <c r="B256" s="2" t="s">
        <v>17</v>
      </c>
      <c r="C256" s="2" t="s">
        <v>13</v>
      </c>
      <c r="D256" s="2" t="s">
        <v>14</v>
      </c>
      <c r="E256" s="2" t="s">
        <v>24</v>
      </c>
      <c r="F256" s="5">
        <v>162.68</v>
      </c>
    </row>
    <row r="257" spans="1:6" ht="15.75" customHeight="1" x14ac:dyDescent="0.3">
      <c r="A257" s="4" t="s">
        <v>48</v>
      </c>
      <c r="B257" s="2" t="s">
        <v>19</v>
      </c>
      <c r="C257" s="2" t="s">
        <v>23</v>
      </c>
      <c r="D257" s="2" t="s">
        <v>9</v>
      </c>
      <c r="E257" s="2" t="s">
        <v>10</v>
      </c>
      <c r="F257" s="5">
        <v>2442.2862220550828</v>
      </c>
    </row>
    <row r="258" spans="1:6" ht="15.75" customHeight="1" x14ac:dyDescent="0.3">
      <c r="A258" s="4" t="s">
        <v>165</v>
      </c>
      <c r="B258" s="2" t="s">
        <v>7</v>
      </c>
      <c r="C258" s="2" t="s">
        <v>8</v>
      </c>
      <c r="D258" s="2" t="s">
        <v>14</v>
      </c>
      <c r="E258" s="2" t="s">
        <v>15</v>
      </c>
      <c r="F258" s="5">
        <v>2499.21</v>
      </c>
    </row>
    <row r="259" spans="1:6" ht="15.75" customHeight="1" x14ac:dyDescent="0.3">
      <c r="A259" s="4" t="s">
        <v>156</v>
      </c>
      <c r="B259" s="2" t="s">
        <v>17</v>
      </c>
      <c r="C259" s="2" t="s">
        <v>13</v>
      </c>
      <c r="D259" s="2" t="s">
        <v>14</v>
      </c>
      <c r="E259" s="2" t="s">
        <v>15</v>
      </c>
      <c r="F259" s="5">
        <v>880</v>
      </c>
    </row>
    <row r="260" spans="1:6" ht="15.75" customHeight="1" x14ac:dyDescent="0.3">
      <c r="A260" s="4" t="s">
        <v>166</v>
      </c>
      <c r="B260" s="2" t="s">
        <v>7</v>
      </c>
      <c r="C260" s="2" t="s">
        <v>8</v>
      </c>
      <c r="D260" s="2" t="s">
        <v>9</v>
      </c>
      <c r="E260" s="2" t="s">
        <v>24</v>
      </c>
      <c r="F260" s="5">
        <v>1240.9200380990751</v>
      </c>
    </row>
    <row r="261" spans="1:6" ht="15.75" customHeight="1" x14ac:dyDescent="0.3">
      <c r="A261" s="4" t="s">
        <v>47</v>
      </c>
      <c r="B261" s="2" t="s">
        <v>30</v>
      </c>
      <c r="C261" s="2" t="s">
        <v>23</v>
      </c>
      <c r="D261" s="2" t="s">
        <v>14</v>
      </c>
      <c r="E261" s="2" t="s">
        <v>15</v>
      </c>
      <c r="F261" s="5">
        <v>960.86</v>
      </c>
    </row>
    <row r="262" spans="1:6" ht="15.75" customHeight="1" x14ac:dyDescent="0.3">
      <c r="A262" s="4" t="s">
        <v>20</v>
      </c>
      <c r="B262" s="2" t="s">
        <v>17</v>
      </c>
      <c r="C262" s="2" t="s">
        <v>8</v>
      </c>
      <c r="D262" s="2" t="s">
        <v>9</v>
      </c>
      <c r="E262" s="2" t="s">
        <v>15</v>
      </c>
      <c r="F262" s="5">
        <v>4165.4782669544611</v>
      </c>
    </row>
    <row r="263" spans="1:6" ht="15.75" customHeight="1" x14ac:dyDescent="0.3">
      <c r="A263" s="4" t="s">
        <v>74</v>
      </c>
      <c r="B263" s="2" t="s">
        <v>19</v>
      </c>
      <c r="C263" s="2" t="s">
        <v>23</v>
      </c>
      <c r="D263" s="2" t="s">
        <v>28</v>
      </c>
      <c r="E263" s="2" t="s">
        <v>10</v>
      </c>
      <c r="F263" s="5">
        <v>2805.55</v>
      </c>
    </row>
    <row r="264" spans="1:6" ht="15.75" customHeight="1" x14ac:dyDescent="0.3">
      <c r="A264" s="4" t="s">
        <v>163</v>
      </c>
      <c r="B264" s="2" t="s">
        <v>19</v>
      </c>
      <c r="C264" s="2" t="s">
        <v>13</v>
      </c>
      <c r="D264" s="2" t="s">
        <v>9</v>
      </c>
      <c r="E264" s="2" t="s">
        <v>24</v>
      </c>
      <c r="F264" s="5">
        <v>5115.6804759559718</v>
      </c>
    </row>
    <row r="265" spans="1:6" ht="15.75" customHeight="1" x14ac:dyDescent="0.3">
      <c r="A265" s="4" t="s">
        <v>167</v>
      </c>
      <c r="B265" s="2" t="s">
        <v>30</v>
      </c>
      <c r="C265" s="2" t="s">
        <v>34</v>
      </c>
      <c r="D265" s="2" t="s">
        <v>9</v>
      </c>
      <c r="E265" s="2" t="s">
        <v>10</v>
      </c>
      <c r="F265" s="5">
        <v>771.92290011566217</v>
      </c>
    </row>
    <row r="266" spans="1:6" ht="15.75" customHeight="1" x14ac:dyDescent="0.3">
      <c r="A266" s="4" t="s">
        <v>163</v>
      </c>
      <c r="B266" s="2" t="s">
        <v>19</v>
      </c>
      <c r="C266" s="2" t="s">
        <v>8</v>
      </c>
      <c r="D266" s="2" t="s">
        <v>28</v>
      </c>
      <c r="E266" s="2" t="s">
        <v>10</v>
      </c>
      <c r="F266" s="5">
        <v>2773.86</v>
      </c>
    </row>
    <row r="267" spans="1:6" ht="15.75" customHeight="1" x14ac:dyDescent="0.3">
      <c r="A267" s="4" t="s">
        <v>168</v>
      </c>
      <c r="B267" s="2" t="s">
        <v>17</v>
      </c>
      <c r="C267" s="2" t="s">
        <v>34</v>
      </c>
      <c r="D267" s="2" t="s">
        <v>14</v>
      </c>
      <c r="E267" s="2" t="s">
        <v>10</v>
      </c>
      <c r="F267" s="5">
        <v>3950.71</v>
      </c>
    </row>
    <row r="268" spans="1:6" ht="15.75" customHeight="1" x14ac:dyDescent="0.3">
      <c r="A268" s="4" t="s">
        <v>97</v>
      </c>
      <c r="B268" s="2" t="s">
        <v>7</v>
      </c>
      <c r="C268" s="2" t="s">
        <v>34</v>
      </c>
      <c r="D268" s="2" t="s">
        <v>28</v>
      </c>
      <c r="E268" s="2" t="s">
        <v>24</v>
      </c>
      <c r="F268" s="5">
        <v>2266.44</v>
      </c>
    </row>
    <row r="269" spans="1:6" ht="15.75" customHeight="1" x14ac:dyDescent="0.3">
      <c r="A269" s="4" t="s">
        <v>46</v>
      </c>
      <c r="B269" s="2" t="s">
        <v>30</v>
      </c>
      <c r="C269" s="2" t="s">
        <v>23</v>
      </c>
      <c r="D269" s="2" t="s">
        <v>28</v>
      </c>
      <c r="E269" s="2" t="s">
        <v>24</v>
      </c>
      <c r="F269" s="5">
        <v>4964.76</v>
      </c>
    </row>
    <row r="270" spans="1:6" ht="15.75" customHeight="1" x14ac:dyDescent="0.3">
      <c r="A270" s="4" t="s">
        <v>100</v>
      </c>
      <c r="B270" s="2" t="s">
        <v>7</v>
      </c>
      <c r="C270" s="2" t="s">
        <v>13</v>
      </c>
      <c r="D270" s="2" t="s">
        <v>14</v>
      </c>
      <c r="E270" s="2" t="s">
        <v>15</v>
      </c>
      <c r="F270" s="5">
        <v>2700.64</v>
      </c>
    </row>
    <row r="271" spans="1:6" ht="15.75" customHeight="1" x14ac:dyDescent="0.3">
      <c r="A271" s="4" t="s">
        <v>132</v>
      </c>
      <c r="B271" s="2" t="s">
        <v>19</v>
      </c>
      <c r="C271" s="2" t="s">
        <v>8</v>
      </c>
      <c r="D271" s="2" t="s">
        <v>14</v>
      </c>
      <c r="E271" s="2" t="s">
        <v>10</v>
      </c>
      <c r="F271" s="5">
        <v>4643.79</v>
      </c>
    </row>
    <row r="272" spans="1:6" ht="15.75" customHeight="1" x14ac:dyDescent="0.3">
      <c r="A272" s="4" t="s">
        <v>20</v>
      </c>
      <c r="B272" s="2" t="s">
        <v>17</v>
      </c>
      <c r="C272" s="2" t="s">
        <v>8</v>
      </c>
      <c r="D272" s="2" t="s">
        <v>9</v>
      </c>
      <c r="E272" s="2" t="s">
        <v>24</v>
      </c>
      <c r="F272" s="5">
        <v>4947.7396913595112</v>
      </c>
    </row>
    <row r="273" spans="1:6" ht="15.75" customHeight="1" x14ac:dyDescent="0.3">
      <c r="A273" s="4" t="s">
        <v>107</v>
      </c>
      <c r="B273" s="2" t="s">
        <v>30</v>
      </c>
      <c r="C273" s="2" t="s">
        <v>8</v>
      </c>
      <c r="D273" s="2" t="s">
        <v>9</v>
      </c>
      <c r="E273" s="2" t="s">
        <v>10</v>
      </c>
      <c r="F273" s="5">
        <v>2116.652377081065</v>
      </c>
    </row>
    <row r="274" spans="1:6" ht="15.75" customHeight="1" x14ac:dyDescent="0.3">
      <c r="A274" s="4" t="s">
        <v>169</v>
      </c>
      <c r="B274" s="2" t="s">
        <v>12</v>
      </c>
      <c r="C274" s="2" t="s">
        <v>13</v>
      </c>
      <c r="D274" s="2" t="s">
        <v>14</v>
      </c>
      <c r="E274" s="2" t="s">
        <v>10</v>
      </c>
      <c r="F274" s="5">
        <v>425.91</v>
      </c>
    </row>
    <row r="275" spans="1:6" ht="15.75" customHeight="1" x14ac:dyDescent="0.3">
      <c r="A275" s="4" t="s">
        <v>170</v>
      </c>
      <c r="B275" s="2" t="s">
        <v>12</v>
      </c>
      <c r="C275" s="2" t="s">
        <v>34</v>
      </c>
      <c r="D275" s="2" t="s">
        <v>28</v>
      </c>
      <c r="E275" s="2" t="s">
        <v>10</v>
      </c>
      <c r="F275" s="5">
        <v>466.45</v>
      </c>
    </row>
    <row r="276" spans="1:6" ht="15.75" customHeight="1" x14ac:dyDescent="0.3">
      <c r="A276" s="4" t="s">
        <v>97</v>
      </c>
      <c r="B276" s="2" t="s">
        <v>7</v>
      </c>
      <c r="C276" s="2" t="s">
        <v>23</v>
      </c>
      <c r="D276" s="2" t="s">
        <v>28</v>
      </c>
      <c r="E276" s="2" t="s">
        <v>15</v>
      </c>
      <c r="F276" s="5">
        <v>1868.24</v>
      </c>
    </row>
    <row r="277" spans="1:6" ht="15.75" customHeight="1" x14ac:dyDescent="0.3">
      <c r="A277" s="4" t="s">
        <v>156</v>
      </c>
      <c r="B277" s="2" t="s">
        <v>17</v>
      </c>
      <c r="C277" s="2" t="s">
        <v>13</v>
      </c>
      <c r="D277" s="2" t="s">
        <v>9</v>
      </c>
      <c r="E277" s="2" t="s">
        <v>10</v>
      </c>
      <c r="F277" s="5">
        <v>3497.345383211888</v>
      </c>
    </row>
    <row r="278" spans="1:6" ht="15.75" customHeight="1" x14ac:dyDescent="0.3">
      <c r="A278" s="4" t="s">
        <v>25</v>
      </c>
      <c r="B278" s="2" t="s">
        <v>19</v>
      </c>
      <c r="C278" s="2" t="s">
        <v>8</v>
      </c>
      <c r="D278" s="2" t="s">
        <v>14</v>
      </c>
      <c r="E278" s="2" t="s">
        <v>15</v>
      </c>
      <c r="F278" s="5">
        <v>3774.06</v>
      </c>
    </row>
    <row r="279" spans="1:6" ht="15.75" customHeight="1" x14ac:dyDescent="0.3">
      <c r="A279" s="4" t="s">
        <v>129</v>
      </c>
      <c r="B279" s="2" t="s">
        <v>17</v>
      </c>
      <c r="C279" s="2" t="s">
        <v>8</v>
      </c>
      <c r="D279" s="2" t="s">
        <v>28</v>
      </c>
      <c r="E279" s="2" t="s">
        <v>24</v>
      </c>
      <c r="F279" s="5">
        <v>518.79999999999995</v>
      </c>
    </row>
    <row r="280" spans="1:6" ht="15.75" customHeight="1" x14ac:dyDescent="0.3">
      <c r="A280" s="4" t="s">
        <v>171</v>
      </c>
      <c r="B280" s="2" t="s">
        <v>17</v>
      </c>
      <c r="C280" s="2" t="s">
        <v>8</v>
      </c>
      <c r="D280" s="2" t="s">
        <v>28</v>
      </c>
      <c r="E280" s="2" t="s">
        <v>15</v>
      </c>
      <c r="F280" s="5">
        <v>2317.02</v>
      </c>
    </row>
    <row r="281" spans="1:6" ht="15.75" customHeight="1" x14ac:dyDescent="0.3">
      <c r="A281" s="4" t="s">
        <v>172</v>
      </c>
      <c r="B281" s="2" t="s">
        <v>7</v>
      </c>
      <c r="C281" s="2" t="s">
        <v>8</v>
      </c>
      <c r="D281" s="2" t="s">
        <v>14</v>
      </c>
      <c r="E281" s="2" t="s">
        <v>24</v>
      </c>
      <c r="F281" s="5">
        <v>3340.8</v>
      </c>
    </row>
    <row r="282" spans="1:6" ht="15.75" customHeight="1" x14ac:dyDescent="0.3">
      <c r="A282" s="4" t="s">
        <v>173</v>
      </c>
      <c r="B282" s="2" t="s">
        <v>30</v>
      </c>
      <c r="C282" s="2" t="s">
        <v>13</v>
      </c>
      <c r="D282" s="2" t="s">
        <v>28</v>
      </c>
      <c r="E282" s="2" t="s">
        <v>15</v>
      </c>
      <c r="F282" s="5">
        <v>3888.93</v>
      </c>
    </row>
    <row r="283" spans="1:6" ht="15.75" customHeight="1" x14ac:dyDescent="0.3">
      <c r="A283" s="4" t="s">
        <v>47</v>
      </c>
      <c r="B283" s="2" t="s">
        <v>30</v>
      </c>
      <c r="C283" s="2" t="s">
        <v>23</v>
      </c>
      <c r="D283" s="2" t="s">
        <v>9</v>
      </c>
      <c r="E283" s="2" t="s">
        <v>24</v>
      </c>
      <c r="F283" s="5">
        <v>4696.2289998459064</v>
      </c>
    </row>
    <row r="284" spans="1:6" ht="15.75" customHeight="1" x14ac:dyDescent="0.3">
      <c r="A284" s="4" t="s">
        <v>44</v>
      </c>
      <c r="B284" s="2" t="s">
        <v>19</v>
      </c>
      <c r="C284" s="2" t="s">
        <v>23</v>
      </c>
      <c r="D284" s="2" t="s">
        <v>28</v>
      </c>
      <c r="E284" s="2" t="s">
        <v>15</v>
      </c>
      <c r="F284" s="5">
        <v>149.05000000000001</v>
      </c>
    </row>
    <row r="285" spans="1:6" ht="15.75" customHeight="1" x14ac:dyDescent="0.3">
      <c r="A285" s="4" t="s">
        <v>77</v>
      </c>
      <c r="B285" s="2" t="s">
        <v>30</v>
      </c>
      <c r="C285" s="2" t="s">
        <v>13</v>
      </c>
      <c r="D285" s="2" t="s">
        <v>9</v>
      </c>
      <c r="E285" s="2" t="s">
        <v>24</v>
      </c>
      <c r="F285" s="5">
        <v>3665.9483258017681</v>
      </c>
    </row>
    <row r="286" spans="1:6" ht="15.75" customHeight="1" x14ac:dyDescent="0.3">
      <c r="A286" s="4" t="s">
        <v>49</v>
      </c>
      <c r="B286" s="2" t="s">
        <v>19</v>
      </c>
      <c r="C286" s="2" t="s">
        <v>13</v>
      </c>
      <c r="D286" s="2" t="s">
        <v>14</v>
      </c>
      <c r="E286" s="2" t="s">
        <v>10</v>
      </c>
      <c r="F286" s="5">
        <v>4101.93</v>
      </c>
    </row>
    <row r="287" spans="1:6" ht="15.75" customHeight="1" x14ac:dyDescent="0.3">
      <c r="A287" s="4" t="s">
        <v>123</v>
      </c>
      <c r="B287" s="2" t="s">
        <v>30</v>
      </c>
      <c r="C287" s="2" t="s">
        <v>34</v>
      </c>
      <c r="D287" s="2" t="s">
        <v>14</v>
      </c>
      <c r="E287" s="2" t="s">
        <v>24</v>
      </c>
      <c r="F287" s="5">
        <v>2897.14</v>
      </c>
    </row>
    <row r="288" spans="1:6" ht="15.75" customHeight="1" x14ac:dyDescent="0.3">
      <c r="A288" s="4" t="s">
        <v>63</v>
      </c>
      <c r="B288" s="2" t="s">
        <v>12</v>
      </c>
      <c r="C288" s="2" t="s">
        <v>34</v>
      </c>
      <c r="D288" s="2" t="s">
        <v>14</v>
      </c>
      <c r="E288" s="2" t="s">
        <v>15</v>
      </c>
      <c r="F288" s="5">
        <v>828.73</v>
      </c>
    </row>
    <row r="289" spans="1:6" ht="15.75" customHeight="1" x14ac:dyDescent="0.3">
      <c r="A289" s="4" t="s">
        <v>122</v>
      </c>
      <c r="B289" s="2" t="s">
        <v>19</v>
      </c>
      <c r="C289" s="2" t="s">
        <v>34</v>
      </c>
      <c r="D289" s="2" t="s">
        <v>28</v>
      </c>
      <c r="E289" s="2" t="s">
        <v>15</v>
      </c>
      <c r="F289" s="5">
        <v>3155.64</v>
      </c>
    </row>
    <row r="290" spans="1:6" ht="15.75" customHeight="1" x14ac:dyDescent="0.3">
      <c r="A290" s="4" t="s">
        <v>48</v>
      </c>
      <c r="B290" s="2" t="s">
        <v>19</v>
      </c>
      <c r="C290" s="2" t="s">
        <v>34</v>
      </c>
      <c r="D290" s="2" t="s">
        <v>14</v>
      </c>
      <c r="E290" s="2" t="s">
        <v>15</v>
      </c>
      <c r="F290" s="5">
        <v>3573.8</v>
      </c>
    </row>
    <row r="291" spans="1:6" ht="15.75" customHeight="1" x14ac:dyDescent="0.3">
      <c r="A291" s="4" t="s">
        <v>145</v>
      </c>
      <c r="B291" s="2" t="s">
        <v>7</v>
      </c>
      <c r="C291" s="2" t="s">
        <v>8</v>
      </c>
      <c r="D291" s="2" t="s">
        <v>28</v>
      </c>
      <c r="E291" s="2" t="s">
        <v>24</v>
      </c>
      <c r="F291" s="5">
        <v>4315.67</v>
      </c>
    </row>
    <row r="292" spans="1:6" ht="15.75" customHeight="1" x14ac:dyDescent="0.3">
      <c r="A292" s="4" t="s">
        <v>48</v>
      </c>
      <c r="B292" s="2" t="s">
        <v>19</v>
      </c>
      <c r="C292" s="2" t="s">
        <v>13</v>
      </c>
      <c r="D292" s="2" t="s">
        <v>14</v>
      </c>
      <c r="E292" s="2" t="s">
        <v>10</v>
      </c>
      <c r="F292" s="5">
        <v>265.31</v>
      </c>
    </row>
    <row r="293" spans="1:6" ht="15.75" customHeight="1" x14ac:dyDescent="0.3">
      <c r="A293" s="4" t="s">
        <v>40</v>
      </c>
      <c r="B293" s="2" t="s">
        <v>19</v>
      </c>
      <c r="C293" s="2" t="s">
        <v>8</v>
      </c>
      <c r="D293" s="2" t="s">
        <v>28</v>
      </c>
      <c r="E293" s="2" t="s">
        <v>24</v>
      </c>
      <c r="F293" s="5">
        <v>392.52</v>
      </c>
    </row>
    <row r="294" spans="1:6" ht="15.75" customHeight="1" x14ac:dyDescent="0.3">
      <c r="A294" s="4" t="s">
        <v>139</v>
      </c>
      <c r="B294" s="2" t="s">
        <v>7</v>
      </c>
      <c r="C294" s="2" t="s">
        <v>23</v>
      </c>
      <c r="D294" s="2" t="s">
        <v>28</v>
      </c>
      <c r="E294" s="2" t="s">
        <v>24</v>
      </c>
      <c r="F294" s="5">
        <v>3807.44</v>
      </c>
    </row>
    <row r="295" spans="1:6" ht="15.75" customHeight="1" x14ac:dyDescent="0.3">
      <c r="A295" s="4" t="s">
        <v>90</v>
      </c>
      <c r="B295" s="2" t="s">
        <v>19</v>
      </c>
      <c r="C295" s="2" t="s">
        <v>8</v>
      </c>
      <c r="D295" s="2" t="s">
        <v>9</v>
      </c>
      <c r="E295" s="2" t="s">
        <v>24</v>
      </c>
      <c r="F295" s="5">
        <v>3118.175989154156</v>
      </c>
    </row>
    <row r="296" spans="1:6" ht="15.75" customHeight="1" x14ac:dyDescent="0.3">
      <c r="A296" s="4" t="s">
        <v>174</v>
      </c>
      <c r="B296" s="2" t="s">
        <v>19</v>
      </c>
      <c r="C296" s="2" t="s">
        <v>34</v>
      </c>
      <c r="D296" s="2" t="s">
        <v>14</v>
      </c>
      <c r="E296" s="2" t="s">
        <v>24</v>
      </c>
      <c r="F296" s="5">
        <v>1947.59</v>
      </c>
    </row>
    <row r="297" spans="1:6" ht="15.75" customHeight="1" x14ac:dyDescent="0.3">
      <c r="A297" s="4" t="s">
        <v>175</v>
      </c>
      <c r="B297" s="2" t="s">
        <v>7</v>
      </c>
      <c r="C297" s="2" t="s">
        <v>8</v>
      </c>
      <c r="D297" s="2" t="s">
        <v>28</v>
      </c>
      <c r="E297" s="2" t="s">
        <v>24</v>
      </c>
      <c r="F297" s="5">
        <v>4464.43</v>
      </c>
    </row>
    <row r="298" spans="1:6" ht="15.75" customHeight="1" x14ac:dyDescent="0.3">
      <c r="A298" s="4" t="s">
        <v>176</v>
      </c>
      <c r="B298" s="2" t="s">
        <v>19</v>
      </c>
      <c r="C298" s="2" t="s">
        <v>13</v>
      </c>
      <c r="D298" s="2" t="s">
        <v>14</v>
      </c>
      <c r="E298" s="2" t="s">
        <v>10</v>
      </c>
      <c r="F298" s="5">
        <v>2252.36</v>
      </c>
    </row>
    <row r="299" spans="1:6" ht="15.75" customHeight="1" x14ac:dyDescent="0.3">
      <c r="A299" s="4" t="s">
        <v>64</v>
      </c>
      <c r="B299" s="2" t="s">
        <v>30</v>
      </c>
      <c r="C299" s="2" t="s">
        <v>8</v>
      </c>
      <c r="D299" s="2" t="s">
        <v>9</v>
      </c>
      <c r="E299" s="2" t="s">
        <v>15</v>
      </c>
      <c r="F299" s="5">
        <v>2203.84</v>
      </c>
    </row>
    <row r="300" spans="1:6" ht="15.75" customHeight="1" x14ac:dyDescent="0.3">
      <c r="A300" s="4" t="s">
        <v>71</v>
      </c>
      <c r="B300" s="2" t="s">
        <v>7</v>
      </c>
      <c r="C300" s="2" t="s">
        <v>34</v>
      </c>
      <c r="D300" s="2" t="s">
        <v>14</v>
      </c>
      <c r="E300" s="2" t="s">
        <v>15</v>
      </c>
      <c r="F300" s="5">
        <v>673.38</v>
      </c>
    </row>
    <row r="301" spans="1:6" ht="15.75" customHeight="1" x14ac:dyDescent="0.3">
      <c r="A301" s="4" t="s">
        <v>153</v>
      </c>
      <c r="B301" s="2" t="s">
        <v>7</v>
      </c>
      <c r="C301" s="2" t="s">
        <v>23</v>
      </c>
      <c r="D301" s="2" t="s">
        <v>28</v>
      </c>
      <c r="E301" s="2" t="s">
        <v>10</v>
      </c>
      <c r="F301" s="5">
        <v>3879.17</v>
      </c>
    </row>
    <row r="302" spans="1:6" ht="15.75" customHeight="1" x14ac:dyDescent="0.3">
      <c r="A302" s="4" t="s">
        <v>150</v>
      </c>
      <c r="B302" s="2" t="s">
        <v>30</v>
      </c>
      <c r="C302" s="2" t="s">
        <v>8</v>
      </c>
      <c r="D302" s="2" t="s">
        <v>28</v>
      </c>
      <c r="E302" s="2" t="s">
        <v>15</v>
      </c>
      <c r="F302" s="5">
        <v>404.42</v>
      </c>
    </row>
    <row r="303" spans="1:6" ht="15.75" customHeight="1" x14ac:dyDescent="0.3">
      <c r="A303" s="4" t="s">
        <v>82</v>
      </c>
      <c r="B303" s="2" t="s">
        <v>17</v>
      </c>
      <c r="C303" s="2" t="s">
        <v>23</v>
      </c>
      <c r="D303" s="2" t="s">
        <v>9</v>
      </c>
      <c r="E303" s="2" t="s">
        <v>24</v>
      </c>
      <c r="F303" s="5">
        <v>3415.97</v>
      </c>
    </row>
    <row r="304" spans="1:6" ht="15.75" customHeight="1" x14ac:dyDescent="0.3">
      <c r="A304" s="4" t="s">
        <v>124</v>
      </c>
      <c r="B304" s="2" t="s">
        <v>12</v>
      </c>
      <c r="C304" s="2" t="s">
        <v>23</v>
      </c>
      <c r="D304" s="2" t="s">
        <v>9</v>
      </c>
      <c r="E304" s="2" t="s">
        <v>10</v>
      </c>
      <c r="F304" s="5">
        <v>3091.392377402115</v>
      </c>
    </row>
    <row r="305" spans="1:6" ht="15.75" customHeight="1" x14ac:dyDescent="0.3">
      <c r="A305" s="4" t="s">
        <v>66</v>
      </c>
      <c r="B305" s="2" t="s">
        <v>30</v>
      </c>
      <c r="C305" s="2" t="s">
        <v>23</v>
      </c>
      <c r="D305" s="2" t="s">
        <v>28</v>
      </c>
      <c r="E305" s="2" t="s">
        <v>24</v>
      </c>
      <c r="F305" s="5">
        <v>3216.77</v>
      </c>
    </row>
    <row r="306" spans="1:6" ht="15.75" customHeight="1" x14ac:dyDescent="0.3">
      <c r="A306" s="4" t="s">
        <v>40</v>
      </c>
      <c r="B306" s="2" t="s">
        <v>19</v>
      </c>
      <c r="C306" s="2" t="s">
        <v>8</v>
      </c>
      <c r="D306" s="2" t="s">
        <v>9</v>
      </c>
      <c r="E306" s="2" t="s">
        <v>10</v>
      </c>
      <c r="F306" s="5">
        <v>2200.2044231612658</v>
      </c>
    </row>
    <row r="307" spans="1:6" ht="15.75" customHeight="1" x14ac:dyDescent="0.3">
      <c r="A307" s="4" t="s">
        <v>72</v>
      </c>
      <c r="B307" s="2" t="s">
        <v>19</v>
      </c>
      <c r="C307" s="2" t="s">
        <v>8</v>
      </c>
      <c r="D307" s="2" t="s">
        <v>14</v>
      </c>
      <c r="E307" s="2" t="s">
        <v>15</v>
      </c>
      <c r="F307" s="5">
        <v>4874.88</v>
      </c>
    </row>
    <row r="308" spans="1:6" ht="15.75" customHeight="1" x14ac:dyDescent="0.3">
      <c r="A308" s="4" t="s">
        <v>63</v>
      </c>
      <c r="B308" s="2" t="s">
        <v>12</v>
      </c>
      <c r="C308" s="2" t="s">
        <v>34</v>
      </c>
      <c r="D308" s="2" t="s">
        <v>14</v>
      </c>
      <c r="E308" s="2" t="s">
        <v>24</v>
      </c>
      <c r="F308" s="5">
        <v>3104.55</v>
      </c>
    </row>
    <row r="309" spans="1:6" ht="15.75" customHeight="1" x14ac:dyDescent="0.3">
      <c r="A309" s="4" t="s">
        <v>62</v>
      </c>
      <c r="B309" s="2" t="s">
        <v>30</v>
      </c>
      <c r="C309" s="2" t="s">
        <v>8</v>
      </c>
      <c r="D309" s="2" t="s">
        <v>9</v>
      </c>
      <c r="E309" s="2" t="s">
        <v>24</v>
      </c>
      <c r="F309" s="5">
        <v>3500.3246162146288</v>
      </c>
    </row>
    <row r="310" spans="1:6" ht="15.75" customHeight="1" x14ac:dyDescent="0.3">
      <c r="A310" s="4" t="s">
        <v>153</v>
      </c>
      <c r="B310" s="2" t="s">
        <v>7</v>
      </c>
      <c r="C310" s="2" t="s">
        <v>23</v>
      </c>
      <c r="D310" s="2" t="s">
        <v>9</v>
      </c>
      <c r="E310" s="2" t="s">
        <v>10</v>
      </c>
      <c r="F310" s="5">
        <v>3041.1635334645562</v>
      </c>
    </row>
    <row r="311" spans="1:6" ht="15.75" customHeight="1" x14ac:dyDescent="0.3">
      <c r="A311" s="4" t="s">
        <v>177</v>
      </c>
      <c r="B311" s="2" t="s">
        <v>7</v>
      </c>
      <c r="C311" s="2" t="s">
        <v>8</v>
      </c>
      <c r="D311" s="2" t="s">
        <v>9</v>
      </c>
      <c r="E311" s="2" t="s">
        <v>10</v>
      </c>
      <c r="F311" s="5">
        <v>4584.1555328028626</v>
      </c>
    </row>
    <row r="312" spans="1:6" ht="15.75" customHeight="1" x14ac:dyDescent="0.3">
      <c r="A312" s="4" t="s">
        <v>139</v>
      </c>
      <c r="B312" s="2" t="s">
        <v>7</v>
      </c>
      <c r="C312" s="2" t="s">
        <v>34</v>
      </c>
      <c r="D312" s="2" t="s">
        <v>9</v>
      </c>
      <c r="E312" s="2" t="s">
        <v>10</v>
      </c>
      <c r="F312" s="5">
        <v>3894.008613822672</v>
      </c>
    </row>
    <row r="313" spans="1:6" ht="15.75" customHeight="1" x14ac:dyDescent="0.3">
      <c r="A313" s="4" t="s">
        <v>62</v>
      </c>
      <c r="B313" s="2" t="s">
        <v>30</v>
      </c>
      <c r="C313" s="2" t="s">
        <v>13</v>
      </c>
      <c r="D313" s="2" t="s">
        <v>14</v>
      </c>
      <c r="E313" s="2" t="s">
        <v>10</v>
      </c>
      <c r="F313" s="5">
        <v>1782.56</v>
      </c>
    </row>
    <row r="314" spans="1:6" ht="15.75" customHeight="1" x14ac:dyDescent="0.3">
      <c r="A314" s="4" t="s">
        <v>29</v>
      </c>
      <c r="B314" s="2" t="s">
        <v>30</v>
      </c>
      <c r="C314" s="2" t="s">
        <v>34</v>
      </c>
      <c r="D314" s="2" t="s">
        <v>28</v>
      </c>
      <c r="E314" s="2" t="s">
        <v>10</v>
      </c>
      <c r="F314" s="5">
        <v>4386.96</v>
      </c>
    </row>
    <row r="315" spans="1:6" ht="15.75" customHeight="1" x14ac:dyDescent="0.3">
      <c r="A315" s="4" t="s">
        <v>113</v>
      </c>
      <c r="B315" s="2" t="s">
        <v>30</v>
      </c>
      <c r="C315" s="2" t="s">
        <v>8</v>
      </c>
      <c r="D315" s="2" t="s">
        <v>28</v>
      </c>
      <c r="E315" s="2" t="s">
        <v>24</v>
      </c>
      <c r="F315" s="5">
        <v>644.96</v>
      </c>
    </row>
    <row r="316" spans="1:6" ht="15.75" customHeight="1" x14ac:dyDescent="0.3">
      <c r="A316" s="4" t="s">
        <v>178</v>
      </c>
      <c r="B316" s="2" t="s">
        <v>30</v>
      </c>
      <c r="C316" s="2" t="s">
        <v>34</v>
      </c>
      <c r="D316" s="2" t="s">
        <v>14</v>
      </c>
      <c r="E316" s="2" t="s">
        <v>10</v>
      </c>
      <c r="F316" s="5">
        <v>1942.26</v>
      </c>
    </row>
    <row r="317" spans="1:6" ht="15.75" customHeight="1" x14ac:dyDescent="0.3">
      <c r="A317" s="4" t="s">
        <v>81</v>
      </c>
      <c r="B317" s="2" t="s">
        <v>12</v>
      </c>
      <c r="C317" s="2" t="s">
        <v>34</v>
      </c>
      <c r="D317" s="2" t="s">
        <v>28</v>
      </c>
      <c r="E317" s="2" t="s">
        <v>10</v>
      </c>
      <c r="F317" s="5">
        <v>1990.87</v>
      </c>
    </row>
    <row r="318" spans="1:6" ht="15.75" customHeight="1" x14ac:dyDescent="0.3">
      <c r="A318" s="4" t="s">
        <v>71</v>
      </c>
      <c r="B318" s="2" t="s">
        <v>7</v>
      </c>
      <c r="C318" s="2" t="s">
        <v>23</v>
      </c>
      <c r="D318" s="2" t="s">
        <v>14</v>
      </c>
      <c r="E318" s="2" t="s">
        <v>15</v>
      </c>
      <c r="F318" s="5">
        <v>3260.58</v>
      </c>
    </row>
    <row r="319" spans="1:6" ht="15.75" customHeight="1" x14ac:dyDescent="0.3">
      <c r="A319" s="4" t="s">
        <v>50</v>
      </c>
      <c r="B319" s="2" t="s">
        <v>19</v>
      </c>
      <c r="C319" s="2" t="s">
        <v>34</v>
      </c>
      <c r="D319" s="2" t="s">
        <v>14</v>
      </c>
      <c r="E319" s="2" t="s">
        <v>10</v>
      </c>
      <c r="F319" s="5">
        <v>1079.0999999999999</v>
      </c>
    </row>
    <row r="320" spans="1:6" ht="15.75" customHeight="1" x14ac:dyDescent="0.3">
      <c r="A320" s="4" t="s">
        <v>95</v>
      </c>
      <c r="B320" s="2" t="s">
        <v>30</v>
      </c>
      <c r="C320" s="2" t="s">
        <v>23</v>
      </c>
      <c r="D320" s="2" t="s">
        <v>28</v>
      </c>
      <c r="E320" s="2" t="s">
        <v>15</v>
      </c>
      <c r="F320" s="5">
        <v>2675.56</v>
      </c>
    </row>
    <row r="321" spans="1:6" ht="15.75" customHeight="1" x14ac:dyDescent="0.3">
      <c r="A321" s="4" t="s">
        <v>11</v>
      </c>
      <c r="B321" s="2" t="s">
        <v>12</v>
      </c>
      <c r="C321" s="2" t="s">
        <v>13</v>
      </c>
      <c r="D321" s="2" t="s">
        <v>28</v>
      </c>
      <c r="E321" s="2" t="s">
        <v>15</v>
      </c>
      <c r="F321" s="5">
        <v>1583.52</v>
      </c>
    </row>
    <row r="322" spans="1:6" ht="15.75" customHeight="1" x14ac:dyDescent="0.3">
      <c r="A322" s="4" t="s">
        <v>179</v>
      </c>
      <c r="B322" s="2" t="s">
        <v>7</v>
      </c>
      <c r="C322" s="2" t="s">
        <v>23</v>
      </c>
      <c r="D322" s="2" t="s">
        <v>28</v>
      </c>
      <c r="E322" s="2" t="s">
        <v>15</v>
      </c>
      <c r="F322" s="5">
        <v>4798.47</v>
      </c>
    </row>
    <row r="323" spans="1:6" ht="15.75" customHeight="1" x14ac:dyDescent="0.3">
      <c r="A323" s="4" t="s">
        <v>148</v>
      </c>
      <c r="B323" s="2" t="s">
        <v>17</v>
      </c>
      <c r="C323" s="2" t="s">
        <v>13</v>
      </c>
      <c r="D323" s="2" t="s">
        <v>28</v>
      </c>
      <c r="E323" s="2" t="s">
        <v>24</v>
      </c>
      <c r="F323" s="5">
        <v>856.9</v>
      </c>
    </row>
    <row r="324" spans="1:6" ht="15.75" customHeight="1" x14ac:dyDescent="0.3">
      <c r="A324" s="4" t="s">
        <v>44</v>
      </c>
      <c r="B324" s="2" t="s">
        <v>19</v>
      </c>
      <c r="C324" s="2" t="s">
        <v>8</v>
      </c>
      <c r="D324" s="2" t="s">
        <v>9</v>
      </c>
      <c r="E324" s="2" t="s">
        <v>10</v>
      </c>
      <c r="F324" s="5">
        <v>1158.6281640093871</v>
      </c>
    </row>
    <row r="325" spans="1:6" ht="15.75" customHeight="1" x14ac:dyDescent="0.3">
      <c r="A325" s="4" t="s">
        <v>164</v>
      </c>
      <c r="B325" s="2" t="s">
        <v>19</v>
      </c>
      <c r="C325" s="2" t="s">
        <v>8</v>
      </c>
      <c r="D325" s="2" t="s">
        <v>9</v>
      </c>
      <c r="E325" s="2" t="s">
        <v>15</v>
      </c>
      <c r="F325" s="5">
        <v>5208.6131417897996</v>
      </c>
    </row>
    <row r="326" spans="1:6" ht="15.75" customHeight="1" x14ac:dyDescent="0.3">
      <c r="A326" s="4" t="s">
        <v>180</v>
      </c>
      <c r="B326" s="2" t="s">
        <v>30</v>
      </c>
      <c r="C326" s="2" t="s">
        <v>8</v>
      </c>
      <c r="D326" s="2" t="s">
        <v>28</v>
      </c>
      <c r="E326" s="2" t="s">
        <v>15</v>
      </c>
      <c r="F326" s="5">
        <v>4745.3</v>
      </c>
    </row>
    <row r="327" spans="1:6" ht="15.75" customHeight="1" x14ac:dyDescent="0.3">
      <c r="A327" s="4" t="s">
        <v>181</v>
      </c>
      <c r="B327" s="2" t="s">
        <v>30</v>
      </c>
      <c r="C327" s="2" t="s">
        <v>34</v>
      </c>
      <c r="D327" s="2" t="s">
        <v>9</v>
      </c>
      <c r="E327" s="2" t="s">
        <v>10</v>
      </c>
      <c r="F327" s="5">
        <v>693.43404538976984</v>
      </c>
    </row>
    <row r="328" spans="1:6" ht="15.75" customHeight="1" x14ac:dyDescent="0.3">
      <c r="A328" s="4" t="s">
        <v>151</v>
      </c>
      <c r="B328" s="2" t="s">
        <v>12</v>
      </c>
      <c r="C328" s="2" t="s">
        <v>8</v>
      </c>
      <c r="D328" s="2" t="s">
        <v>14</v>
      </c>
      <c r="E328" s="2" t="s">
        <v>15</v>
      </c>
      <c r="F328" s="5">
        <v>3285.65</v>
      </c>
    </row>
    <row r="329" spans="1:6" ht="15.75" customHeight="1" x14ac:dyDescent="0.3">
      <c r="A329" s="4" t="s">
        <v>86</v>
      </c>
      <c r="B329" s="2" t="s">
        <v>19</v>
      </c>
      <c r="C329" s="2" t="s">
        <v>34</v>
      </c>
      <c r="D329" s="2" t="s">
        <v>28</v>
      </c>
      <c r="E329" s="2" t="s">
        <v>24</v>
      </c>
      <c r="F329" s="5">
        <v>2731.22</v>
      </c>
    </row>
    <row r="330" spans="1:6" ht="15.75" customHeight="1" x14ac:dyDescent="0.3">
      <c r="A330" s="4" t="s">
        <v>96</v>
      </c>
      <c r="B330" s="2" t="s">
        <v>19</v>
      </c>
      <c r="C330" s="2" t="s">
        <v>8</v>
      </c>
      <c r="D330" s="2" t="s">
        <v>9</v>
      </c>
      <c r="E330" s="2" t="s">
        <v>10</v>
      </c>
      <c r="F330" s="5">
        <v>2767.5414515213602</v>
      </c>
    </row>
    <row r="331" spans="1:6" ht="15.75" customHeight="1" x14ac:dyDescent="0.3">
      <c r="A331" s="4" t="s">
        <v>182</v>
      </c>
      <c r="B331" s="2" t="s">
        <v>12</v>
      </c>
      <c r="C331" s="2" t="s">
        <v>13</v>
      </c>
      <c r="D331" s="2" t="s">
        <v>28</v>
      </c>
      <c r="E331" s="2" t="s">
        <v>24</v>
      </c>
      <c r="F331" s="5">
        <v>1719.12</v>
      </c>
    </row>
    <row r="332" spans="1:6" ht="15.75" customHeight="1" x14ac:dyDescent="0.3">
      <c r="A332" s="4" t="s">
        <v>45</v>
      </c>
      <c r="B332" s="2" t="s">
        <v>7</v>
      </c>
      <c r="C332" s="2" t="s">
        <v>34</v>
      </c>
      <c r="D332" s="2" t="s">
        <v>14</v>
      </c>
      <c r="E332" s="2" t="s">
        <v>24</v>
      </c>
      <c r="F332" s="5">
        <v>2475.83</v>
      </c>
    </row>
    <row r="333" spans="1:6" ht="15.75" customHeight="1" x14ac:dyDescent="0.3">
      <c r="A333" s="4" t="s">
        <v>146</v>
      </c>
      <c r="B333" s="2" t="s">
        <v>7</v>
      </c>
      <c r="C333" s="2" t="s">
        <v>13</v>
      </c>
      <c r="D333" s="2" t="s">
        <v>9</v>
      </c>
      <c r="E333" s="2" t="s">
        <v>10</v>
      </c>
      <c r="F333" s="5">
        <v>891.04242391144203</v>
      </c>
    </row>
    <row r="334" spans="1:6" ht="15.75" customHeight="1" x14ac:dyDescent="0.3">
      <c r="A334" s="4" t="s">
        <v>183</v>
      </c>
      <c r="B334" s="2" t="s">
        <v>7</v>
      </c>
      <c r="C334" s="2" t="s">
        <v>34</v>
      </c>
      <c r="D334" s="2" t="s">
        <v>14</v>
      </c>
      <c r="E334" s="2" t="s">
        <v>10</v>
      </c>
      <c r="F334" s="5">
        <v>4421.93</v>
      </c>
    </row>
    <row r="335" spans="1:6" ht="15.75" customHeight="1" x14ac:dyDescent="0.3">
      <c r="A335" s="4" t="s">
        <v>46</v>
      </c>
      <c r="B335" s="2" t="s">
        <v>30</v>
      </c>
      <c r="C335" s="2" t="s">
        <v>23</v>
      </c>
      <c r="D335" s="2" t="s">
        <v>14</v>
      </c>
      <c r="E335" s="2" t="s">
        <v>10</v>
      </c>
      <c r="F335" s="5">
        <v>3545.18</v>
      </c>
    </row>
    <row r="336" spans="1:6" ht="15.75" customHeight="1" x14ac:dyDescent="0.3">
      <c r="A336" s="4" t="s">
        <v>120</v>
      </c>
      <c r="B336" s="2" t="s">
        <v>30</v>
      </c>
      <c r="C336" s="2" t="s">
        <v>34</v>
      </c>
      <c r="D336" s="2" t="s">
        <v>14</v>
      </c>
      <c r="E336" s="2" t="s">
        <v>15</v>
      </c>
      <c r="F336" s="5">
        <v>3073.82</v>
      </c>
    </row>
    <row r="337" spans="1:6" ht="15.75" customHeight="1" x14ac:dyDescent="0.3">
      <c r="A337" s="4" t="s">
        <v>146</v>
      </c>
      <c r="B337" s="2" t="s">
        <v>7</v>
      </c>
      <c r="C337" s="2" t="s">
        <v>13</v>
      </c>
      <c r="D337" s="2" t="s">
        <v>28</v>
      </c>
      <c r="E337" s="2" t="s">
        <v>15</v>
      </c>
      <c r="F337" s="5">
        <v>1458.83</v>
      </c>
    </row>
    <row r="338" spans="1:6" ht="15.75" customHeight="1" x14ac:dyDescent="0.3">
      <c r="A338" s="4" t="s">
        <v>184</v>
      </c>
      <c r="B338" s="2" t="s">
        <v>30</v>
      </c>
      <c r="C338" s="2" t="s">
        <v>8</v>
      </c>
      <c r="D338" s="2" t="s">
        <v>28</v>
      </c>
      <c r="E338" s="2" t="s">
        <v>24</v>
      </c>
      <c r="F338" s="5">
        <v>3457.1</v>
      </c>
    </row>
    <row r="339" spans="1:6" ht="15.75" customHeight="1" x14ac:dyDescent="0.3">
      <c r="A339" s="4" t="s">
        <v>52</v>
      </c>
      <c r="B339" s="2" t="s">
        <v>19</v>
      </c>
      <c r="C339" s="2" t="s">
        <v>8</v>
      </c>
      <c r="D339" s="2" t="s">
        <v>9</v>
      </c>
      <c r="E339" s="2" t="s">
        <v>15</v>
      </c>
      <c r="F339" s="5">
        <v>1857.3661521675469</v>
      </c>
    </row>
    <row r="340" spans="1:6" ht="15.75" customHeight="1" x14ac:dyDescent="0.3">
      <c r="A340" s="4" t="s">
        <v>63</v>
      </c>
      <c r="B340" s="2" t="s">
        <v>12</v>
      </c>
      <c r="C340" s="2" t="s">
        <v>34</v>
      </c>
      <c r="D340" s="2" t="s">
        <v>9</v>
      </c>
      <c r="E340" s="2" t="s">
        <v>10</v>
      </c>
      <c r="F340" s="5">
        <v>877.72838557426155</v>
      </c>
    </row>
    <row r="341" spans="1:6" ht="15.75" customHeight="1" x14ac:dyDescent="0.3">
      <c r="A341" s="4" t="s">
        <v>130</v>
      </c>
      <c r="B341" s="2" t="s">
        <v>12</v>
      </c>
      <c r="C341" s="2" t="s">
        <v>34</v>
      </c>
      <c r="D341" s="2" t="s">
        <v>9</v>
      </c>
      <c r="E341" s="2" t="s">
        <v>10</v>
      </c>
      <c r="F341" s="5">
        <v>1349.7273482655189</v>
      </c>
    </row>
    <row r="342" spans="1:6" ht="15.75" customHeight="1" x14ac:dyDescent="0.3">
      <c r="A342" s="4" t="s">
        <v>54</v>
      </c>
      <c r="B342" s="2" t="s">
        <v>12</v>
      </c>
      <c r="C342" s="2" t="s">
        <v>34</v>
      </c>
      <c r="D342" s="2" t="s">
        <v>9</v>
      </c>
      <c r="E342" s="2" t="s">
        <v>24</v>
      </c>
      <c r="F342" s="5">
        <v>5028.9440121586968</v>
      </c>
    </row>
    <row r="343" spans="1:6" ht="15.75" customHeight="1" x14ac:dyDescent="0.3">
      <c r="A343" s="4" t="s">
        <v>51</v>
      </c>
      <c r="B343" s="2" t="s">
        <v>30</v>
      </c>
      <c r="C343" s="2" t="s">
        <v>34</v>
      </c>
      <c r="D343" s="2" t="s">
        <v>9</v>
      </c>
      <c r="E343" s="2" t="s">
        <v>15</v>
      </c>
      <c r="F343" s="5">
        <v>4368.4298481790865</v>
      </c>
    </row>
    <row r="344" spans="1:6" ht="15.75" customHeight="1" x14ac:dyDescent="0.3">
      <c r="A344" s="4" t="s">
        <v>22</v>
      </c>
      <c r="B344" s="2" t="s">
        <v>12</v>
      </c>
      <c r="C344" s="2" t="s">
        <v>23</v>
      </c>
      <c r="D344" s="2" t="s">
        <v>14</v>
      </c>
      <c r="E344" s="2" t="s">
        <v>15</v>
      </c>
      <c r="F344" s="5">
        <v>3793.84</v>
      </c>
    </row>
    <row r="345" spans="1:6" ht="15.75" customHeight="1" x14ac:dyDescent="0.3">
      <c r="A345" s="4" t="s">
        <v>45</v>
      </c>
      <c r="B345" s="2" t="s">
        <v>7</v>
      </c>
      <c r="C345" s="2" t="s">
        <v>8</v>
      </c>
      <c r="D345" s="2" t="s">
        <v>28</v>
      </c>
      <c r="E345" s="2" t="s">
        <v>15</v>
      </c>
      <c r="F345" s="5">
        <v>944.95</v>
      </c>
    </row>
    <row r="346" spans="1:6" ht="15.75" customHeight="1" x14ac:dyDescent="0.3">
      <c r="A346" s="4" t="s">
        <v>103</v>
      </c>
      <c r="B346" s="2" t="s">
        <v>19</v>
      </c>
      <c r="C346" s="2" t="s">
        <v>23</v>
      </c>
      <c r="D346" s="2" t="s">
        <v>9</v>
      </c>
      <c r="E346" s="2" t="s">
        <v>15</v>
      </c>
      <c r="F346" s="5">
        <v>2973.3029619697718</v>
      </c>
    </row>
    <row r="347" spans="1:6" ht="15.75" customHeight="1" x14ac:dyDescent="0.3">
      <c r="A347" s="4" t="s">
        <v>110</v>
      </c>
      <c r="B347" s="2" t="s">
        <v>12</v>
      </c>
      <c r="C347" s="2" t="s">
        <v>8</v>
      </c>
      <c r="D347" s="2" t="s">
        <v>9</v>
      </c>
      <c r="E347" s="2" t="s">
        <v>24</v>
      </c>
      <c r="F347" s="5">
        <v>3422.23</v>
      </c>
    </row>
    <row r="348" spans="1:6" ht="15.75" customHeight="1" x14ac:dyDescent="0.3">
      <c r="A348" s="4" t="s">
        <v>48</v>
      </c>
      <c r="B348" s="2" t="s">
        <v>19</v>
      </c>
      <c r="C348" s="2" t="s">
        <v>13</v>
      </c>
      <c r="D348" s="2" t="s">
        <v>28</v>
      </c>
      <c r="E348" s="2" t="s">
        <v>15</v>
      </c>
      <c r="F348" s="5">
        <v>3754.94</v>
      </c>
    </row>
    <row r="349" spans="1:6" ht="15.75" customHeight="1" x14ac:dyDescent="0.3">
      <c r="A349" s="4" t="s">
        <v>172</v>
      </c>
      <c r="B349" s="2" t="s">
        <v>7</v>
      </c>
      <c r="C349" s="2" t="s">
        <v>8</v>
      </c>
      <c r="D349" s="2" t="s">
        <v>9</v>
      </c>
      <c r="E349" s="2" t="s">
        <v>24</v>
      </c>
      <c r="F349" s="5">
        <v>1213.4732180266089</v>
      </c>
    </row>
    <row r="350" spans="1:6" ht="15.75" customHeight="1" x14ac:dyDescent="0.3">
      <c r="A350" s="4" t="s">
        <v>115</v>
      </c>
      <c r="B350" s="2" t="s">
        <v>19</v>
      </c>
      <c r="C350" s="2" t="s">
        <v>13</v>
      </c>
      <c r="D350" s="2" t="s">
        <v>28</v>
      </c>
      <c r="E350" s="2" t="s">
        <v>24</v>
      </c>
      <c r="F350" s="5">
        <v>358.65</v>
      </c>
    </row>
    <row r="351" spans="1:6" ht="15.75" customHeight="1" x14ac:dyDescent="0.3">
      <c r="A351" s="4" t="s">
        <v>185</v>
      </c>
      <c r="B351" s="2" t="s">
        <v>30</v>
      </c>
      <c r="C351" s="2" t="s">
        <v>13</v>
      </c>
      <c r="D351" s="2" t="s">
        <v>14</v>
      </c>
      <c r="E351" s="2" t="s">
        <v>24</v>
      </c>
      <c r="F351" s="5">
        <v>3630.35</v>
      </c>
    </row>
    <row r="352" spans="1:6" ht="15.75" customHeight="1" x14ac:dyDescent="0.3">
      <c r="A352" s="4" t="s">
        <v>172</v>
      </c>
      <c r="B352" s="2" t="s">
        <v>7</v>
      </c>
      <c r="C352" s="2" t="s">
        <v>23</v>
      </c>
      <c r="D352" s="2" t="s">
        <v>28</v>
      </c>
      <c r="E352" s="2" t="s">
        <v>10</v>
      </c>
      <c r="F352" s="5">
        <v>3966.5</v>
      </c>
    </row>
    <row r="353" spans="1:6" ht="15.75" customHeight="1" x14ac:dyDescent="0.3">
      <c r="A353" s="4" t="s">
        <v>172</v>
      </c>
      <c r="B353" s="2" t="s">
        <v>7</v>
      </c>
      <c r="C353" s="2" t="s">
        <v>34</v>
      </c>
      <c r="D353" s="2" t="s">
        <v>9</v>
      </c>
      <c r="E353" s="2" t="s">
        <v>10</v>
      </c>
      <c r="F353" s="5">
        <v>3886.2318916883992</v>
      </c>
    </row>
    <row r="354" spans="1:6" ht="15.75" customHeight="1" x14ac:dyDescent="0.3">
      <c r="A354" s="4" t="s">
        <v>186</v>
      </c>
      <c r="B354" s="2" t="s">
        <v>30</v>
      </c>
      <c r="C354" s="2" t="s">
        <v>23</v>
      </c>
      <c r="D354" s="2" t="s">
        <v>9</v>
      </c>
      <c r="E354" s="2" t="s">
        <v>10</v>
      </c>
      <c r="F354" s="5">
        <v>1898.18402643323</v>
      </c>
    </row>
    <row r="355" spans="1:6" ht="15.75" customHeight="1" x14ac:dyDescent="0.3">
      <c r="A355" s="4" t="s">
        <v>110</v>
      </c>
      <c r="B355" s="2" t="s">
        <v>12</v>
      </c>
      <c r="C355" s="2" t="s">
        <v>23</v>
      </c>
      <c r="D355" s="2" t="s">
        <v>28</v>
      </c>
      <c r="E355" s="2" t="s">
        <v>15</v>
      </c>
      <c r="F355" s="5">
        <v>1366.72</v>
      </c>
    </row>
    <row r="356" spans="1:6" ht="15.75" customHeight="1" x14ac:dyDescent="0.3">
      <c r="A356" s="4" t="s">
        <v>149</v>
      </c>
      <c r="B356" s="2" t="s">
        <v>17</v>
      </c>
      <c r="C356" s="2" t="s">
        <v>23</v>
      </c>
      <c r="D356" s="2" t="s">
        <v>9</v>
      </c>
      <c r="E356" s="2" t="s">
        <v>24</v>
      </c>
      <c r="F356" s="5">
        <v>1988.1353350095189</v>
      </c>
    </row>
    <row r="357" spans="1:6" ht="15.75" customHeight="1" x14ac:dyDescent="0.3">
      <c r="A357" s="4" t="s">
        <v>157</v>
      </c>
      <c r="B357" s="2" t="s">
        <v>30</v>
      </c>
      <c r="C357" s="2" t="s">
        <v>13</v>
      </c>
      <c r="D357" s="2" t="s">
        <v>28</v>
      </c>
      <c r="E357" s="2" t="s">
        <v>15</v>
      </c>
      <c r="F357" s="5">
        <v>2529.38</v>
      </c>
    </row>
    <row r="358" spans="1:6" ht="15.75" customHeight="1" x14ac:dyDescent="0.3">
      <c r="A358" s="4" t="s">
        <v>60</v>
      </c>
      <c r="B358" s="2" t="s">
        <v>12</v>
      </c>
      <c r="C358" s="2" t="s">
        <v>13</v>
      </c>
      <c r="D358" s="2" t="s">
        <v>28</v>
      </c>
      <c r="E358" s="2" t="s">
        <v>10</v>
      </c>
      <c r="F358" s="5">
        <v>3229.82</v>
      </c>
    </row>
    <row r="359" spans="1:6" ht="15.75" customHeight="1" x14ac:dyDescent="0.3">
      <c r="A359" s="4" t="s">
        <v>54</v>
      </c>
      <c r="B359" s="2" t="s">
        <v>12</v>
      </c>
      <c r="C359" s="2" t="s">
        <v>13</v>
      </c>
      <c r="D359" s="2" t="s">
        <v>14</v>
      </c>
      <c r="E359" s="2" t="s">
        <v>24</v>
      </c>
      <c r="F359" s="5">
        <v>1835.81</v>
      </c>
    </row>
    <row r="360" spans="1:6" ht="15.75" customHeight="1" x14ac:dyDescent="0.3">
      <c r="A360" s="4" t="s">
        <v>27</v>
      </c>
      <c r="B360" s="2" t="s">
        <v>12</v>
      </c>
      <c r="C360" s="2" t="s">
        <v>23</v>
      </c>
      <c r="D360" s="2" t="s">
        <v>9</v>
      </c>
      <c r="E360" s="2" t="s">
        <v>24</v>
      </c>
      <c r="F360" s="5">
        <v>4463.7645073014264</v>
      </c>
    </row>
    <row r="361" spans="1:6" ht="15.75" customHeight="1" x14ac:dyDescent="0.3">
      <c r="A361" s="4" t="s">
        <v>134</v>
      </c>
      <c r="B361" s="2" t="s">
        <v>7</v>
      </c>
      <c r="C361" s="2" t="s">
        <v>13</v>
      </c>
      <c r="D361" s="2" t="s">
        <v>9</v>
      </c>
      <c r="E361" s="2" t="s">
        <v>10</v>
      </c>
      <c r="F361" s="5">
        <v>2646.587032439355</v>
      </c>
    </row>
    <row r="362" spans="1:6" ht="15.75" customHeight="1" x14ac:dyDescent="0.3">
      <c r="A362" s="4" t="s">
        <v>47</v>
      </c>
      <c r="B362" s="2" t="s">
        <v>30</v>
      </c>
      <c r="C362" s="2" t="s">
        <v>23</v>
      </c>
      <c r="D362" s="2" t="s">
        <v>9</v>
      </c>
      <c r="E362" s="2" t="s">
        <v>24</v>
      </c>
      <c r="F362" s="5">
        <v>3222.4658473502082</v>
      </c>
    </row>
    <row r="363" spans="1:6" ht="15.75" customHeight="1" x14ac:dyDescent="0.3">
      <c r="A363" s="4" t="s">
        <v>126</v>
      </c>
      <c r="B363" s="2" t="s">
        <v>30</v>
      </c>
      <c r="C363" s="2" t="s">
        <v>23</v>
      </c>
      <c r="D363" s="2" t="s">
        <v>14</v>
      </c>
      <c r="E363" s="2" t="s">
        <v>10</v>
      </c>
      <c r="F363" s="5">
        <v>3493.4</v>
      </c>
    </row>
    <row r="364" spans="1:6" ht="15.75" customHeight="1" x14ac:dyDescent="0.3">
      <c r="A364" s="4" t="s">
        <v>103</v>
      </c>
      <c r="B364" s="2" t="s">
        <v>19</v>
      </c>
      <c r="C364" s="2" t="s">
        <v>23</v>
      </c>
      <c r="D364" s="2" t="s">
        <v>28</v>
      </c>
      <c r="E364" s="2" t="s">
        <v>24</v>
      </c>
      <c r="F364" s="5">
        <v>871.61</v>
      </c>
    </row>
    <row r="365" spans="1:6" ht="15.75" customHeight="1" x14ac:dyDescent="0.3">
      <c r="A365" s="4" t="s">
        <v>80</v>
      </c>
      <c r="B365" s="2" t="s">
        <v>17</v>
      </c>
      <c r="C365" s="2" t="s">
        <v>23</v>
      </c>
      <c r="D365" s="2" t="s">
        <v>28</v>
      </c>
      <c r="E365" s="2" t="s">
        <v>15</v>
      </c>
      <c r="F365" s="5">
        <v>407.43</v>
      </c>
    </row>
    <row r="366" spans="1:6" ht="15.75" customHeight="1" x14ac:dyDescent="0.3">
      <c r="A366" s="4" t="s">
        <v>71</v>
      </c>
      <c r="B366" s="2" t="s">
        <v>7</v>
      </c>
      <c r="C366" s="2" t="s">
        <v>23</v>
      </c>
      <c r="D366" s="2" t="s">
        <v>28</v>
      </c>
      <c r="E366" s="2" t="s">
        <v>10</v>
      </c>
      <c r="F366" s="5">
        <v>4341.34</v>
      </c>
    </row>
    <row r="367" spans="1:6" ht="15.75" customHeight="1" x14ac:dyDescent="0.3">
      <c r="A367" s="4" t="s">
        <v>187</v>
      </c>
      <c r="B367" s="2" t="s">
        <v>19</v>
      </c>
      <c r="C367" s="2" t="s">
        <v>13</v>
      </c>
      <c r="D367" s="2" t="s">
        <v>9</v>
      </c>
      <c r="E367" s="2" t="s">
        <v>15</v>
      </c>
      <c r="F367" s="5">
        <v>1935.29569129775</v>
      </c>
    </row>
    <row r="368" spans="1:6" ht="15.75" customHeight="1" x14ac:dyDescent="0.3">
      <c r="A368" s="4" t="s">
        <v>160</v>
      </c>
      <c r="B368" s="2" t="s">
        <v>30</v>
      </c>
      <c r="C368" s="2" t="s">
        <v>23</v>
      </c>
      <c r="D368" s="2" t="s">
        <v>14</v>
      </c>
      <c r="E368" s="2" t="s">
        <v>10</v>
      </c>
      <c r="F368" s="5">
        <v>3547.68</v>
      </c>
    </row>
    <row r="369" spans="1:6" ht="15.75" customHeight="1" x14ac:dyDescent="0.3">
      <c r="A369" s="4" t="s">
        <v>149</v>
      </c>
      <c r="B369" s="2" t="s">
        <v>17</v>
      </c>
      <c r="C369" s="2" t="s">
        <v>34</v>
      </c>
      <c r="D369" s="2" t="s">
        <v>14</v>
      </c>
      <c r="E369" s="2" t="s">
        <v>24</v>
      </c>
      <c r="F369" s="5">
        <v>4904.09</v>
      </c>
    </row>
    <row r="370" spans="1:6" ht="15.75" customHeight="1" x14ac:dyDescent="0.3">
      <c r="A370" s="4" t="s">
        <v>33</v>
      </c>
      <c r="B370" s="2" t="s">
        <v>19</v>
      </c>
      <c r="C370" s="2" t="s">
        <v>8</v>
      </c>
      <c r="D370" s="2" t="s">
        <v>14</v>
      </c>
      <c r="E370" s="2" t="s">
        <v>10</v>
      </c>
      <c r="F370" s="5">
        <v>3391.08</v>
      </c>
    </row>
    <row r="371" spans="1:6" ht="15.75" customHeight="1" x14ac:dyDescent="0.3">
      <c r="A371" s="4" t="s">
        <v>64</v>
      </c>
      <c r="B371" s="2" t="s">
        <v>30</v>
      </c>
      <c r="C371" s="2" t="s">
        <v>8</v>
      </c>
      <c r="D371" s="2" t="s">
        <v>28</v>
      </c>
      <c r="E371" s="2" t="s">
        <v>10</v>
      </c>
      <c r="F371" s="5">
        <v>589.80999999999995</v>
      </c>
    </row>
    <row r="372" spans="1:6" ht="15.75" customHeight="1" x14ac:dyDescent="0.3">
      <c r="A372" s="4" t="s">
        <v>127</v>
      </c>
      <c r="B372" s="2" t="s">
        <v>17</v>
      </c>
      <c r="C372" s="2" t="s">
        <v>13</v>
      </c>
      <c r="D372" s="2" t="s">
        <v>28</v>
      </c>
      <c r="E372" s="2" t="s">
        <v>24</v>
      </c>
      <c r="F372" s="5">
        <v>1487.46</v>
      </c>
    </row>
    <row r="373" spans="1:6" ht="15.75" customHeight="1" x14ac:dyDescent="0.3">
      <c r="A373" s="4" t="s">
        <v>27</v>
      </c>
      <c r="B373" s="2" t="s">
        <v>12</v>
      </c>
      <c r="C373" s="2" t="s">
        <v>13</v>
      </c>
      <c r="D373" s="2" t="s">
        <v>14</v>
      </c>
      <c r="E373" s="2" t="s">
        <v>24</v>
      </c>
      <c r="F373" s="5">
        <v>2879.35</v>
      </c>
    </row>
    <row r="374" spans="1:6" ht="15.75" customHeight="1" x14ac:dyDescent="0.3">
      <c r="A374" s="4" t="s">
        <v>45</v>
      </c>
      <c r="B374" s="2" t="s">
        <v>7</v>
      </c>
      <c r="C374" s="2" t="s">
        <v>13</v>
      </c>
      <c r="D374" s="2" t="s">
        <v>28</v>
      </c>
      <c r="E374" s="2" t="s">
        <v>24</v>
      </c>
      <c r="F374" s="5">
        <v>3544.12</v>
      </c>
    </row>
    <row r="375" spans="1:6" ht="15.75" customHeight="1" x14ac:dyDescent="0.3">
      <c r="A375" s="4" t="s">
        <v>27</v>
      </c>
      <c r="B375" s="2" t="s">
        <v>12</v>
      </c>
      <c r="C375" s="2" t="s">
        <v>8</v>
      </c>
      <c r="D375" s="2" t="s">
        <v>14</v>
      </c>
      <c r="E375" s="2" t="s">
        <v>10</v>
      </c>
      <c r="F375" s="5">
        <v>646.33000000000004</v>
      </c>
    </row>
    <row r="376" spans="1:6" ht="15.75" customHeight="1" x14ac:dyDescent="0.3">
      <c r="A376" s="4" t="s">
        <v>144</v>
      </c>
      <c r="B376" s="2" t="s">
        <v>30</v>
      </c>
      <c r="C376" s="2" t="s">
        <v>23</v>
      </c>
      <c r="D376" s="2" t="s">
        <v>14</v>
      </c>
      <c r="E376" s="2" t="s">
        <v>10</v>
      </c>
      <c r="F376" s="5">
        <v>1569.86</v>
      </c>
    </row>
    <row r="377" spans="1:6" ht="15.75" customHeight="1" x14ac:dyDescent="0.3">
      <c r="A377" s="4" t="s">
        <v>166</v>
      </c>
      <c r="B377" s="2" t="s">
        <v>7</v>
      </c>
      <c r="C377" s="2" t="s">
        <v>34</v>
      </c>
      <c r="D377" s="2" t="s">
        <v>28</v>
      </c>
      <c r="E377" s="2" t="s">
        <v>15</v>
      </c>
      <c r="F377" s="5">
        <v>2728.09</v>
      </c>
    </row>
    <row r="378" spans="1:6" ht="15.75" customHeight="1" x14ac:dyDescent="0.3">
      <c r="A378" s="4" t="s">
        <v>76</v>
      </c>
      <c r="B378" s="2" t="s">
        <v>17</v>
      </c>
      <c r="C378" s="2" t="s">
        <v>23</v>
      </c>
      <c r="D378" s="2" t="s">
        <v>28</v>
      </c>
      <c r="E378" s="2" t="s">
        <v>15</v>
      </c>
      <c r="F378" s="5">
        <v>1865.65</v>
      </c>
    </row>
    <row r="379" spans="1:6" ht="15.75" customHeight="1" x14ac:dyDescent="0.3">
      <c r="A379" s="4" t="s">
        <v>138</v>
      </c>
      <c r="B379" s="2" t="s">
        <v>12</v>
      </c>
      <c r="C379" s="2" t="s">
        <v>13</v>
      </c>
      <c r="D379" s="2" t="s">
        <v>28</v>
      </c>
      <c r="E379" s="2" t="s">
        <v>10</v>
      </c>
      <c r="F379" s="5">
        <v>4048.31</v>
      </c>
    </row>
    <row r="380" spans="1:6" ht="15.75" customHeight="1" x14ac:dyDescent="0.3">
      <c r="A380" s="4" t="s">
        <v>39</v>
      </c>
      <c r="B380" s="2" t="s">
        <v>7</v>
      </c>
      <c r="C380" s="2" t="s">
        <v>34</v>
      </c>
      <c r="D380" s="2" t="s">
        <v>28</v>
      </c>
      <c r="E380" s="2" t="s">
        <v>15</v>
      </c>
      <c r="F380" s="5">
        <v>468.34</v>
      </c>
    </row>
    <row r="381" spans="1:6" ht="15.75" customHeight="1" x14ac:dyDescent="0.3">
      <c r="A381" s="4" t="s">
        <v>188</v>
      </c>
      <c r="B381" s="2" t="s">
        <v>19</v>
      </c>
      <c r="C381" s="2" t="s">
        <v>13</v>
      </c>
      <c r="D381" s="2" t="s">
        <v>28</v>
      </c>
      <c r="E381" s="2" t="s">
        <v>10</v>
      </c>
      <c r="F381" s="5">
        <v>802.1</v>
      </c>
    </row>
    <row r="382" spans="1:6" ht="15.75" customHeight="1" x14ac:dyDescent="0.3">
      <c r="A382" s="4" t="s">
        <v>101</v>
      </c>
      <c r="B382" s="2" t="s">
        <v>19</v>
      </c>
      <c r="C382" s="2" t="s">
        <v>34</v>
      </c>
      <c r="D382" s="2" t="s">
        <v>9</v>
      </c>
      <c r="E382" s="2" t="s">
        <v>10</v>
      </c>
      <c r="F382" s="5">
        <v>3548.2599944224999</v>
      </c>
    </row>
    <row r="383" spans="1:6" ht="15.75" customHeight="1" x14ac:dyDescent="0.3">
      <c r="A383" s="4" t="s">
        <v>142</v>
      </c>
      <c r="B383" s="2" t="s">
        <v>17</v>
      </c>
      <c r="C383" s="2" t="s">
        <v>8</v>
      </c>
      <c r="D383" s="2" t="s">
        <v>14</v>
      </c>
      <c r="E383" s="2" t="s">
        <v>15</v>
      </c>
      <c r="F383" s="5">
        <v>647.30999999999995</v>
      </c>
    </row>
    <row r="384" spans="1:6" ht="15.75" customHeight="1" x14ac:dyDescent="0.3">
      <c r="A384" s="4" t="s">
        <v>178</v>
      </c>
      <c r="B384" s="2" t="s">
        <v>30</v>
      </c>
      <c r="C384" s="2" t="s">
        <v>34</v>
      </c>
      <c r="D384" s="2" t="s">
        <v>14</v>
      </c>
      <c r="E384" s="2" t="s">
        <v>24</v>
      </c>
      <c r="F384" s="5">
        <v>1024.8599999999999</v>
      </c>
    </row>
    <row r="385" spans="1:6" ht="15.75" customHeight="1" x14ac:dyDescent="0.3">
      <c r="A385" s="4" t="s">
        <v>172</v>
      </c>
      <c r="B385" s="2" t="s">
        <v>7</v>
      </c>
      <c r="C385" s="2" t="s">
        <v>23</v>
      </c>
      <c r="D385" s="2" t="s">
        <v>14</v>
      </c>
      <c r="E385" s="2" t="s">
        <v>24</v>
      </c>
      <c r="F385" s="5">
        <v>304.14999999999998</v>
      </c>
    </row>
    <row r="386" spans="1:6" ht="15.75" customHeight="1" x14ac:dyDescent="0.3">
      <c r="A386" s="4" t="s">
        <v>73</v>
      </c>
      <c r="B386" s="2" t="s">
        <v>30</v>
      </c>
      <c r="C386" s="2" t="s">
        <v>23</v>
      </c>
      <c r="D386" s="2" t="s">
        <v>28</v>
      </c>
      <c r="E386" s="2" t="s">
        <v>24</v>
      </c>
      <c r="F386" s="5">
        <v>4794.1899999999996</v>
      </c>
    </row>
    <row r="387" spans="1:6" ht="15.75" customHeight="1" x14ac:dyDescent="0.3">
      <c r="A387" s="4" t="s">
        <v>72</v>
      </c>
      <c r="B387" s="2" t="s">
        <v>19</v>
      </c>
      <c r="C387" s="2" t="s">
        <v>34</v>
      </c>
      <c r="D387" s="2" t="s">
        <v>28</v>
      </c>
      <c r="E387" s="2" t="s">
        <v>24</v>
      </c>
      <c r="F387" s="5">
        <v>2331.7399999999998</v>
      </c>
    </row>
    <row r="388" spans="1:6" ht="15.75" customHeight="1" x14ac:dyDescent="0.3">
      <c r="A388" s="4" t="s">
        <v>136</v>
      </c>
      <c r="B388" s="2" t="s">
        <v>17</v>
      </c>
      <c r="C388" s="2" t="s">
        <v>13</v>
      </c>
      <c r="D388" s="2" t="s">
        <v>28</v>
      </c>
      <c r="E388" s="2" t="s">
        <v>10</v>
      </c>
      <c r="F388" s="5">
        <v>4183.93</v>
      </c>
    </row>
    <row r="389" spans="1:6" ht="15.75" customHeight="1" x14ac:dyDescent="0.3">
      <c r="A389" s="4" t="s">
        <v>22</v>
      </c>
      <c r="B389" s="2" t="s">
        <v>12</v>
      </c>
      <c r="C389" s="2" t="s">
        <v>13</v>
      </c>
      <c r="D389" s="2" t="s">
        <v>14</v>
      </c>
      <c r="E389" s="2" t="s">
        <v>15</v>
      </c>
      <c r="F389" s="5">
        <v>1515.76</v>
      </c>
    </row>
    <row r="390" spans="1:6" ht="15.75" customHeight="1" x14ac:dyDescent="0.3">
      <c r="A390" s="4" t="s">
        <v>189</v>
      </c>
      <c r="B390" s="2" t="s">
        <v>19</v>
      </c>
      <c r="C390" s="2" t="s">
        <v>23</v>
      </c>
      <c r="D390" s="2" t="s">
        <v>9</v>
      </c>
      <c r="E390" s="2" t="s">
        <v>10</v>
      </c>
      <c r="F390" s="5">
        <v>4299.7299999999996</v>
      </c>
    </row>
    <row r="391" spans="1:6" ht="15.75" customHeight="1" x14ac:dyDescent="0.3">
      <c r="A391" s="4" t="s">
        <v>89</v>
      </c>
      <c r="B391" s="2" t="s">
        <v>17</v>
      </c>
      <c r="C391" s="2" t="s">
        <v>13</v>
      </c>
      <c r="D391" s="2" t="s">
        <v>28</v>
      </c>
      <c r="E391" s="2" t="s">
        <v>24</v>
      </c>
      <c r="F391" s="5">
        <v>303.22000000000003</v>
      </c>
    </row>
    <row r="392" spans="1:6" ht="15.75" customHeight="1" x14ac:dyDescent="0.3">
      <c r="A392" s="4" t="s">
        <v>121</v>
      </c>
      <c r="B392" s="2" t="s">
        <v>30</v>
      </c>
      <c r="C392" s="2" t="s">
        <v>8</v>
      </c>
      <c r="D392" s="2" t="s">
        <v>14</v>
      </c>
      <c r="E392" s="2" t="s">
        <v>10</v>
      </c>
      <c r="F392" s="5">
        <v>2427.3000000000002</v>
      </c>
    </row>
    <row r="393" spans="1:6" ht="15.75" customHeight="1" x14ac:dyDescent="0.3">
      <c r="A393" s="4" t="s">
        <v>190</v>
      </c>
      <c r="B393" s="2" t="s">
        <v>17</v>
      </c>
      <c r="C393" s="2" t="s">
        <v>13</v>
      </c>
      <c r="D393" s="2" t="s">
        <v>14</v>
      </c>
      <c r="E393" s="2" t="s">
        <v>15</v>
      </c>
      <c r="F393" s="5">
        <v>3481.31</v>
      </c>
    </row>
    <row r="394" spans="1:6" ht="15.75" customHeight="1" x14ac:dyDescent="0.3">
      <c r="A394" s="4" t="s">
        <v>96</v>
      </c>
      <c r="B394" s="2" t="s">
        <v>19</v>
      </c>
      <c r="C394" s="2" t="s">
        <v>23</v>
      </c>
      <c r="D394" s="2" t="s">
        <v>28</v>
      </c>
      <c r="E394" s="2" t="s">
        <v>10</v>
      </c>
      <c r="F394" s="5">
        <v>2451.0100000000002</v>
      </c>
    </row>
    <row r="395" spans="1:6" ht="15.75" customHeight="1" x14ac:dyDescent="0.3">
      <c r="A395" s="4" t="s">
        <v>50</v>
      </c>
      <c r="B395" s="2" t="s">
        <v>19</v>
      </c>
      <c r="C395" s="2" t="s">
        <v>8</v>
      </c>
      <c r="D395" s="2" t="s">
        <v>9</v>
      </c>
      <c r="E395" s="2" t="s">
        <v>10</v>
      </c>
      <c r="F395" s="5">
        <v>2726.5885548988631</v>
      </c>
    </row>
    <row r="396" spans="1:6" ht="15.75" customHeight="1" x14ac:dyDescent="0.3">
      <c r="A396" s="4" t="s">
        <v>171</v>
      </c>
      <c r="B396" s="2" t="s">
        <v>17</v>
      </c>
      <c r="C396" s="2" t="s">
        <v>13</v>
      </c>
      <c r="D396" s="2" t="s">
        <v>28</v>
      </c>
      <c r="E396" s="2" t="s">
        <v>24</v>
      </c>
      <c r="F396" s="5">
        <v>4059.4</v>
      </c>
    </row>
    <row r="397" spans="1:6" ht="15.75" customHeight="1" x14ac:dyDescent="0.3">
      <c r="A397" s="4" t="s">
        <v>152</v>
      </c>
      <c r="B397" s="2" t="s">
        <v>30</v>
      </c>
      <c r="C397" s="2" t="s">
        <v>34</v>
      </c>
      <c r="D397" s="2" t="s">
        <v>28</v>
      </c>
      <c r="E397" s="2" t="s">
        <v>10</v>
      </c>
      <c r="F397" s="5">
        <v>3874.1</v>
      </c>
    </row>
    <row r="398" spans="1:6" ht="15.75" customHeight="1" x14ac:dyDescent="0.3">
      <c r="A398" s="4" t="s">
        <v>146</v>
      </c>
      <c r="B398" s="2" t="s">
        <v>7</v>
      </c>
      <c r="C398" s="2" t="s">
        <v>34</v>
      </c>
      <c r="D398" s="2" t="s">
        <v>14</v>
      </c>
      <c r="E398" s="2" t="s">
        <v>10</v>
      </c>
      <c r="F398" s="5">
        <v>870.3</v>
      </c>
    </row>
    <row r="399" spans="1:6" ht="15.75" customHeight="1" x14ac:dyDescent="0.3">
      <c r="A399" s="4" t="s">
        <v>171</v>
      </c>
      <c r="B399" s="2" t="s">
        <v>17</v>
      </c>
      <c r="C399" s="2" t="s">
        <v>8</v>
      </c>
      <c r="D399" s="2" t="s">
        <v>28</v>
      </c>
      <c r="E399" s="2" t="s">
        <v>24</v>
      </c>
      <c r="F399" s="5">
        <v>1471.82</v>
      </c>
    </row>
    <row r="400" spans="1:6" ht="15.75" customHeight="1" x14ac:dyDescent="0.3">
      <c r="A400" s="4" t="s">
        <v>191</v>
      </c>
      <c r="B400" s="2" t="s">
        <v>12</v>
      </c>
      <c r="C400" s="2" t="s">
        <v>8</v>
      </c>
      <c r="D400" s="2" t="s">
        <v>9</v>
      </c>
      <c r="E400" s="2" t="s">
        <v>10</v>
      </c>
      <c r="F400" s="5">
        <v>3436.000754463274</v>
      </c>
    </row>
    <row r="401" spans="1:6" ht="15.75" customHeight="1" x14ac:dyDescent="0.3">
      <c r="A401" s="4" t="s">
        <v>124</v>
      </c>
      <c r="B401" s="2" t="s">
        <v>12</v>
      </c>
      <c r="C401" s="2" t="s">
        <v>13</v>
      </c>
      <c r="D401" s="2" t="s">
        <v>9</v>
      </c>
      <c r="E401" s="2" t="s">
        <v>24</v>
      </c>
      <c r="F401" s="5">
        <v>479.22266450760202</v>
      </c>
    </row>
    <row r="402" spans="1:6" ht="15.75" customHeight="1" x14ac:dyDescent="0.3">
      <c r="A402" s="4" t="s">
        <v>183</v>
      </c>
      <c r="B402" s="2" t="s">
        <v>7</v>
      </c>
      <c r="C402" s="2" t="s">
        <v>23</v>
      </c>
      <c r="D402" s="2" t="s">
        <v>14</v>
      </c>
      <c r="E402" s="2" t="s">
        <v>15</v>
      </c>
      <c r="F402" s="5">
        <v>2840.69</v>
      </c>
    </row>
    <row r="403" spans="1:6" ht="15.75" customHeight="1" x14ac:dyDescent="0.3">
      <c r="A403" s="4" t="s">
        <v>71</v>
      </c>
      <c r="B403" s="2" t="s">
        <v>7</v>
      </c>
      <c r="C403" s="2" t="s">
        <v>13</v>
      </c>
      <c r="D403" s="2" t="s">
        <v>28</v>
      </c>
      <c r="E403" s="2" t="s">
        <v>15</v>
      </c>
      <c r="F403" s="5">
        <v>1808.08</v>
      </c>
    </row>
    <row r="404" spans="1:6" ht="15.75" customHeight="1" x14ac:dyDescent="0.3">
      <c r="A404" s="4" t="s">
        <v>128</v>
      </c>
      <c r="B404" s="2" t="s">
        <v>12</v>
      </c>
      <c r="C404" s="2" t="s">
        <v>34</v>
      </c>
      <c r="D404" s="2" t="s">
        <v>28</v>
      </c>
      <c r="E404" s="2" t="s">
        <v>24</v>
      </c>
      <c r="F404" s="5">
        <v>425.7</v>
      </c>
    </row>
    <row r="405" spans="1:6" ht="15.75" customHeight="1" x14ac:dyDescent="0.3">
      <c r="A405" s="4" t="s">
        <v>118</v>
      </c>
      <c r="B405" s="2" t="s">
        <v>30</v>
      </c>
      <c r="C405" s="2" t="s">
        <v>34</v>
      </c>
      <c r="D405" s="2" t="s">
        <v>14</v>
      </c>
      <c r="E405" s="2" t="s">
        <v>10</v>
      </c>
      <c r="F405" s="5">
        <v>981.92</v>
      </c>
    </row>
    <row r="406" spans="1:6" ht="15.75" customHeight="1" x14ac:dyDescent="0.3">
      <c r="A406" s="4" t="s">
        <v>37</v>
      </c>
      <c r="B406" s="2" t="s">
        <v>17</v>
      </c>
      <c r="C406" s="2" t="s">
        <v>8</v>
      </c>
      <c r="D406" s="2" t="s">
        <v>9</v>
      </c>
      <c r="E406" s="2" t="s">
        <v>15</v>
      </c>
      <c r="F406" s="5">
        <v>1089.286156146823</v>
      </c>
    </row>
    <row r="407" spans="1:6" ht="15.75" customHeight="1" x14ac:dyDescent="0.3">
      <c r="A407" s="4" t="s">
        <v>192</v>
      </c>
      <c r="B407" s="2" t="s">
        <v>19</v>
      </c>
      <c r="C407" s="2" t="s">
        <v>34</v>
      </c>
      <c r="D407" s="2" t="s">
        <v>9</v>
      </c>
      <c r="E407" s="2" t="s">
        <v>24</v>
      </c>
      <c r="F407" s="5">
        <v>4336.6087244962846</v>
      </c>
    </row>
    <row r="408" spans="1:6" ht="15.75" customHeight="1" x14ac:dyDescent="0.3">
      <c r="A408" s="4" t="s">
        <v>58</v>
      </c>
      <c r="B408" s="2" t="s">
        <v>17</v>
      </c>
      <c r="C408" s="2" t="s">
        <v>23</v>
      </c>
      <c r="D408" s="2" t="s">
        <v>9</v>
      </c>
      <c r="E408" s="2" t="s">
        <v>15</v>
      </c>
      <c r="F408" s="5">
        <v>1820.986480793734</v>
      </c>
    </row>
    <row r="409" spans="1:6" ht="15.75" customHeight="1" x14ac:dyDescent="0.3">
      <c r="A409" s="4" t="s">
        <v>80</v>
      </c>
      <c r="B409" s="2" t="s">
        <v>17</v>
      </c>
      <c r="C409" s="2" t="s">
        <v>13</v>
      </c>
      <c r="D409" s="2" t="s">
        <v>14</v>
      </c>
      <c r="E409" s="2" t="s">
        <v>15</v>
      </c>
      <c r="F409" s="5">
        <v>2772.88</v>
      </c>
    </row>
    <row r="410" spans="1:6" ht="15.75" customHeight="1" x14ac:dyDescent="0.3">
      <c r="A410" s="4" t="s">
        <v>75</v>
      </c>
      <c r="B410" s="2" t="s">
        <v>19</v>
      </c>
      <c r="C410" s="2" t="s">
        <v>13</v>
      </c>
      <c r="D410" s="2" t="s">
        <v>14</v>
      </c>
      <c r="E410" s="2" t="s">
        <v>24</v>
      </c>
      <c r="F410" s="5">
        <v>4985.09</v>
      </c>
    </row>
    <row r="411" spans="1:6" ht="15.75" customHeight="1" x14ac:dyDescent="0.3">
      <c r="A411" s="4" t="s">
        <v>188</v>
      </c>
      <c r="B411" s="2" t="s">
        <v>19</v>
      </c>
      <c r="C411" s="2" t="s">
        <v>23</v>
      </c>
      <c r="D411" s="2" t="s">
        <v>9</v>
      </c>
      <c r="E411" s="2" t="s">
        <v>10</v>
      </c>
      <c r="F411" s="5">
        <v>4859.13</v>
      </c>
    </row>
    <row r="412" spans="1:6" ht="15.75" customHeight="1" x14ac:dyDescent="0.3">
      <c r="A412" s="4" t="s">
        <v>39</v>
      </c>
      <c r="B412" s="2" t="s">
        <v>7</v>
      </c>
      <c r="C412" s="2" t="s">
        <v>34</v>
      </c>
      <c r="D412" s="2" t="s">
        <v>28</v>
      </c>
      <c r="E412" s="2" t="s">
        <v>15</v>
      </c>
      <c r="F412" s="5">
        <v>3855.03</v>
      </c>
    </row>
    <row r="413" spans="1:6" ht="15.75" customHeight="1" x14ac:dyDescent="0.3">
      <c r="A413" s="4" t="s">
        <v>111</v>
      </c>
      <c r="B413" s="2" t="s">
        <v>19</v>
      </c>
      <c r="C413" s="2" t="s">
        <v>8</v>
      </c>
      <c r="D413" s="2" t="s">
        <v>9</v>
      </c>
      <c r="E413" s="2" t="s">
        <v>24</v>
      </c>
      <c r="F413" s="5">
        <v>1087.9336566727329</v>
      </c>
    </row>
    <row r="414" spans="1:6" ht="15.75" customHeight="1" x14ac:dyDescent="0.3">
      <c r="A414" s="4" t="s">
        <v>26</v>
      </c>
      <c r="B414" s="2" t="s">
        <v>17</v>
      </c>
      <c r="C414" s="2" t="s">
        <v>8</v>
      </c>
      <c r="D414" s="2" t="s">
        <v>14</v>
      </c>
      <c r="E414" s="2" t="s">
        <v>10</v>
      </c>
      <c r="F414" s="5">
        <v>3311.86</v>
      </c>
    </row>
    <row r="415" spans="1:6" ht="15.75" customHeight="1" x14ac:dyDescent="0.3">
      <c r="A415" s="4" t="s">
        <v>188</v>
      </c>
      <c r="B415" s="2" t="s">
        <v>19</v>
      </c>
      <c r="C415" s="2" t="s">
        <v>8</v>
      </c>
      <c r="D415" s="2" t="s">
        <v>9</v>
      </c>
      <c r="E415" s="2" t="s">
        <v>24</v>
      </c>
      <c r="F415" s="5">
        <v>3496.49</v>
      </c>
    </row>
    <row r="416" spans="1:6" ht="15.75" customHeight="1" x14ac:dyDescent="0.3">
      <c r="A416" s="4" t="s">
        <v>105</v>
      </c>
      <c r="B416" s="2" t="s">
        <v>30</v>
      </c>
      <c r="C416" s="2" t="s">
        <v>34</v>
      </c>
      <c r="D416" s="2" t="s">
        <v>28</v>
      </c>
      <c r="E416" s="2" t="s">
        <v>10</v>
      </c>
      <c r="F416" s="5">
        <v>3355.28</v>
      </c>
    </row>
    <row r="417" spans="1:6" ht="15.75" customHeight="1" x14ac:dyDescent="0.3">
      <c r="A417" s="4" t="s">
        <v>122</v>
      </c>
      <c r="B417" s="2" t="s">
        <v>19</v>
      </c>
      <c r="C417" s="2" t="s">
        <v>8</v>
      </c>
      <c r="D417" s="2" t="s">
        <v>9</v>
      </c>
      <c r="E417" s="2" t="s">
        <v>10</v>
      </c>
      <c r="F417" s="5">
        <v>4871.4203091378122</v>
      </c>
    </row>
    <row r="418" spans="1:6" ht="15.75" customHeight="1" x14ac:dyDescent="0.3">
      <c r="A418" s="4" t="s">
        <v>49</v>
      </c>
      <c r="B418" s="2" t="s">
        <v>19</v>
      </c>
      <c r="C418" s="2" t="s">
        <v>13</v>
      </c>
      <c r="D418" s="2" t="s">
        <v>9</v>
      </c>
      <c r="E418" s="2" t="s">
        <v>10</v>
      </c>
      <c r="F418" s="5">
        <v>1245.54</v>
      </c>
    </row>
    <row r="419" spans="1:6" ht="15.75" customHeight="1" x14ac:dyDescent="0.3">
      <c r="A419" s="4" t="s">
        <v>123</v>
      </c>
      <c r="B419" s="2" t="s">
        <v>30</v>
      </c>
      <c r="C419" s="2" t="s">
        <v>34</v>
      </c>
      <c r="D419" s="2" t="s">
        <v>14</v>
      </c>
      <c r="E419" s="2" t="s">
        <v>15</v>
      </c>
      <c r="F419" s="5">
        <v>2891.84</v>
      </c>
    </row>
    <row r="420" spans="1:6" ht="15.75" customHeight="1" x14ac:dyDescent="0.3">
      <c r="A420" s="4" t="s">
        <v>54</v>
      </c>
      <c r="B420" s="2" t="s">
        <v>12</v>
      </c>
      <c r="C420" s="2" t="s">
        <v>8</v>
      </c>
      <c r="D420" s="2" t="s">
        <v>14</v>
      </c>
      <c r="E420" s="2" t="s">
        <v>10</v>
      </c>
      <c r="F420" s="5">
        <v>2482.64</v>
      </c>
    </row>
    <row r="421" spans="1:6" ht="15.75" customHeight="1" x14ac:dyDescent="0.3">
      <c r="A421" s="4" t="s">
        <v>162</v>
      </c>
      <c r="B421" s="2" t="s">
        <v>30</v>
      </c>
      <c r="C421" s="2" t="s">
        <v>23</v>
      </c>
      <c r="D421" s="2" t="s">
        <v>9</v>
      </c>
      <c r="E421" s="2" t="s">
        <v>10</v>
      </c>
      <c r="F421" s="5">
        <v>3463.8851945475622</v>
      </c>
    </row>
    <row r="422" spans="1:6" ht="15.75" customHeight="1" x14ac:dyDescent="0.3">
      <c r="A422" s="4" t="s">
        <v>193</v>
      </c>
      <c r="B422" s="2" t="s">
        <v>12</v>
      </c>
      <c r="C422" s="2" t="s">
        <v>8</v>
      </c>
      <c r="D422" s="2" t="s">
        <v>9</v>
      </c>
      <c r="E422" s="2" t="s">
        <v>24</v>
      </c>
      <c r="F422" s="5">
        <v>2901.336909304945</v>
      </c>
    </row>
    <row r="423" spans="1:6" ht="15.75" customHeight="1" x14ac:dyDescent="0.3">
      <c r="A423" s="4" t="s">
        <v>194</v>
      </c>
      <c r="B423" s="2" t="s">
        <v>17</v>
      </c>
      <c r="C423" s="2" t="s">
        <v>34</v>
      </c>
      <c r="D423" s="2" t="s">
        <v>14</v>
      </c>
      <c r="E423" s="2" t="s">
        <v>15</v>
      </c>
      <c r="F423" s="5">
        <v>1323.76</v>
      </c>
    </row>
    <row r="424" spans="1:6" ht="15.75" customHeight="1" x14ac:dyDescent="0.3">
      <c r="A424" s="4" t="s">
        <v>190</v>
      </c>
      <c r="B424" s="2" t="s">
        <v>17</v>
      </c>
      <c r="C424" s="2" t="s">
        <v>8</v>
      </c>
      <c r="D424" s="2" t="s">
        <v>9</v>
      </c>
      <c r="E424" s="2" t="s">
        <v>24</v>
      </c>
      <c r="F424" s="5">
        <v>2332.1231007980609</v>
      </c>
    </row>
    <row r="425" spans="1:6" ht="15.75" customHeight="1" x14ac:dyDescent="0.3">
      <c r="A425" s="4" t="s">
        <v>141</v>
      </c>
      <c r="B425" s="2" t="s">
        <v>7</v>
      </c>
      <c r="C425" s="2" t="s">
        <v>8</v>
      </c>
      <c r="D425" s="2" t="s">
        <v>28</v>
      </c>
      <c r="E425" s="2" t="s">
        <v>24</v>
      </c>
      <c r="F425" s="5">
        <v>462.78</v>
      </c>
    </row>
    <row r="426" spans="1:6" ht="15.75" customHeight="1" x14ac:dyDescent="0.3">
      <c r="A426" s="4" t="s">
        <v>193</v>
      </c>
      <c r="B426" s="2" t="s">
        <v>12</v>
      </c>
      <c r="C426" s="2" t="s">
        <v>23</v>
      </c>
      <c r="D426" s="2" t="s">
        <v>14</v>
      </c>
      <c r="E426" s="2" t="s">
        <v>15</v>
      </c>
      <c r="F426" s="5">
        <v>1229.33</v>
      </c>
    </row>
    <row r="427" spans="1:6" ht="15.75" customHeight="1" x14ac:dyDescent="0.3">
      <c r="A427" s="4" t="s">
        <v>92</v>
      </c>
      <c r="B427" s="2" t="s">
        <v>30</v>
      </c>
      <c r="C427" s="2" t="s">
        <v>13</v>
      </c>
      <c r="D427" s="2" t="s">
        <v>14</v>
      </c>
      <c r="E427" s="2" t="s">
        <v>15</v>
      </c>
      <c r="F427" s="5">
        <v>3457.79</v>
      </c>
    </row>
    <row r="428" spans="1:6" ht="15.75" customHeight="1" x14ac:dyDescent="0.3">
      <c r="A428" s="4" t="s">
        <v>89</v>
      </c>
      <c r="B428" s="2" t="s">
        <v>17</v>
      </c>
      <c r="C428" s="2" t="s">
        <v>8</v>
      </c>
      <c r="D428" s="2" t="s">
        <v>14</v>
      </c>
      <c r="E428" s="2" t="s">
        <v>15</v>
      </c>
      <c r="F428" s="5">
        <v>3519.41</v>
      </c>
    </row>
    <row r="429" spans="1:6" ht="15.75" customHeight="1" x14ac:dyDescent="0.3">
      <c r="A429" s="4" t="s">
        <v>171</v>
      </c>
      <c r="B429" s="2" t="s">
        <v>17</v>
      </c>
      <c r="C429" s="2" t="s">
        <v>8</v>
      </c>
      <c r="D429" s="2" t="s">
        <v>28</v>
      </c>
      <c r="E429" s="2" t="s">
        <v>24</v>
      </c>
      <c r="F429" s="5">
        <v>2913.47</v>
      </c>
    </row>
    <row r="430" spans="1:6" ht="15.75" customHeight="1" x14ac:dyDescent="0.3">
      <c r="A430" s="4" t="s">
        <v>195</v>
      </c>
      <c r="B430" s="2" t="s">
        <v>7</v>
      </c>
      <c r="C430" s="2" t="s">
        <v>34</v>
      </c>
      <c r="D430" s="2" t="s">
        <v>28</v>
      </c>
      <c r="E430" s="2" t="s">
        <v>15</v>
      </c>
      <c r="F430" s="5">
        <v>1431.51</v>
      </c>
    </row>
    <row r="431" spans="1:6" ht="15.75" customHeight="1" x14ac:dyDescent="0.3">
      <c r="A431" s="4" t="s">
        <v>85</v>
      </c>
      <c r="B431" s="2" t="s">
        <v>30</v>
      </c>
      <c r="C431" s="2" t="s">
        <v>34</v>
      </c>
      <c r="D431" s="2" t="s">
        <v>28</v>
      </c>
      <c r="E431" s="2" t="s">
        <v>24</v>
      </c>
      <c r="F431" s="5">
        <v>2346.0500000000002</v>
      </c>
    </row>
    <row r="432" spans="1:6" ht="15.75" customHeight="1" x14ac:dyDescent="0.3">
      <c r="A432" s="4" t="s">
        <v>122</v>
      </c>
      <c r="B432" s="2" t="s">
        <v>19</v>
      </c>
      <c r="C432" s="2" t="s">
        <v>8</v>
      </c>
      <c r="D432" s="2" t="s">
        <v>28</v>
      </c>
      <c r="E432" s="2" t="s">
        <v>15</v>
      </c>
      <c r="F432" s="5">
        <v>4191.3599999999997</v>
      </c>
    </row>
    <row r="433" spans="1:6" ht="15.75" customHeight="1" x14ac:dyDescent="0.3">
      <c r="A433" s="4" t="s">
        <v>87</v>
      </c>
      <c r="B433" s="2" t="s">
        <v>12</v>
      </c>
      <c r="C433" s="2" t="s">
        <v>34</v>
      </c>
      <c r="D433" s="2" t="s">
        <v>9</v>
      </c>
      <c r="E433" s="2" t="s">
        <v>15</v>
      </c>
      <c r="F433" s="5">
        <v>2422.4672390183368</v>
      </c>
    </row>
    <row r="434" spans="1:6" ht="15.75" customHeight="1" x14ac:dyDescent="0.3">
      <c r="A434" s="4" t="s">
        <v>76</v>
      </c>
      <c r="B434" s="2" t="s">
        <v>17</v>
      </c>
      <c r="C434" s="2" t="s">
        <v>13</v>
      </c>
      <c r="D434" s="2" t="s">
        <v>9</v>
      </c>
      <c r="E434" s="2" t="s">
        <v>10</v>
      </c>
      <c r="F434" s="5">
        <v>3331.658830143745</v>
      </c>
    </row>
    <row r="435" spans="1:6" ht="15.75" customHeight="1" x14ac:dyDescent="0.3">
      <c r="A435" s="4" t="s">
        <v>164</v>
      </c>
      <c r="B435" s="2" t="s">
        <v>19</v>
      </c>
      <c r="C435" s="2" t="s">
        <v>34</v>
      </c>
      <c r="D435" s="2" t="s">
        <v>14</v>
      </c>
      <c r="E435" s="2" t="s">
        <v>15</v>
      </c>
      <c r="F435" s="5">
        <v>1833.49</v>
      </c>
    </row>
    <row r="436" spans="1:6" ht="15.75" customHeight="1" x14ac:dyDescent="0.3">
      <c r="A436" s="4" t="s">
        <v>137</v>
      </c>
      <c r="B436" s="2" t="s">
        <v>17</v>
      </c>
      <c r="C436" s="2" t="s">
        <v>23</v>
      </c>
      <c r="D436" s="2" t="s">
        <v>14</v>
      </c>
      <c r="E436" s="2" t="s">
        <v>10</v>
      </c>
      <c r="F436" s="5">
        <v>4018.22</v>
      </c>
    </row>
    <row r="437" spans="1:6" ht="15.75" customHeight="1" x14ac:dyDescent="0.3">
      <c r="A437" s="4" t="s">
        <v>140</v>
      </c>
      <c r="B437" s="2" t="s">
        <v>17</v>
      </c>
      <c r="C437" s="2" t="s">
        <v>23</v>
      </c>
      <c r="D437" s="2" t="s">
        <v>9</v>
      </c>
      <c r="E437" s="2" t="s">
        <v>10</v>
      </c>
      <c r="F437" s="5">
        <v>2681.9229749687438</v>
      </c>
    </row>
    <row r="438" spans="1:6" ht="15.75" customHeight="1" x14ac:dyDescent="0.3">
      <c r="A438" s="4" t="s">
        <v>89</v>
      </c>
      <c r="B438" s="2" t="s">
        <v>17</v>
      </c>
      <c r="C438" s="2" t="s">
        <v>13</v>
      </c>
      <c r="D438" s="2" t="s">
        <v>9</v>
      </c>
      <c r="E438" s="2" t="s">
        <v>24</v>
      </c>
      <c r="F438" s="5">
        <v>1889.4932849334441</v>
      </c>
    </row>
    <row r="439" spans="1:6" ht="15.75" customHeight="1" x14ac:dyDescent="0.3">
      <c r="A439" s="4" t="s">
        <v>196</v>
      </c>
      <c r="B439" s="2" t="s">
        <v>30</v>
      </c>
      <c r="C439" s="2" t="s">
        <v>34</v>
      </c>
      <c r="D439" s="2" t="s">
        <v>14</v>
      </c>
      <c r="E439" s="2" t="s">
        <v>10</v>
      </c>
      <c r="F439" s="5">
        <v>1407.92</v>
      </c>
    </row>
    <row r="440" spans="1:6" ht="15.75" customHeight="1" x14ac:dyDescent="0.3">
      <c r="A440" s="4" t="s">
        <v>99</v>
      </c>
      <c r="B440" s="2" t="s">
        <v>19</v>
      </c>
      <c r="C440" s="2" t="s">
        <v>34</v>
      </c>
      <c r="D440" s="2" t="s">
        <v>14</v>
      </c>
      <c r="E440" s="2" t="s">
        <v>15</v>
      </c>
      <c r="F440" s="5">
        <v>4935.72</v>
      </c>
    </row>
    <row r="441" spans="1:6" ht="15.75" customHeight="1" x14ac:dyDescent="0.3">
      <c r="A441" s="4" t="s">
        <v>59</v>
      </c>
      <c r="B441" s="2" t="s">
        <v>17</v>
      </c>
      <c r="C441" s="2" t="s">
        <v>8</v>
      </c>
      <c r="D441" s="2" t="s">
        <v>9</v>
      </c>
      <c r="E441" s="2" t="s">
        <v>15</v>
      </c>
      <c r="F441" s="5">
        <v>2103.19</v>
      </c>
    </row>
    <row r="442" spans="1:6" ht="15.75" customHeight="1" x14ac:dyDescent="0.3">
      <c r="A442" s="4" t="s">
        <v>148</v>
      </c>
      <c r="B442" s="2" t="s">
        <v>17</v>
      </c>
      <c r="C442" s="2" t="s">
        <v>23</v>
      </c>
      <c r="D442" s="2" t="s">
        <v>28</v>
      </c>
      <c r="E442" s="2" t="s">
        <v>10</v>
      </c>
      <c r="F442" s="5">
        <v>2046.76</v>
      </c>
    </row>
    <row r="443" spans="1:6" ht="15.75" customHeight="1" x14ac:dyDescent="0.3">
      <c r="A443" s="4" t="s">
        <v>85</v>
      </c>
      <c r="B443" s="2" t="s">
        <v>30</v>
      </c>
      <c r="C443" s="2" t="s">
        <v>8</v>
      </c>
      <c r="D443" s="2" t="s">
        <v>14</v>
      </c>
      <c r="E443" s="2" t="s">
        <v>24</v>
      </c>
      <c r="F443" s="5">
        <v>3397.43</v>
      </c>
    </row>
    <row r="444" spans="1:6" ht="15.75" customHeight="1" x14ac:dyDescent="0.3">
      <c r="A444" s="4" t="s">
        <v>195</v>
      </c>
      <c r="B444" s="2" t="s">
        <v>7</v>
      </c>
      <c r="C444" s="2" t="s">
        <v>13</v>
      </c>
      <c r="D444" s="2" t="s">
        <v>9</v>
      </c>
      <c r="E444" s="2" t="s">
        <v>10</v>
      </c>
      <c r="F444" s="5">
        <v>3221.5746266565079</v>
      </c>
    </row>
    <row r="445" spans="1:6" ht="15.75" customHeight="1" x14ac:dyDescent="0.3">
      <c r="A445" s="4" t="s">
        <v>121</v>
      </c>
      <c r="B445" s="2" t="s">
        <v>30</v>
      </c>
      <c r="C445" s="2" t="s">
        <v>13</v>
      </c>
      <c r="D445" s="2" t="s">
        <v>9</v>
      </c>
      <c r="E445" s="2" t="s">
        <v>15</v>
      </c>
      <c r="F445" s="5">
        <v>4882.4680385872616</v>
      </c>
    </row>
    <row r="446" spans="1:6" ht="15.75" customHeight="1" x14ac:dyDescent="0.3">
      <c r="A446" s="4" t="s">
        <v>197</v>
      </c>
      <c r="B446" s="2" t="s">
        <v>30</v>
      </c>
      <c r="C446" s="2" t="s">
        <v>13</v>
      </c>
      <c r="D446" s="2" t="s">
        <v>28</v>
      </c>
      <c r="E446" s="2" t="s">
        <v>24</v>
      </c>
      <c r="F446" s="5">
        <v>2857.09</v>
      </c>
    </row>
    <row r="447" spans="1:6" ht="15.75" customHeight="1" x14ac:dyDescent="0.3">
      <c r="A447" s="4" t="s">
        <v>143</v>
      </c>
      <c r="B447" s="2" t="s">
        <v>17</v>
      </c>
      <c r="C447" s="2" t="s">
        <v>8</v>
      </c>
      <c r="D447" s="2" t="s">
        <v>14</v>
      </c>
      <c r="E447" s="2" t="s">
        <v>24</v>
      </c>
      <c r="F447" s="5">
        <v>1140.1600000000001</v>
      </c>
    </row>
    <row r="448" spans="1:6" ht="15.75" customHeight="1" x14ac:dyDescent="0.3">
      <c r="A448" s="4" t="s">
        <v>52</v>
      </c>
      <c r="B448" s="2" t="s">
        <v>19</v>
      </c>
      <c r="C448" s="2" t="s">
        <v>34</v>
      </c>
      <c r="D448" s="2" t="s">
        <v>9</v>
      </c>
      <c r="E448" s="2" t="s">
        <v>24</v>
      </c>
      <c r="F448" s="5">
        <v>2822.9423634992941</v>
      </c>
    </row>
    <row r="449" spans="1:6" ht="15.75" customHeight="1" x14ac:dyDescent="0.3">
      <c r="A449" s="4" t="s">
        <v>129</v>
      </c>
      <c r="B449" s="2" t="s">
        <v>17</v>
      </c>
      <c r="C449" s="2" t="s">
        <v>23</v>
      </c>
      <c r="D449" s="2" t="s">
        <v>28</v>
      </c>
      <c r="E449" s="2" t="s">
        <v>15</v>
      </c>
      <c r="F449" s="5">
        <v>727.78</v>
      </c>
    </row>
    <row r="450" spans="1:6" ht="15.75" customHeight="1" x14ac:dyDescent="0.3">
      <c r="A450" s="4" t="s">
        <v>183</v>
      </c>
      <c r="B450" s="2" t="s">
        <v>7</v>
      </c>
      <c r="C450" s="2" t="s">
        <v>8</v>
      </c>
      <c r="D450" s="2" t="s">
        <v>9</v>
      </c>
      <c r="E450" s="2" t="s">
        <v>10</v>
      </c>
      <c r="F450" s="5">
        <v>367.90000450063491</v>
      </c>
    </row>
    <row r="451" spans="1:6" ht="15.75" customHeight="1" x14ac:dyDescent="0.3">
      <c r="A451" s="4" t="s">
        <v>198</v>
      </c>
      <c r="B451" s="2" t="s">
        <v>12</v>
      </c>
      <c r="C451" s="2" t="s">
        <v>34</v>
      </c>
      <c r="D451" s="2" t="s">
        <v>14</v>
      </c>
      <c r="E451" s="2" t="s">
        <v>10</v>
      </c>
      <c r="F451" s="5">
        <v>2303.56</v>
      </c>
    </row>
    <row r="452" spans="1:6" ht="15.75" customHeight="1" x14ac:dyDescent="0.3">
      <c r="A452" s="4" t="s">
        <v>147</v>
      </c>
      <c r="B452" s="2" t="s">
        <v>17</v>
      </c>
      <c r="C452" s="2" t="s">
        <v>34</v>
      </c>
      <c r="D452" s="2" t="s">
        <v>14</v>
      </c>
      <c r="E452" s="2" t="s">
        <v>15</v>
      </c>
      <c r="F452" s="5">
        <v>1650.12</v>
      </c>
    </row>
    <row r="453" spans="1:6" ht="15.75" customHeight="1" x14ac:dyDescent="0.3">
      <c r="A453" s="4" t="s">
        <v>134</v>
      </c>
      <c r="B453" s="2" t="s">
        <v>7</v>
      </c>
      <c r="C453" s="2" t="s">
        <v>8</v>
      </c>
      <c r="D453" s="2" t="s">
        <v>9</v>
      </c>
      <c r="E453" s="2" t="s">
        <v>15</v>
      </c>
      <c r="F453" s="5">
        <v>4564.4035116660889</v>
      </c>
    </row>
    <row r="454" spans="1:6" ht="15.75" customHeight="1" x14ac:dyDescent="0.3">
      <c r="A454" s="4" t="s">
        <v>124</v>
      </c>
      <c r="B454" s="2" t="s">
        <v>12</v>
      </c>
      <c r="C454" s="2" t="s">
        <v>8</v>
      </c>
      <c r="D454" s="2" t="s">
        <v>14</v>
      </c>
      <c r="E454" s="2" t="s">
        <v>24</v>
      </c>
      <c r="F454" s="5">
        <v>3466.51</v>
      </c>
    </row>
    <row r="455" spans="1:6" ht="15.75" customHeight="1" x14ac:dyDescent="0.3">
      <c r="A455" s="4" t="s">
        <v>172</v>
      </c>
      <c r="B455" s="2" t="s">
        <v>7</v>
      </c>
      <c r="C455" s="2" t="s">
        <v>13</v>
      </c>
      <c r="D455" s="2" t="s">
        <v>14</v>
      </c>
      <c r="E455" s="2" t="s">
        <v>15</v>
      </c>
      <c r="F455" s="5">
        <v>4237.8100000000004</v>
      </c>
    </row>
    <row r="456" spans="1:6" ht="15.75" customHeight="1" x14ac:dyDescent="0.3">
      <c r="A456" s="4" t="s">
        <v>36</v>
      </c>
      <c r="B456" s="2" t="s">
        <v>12</v>
      </c>
      <c r="C456" s="2" t="s">
        <v>23</v>
      </c>
      <c r="D456" s="2" t="s">
        <v>28</v>
      </c>
      <c r="E456" s="2" t="s">
        <v>24</v>
      </c>
      <c r="F456" s="5">
        <v>323.04000000000002</v>
      </c>
    </row>
    <row r="457" spans="1:6" ht="15.75" customHeight="1" x14ac:dyDescent="0.3">
      <c r="A457" s="4" t="s">
        <v>134</v>
      </c>
      <c r="B457" s="2" t="s">
        <v>7</v>
      </c>
      <c r="C457" s="2" t="s">
        <v>23</v>
      </c>
      <c r="D457" s="2" t="s">
        <v>28</v>
      </c>
      <c r="E457" s="2" t="s">
        <v>24</v>
      </c>
      <c r="F457" s="5">
        <v>3867.63</v>
      </c>
    </row>
    <row r="458" spans="1:6" ht="15.75" customHeight="1" x14ac:dyDescent="0.3">
      <c r="A458" s="4" t="s">
        <v>172</v>
      </c>
      <c r="B458" s="2" t="s">
        <v>7</v>
      </c>
      <c r="C458" s="2" t="s">
        <v>23</v>
      </c>
      <c r="D458" s="2" t="s">
        <v>9</v>
      </c>
      <c r="E458" s="2" t="s">
        <v>15</v>
      </c>
      <c r="F458" s="5">
        <v>748.114080134647</v>
      </c>
    </row>
    <row r="459" spans="1:6" ht="15.75" customHeight="1" x14ac:dyDescent="0.3">
      <c r="A459" s="4" t="s">
        <v>37</v>
      </c>
      <c r="B459" s="2" t="s">
        <v>17</v>
      </c>
      <c r="C459" s="2" t="s">
        <v>23</v>
      </c>
      <c r="D459" s="2" t="s">
        <v>9</v>
      </c>
      <c r="E459" s="2" t="s">
        <v>15</v>
      </c>
      <c r="F459" s="5">
        <v>654.85997274955912</v>
      </c>
    </row>
    <row r="460" spans="1:6" ht="15.75" customHeight="1" x14ac:dyDescent="0.3">
      <c r="A460" s="4" t="s">
        <v>50</v>
      </c>
      <c r="B460" s="2" t="s">
        <v>19</v>
      </c>
      <c r="C460" s="2" t="s">
        <v>8</v>
      </c>
      <c r="D460" s="2" t="s">
        <v>14</v>
      </c>
      <c r="E460" s="2" t="s">
        <v>24</v>
      </c>
      <c r="F460" s="5">
        <v>2241.89</v>
      </c>
    </row>
    <row r="461" spans="1:6" ht="15.75" customHeight="1" x14ac:dyDescent="0.3">
      <c r="A461" s="4" t="s">
        <v>48</v>
      </c>
      <c r="B461" s="2" t="s">
        <v>19</v>
      </c>
      <c r="C461" s="2" t="s">
        <v>13</v>
      </c>
      <c r="D461" s="2" t="s">
        <v>28</v>
      </c>
      <c r="E461" s="2" t="s">
        <v>10</v>
      </c>
      <c r="F461" s="5">
        <v>3489.31</v>
      </c>
    </row>
    <row r="462" spans="1:6" ht="15.75" customHeight="1" x14ac:dyDescent="0.3">
      <c r="A462" s="4" t="s">
        <v>123</v>
      </c>
      <c r="B462" s="2" t="s">
        <v>30</v>
      </c>
      <c r="C462" s="2" t="s">
        <v>23</v>
      </c>
      <c r="D462" s="2" t="s">
        <v>14</v>
      </c>
      <c r="E462" s="2" t="s">
        <v>15</v>
      </c>
      <c r="F462" s="5">
        <v>2200.2199999999998</v>
      </c>
    </row>
    <row r="463" spans="1:6" ht="15.75" customHeight="1" x14ac:dyDescent="0.3">
      <c r="A463" s="4" t="s">
        <v>198</v>
      </c>
      <c r="B463" s="2" t="s">
        <v>12</v>
      </c>
      <c r="C463" s="2" t="s">
        <v>23</v>
      </c>
      <c r="D463" s="2" t="s">
        <v>14</v>
      </c>
      <c r="E463" s="2" t="s">
        <v>15</v>
      </c>
      <c r="F463" s="5">
        <v>3247.72</v>
      </c>
    </row>
    <row r="464" spans="1:6" ht="15.75" customHeight="1" x14ac:dyDescent="0.3">
      <c r="A464" s="4" t="s">
        <v>69</v>
      </c>
      <c r="B464" s="2" t="s">
        <v>7</v>
      </c>
      <c r="C464" s="2" t="s">
        <v>13</v>
      </c>
      <c r="D464" s="2" t="s">
        <v>28</v>
      </c>
      <c r="E464" s="2" t="s">
        <v>24</v>
      </c>
      <c r="F464" s="5">
        <v>3855.39</v>
      </c>
    </row>
    <row r="465" spans="1:6" ht="15.75" customHeight="1" x14ac:dyDescent="0.3">
      <c r="A465" s="4" t="s">
        <v>35</v>
      </c>
      <c r="B465" s="2" t="s">
        <v>19</v>
      </c>
      <c r="C465" s="2" t="s">
        <v>8</v>
      </c>
      <c r="D465" s="2" t="s">
        <v>9</v>
      </c>
      <c r="E465" s="2" t="s">
        <v>24</v>
      </c>
      <c r="F465" s="5">
        <v>3111.261825230984</v>
      </c>
    </row>
    <row r="466" spans="1:6" ht="15.75" customHeight="1" x14ac:dyDescent="0.3">
      <c r="A466" s="4" t="s">
        <v>29</v>
      </c>
      <c r="B466" s="2" t="s">
        <v>30</v>
      </c>
      <c r="C466" s="2" t="s">
        <v>34</v>
      </c>
      <c r="D466" s="2" t="s">
        <v>14</v>
      </c>
      <c r="E466" s="2" t="s">
        <v>10</v>
      </c>
      <c r="F466" s="5">
        <v>2036.83</v>
      </c>
    </row>
    <row r="467" spans="1:6" ht="15.75" customHeight="1" x14ac:dyDescent="0.3">
      <c r="A467" s="4" t="s">
        <v>63</v>
      </c>
      <c r="B467" s="2" t="s">
        <v>12</v>
      </c>
      <c r="C467" s="2" t="s">
        <v>8</v>
      </c>
      <c r="D467" s="2" t="s">
        <v>14</v>
      </c>
      <c r="E467" s="2" t="s">
        <v>15</v>
      </c>
      <c r="F467" s="5">
        <v>4876.37</v>
      </c>
    </row>
    <row r="468" spans="1:6" ht="15.75" customHeight="1" x14ac:dyDescent="0.3">
      <c r="A468" s="4" t="s">
        <v>149</v>
      </c>
      <c r="B468" s="2" t="s">
        <v>17</v>
      </c>
      <c r="C468" s="2" t="s">
        <v>8</v>
      </c>
      <c r="D468" s="2" t="s">
        <v>14</v>
      </c>
      <c r="E468" s="2" t="s">
        <v>24</v>
      </c>
      <c r="F468" s="5">
        <v>4256.16</v>
      </c>
    </row>
    <row r="469" spans="1:6" ht="15.75" customHeight="1" x14ac:dyDescent="0.3">
      <c r="A469" s="4" t="s">
        <v>36</v>
      </c>
      <c r="B469" s="2" t="s">
        <v>12</v>
      </c>
      <c r="C469" s="2" t="s">
        <v>13</v>
      </c>
      <c r="D469" s="2" t="s">
        <v>14</v>
      </c>
      <c r="E469" s="2" t="s">
        <v>15</v>
      </c>
      <c r="F469" s="5">
        <v>4947.18</v>
      </c>
    </row>
    <row r="470" spans="1:6" ht="15.75" customHeight="1" x14ac:dyDescent="0.3">
      <c r="A470" s="4" t="s">
        <v>38</v>
      </c>
      <c r="B470" s="2" t="s">
        <v>30</v>
      </c>
      <c r="C470" s="2" t="s">
        <v>34</v>
      </c>
      <c r="D470" s="2" t="s">
        <v>28</v>
      </c>
      <c r="E470" s="2" t="s">
        <v>10</v>
      </c>
      <c r="F470" s="5">
        <v>425.91</v>
      </c>
    </row>
    <row r="471" spans="1:6" ht="15.75" customHeight="1" x14ac:dyDescent="0.3">
      <c r="A471" s="4" t="s">
        <v>182</v>
      </c>
      <c r="B471" s="2" t="s">
        <v>12</v>
      </c>
      <c r="C471" s="2" t="s">
        <v>8</v>
      </c>
      <c r="D471" s="2" t="s">
        <v>28</v>
      </c>
      <c r="E471" s="2" t="s">
        <v>10</v>
      </c>
      <c r="F471" s="5">
        <v>4620.84</v>
      </c>
    </row>
    <row r="472" spans="1:6" ht="15.75" customHeight="1" x14ac:dyDescent="0.3">
      <c r="A472" s="4" t="s">
        <v>87</v>
      </c>
      <c r="B472" s="2" t="s">
        <v>12</v>
      </c>
      <c r="C472" s="2" t="s">
        <v>8</v>
      </c>
      <c r="D472" s="2" t="s">
        <v>9</v>
      </c>
      <c r="E472" s="2" t="s">
        <v>24</v>
      </c>
      <c r="F472" s="5">
        <v>4302.5034281263142</v>
      </c>
    </row>
    <row r="473" spans="1:6" ht="15.75" customHeight="1" x14ac:dyDescent="0.3">
      <c r="A473" s="4" t="s">
        <v>159</v>
      </c>
      <c r="B473" s="2" t="s">
        <v>7</v>
      </c>
      <c r="C473" s="2" t="s">
        <v>34</v>
      </c>
      <c r="D473" s="2" t="s">
        <v>14</v>
      </c>
      <c r="E473" s="2" t="s">
        <v>15</v>
      </c>
      <c r="F473" s="5">
        <v>2571.46</v>
      </c>
    </row>
    <row r="474" spans="1:6" ht="15.75" customHeight="1" x14ac:dyDescent="0.3">
      <c r="A474" s="4" t="s">
        <v>106</v>
      </c>
      <c r="B474" s="2" t="s">
        <v>12</v>
      </c>
      <c r="C474" s="2" t="s">
        <v>8</v>
      </c>
      <c r="D474" s="2" t="s">
        <v>14</v>
      </c>
      <c r="E474" s="2" t="s">
        <v>15</v>
      </c>
      <c r="F474" s="5">
        <v>968.92</v>
      </c>
    </row>
    <row r="475" spans="1:6" ht="15.75" customHeight="1" x14ac:dyDescent="0.3">
      <c r="A475" s="4" t="s">
        <v>18</v>
      </c>
      <c r="B475" s="2" t="s">
        <v>19</v>
      </c>
      <c r="C475" s="2" t="s">
        <v>23</v>
      </c>
      <c r="D475" s="2" t="s">
        <v>9</v>
      </c>
      <c r="E475" s="2" t="s">
        <v>24</v>
      </c>
      <c r="F475" s="5">
        <v>2916.9875447854679</v>
      </c>
    </row>
    <row r="476" spans="1:6" ht="15.75" customHeight="1" x14ac:dyDescent="0.3">
      <c r="A476" s="4" t="s">
        <v>33</v>
      </c>
      <c r="B476" s="2" t="s">
        <v>19</v>
      </c>
      <c r="C476" s="2" t="s">
        <v>8</v>
      </c>
      <c r="D476" s="2" t="s">
        <v>9</v>
      </c>
      <c r="E476" s="2" t="s">
        <v>10</v>
      </c>
      <c r="F476" s="5">
        <v>4400.8911362070676</v>
      </c>
    </row>
    <row r="477" spans="1:6" ht="15.75" customHeight="1" x14ac:dyDescent="0.3">
      <c r="A477" s="4" t="s">
        <v>195</v>
      </c>
      <c r="B477" s="2" t="s">
        <v>7</v>
      </c>
      <c r="C477" s="2" t="s">
        <v>13</v>
      </c>
      <c r="D477" s="2" t="s">
        <v>9</v>
      </c>
      <c r="E477" s="2" t="s">
        <v>10</v>
      </c>
      <c r="F477" s="5">
        <v>1791.2917814215839</v>
      </c>
    </row>
    <row r="478" spans="1:6" ht="15.75" customHeight="1" x14ac:dyDescent="0.3">
      <c r="A478" s="4" t="s">
        <v>61</v>
      </c>
      <c r="B478" s="2" t="s">
        <v>30</v>
      </c>
      <c r="C478" s="2" t="s">
        <v>8</v>
      </c>
      <c r="D478" s="2" t="s">
        <v>14</v>
      </c>
      <c r="E478" s="2" t="s">
        <v>15</v>
      </c>
      <c r="F478" s="5">
        <v>594.47</v>
      </c>
    </row>
    <row r="479" spans="1:6" ht="15.75" customHeight="1" x14ac:dyDescent="0.3">
      <c r="A479" s="4" t="s">
        <v>199</v>
      </c>
      <c r="B479" s="2" t="s">
        <v>17</v>
      </c>
      <c r="C479" s="2" t="s">
        <v>34</v>
      </c>
      <c r="D479" s="2" t="s">
        <v>28</v>
      </c>
      <c r="E479" s="2" t="s">
        <v>15</v>
      </c>
      <c r="F479" s="5">
        <v>2602.85</v>
      </c>
    </row>
    <row r="480" spans="1:6" ht="15.75" customHeight="1" x14ac:dyDescent="0.3">
      <c r="A480" s="4" t="s">
        <v>31</v>
      </c>
      <c r="B480" s="2" t="s">
        <v>30</v>
      </c>
      <c r="C480" s="2" t="s">
        <v>8</v>
      </c>
      <c r="D480" s="2" t="s">
        <v>14</v>
      </c>
      <c r="E480" s="2" t="s">
        <v>24</v>
      </c>
      <c r="F480" s="5">
        <v>558.53</v>
      </c>
    </row>
    <row r="481" spans="1:6" ht="15.75" customHeight="1" x14ac:dyDescent="0.3">
      <c r="A481" s="4" t="s">
        <v>105</v>
      </c>
      <c r="B481" s="2" t="s">
        <v>30</v>
      </c>
      <c r="C481" s="2" t="s">
        <v>23</v>
      </c>
      <c r="D481" s="2" t="s">
        <v>28</v>
      </c>
      <c r="E481" s="2" t="s">
        <v>24</v>
      </c>
      <c r="F481" s="5">
        <v>3004.54</v>
      </c>
    </row>
    <row r="482" spans="1:6" ht="15.75" customHeight="1" x14ac:dyDescent="0.3">
      <c r="A482" s="4" t="s">
        <v>104</v>
      </c>
      <c r="B482" s="2" t="s">
        <v>17</v>
      </c>
      <c r="C482" s="2" t="s">
        <v>34</v>
      </c>
      <c r="D482" s="2" t="s">
        <v>14</v>
      </c>
      <c r="E482" s="2" t="s">
        <v>15</v>
      </c>
      <c r="F482" s="5">
        <v>1288.92</v>
      </c>
    </row>
    <row r="483" spans="1:6" ht="15.75" customHeight="1" x14ac:dyDescent="0.3">
      <c r="A483" s="4" t="s">
        <v>200</v>
      </c>
      <c r="B483" s="2" t="s">
        <v>30</v>
      </c>
      <c r="C483" s="2" t="s">
        <v>8</v>
      </c>
      <c r="D483" s="2" t="s">
        <v>9</v>
      </c>
      <c r="E483" s="2" t="s">
        <v>24</v>
      </c>
      <c r="F483" s="5">
        <v>4950.7719510392317</v>
      </c>
    </row>
    <row r="484" spans="1:6" ht="15.75" customHeight="1" x14ac:dyDescent="0.3">
      <c r="A484" s="4" t="s">
        <v>33</v>
      </c>
      <c r="B484" s="2" t="s">
        <v>19</v>
      </c>
      <c r="C484" s="2" t="s">
        <v>34</v>
      </c>
      <c r="D484" s="2" t="s">
        <v>28</v>
      </c>
      <c r="E484" s="2" t="s">
        <v>24</v>
      </c>
      <c r="F484" s="5">
        <v>3982.02</v>
      </c>
    </row>
    <row r="485" spans="1:6" ht="15.75" customHeight="1" x14ac:dyDescent="0.3">
      <c r="A485" s="4" t="s">
        <v>196</v>
      </c>
      <c r="B485" s="2" t="s">
        <v>30</v>
      </c>
      <c r="C485" s="2" t="s">
        <v>8</v>
      </c>
      <c r="D485" s="2" t="s">
        <v>28</v>
      </c>
      <c r="E485" s="2" t="s">
        <v>24</v>
      </c>
      <c r="F485" s="5">
        <v>106.32</v>
      </c>
    </row>
    <row r="486" spans="1:6" ht="15.75" customHeight="1" x14ac:dyDescent="0.3">
      <c r="A486" s="4" t="s">
        <v>201</v>
      </c>
      <c r="B486" s="2" t="s">
        <v>12</v>
      </c>
      <c r="C486" s="2" t="s">
        <v>34</v>
      </c>
      <c r="D486" s="2" t="s">
        <v>9</v>
      </c>
      <c r="E486" s="2" t="s">
        <v>10</v>
      </c>
      <c r="F486" s="5">
        <v>1752.0338512624401</v>
      </c>
    </row>
    <row r="487" spans="1:6" ht="15.75" customHeight="1" x14ac:dyDescent="0.3">
      <c r="A487" s="4" t="s">
        <v>129</v>
      </c>
      <c r="B487" s="2" t="s">
        <v>17</v>
      </c>
      <c r="C487" s="2" t="s">
        <v>13</v>
      </c>
      <c r="D487" s="2" t="s">
        <v>28</v>
      </c>
      <c r="E487" s="2" t="s">
        <v>15</v>
      </c>
      <c r="F487" s="5">
        <v>2963</v>
      </c>
    </row>
    <row r="488" spans="1:6" ht="15.75" customHeight="1" x14ac:dyDescent="0.3">
      <c r="A488" s="4" t="s">
        <v>180</v>
      </c>
      <c r="B488" s="2" t="s">
        <v>30</v>
      </c>
      <c r="C488" s="2" t="s">
        <v>13</v>
      </c>
      <c r="D488" s="2" t="s">
        <v>28</v>
      </c>
      <c r="E488" s="2" t="s">
        <v>10</v>
      </c>
      <c r="F488" s="5">
        <v>2067.13</v>
      </c>
    </row>
    <row r="489" spans="1:6" ht="15.75" customHeight="1" x14ac:dyDescent="0.3">
      <c r="A489" s="4" t="s">
        <v>181</v>
      </c>
      <c r="B489" s="2" t="s">
        <v>30</v>
      </c>
      <c r="C489" s="2" t="s">
        <v>8</v>
      </c>
      <c r="D489" s="2" t="s">
        <v>28</v>
      </c>
      <c r="E489" s="2" t="s">
        <v>15</v>
      </c>
      <c r="F489" s="5">
        <v>1493.38</v>
      </c>
    </row>
    <row r="490" spans="1:6" ht="15.75" customHeight="1" x14ac:dyDescent="0.3">
      <c r="A490" s="4" t="s">
        <v>173</v>
      </c>
      <c r="B490" s="2" t="s">
        <v>30</v>
      </c>
      <c r="C490" s="2" t="s">
        <v>8</v>
      </c>
      <c r="D490" s="2" t="s">
        <v>9</v>
      </c>
      <c r="E490" s="2" t="s">
        <v>24</v>
      </c>
      <c r="F490" s="5">
        <v>1311.8245978217949</v>
      </c>
    </row>
    <row r="491" spans="1:6" ht="15.75" customHeight="1" x14ac:dyDescent="0.3">
      <c r="A491" s="4" t="s">
        <v>200</v>
      </c>
      <c r="B491" s="2" t="s">
        <v>30</v>
      </c>
      <c r="C491" s="2" t="s">
        <v>8</v>
      </c>
      <c r="D491" s="2" t="s">
        <v>9</v>
      </c>
      <c r="E491" s="2" t="s">
        <v>15</v>
      </c>
      <c r="F491" s="5">
        <v>3998.6273169675778</v>
      </c>
    </row>
    <row r="492" spans="1:6" ht="15.75" customHeight="1" x14ac:dyDescent="0.3">
      <c r="A492" s="4" t="s">
        <v>33</v>
      </c>
      <c r="B492" s="2" t="s">
        <v>19</v>
      </c>
      <c r="C492" s="2" t="s">
        <v>34</v>
      </c>
      <c r="D492" s="2" t="s">
        <v>14</v>
      </c>
      <c r="E492" s="2" t="s">
        <v>10</v>
      </c>
      <c r="F492" s="5">
        <v>4224.63</v>
      </c>
    </row>
    <row r="493" spans="1:6" ht="15.75" customHeight="1" x14ac:dyDescent="0.3">
      <c r="A493" s="4" t="s">
        <v>96</v>
      </c>
      <c r="B493" s="2" t="s">
        <v>19</v>
      </c>
      <c r="C493" s="2" t="s">
        <v>34</v>
      </c>
      <c r="D493" s="2" t="s">
        <v>9</v>
      </c>
      <c r="E493" s="2" t="s">
        <v>15</v>
      </c>
      <c r="F493" s="5">
        <v>2249.1121229593919</v>
      </c>
    </row>
    <row r="494" spans="1:6" ht="15.75" customHeight="1" x14ac:dyDescent="0.3">
      <c r="A494" s="4" t="s">
        <v>105</v>
      </c>
      <c r="B494" s="2" t="s">
        <v>30</v>
      </c>
      <c r="C494" s="2" t="s">
        <v>23</v>
      </c>
      <c r="D494" s="2" t="s">
        <v>28</v>
      </c>
      <c r="E494" s="2" t="s">
        <v>24</v>
      </c>
      <c r="F494" s="5">
        <v>1492.82</v>
      </c>
    </row>
    <row r="495" spans="1:6" ht="15.75" customHeight="1" x14ac:dyDescent="0.3">
      <c r="A495" s="4" t="s">
        <v>132</v>
      </c>
      <c r="B495" s="2" t="s">
        <v>19</v>
      </c>
      <c r="C495" s="2" t="s">
        <v>8</v>
      </c>
      <c r="D495" s="2" t="s">
        <v>9</v>
      </c>
      <c r="E495" s="2" t="s">
        <v>24</v>
      </c>
      <c r="F495" s="5">
        <v>4652.875593491839</v>
      </c>
    </row>
    <row r="496" spans="1:6" ht="15.75" customHeight="1" x14ac:dyDescent="0.3">
      <c r="A496" s="4" t="s">
        <v>69</v>
      </c>
      <c r="B496" s="2" t="s">
        <v>7</v>
      </c>
      <c r="C496" s="2" t="s">
        <v>34</v>
      </c>
      <c r="D496" s="2" t="s">
        <v>14</v>
      </c>
      <c r="E496" s="2" t="s">
        <v>10</v>
      </c>
      <c r="F496" s="5">
        <v>2725.88</v>
      </c>
    </row>
    <row r="497" spans="1:6" ht="15.75" customHeight="1" x14ac:dyDescent="0.3">
      <c r="A497" s="4" t="s">
        <v>75</v>
      </c>
      <c r="B497" s="2" t="s">
        <v>19</v>
      </c>
      <c r="C497" s="2" t="s">
        <v>23</v>
      </c>
      <c r="D497" s="2" t="s">
        <v>9</v>
      </c>
      <c r="E497" s="2" t="s">
        <v>24</v>
      </c>
      <c r="F497" s="5">
        <v>3666.3757097234588</v>
      </c>
    </row>
    <row r="498" spans="1:6" ht="15.75" customHeight="1" x14ac:dyDescent="0.3">
      <c r="A498" s="4" t="s">
        <v>202</v>
      </c>
      <c r="B498" s="2" t="s">
        <v>12</v>
      </c>
      <c r="C498" s="2" t="s">
        <v>23</v>
      </c>
      <c r="D498" s="2" t="s">
        <v>28</v>
      </c>
      <c r="E498" s="2" t="s">
        <v>15</v>
      </c>
      <c r="F498" s="5">
        <v>216.52</v>
      </c>
    </row>
    <row r="499" spans="1:6" ht="15.75" customHeight="1" x14ac:dyDescent="0.3">
      <c r="A499" s="4" t="s">
        <v>203</v>
      </c>
      <c r="B499" s="2" t="s">
        <v>12</v>
      </c>
      <c r="C499" s="2" t="s">
        <v>34</v>
      </c>
      <c r="D499" s="2" t="s">
        <v>14</v>
      </c>
      <c r="E499" s="2" t="s">
        <v>10</v>
      </c>
      <c r="F499" s="5">
        <v>1898.59</v>
      </c>
    </row>
    <row r="500" spans="1:6" ht="15.75" customHeight="1" x14ac:dyDescent="0.3">
      <c r="A500" s="4" t="s">
        <v>94</v>
      </c>
      <c r="B500" s="2" t="s">
        <v>7</v>
      </c>
      <c r="C500" s="2" t="s">
        <v>23</v>
      </c>
      <c r="D500" s="2" t="s">
        <v>9</v>
      </c>
      <c r="E500" s="2" t="s">
        <v>10</v>
      </c>
      <c r="F500" s="5">
        <v>3557.5735022171589</v>
      </c>
    </row>
    <row r="501" spans="1:6" ht="15.75" customHeight="1" x14ac:dyDescent="0.3">
      <c r="A501" s="4" t="s">
        <v>116</v>
      </c>
      <c r="B501" s="2" t="s">
        <v>17</v>
      </c>
      <c r="C501" s="2" t="s">
        <v>13</v>
      </c>
      <c r="D501" s="2" t="s">
        <v>9</v>
      </c>
      <c r="E501" s="2" t="s">
        <v>15</v>
      </c>
      <c r="F501" s="5">
        <v>1488.0840118809469</v>
      </c>
    </row>
    <row r="502" spans="1:6" ht="15.75" customHeight="1" x14ac:dyDescent="0.3">
      <c r="A502" s="4" t="s">
        <v>6</v>
      </c>
      <c r="B502" s="2" t="s">
        <v>7</v>
      </c>
      <c r="C502" s="2" t="s">
        <v>23</v>
      </c>
      <c r="D502" s="2" t="s">
        <v>14</v>
      </c>
      <c r="E502" s="2" t="s">
        <v>10</v>
      </c>
      <c r="F502" s="5">
        <v>4949.0200000000004</v>
      </c>
    </row>
    <row r="503" spans="1:6" ht="15.75" customHeight="1" x14ac:dyDescent="0.3">
      <c r="A503" s="4" t="s">
        <v>56</v>
      </c>
      <c r="B503" s="2" t="s">
        <v>19</v>
      </c>
      <c r="C503" s="2" t="s">
        <v>34</v>
      </c>
      <c r="D503" s="2" t="s">
        <v>9</v>
      </c>
      <c r="E503" s="2" t="s">
        <v>15</v>
      </c>
      <c r="F503" s="5">
        <v>601.16792504011323</v>
      </c>
    </row>
    <row r="504" spans="1:6" ht="15.75" customHeight="1" x14ac:dyDescent="0.3">
      <c r="A504" s="4" t="s">
        <v>32</v>
      </c>
      <c r="B504" s="2" t="s">
        <v>7</v>
      </c>
      <c r="C504" s="2" t="s">
        <v>23</v>
      </c>
      <c r="D504" s="2" t="s">
        <v>9</v>
      </c>
      <c r="E504" s="2" t="s">
        <v>15</v>
      </c>
      <c r="F504" s="5">
        <v>4121.8599999999997</v>
      </c>
    </row>
    <row r="505" spans="1:6" ht="15.75" customHeight="1" x14ac:dyDescent="0.3">
      <c r="A505" s="4" t="s">
        <v>96</v>
      </c>
      <c r="B505" s="2" t="s">
        <v>19</v>
      </c>
      <c r="C505" s="2" t="s">
        <v>13</v>
      </c>
      <c r="D505" s="2" t="s">
        <v>28</v>
      </c>
      <c r="E505" s="2" t="s">
        <v>15</v>
      </c>
      <c r="F505" s="5">
        <v>2038.67</v>
      </c>
    </row>
    <row r="506" spans="1:6" ht="15.75" customHeight="1" x14ac:dyDescent="0.3">
      <c r="A506" s="4" t="s">
        <v>151</v>
      </c>
      <c r="B506" s="2" t="s">
        <v>12</v>
      </c>
      <c r="C506" s="2" t="s">
        <v>23</v>
      </c>
      <c r="D506" s="2" t="s">
        <v>14</v>
      </c>
      <c r="E506" s="2" t="s">
        <v>10</v>
      </c>
      <c r="F506" s="5">
        <v>1823.3</v>
      </c>
    </row>
    <row r="507" spans="1:6" ht="15.75" customHeight="1" x14ac:dyDescent="0.3">
      <c r="A507" s="4" t="s">
        <v>204</v>
      </c>
      <c r="B507" s="2" t="s">
        <v>30</v>
      </c>
      <c r="C507" s="2" t="s">
        <v>8</v>
      </c>
      <c r="D507" s="2" t="s">
        <v>9</v>
      </c>
      <c r="E507" s="2" t="s">
        <v>10</v>
      </c>
      <c r="F507" s="5">
        <v>380.59776871331269</v>
      </c>
    </row>
    <row r="508" spans="1:6" ht="15.75" customHeight="1" x14ac:dyDescent="0.3">
      <c r="A508" s="4" t="s">
        <v>189</v>
      </c>
      <c r="B508" s="2" t="s">
        <v>19</v>
      </c>
      <c r="C508" s="2" t="s">
        <v>13</v>
      </c>
      <c r="D508" s="2" t="s">
        <v>28</v>
      </c>
      <c r="E508" s="2" t="s">
        <v>15</v>
      </c>
      <c r="F508" s="5">
        <v>3069.63</v>
      </c>
    </row>
    <row r="509" spans="1:6" ht="15.75" customHeight="1" x14ac:dyDescent="0.3">
      <c r="A509" s="4" t="s">
        <v>121</v>
      </c>
      <c r="B509" s="2" t="s">
        <v>30</v>
      </c>
      <c r="C509" s="2" t="s">
        <v>8</v>
      </c>
      <c r="D509" s="2" t="s">
        <v>28</v>
      </c>
      <c r="E509" s="2" t="s">
        <v>15</v>
      </c>
      <c r="F509" s="5">
        <v>1532.06</v>
      </c>
    </row>
    <row r="510" spans="1:6" ht="15.75" customHeight="1" x14ac:dyDescent="0.3">
      <c r="A510" s="4" t="s">
        <v>125</v>
      </c>
      <c r="B510" s="2" t="s">
        <v>7</v>
      </c>
      <c r="C510" s="2" t="s">
        <v>8</v>
      </c>
      <c r="D510" s="2" t="s">
        <v>28</v>
      </c>
      <c r="E510" s="2" t="s">
        <v>10</v>
      </c>
      <c r="F510" s="5">
        <v>3269.38</v>
      </c>
    </row>
    <row r="511" spans="1:6" ht="15.75" customHeight="1" x14ac:dyDescent="0.3">
      <c r="A511" s="4" t="s">
        <v>75</v>
      </c>
      <c r="B511" s="2" t="s">
        <v>19</v>
      </c>
      <c r="C511" s="2" t="s">
        <v>8</v>
      </c>
      <c r="D511" s="2" t="s">
        <v>9</v>
      </c>
      <c r="E511" s="2" t="s">
        <v>10</v>
      </c>
      <c r="F511" s="5">
        <v>2397.7500592839888</v>
      </c>
    </row>
    <row r="512" spans="1:6" ht="15.75" customHeight="1" x14ac:dyDescent="0.3">
      <c r="A512" s="4" t="s">
        <v>58</v>
      </c>
      <c r="B512" s="2" t="s">
        <v>17</v>
      </c>
      <c r="C512" s="2" t="s">
        <v>34</v>
      </c>
      <c r="D512" s="2" t="s">
        <v>14</v>
      </c>
      <c r="E512" s="2" t="s">
        <v>10</v>
      </c>
      <c r="F512" s="5">
        <v>1104.3599999999999</v>
      </c>
    </row>
    <row r="513" spans="1:6" ht="15.75" customHeight="1" x14ac:dyDescent="0.3">
      <c r="A513" s="4" t="s">
        <v>89</v>
      </c>
      <c r="B513" s="2" t="s">
        <v>17</v>
      </c>
      <c r="C513" s="2" t="s">
        <v>8</v>
      </c>
      <c r="D513" s="2" t="s">
        <v>9</v>
      </c>
      <c r="E513" s="2" t="s">
        <v>24</v>
      </c>
      <c r="F513" s="5">
        <v>5406.2894819898529</v>
      </c>
    </row>
    <row r="514" spans="1:6" ht="15.75" customHeight="1" x14ac:dyDescent="0.3">
      <c r="A514" s="4" t="s">
        <v>97</v>
      </c>
      <c r="B514" s="2" t="s">
        <v>7</v>
      </c>
      <c r="C514" s="2" t="s">
        <v>8</v>
      </c>
      <c r="D514" s="2" t="s">
        <v>28</v>
      </c>
      <c r="E514" s="2" t="s">
        <v>15</v>
      </c>
      <c r="F514" s="5">
        <v>2419.31</v>
      </c>
    </row>
    <row r="515" spans="1:6" ht="15.75" customHeight="1" x14ac:dyDescent="0.3">
      <c r="A515" s="4" t="s">
        <v>153</v>
      </c>
      <c r="B515" s="2" t="s">
        <v>7</v>
      </c>
      <c r="C515" s="2" t="s">
        <v>34</v>
      </c>
      <c r="D515" s="2" t="s">
        <v>9</v>
      </c>
      <c r="E515" s="2" t="s">
        <v>24</v>
      </c>
      <c r="F515" s="5">
        <v>1984.2661450426281</v>
      </c>
    </row>
    <row r="516" spans="1:6" ht="15.75" customHeight="1" x14ac:dyDescent="0.3">
      <c r="A516" s="4" t="s">
        <v>74</v>
      </c>
      <c r="B516" s="2" t="s">
        <v>19</v>
      </c>
      <c r="C516" s="2" t="s">
        <v>13</v>
      </c>
      <c r="D516" s="2" t="s">
        <v>28</v>
      </c>
      <c r="E516" s="2" t="s">
        <v>15</v>
      </c>
      <c r="F516" s="5">
        <v>2554.5100000000002</v>
      </c>
    </row>
    <row r="517" spans="1:6" ht="15.75" customHeight="1" x14ac:dyDescent="0.3">
      <c r="A517" s="4" t="s">
        <v>193</v>
      </c>
      <c r="B517" s="2" t="s">
        <v>12</v>
      </c>
      <c r="C517" s="2" t="s">
        <v>23</v>
      </c>
      <c r="D517" s="2" t="s">
        <v>14</v>
      </c>
      <c r="E517" s="2" t="s">
        <v>10</v>
      </c>
      <c r="F517" s="5">
        <v>2087.4</v>
      </c>
    </row>
    <row r="518" spans="1:6" ht="15.75" customHeight="1" x14ac:dyDescent="0.3">
      <c r="A518" s="4" t="s">
        <v>121</v>
      </c>
      <c r="B518" s="2" t="s">
        <v>30</v>
      </c>
      <c r="C518" s="2" t="s">
        <v>34</v>
      </c>
      <c r="D518" s="2" t="s">
        <v>28</v>
      </c>
      <c r="E518" s="2" t="s">
        <v>15</v>
      </c>
      <c r="F518" s="5">
        <v>3785.96</v>
      </c>
    </row>
    <row r="519" spans="1:6" ht="15.75" customHeight="1" x14ac:dyDescent="0.3">
      <c r="A519" s="4" t="s">
        <v>110</v>
      </c>
      <c r="B519" s="2" t="s">
        <v>12</v>
      </c>
      <c r="C519" s="2" t="s">
        <v>23</v>
      </c>
      <c r="D519" s="2" t="s">
        <v>14</v>
      </c>
      <c r="E519" s="2" t="s">
        <v>15</v>
      </c>
      <c r="F519" s="5">
        <v>4818.79</v>
      </c>
    </row>
    <row r="520" spans="1:6" ht="15.75" customHeight="1" x14ac:dyDescent="0.3">
      <c r="A520" s="4" t="s">
        <v>105</v>
      </c>
      <c r="B520" s="2" t="s">
        <v>30</v>
      </c>
      <c r="C520" s="2" t="s">
        <v>13</v>
      </c>
      <c r="D520" s="2" t="s">
        <v>14</v>
      </c>
      <c r="E520" s="2" t="s">
        <v>15</v>
      </c>
      <c r="F520" s="5">
        <v>4888.34</v>
      </c>
    </row>
    <row r="521" spans="1:6" ht="15.75" customHeight="1" x14ac:dyDescent="0.3">
      <c r="A521" s="4" t="s">
        <v>16</v>
      </c>
      <c r="B521" s="2" t="s">
        <v>17</v>
      </c>
      <c r="C521" s="2" t="s">
        <v>34</v>
      </c>
      <c r="D521" s="2" t="s">
        <v>14</v>
      </c>
      <c r="E521" s="2" t="s">
        <v>15</v>
      </c>
      <c r="F521" s="5">
        <v>3595.37</v>
      </c>
    </row>
    <row r="522" spans="1:6" ht="15.75" customHeight="1" x14ac:dyDescent="0.3">
      <c r="A522" s="4" t="s">
        <v>109</v>
      </c>
      <c r="B522" s="2" t="s">
        <v>12</v>
      </c>
      <c r="C522" s="2" t="s">
        <v>34</v>
      </c>
      <c r="D522" s="2" t="s">
        <v>14</v>
      </c>
      <c r="E522" s="2" t="s">
        <v>10</v>
      </c>
      <c r="F522" s="5">
        <v>4258.79</v>
      </c>
    </row>
    <row r="523" spans="1:6" ht="15.75" customHeight="1" x14ac:dyDescent="0.3">
      <c r="A523" s="4" t="s">
        <v>186</v>
      </c>
      <c r="B523" s="2" t="s">
        <v>30</v>
      </c>
      <c r="C523" s="2" t="s">
        <v>34</v>
      </c>
      <c r="D523" s="2" t="s">
        <v>28</v>
      </c>
      <c r="E523" s="2" t="s">
        <v>15</v>
      </c>
      <c r="F523" s="5">
        <v>2679.07</v>
      </c>
    </row>
    <row r="524" spans="1:6" ht="15.75" customHeight="1" x14ac:dyDescent="0.3">
      <c r="A524" s="4" t="s">
        <v>53</v>
      </c>
      <c r="B524" s="2" t="s">
        <v>7</v>
      </c>
      <c r="C524" s="2" t="s">
        <v>8</v>
      </c>
      <c r="D524" s="2" t="s">
        <v>28</v>
      </c>
      <c r="E524" s="2" t="s">
        <v>24</v>
      </c>
      <c r="F524" s="5">
        <v>3884.75</v>
      </c>
    </row>
    <row r="525" spans="1:6" ht="15.75" customHeight="1" x14ac:dyDescent="0.3">
      <c r="A525" s="4" t="s">
        <v>52</v>
      </c>
      <c r="B525" s="2" t="s">
        <v>19</v>
      </c>
      <c r="C525" s="2" t="s">
        <v>34</v>
      </c>
      <c r="D525" s="2" t="s">
        <v>28</v>
      </c>
      <c r="E525" s="2" t="s">
        <v>24</v>
      </c>
      <c r="F525" s="5">
        <v>3771</v>
      </c>
    </row>
    <row r="526" spans="1:6" ht="15.75" customHeight="1" x14ac:dyDescent="0.3">
      <c r="A526" s="4" t="s">
        <v>152</v>
      </c>
      <c r="B526" s="2" t="s">
        <v>30</v>
      </c>
      <c r="C526" s="2" t="s">
        <v>8</v>
      </c>
      <c r="D526" s="2" t="s">
        <v>9</v>
      </c>
      <c r="E526" s="2" t="s">
        <v>10</v>
      </c>
      <c r="F526" s="5">
        <v>3711.3889046476952</v>
      </c>
    </row>
    <row r="527" spans="1:6" ht="15.75" customHeight="1" x14ac:dyDescent="0.3">
      <c r="A527" s="4" t="s">
        <v>74</v>
      </c>
      <c r="B527" s="2" t="s">
        <v>19</v>
      </c>
      <c r="C527" s="2" t="s">
        <v>34</v>
      </c>
      <c r="D527" s="2" t="s">
        <v>14</v>
      </c>
      <c r="E527" s="2" t="s">
        <v>15</v>
      </c>
      <c r="F527" s="5">
        <v>506.34</v>
      </c>
    </row>
    <row r="528" spans="1:6" ht="15.75" customHeight="1" x14ac:dyDescent="0.3">
      <c r="A528" s="4" t="s">
        <v>67</v>
      </c>
      <c r="B528" s="2" t="s">
        <v>7</v>
      </c>
      <c r="C528" s="2" t="s">
        <v>8</v>
      </c>
      <c r="D528" s="2" t="s">
        <v>9</v>
      </c>
      <c r="E528" s="2" t="s">
        <v>10</v>
      </c>
      <c r="F528" s="5">
        <v>2868.75</v>
      </c>
    </row>
    <row r="529" spans="1:6" ht="15.75" customHeight="1" x14ac:dyDescent="0.3">
      <c r="A529" s="4" t="s">
        <v>180</v>
      </c>
      <c r="B529" s="2" t="s">
        <v>30</v>
      </c>
      <c r="C529" s="2" t="s">
        <v>13</v>
      </c>
      <c r="D529" s="2" t="s">
        <v>28</v>
      </c>
      <c r="E529" s="2" t="s">
        <v>15</v>
      </c>
      <c r="F529" s="5">
        <v>4633.6899999999996</v>
      </c>
    </row>
    <row r="530" spans="1:6" ht="15.75" customHeight="1" x14ac:dyDescent="0.3">
      <c r="A530" s="4" t="s">
        <v>63</v>
      </c>
      <c r="B530" s="2" t="s">
        <v>12</v>
      </c>
      <c r="C530" s="2" t="s">
        <v>23</v>
      </c>
      <c r="D530" s="2" t="s">
        <v>28</v>
      </c>
      <c r="E530" s="2" t="s">
        <v>15</v>
      </c>
      <c r="F530" s="5">
        <v>822.11</v>
      </c>
    </row>
    <row r="531" spans="1:6" ht="15.75" customHeight="1" x14ac:dyDescent="0.3">
      <c r="A531" s="4" t="s">
        <v>119</v>
      </c>
      <c r="B531" s="2" t="s">
        <v>30</v>
      </c>
      <c r="C531" s="2" t="s">
        <v>34</v>
      </c>
      <c r="D531" s="2" t="s">
        <v>28</v>
      </c>
      <c r="E531" s="2" t="s">
        <v>24</v>
      </c>
      <c r="F531" s="5">
        <v>381.04</v>
      </c>
    </row>
    <row r="532" spans="1:6" ht="15.75" customHeight="1" x14ac:dyDescent="0.3">
      <c r="A532" s="4" t="s">
        <v>113</v>
      </c>
      <c r="B532" s="2" t="s">
        <v>30</v>
      </c>
      <c r="C532" s="2" t="s">
        <v>23</v>
      </c>
      <c r="D532" s="2" t="s">
        <v>14</v>
      </c>
      <c r="E532" s="2" t="s">
        <v>10</v>
      </c>
      <c r="F532" s="5">
        <v>4854.5</v>
      </c>
    </row>
    <row r="533" spans="1:6" ht="15.75" customHeight="1" x14ac:dyDescent="0.3">
      <c r="A533" s="4" t="s">
        <v>38</v>
      </c>
      <c r="B533" s="2" t="s">
        <v>30</v>
      </c>
      <c r="C533" s="2" t="s">
        <v>34</v>
      </c>
      <c r="D533" s="2" t="s">
        <v>14</v>
      </c>
      <c r="E533" s="2" t="s">
        <v>10</v>
      </c>
      <c r="F533" s="5">
        <v>4069.56</v>
      </c>
    </row>
    <row r="534" spans="1:6" ht="15.75" customHeight="1" x14ac:dyDescent="0.3">
      <c r="A534" s="4" t="s">
        <v>141</v>
      </c>
      <c r="B534" s="2" t="s">
        <v>7</v>
      </c>
      <c r="C534" s="2" t="s">
        <v>8</v>
      </c>
      <c r="D534" s="2" t="s">
        <v>28</v>
      </c>
      <c r="E534" s="2" t="s">
        <v>24</v>
      </c>
      <c r="F534" s="5">
        <v>4573.76</v>
      </c>
    </row>
    <row r="535" spans="1:6" ht="15.75" customHeight="1" x14ac:dyDescent="0.3">
      <c r="A535" s="4" t="s">
        <v>160</v>
      </c>
      <c r="B535" s="2" t="s">
        <v>30</v>
      </c>
      <c r="C535" s="2" t="s">
        <v>34</v>
      </c>
      <c r="D535" s="2" t="s">
        <v>28</v>
      </c>
      <c r="E535" s="2" t="s">
        <v>15</v>
      </c>
      <c r="F535" s="5">
        <v>202.63</v>
      </c>
    </row>
    <row r="536" spans="1:6" ht="15.75" customHeight="1" x14ac:dyDescent="0.3">
      <c r="A536" s="4" t="s">
        <v>107</v>
      </c>
      <c r="B536" s="2" t="s">
        <v>30</v>
      </c>
      <c r="C536" s="2" t="s">
        <v>34</v>
      </c>
      <c r="D536" s="2" t="s">
        <v>14</v>
      </c>
      <c r="E536" s="2" t="s">
        <v>10</v>
      </c>
      <c r="F536" s="5">
        <v>948.57</v>
      </c>
    </row>
    <row r="537" spans="1:6" ht="15.75" customHeight="1" x14ac:dyDescent="0.3">
      <c r="A537" s="4" t="s">
        <v>155</v>
      </c>
      <c r="B537" s="2" t="s">
        <v>7</v>
      </c>
      <c r="C537" s="2" t="s">
        <v>23</v>
      </c>
      <c r="D537" s="2" t="s">
        <v>9</v>
      </c>
      <c r="E537" s="2" t="s">
        <v>24</v>
      </c>
      <c r="F537" s="5">
        <v>1391.9407319393381</v>
      </c>
    </row>
    <row r="538" spans="1:6" ht="15.75" customHeight="1" x14ac:dyDescent="0.3">
      <c r="A538" s="4" t="s">
        <v>103</v>
      </c>
      <c r="B538" s="2" t="s">
        <v>19</v>
      </c>
      <c r="C538" s="2" t="s">
        <v>8</v>
      </c>
      <c r="D538" s="2" t="s">
        <v>9</v>
      </c>
      <c r="E538" s="2" t="s">
        <v>10</v>
      </c>
      <c r="F538" s="5">
        <v>262.76459316519009</v>
      </c>
    </row>
    <row r="539" spans="1:6" ht="15.75" customHeight="1" x14ac:dyDescent="0.3">
      <c r="A539" s="4" t="s">
        <v>53</v>
      </c>
      <c r="B539" s="2" t="s">
        <v>7</v>
      </c>
      <c r="C539" s="2" t="s">
        <v>23</v>
      </c>
      <c r="D539" s="2" t="s">
        <v>28</v>
      </c>
      <c r="E539" s="2" t="s">
        <v>24</v>
      </c>
      <c r="F539" s="5">
        <v>1987.36</v>
      </c>
    </row>
    <row r="540" spans="1:6" ht="15.75" customHeight="1" x14ac:dyDescent="0.3">
      <c r="A540" s="4" t="s">
        <v>178</v>
      </c>
      <c r="B540" s="2" t="s">
        <v>30</v>
      </c>
      <c r="C540" s="2" t="s">
        <v>34</v>
      </c>
      <c r="D540" s="2" t="s">
        <v>14</v>
      </c>
      <c r="E540" s="2" t="s">
        <v>10</v>
      </c>
      <c r="F540" s="5">
        <v>4710.57</v>
      </c>
    </row>
    <row r="541" spans="1:6" ht="15.75" customHeight="1" x14ac:dyDescent="0.3">
      <c r="A541" s="4" t="s">
        <v>135</v>
      </c>
      <c r="B541" s="2" t="s">
        <v>12</v>
      </c>
      <c r="C541" s="2" t="s">
        <v>23</v>
      </c>
      <c r="D541" s="2" t="s">
        <v>9</v>
      </c>
      <c r="E541" s="2" t="s">
        <v>15</v>
      </c>
      <c r="F541" s="5">
        <v>897.12</v>
      </c>
    </row>
    <row r="542" spans="1:6" ht="15.75" customHeight="1" x14ac:dyDescent="0.3">
      <c r="A542" s="4" t="s">
        <v>52</v>
      </c>
      <c r="B542" s="2" t="s">
        <v>19</v>
      </c>
      <c r="C542" s="2" t="s">
        <v>8</v>
      </c>
      <c r="D542" s="2" t="s">
        <v>28</v>
      </c>
      <c r="E542" s="2" t="s">
        <v>10</v>
      </c>
      <c r="F542" s="5">
        <v>4466.1000000000004</v>
      </c>
    </row>
    <row r="543" spans="1:6" ht="15.75" customHeight="1" x14ac:dyDescent="0.3">
      <c r="A543" s="4" t="s">
        <v>55</v>
      </c>
      <c r="B543" s="2" t="s">
        <v>12</v>
      </c>
      <c r="C543" s="2" t="s">
        <v>13</v>
      </c>
      <c r="D543" s="2" t="s">
        <v>28</v>
      </c>
      <c r="E543" s="2" t="s">
        <v>24</v>
      </c>
      <c r="F543" s="5">
        <v>4306.16</v>
      </c>
    </row>
    <row r="544" spans="1:6" ht="15.75" customHeight="1" x14ac:dyDescent="0.3">
      <c r="A544" s="4" t="s">
        <v>205</v>
      </c>
      <c r="B544" s="2" t="s">
        <v>17</v>
      </c>
      <c r="C544" s="2" t="s">
        <v>13</v>
      </c>
      <c r="D544" s="2" t="s">
        <v>28</v>
      </c>
      <c r="E544" s="2" t="s">
        <v>24</v>
      </c>
      <c r="F544" s="5">
        <v>3510.58</v>
      </c>
    </row>
    <row r="545" spans="1:6" ht="15.75" customHeight="1" x14ac:dyDescent="0.3">
      <c r="A545" s="4" t="s">
        <v>50</v>
      </c>
      <c r="B545" s="2" t="s">
        <v>19</v>
      </c>
      <c r="C545" s="2" t="s">
        <v>13</v>
      </c>
      <c r="D545" s="2" t="s">
        <v>14</v>
      </c>
      <c r="E545" s="2" t="s">
        <v>24</v>
      </c>
      <c r="F545" s="5">
        <v>1053.8399999999999</v>
      </c>
    </row>
    <row r="546" spans="1:6" ht="15.75" customHeight="1" x14ac:dyDescent="0.3">
      <c r="A546" s="4" t="s">
        <v>185</v>
      </c>
      <c r="B546" s="2" t="s">
        <v>30</v>
      </c>
      <c r="C546" s="2" t="s">
        <v>13</v>
      </c>
      <c r="D546" s="2" t="s">
        <v>14</v>
      </c>
      <c r="E546" s="2" t="s">
        <v>15</v>
      </c>
      <c r="F546" s="5">
        <v>1084.81</v>
      </c>
    </row>
    <row r="547" spans="1:6" ht="15.75" customHeight="1" x14ac:dyDescent="0.3">
      <c r="A547" s="4" t="s">
        <v>124</v>
      </c>
      <c r="B547" s="2" t="s">
        <v>12</v>
      </c>
      <c r="C547" s="2" t="s">
        <v>34</v>
      </c>
      <c r="D547" s="2" t="s">
        <v>14</v>
      </c>
      <c r="E547" s="2" t="s">
        <v>10</v>
      </c>
      <c r="F547" s="5">
        <v>618.54</v>
      </c>
    </row>
    <row r="548" spans="1:6" ht="15.75" customHeight="1" x14ac:dyDescent="0.3">
      <c r="A548" s="4" t="s">
        <v>138</v>
      </c>
      <c r="B548" s="2" t="s">
        <v>12</v>
      </c>
      <c r="C548" s="2" t="s">
        <v>13</v>
      </c>
      <c r="D548" s="2" t="s">
        <v>28</v>
      </c>
      <c r="E548" s="2" t="s">
        <v>24</v>
      </c>
      <c r="F548" s="5">
        <v>3730.83</v>
      </c>
    </row>
    <row r="549" spans="1:6" ht="15.75" customHeight="1" x14ac:dyDescent="0.3">
      <c r="A549" s="4" t="s">
        <v>178</v>
      </c>
      <c r="B549" s="2" t="s">
        <v>30</v>
      </c>
      <c r="C549" s="2" t="s">
        <v>8</v>
      </c>
      <c r="D549" s="2" t="s">
        <v>9</v>
      </c>
      <c r="E549" s="2" t="s">
        <v>24</v>
      </c>
      <c r="F549" s="5">
        <v>3608.0164239799542</v>
      </c>
    </row>
    <row r="550" spans="1:6" ht="15.75" customHeight="1" x14ac:dyDescent="0.3">
      <c r="A550" s="4" t="s">
        <v>129</v>
      </c>
      <c r="B550" s="2" t="s">
        <v>17</v>
      </c>
      <c r="C550" s="2" t="s">
        <v>34</v>
      </c>
      <c r="D550" s="2" t="s">
        <v>14</v>
      </c>
      <c r="E550" s="2" t="s">
        <v>24</v>
      </c>
      <c r="F550" s="5">
        <v>4037.93</v>
      </c>
    </row>
    <row r="551" spans="1:6" ht="15.75" customHeight="1" x14ac:dyDescent="0.3">
      <c r="A551" s="4" t="s">
        <v>35</v>
      </c>
      <c r="B551" s="2" t="s">
        <v>19</v>
      </c>
      <c r="C551" s="2" t="s">
        <v>8</v>
      </c>
      <c r="D551" s="2" t="s">
        <v>9</v>
      </c>
      <c r="E551" s="2" t="s">
        <v>24</v>
      </c>
      <c r="F551" s="5">
        <v>454.38129889748802</v>
      </c>
    </row>
    <row r="552" spans="1:6" ht="15.75" customHeight="1" x14ac:dyDescent="0.3">
      <c r="A552" s="4" t="s">
        <v>118</v>
      </c>
      <c r="B552" s="2" t="s">
        <v>30</v>
      </c>
      <c r="C552" s="2" t="s">
        <v>34</v>
      </c>
      <c r="D552" s="2" t="s">
        <v>14</v>
      </c>
      <c r="E552" s="2" t="s">
        <v>24</v>
      </c>
      <c r="F552" s="5">
        <v>3824.73</v>
      </c>
    </row>
    <row r="553" spans="1:6" ht="15.75" customHeight="1" x14ac:dyDescent="0.3">
      <c r="A553" s="4" t="s">
        <v>127</v>
      </c>
      <c r="B553" s="2" t="s">
        <v>17</v>
      </c>
      <c r="C553" s="2" t="s">
        <v>23</v>
      </c>
      <c r="D553" s="2" t="s">
        <v>9</v>
      </c>
      <c r="E553" s="2" t="s">
        <v>15</v>
      </c>
      <c r="F553" s="5">
        <v>2188.6669517661162</v>
      </c>
    </row>
    <row r="554" spans="1:6" ht="15.75" customHeight="1" x14ac:dyDescent="0.3">
      <c r="A554" s="4" t="s">
        <v>57</v>
      </c>
      <c r="B554" s="2" t="s">
        <v>19</v>
      </c>
      <c r="C554" s="2" t="s">
        <v>23</v>
      </c>
      <c r="D554" s="2" t="s">
        <v>14</v>
      </c>
      <c r="E554" s="2" t="s">
        <v>24</v>
      </c>
      <c r="F554" s="5">
        <v>1638.41</v>
      </c>
    </row>
    <row r="555" spans="1:6" ht="15.75" customHeight="1" x14ac:dyDescent="0.3">
      <c r="A555" s="4" t="s">
        <v>41</v>
      </c>
      <c r="B555" s="2" t="s">
        <v>30</v>
      </c>
      <c r="C555" s="2" t="s">
        <v>8</v>
      </c>
      <c r="D555" s="2" t="s">
        <v>14</v>
      </c>
      <c r="E555" s="2" t="s">
        <v>15</v>
      </c>
      <c r="F555" s="5">
        <v>4638.62</v>
      </c>
    </row>
    <row r="556" spans="1:6" ht="15.75" customHeight="1" x14ac:dyDescent="0.3">
      <c r="A556" s="4" t="s">
        <v>21</v>
      </c>
      <c r="B556" s="2" t="s">
        <v>19</v>
      </c>
      <c r="C556" s="2" t="s">
        <v>13</v>
      </c>
      <c r="D556" s="2" t="s">
        <v>14</v>
      </c>
      <c r="E556" s="2" t="s">
        <v>15</v>
      </c>
      <c r="F556" s="5">
        <v>2700.91</v>
      </c>
    </row>
    <row r="557" spans="1:6" ht="15.75" customHeight="1" x14ac:dyDescent="0.3">
      <c r="A557" s="4" t="s">
        <v>36</v>
      </c>
      <c r="B557" s="2" t="s">
        <v>12</v>
      </c>
      <c r="C557" s="2" t="s">
        <v>8</v>
      </c>
      <c r="D557" s="2" t="s">
        <v>14</v>
      </c>
      <c r="E557" s="2" t="s">
        <v>24</v>
      </c>
      <c r="F557" s="5">
        <v>4888.18</v>
      </c>
    </row>
    <row r="558" spans="1:6" ht="15.75" customHeight="1" x14ac:dyDescent="0.3">
      <c r="A558" s="4" t="s">
        <v>79</v>
      </c>
      <c r="B558" s="2" t="s">
        <v>17</v>
      </c>
      <c r="C558" s="2" t="s">
        <v>8</v>
      </c>
      <c r="D558" s="2" t="s">
        <v>9</v>
      </c>
      <c r="E558" s="2" t="s">
        <v>10</v>
      </c>
      <c r="F558" s="5">
        <v>1395.928736877102</v>
      </c>
    </row>
    <row r="559" spans="1:6" ht="15.75" customHeight="1" x14ac:dyDescent="0.3">
      <c r="A559" s="4" t="s">
        <v>186</v>
      </c>
      <c r="B559" s="2" t="s">
        <v>30</v>
      </c>
      <c r="C559" s="2" t="s">
        <v>34</v>
      </c>
      <c r="D559" s="2" t="s">
        <v>28</v>
      </c>
      <c r="E559" s="2" t="s">
        <v>24</v>
      </c>
      <c r="F559" s="5">
        <v>2978</v>
      </c>
    </row>
    <row r="560" spans="1:6" ht="15.75" customHeight="1" x14ac:dyDescent="0.3">
      <c r="A560" s="4" t="s">
        <v>183</v>
      </c>
      <c r="B560" s="2" t="s">
        <v>7</v>
      </c>
      <c r="C560" s="2" t="s">
        <v>23</v>
      </c>
      <c r="D560" s="2" t="s">
        <v>14</v>
      </c>
      <c r="E560" s="2" t="s">
        <v>10</v>
      </c>
      <c r="F560" s="5">
        <v>2047.72</v>
      </c>
    </row>
    <row r="561" spans="1:6" ht="15.75" customHeight="1" x14ac:dyDescent="0.3">
      <c r="A561" s="4" t="s">
        <v>206</v>
      </c>
      <c r="B561" s="2" t="s">
        <v>19</v>
      </c>
      <c r="C561" s="2" t="s">
        <v>23</v>
      </c>
      <c r="D561" s="2" t="s">
        <v>14</v>
      </c>
      <c r="E561" s="2" t="s">
        <v>15</v>
      </c>
      <c r="F561" s="5">
        <v>2384.92</v>
      </c>
    </row>
    <row r="562" spans="1:6" ht="15.75" customHeight="1" x14ac:dyDescent="0.3">
      <c r="A562" s="4" t="s">
        <v>80</v>
      </c>
      <c r="B562" s="2" t="s">
        <v>17</v>
      </c>
      <c r="C562" s="2" t="s">
        <v>23</v>
      </c>
      <c r="D562" s="2" t="s">
        <v>9</v>
      </c>
      <c r="E562" s="2" t="s">
        <v>10</v>
      </c>
      <c r="F562" s="5">
        <v>1560.1904493577699</v>
      </c>
    </row>
    <row r="563" spans="1:6" ht="15.75" customHeight="1" x14ac:dyDescent="0.3">
      <c r="A563" s="4" t="s">
        <v>64</v>
      </c>
      <c r="B563" s="2" t="s">
        <v>30</v>
      </c>
      <c r="C563" s="2" t="s">
        <v>8</v>
      </c>
      <c r="D563" s="2" t="s">
        <v>14</v>
      </c>
      <c r="E563" s="2" t="s">
        <v>24</v>
      </c>
      <c r="F563" s="5">
        <v>4290.7299999999996</v>
      </c>
    </row>
    <row r="564" spans="1:6" ht="15.75" customHeight="1" x14ac:dyDescent="0.3">
      <c r="A564" s="4" t="s">
        <v>192</v>
      </c>
      <c r="B564" s="2" t="s">
        <v>19</v>
      </c>
      <c r="C564" s="2" t="s">
        <v>8</v>
      </c>
      <c r="D564" s="2" t="s">
        <v>9</v>
      </c>
      <c r="E564" s="2" t="s">
        <v>24</v>
      </c>
      <c r="F564" s="5">
        <v>2521.8820437065142</v>
      </c>
    </row>
    <row r="565" spans="1:6" ht="15.75" customHeight="1" x14ac:dyDescent="0.3">
      <c r="A565" s="4" t="s">
        <v>177</v>
      </c>
      <c r="B565" s="2" t="s">
        <v>7</v>
      </c>
      <c r="C565" s="2" t="s">
        <v>13</v>
      </c>
      <c r="D565" s="2" t="s">
        <v>28</v>
      </c>
      <c r="E565" s="2" t="s">
        <v>15</v>
      </c>
      <c r="F565" s="5">
        <v>3941.05</v>
      </c>
    </row>
    <row r="566" spans="1:6" ht="15.75" customHeight="1" x14ac:dyDescent="0.3">
      <c r="A566" s="4" t="s">
        <v>189</v>
      </c>
      <c r="B566" s="2" t="s">
        <v>19</v>
      </c>
      <c r="C566" s="2" t="s">
        <v>23</v>
      </c>
      <c r="D566" s="2" t="s">
        <v>14</v>
      </c>
      <c r="E566" s="2" t="s">
        <v>24</v>
      </c>
      <c r="F566" s="5">
        <v>992.87</v>
      </c>
    </row>
    <row r="567" spans="1:6" ht="15.75" customHeight="1" x14ac:dyDescent="0.3">
      <c r="A567" s="4" t="s">
        <v>74</v>
      </c>
      <c r="B567" s="2" t="s">
        <v>19</v>
      </c>
      <c r="C567" s="2" t="s">
        <v>34</v>
      </c>
      <c r="D567" s="2" t="s">
        <v>14</v>
      </c>
      <c r="E567" s="2" t="s">
        <v>10</v>
      </c>
      <c r="F567" s="5">
        <v>3998.2</v>
      </c>
    </row>
    <row r="568" spans="1:6" ht="15.75" customHeight="1" x14ac:dyDescent="0.3">
      <c r="A568" s="4" t="s">
        <v>116</v>
      </c>
      <c r="B568" s="2" t="s">
        <v>17</v>
      </c>
      <c r="C568" s="2" t="s">
        <v>13</v>
      </c>
      <c r="D568" s="2" t="s">
        <v>28</v>
      </c>
      <c r="E568" s="2" t="s">
        <v>24</v>
      </c>
      <c r="F568" s="5">
        <v>951.15</v>
      </c>
    </row>
    <row r="569" spans="1:6" ht="15.75" customHeight="1" x14ac:dyDescent="0.3">
      <c r="A569" s="4" t="s">
        <v>207</v>
      </c>
      <c r="B569" s="2" t="s">
        <v>17</v>
      </c>
      <c r="C569" s="2" t="s">
        <v>34</v>
      </c>
      <c r="D569" s="2" t="s">
        <v>9</v>
      </c>
      <c r="E569" s="2" t="s">
        <v>10</v>
      </c>
      <c r="F569" s="5">
        <v>602.29235952205488</v>
      </c>
    </row>
    <row r="570" spans="1:6" ht="15.75" customHeight="1" x14ac:dyDescent="0.3">
      <c r="A570" s="4" t="s">
        <v>21</v>
      </c>
      <c r="B570" s="2" t="s">
        <v>19</v>
      </c>
      <c r="C570" s="2" t="s">
        <v>13</v>
      </c>
      <c r="D570" s="2" t="s">
        <v>14</v>
      </c>
      <c r="E570" s="2" t="s">
        <v>15</v>
      </c>
      <c r="F570" s="5">
        <v>4791.01</v>
      </c>
    </row>
    <row r="571" spans="1:6" ht="15.75" customHeight="1" x14ac:dyDescent="0.3">
      <c r="A571" s="4" t="s">
        <v>70</v>
      </c>
      <c r="B571" s="2" t="s">
        <v>19</v>
      </c>
      <c r="C571" s="2" t="s">
        <v>23</v>
      </c>
      <c r="D571" s="2" t="s">
        <v>14</v>
      </c>
      <c r="E571" s="2" t="s">
        <v>15</v>
      </c>
      <c r="F571" s="5">
        <v>2408.38</v>
      </c>
    </row>
    <row r="572" spans="1:6" ht="15.75" customHeight="1" x14ac:dyDescent="0.3">
      <c r="A572" s="4" t="s">
        <v>40</v>
      </c>
      <c r="B572" s="2" t="s">
        <v>19</v>
      </c>
      <c r="C572" s="2" t="s">
        <v>13</v>
      </c>
      <c r="D572" s="2" t="s">
        <v>9</v>
      </c>
      <c r="E572" s="2" t="s">
        <v>10</v>
      </c>
      <c r="F572" s="5">
        <v>2703.0650078963122</v>
      </c>
    </row>
    <row r="573" spans="1:6" ht="15.75" customHeight="1" x14ac:dyDescent="0.3">
      <c r="A573" s="4" t="s">
        <v>189</v>
      </c>
      <c r="B573" s="2" t="s">
        <v>19</v>
      </c>
      <c r="C573" s="2" t="s">
        <v>34</v>
      </c>
      <c r="D573" s="2" t="s">
        <v>28</v>
      </c>
      <c r="E573" s="2" t="s">
        <v>15</v>
      </c>
      <c r="F573" s="5">
        <v>4204.6899999999996</v>
      </c>
    </row>
    <row r="574" spans="1:6" ht="15.75" customHeight="1" x14ac:dyDescent="0.3">
      <c r="A574" s="4" t="s">
        <v>18</v>
      </c>
      <c r="B574" s="2" t="s">
        <v>19</v>
      </c>
      <c r="C574" s="2" t="s">
        <v>34</v>
      </c>
      <c r="D574" s="2" t="s">
        <v>9</v>
      </c>
      <c r="E574" s="2" t="s">
        <v>24</v>
      </c>
      <c r="F574" s="5">
        <v>947.61289596387405</v>
      </c>
    </row>
    <row r="575" spans="1:6" ht="15.75" customHeight="1" x14ac:dyDescent="0.3">
      <c r="A575" s="4" t="s">
        <v>157</v>
      </c>
      <c r="B575" s="2" t="s">
        <v>30</v>
      </c>
      <c r="C575" s="2" t="s">
        <v>13</v>
      </c>
      <c r="D575" s="2" t="s">
        <v>28</v>
      </c>
      <c r="E575" s="2" t="s">
        <v>10</v>
      </c>
      <c r="F575" s="5">
        <v>3632.9</v>
      </c>
    </row>
    <row r="576" spans="1:6" ht="15.75" customHeight="1" x14ac:dyDescent="0.3">
      <c r="A576" s="4" t="s">
        <v>108</v>
      </c>
      <c r="B576" s="2" t="s">
        <v>7</v>
      </c>
      <c r="C576" s="2" t="s">
        <v>8</v>
      </c>
      <c r="D576" s="2" t="s">
        <v>9</v>
      </c>
      <c r="E576" s="2" t="s">
        <v>15</v>
      </c>
      <c r="F576" s="5">
        <v>3124.8907904089219</v>
      </c>
    </row>
    <row r="577" spans="1:6" ht="15.75" customHeight="1" x14ac:dyDescent="0.3">
      <c r="A577" s="4" t="s">
        <v>63</v>
      </c>
      <c r="B577" s="2" t="s">
        <v>12</v>
      </c>
      <c r="C577" s="2" t="s">
        <v>34</v>
      </c>
      <c r="D577" s="2" t="s">
        <v>14</v>
      </c>
      <c r="E577" s="2" t="s">
        <v>24</v>
      </c>
      <c r="F577" s="5">
        <v>4679.05</v>
      </c>
    </row>
    <row r="578" spans="1:6" ht="15.75" customHeight="1" x14ac:dyDescent="0.3">
      <c r="A578" s="4" t="s">
        <v>147</v>
      </c>
      <c r="B578" s="2" t="s">
        <v>17</v>
      </c>
      <c r="C578" s="2" t="s">
        <v>8</v>
      </c>
      <c r="D578" s="2" t="s">
        <v>9</v>
      </c>
      <c r="E578" s="2" t="s">
        <v>10</v>
      </c>
      <c r="F578" s="5">
        <v>4154.0957569818729</v>
      </c>
    </row>
    <row r="579" spans="1:6" ht="15.75" customHeight="1" x14ac:dyDescent="0.3">
      <c r="A579" s="4" t="s">
        <v>118</v>
      </c>
      <c r="B579" s="2" t="s">
        <v>30</v>
      </c>
      <c r="C579" s="2" t="s">
        <v>8</v>
      </c>
      <c r="D579" s="2" t="s">
        <v>14</v>
      </c>
      <c r="E579" s="2" t="s">
        <v>10</v>
      </c>
      <c r="F579" s="5">
        <v>132.24</v>
      </c>
    </row>
    <row r="580" spans="1:6" ht="15.75" customHeight="1" x14ac:dyDescent="0.3">
      <c r="A580" s="4" t="s">
        <v>201</v>
      </c>
      <c r="B580" s="2" t="s">
        <v>12</v>
      </c>
      <c r="C580" s="2" t="s">
        <v>34</v>
      </c>
      <c r="D580" s="2" t="s">
        <v>14</v>
      </c>
      <c r="E580" s="2" t="s">
        <v>15</v>
      </c>
      <c r="F580" s="5">
        <v>3066.65</v>
      </c>
    </row>
    <row r="581" spans="1:6" ht="15.75" customHeight="1" x14ac:dyDescent="0.3">
      <c r="A581" s="4" t="s">
        <v>142</v>
      </c>
      <c r="B581" s="2" t="s">
        <v>17</v>
      </c>
      <c r="C581" s="2" t="s">
        <v>23</v>
      </c>
      <c r="D581" s="2" t="s">
        <v>9</v>
      </c>
      <c r="E581" s="2" t="s">
        <v>15</v>
      </c>
      <c r="F581" s="5">
        <v>1342.882770412097</v>
      </c>
    </row>
    <row r="582" spans="1:6" ht="15.75" customHeight="1" x14ac:dyDescent="0.3">
      <c r="A582" s="4" t="s">
        <v>65</v>
      </c>
      <c r="B582" s="2" t="s">
        <v>30</v>
      </c>
      <c r="C582" s="2" t="s">
        <v>23</v>
      </c>
      <c r="D582" s="2" t="s">
        <v>14</v>
      </c>
      <c r="E582" s="2" t="s">
        <v>24</v>
      </c>
      <c r="F582" s="5">
        <v>3919.95</v>
      </c>
    </row>
    <row r="583" spans="1:6" ht="15.75" customHeight="1" x14ac:dyDescent="0.3">
      <c r="A583" s="4" t="s">
        <v>143</v>
      </c>
      <c r="B583" s="2" t="s">
        <v>17</v>
      </c>
      <c r="C583" s="2" t="s">
        <v>8</v>
      </c>
      <c r="D583" s="2" t="s">
        <v>14</v>
      </c>
      <c r="E583" s="2" t="s">
        <v>24</v>
      </c>
      <c r="F583" s="5">
        <v>4408.78</v>
      </c>
    </row>
    <row r="584" spans="1:6" ht="15.75" customHeight="1" x14ac:dyDescent="0.3">
      <c r="A584" s="4" t="s">
        <v>120</v>
      </c>
      <c r="B584" s="2" t="s">
        <v>30</v>
      </c>
      <c r="C584" s="2" t="s">
        <v>34</v>
      </c>
      <c r="D584" s="2" t="s">
        <v>14</v>
      </c>
      <c r="E584" s="2" t="s">
        <v>15</v>
      </c>
      <c r="F584" s="5">
        <v>4970.6899999999996</v>
      </c>
    </row>
    <row r="585" spans="1:6" ht="15.75" customHeight="1" x14ac:dyDescent="0.3">
      <c r="A585" s="4" t="s">
        <v>192</v>
      </c>
      <c r="B585" s="2" t="s">
        <v>19</v>
      </c>
      <c r="C585" s="2" t="s">
        <v>8</v>
      </c>
      <c r="D585" s="2" t="s">
        <v>9</v>
      </c>
      <c r="E585" s="2" t="s">
        <v>15</v>
      </c>
      <c r="F585" s="5">
        <v>1694.1939153529991</v>
      </c>
    </row>
    <row r="586" spans="1:6" ht="15.75" customHeight="1" x14ac:dyDescent="0.3">
      <c r="A586" s="4" t="s">
        <v>103</v>
      </c>
      <c r="B586" s="2" t="s">
        <v>19</v>
      </c>
      <c r="C586" s="2" t="s">
        <v>34</v>
      </c>
      <c r="D586" s="2" t="s">
        <v>14</v>
      </c>
      <c r="E586" s="2" t="s">
        <v>15</v>
      </c>
      <c r="F586" s="5">
        <v>4225.8</v>
      </c>
    </row>
    <row r="587" spans="1:6" ht="15.75" customHeight="1" x14ac:dyDescent="0.3">
      <c r="A587" s="4" t="s">
        <v>89</v>
      </c>
      <c r="B587" s="2" t="s">
        <v>17</v>
      </c>
      <c r="C587" s="2" t="s">
        <v>8</v>
      </c>
      <c r="D587" s="2" t="s">
        <v>14</v>
      </c>
      <c r="E587" s="2" t="s">
        <v>15</v>
      </c>
      <c r="F587" s="5">
        <v>2933.56</v>
      </c>
    </row>
    <row r="588" spans="1:6" ht="15.75" customHeight="1" x14ac:dyDescent="0.3">
      <c r="A588" s="4" t="s">
        <v>111</v>
      </c>
      <c r="B588" s="2" t="s">
        <v>19</v>
      </c>
      <c r="C588" s="2" t="s">
        <v>23</v>
      </c>
      <c r="D588" s="2" t="s">
        <v>9</v>
      </c>
      <c r="E588" s="2" t="s">
        <v>10</v>
      </c>
      <c r="F588" s="5">
        <v>1192.333994296024</v>
      </c>
    </row>
    <row r="589" spans="1:6" ht="15.75" customHeight="1" x14ac:dyDescent="0.3">
      <c r="A589" s="4" t="s">
        <v>183</v>
      </c>
      <c r="B589" s="2" t="s">
        <v>7</v>
      </c>
      <c r="C589" s="2" t="s">
        <v>8</v>
      </c>
      <c r="D589" s="2" t="s">
        <v>14</v>
      </c>
      <c r="E589" s="2" t="s">
        <v>24</v>
      </c>
      <c r="F589" s="5">
        <v>2457.1</v>
      </c>
    </row>
    <row r="590" spans="1:6" ht="15.75" customHeight="1" x14ac:dyDescent="0.3">
      <c r="A590" s="4" t="s">
        <v>116</v>
      </c>
      <c r="B590" s="2" t="s">
        <v>17</v>
      </c>
      <c r="C590" s="2" t="s">
        <v>13</v>
      </c>
      <c r="D590" s="2" t="s">
        <v>28</v>
      </c>
      <c r="E590" s="2" t="s">
        <v>24</v>
      </c>
      <c r="F590" s="5">
        <v>3801.93</v>
      </c>
    </row>
    <row r="591" spans="1:6" ht="15.75" customHeight="1" x14ac:dyDescent="0.3">
      <c r="A591" s="4" t="s">
        <v>72</v>
      </c>
      <c r="B591" s="2" t="s">
        <v>19</v>
      </c>
      <c r="C591" s="2" t="s">
        <v>34</v>
      </c>
      <c r="D591" s="2" t="s">
        <v>28</v>
      </c>
      <c r="E591" s="2" t="s">
        <v>24</v>
      </c>
      <c r="F591" s="5">
        <v>2334.69</v>
      </c>
    </row>
    <row r="592" spans="1:6" ht="15.75" customHeight="1" x14ac:dyDescent="0.3">
      <c r="A592" s="4" t="s">
        <v>94</v>
      </c>
      <c r="B592" s="2" t="s">
        <v>7</v>
      </c>
      <c r="C592" s="2" t="s">
        <v>13</v>
      </c>
      <c r="D592" s="2" t="s">
        <v>28</v>
      </c>
      <c r="E592" s="2" t="s">
        <v>10</v>
      </c>
      <c r="F592" s="5">
        <v>4761.95</v>
      </c>
    </row>
    <row r="593" spans="1:6" ht="15.75" customHeight="1" x14ac:dyDescent="0.3">
      <c r="A593" s="4" t="s">
        <v>135</v>
      </c>
      <c r="B593" s="2" t="s">
        <v>12</v>
      </c>
      <c r="C593" s="2" t="s">
        <v>34</v>
      </c>
      <c r="D593" s="2" t="s">
        <v>14</v>
      </c>
      <c r="E593" s="2" t="s">
        <v>24</v>
      </c>
      <c r="F593" s="5">
        <v>4516.03</v>
      </c>
    </row>
    <row r="594" spans="1:6" ht="15.75" customHeight="1" x14ac:dyDescent="0.3">
      <c r="A594" s="4" t="s">
        <v>190</v>
      </c>
      <c r="B594" s="2" t="s">
        <v>17</v>
      </c>
      <c r="C594" s="2" t="s">
        <v>8</v>
      </c>
      <c r="D594" s="2" t="s">
        <v>9</v>
      </c>
      <c r="E594" s="2" t="s">
        <v>24</v>
      </c>
      <c r="F594" s="5">
        <v>4645.5949977083028</v>
      </c>
    </row>
    <row r="595" spans="1:6" ht="15.75" customHeight="1" x14ac:dyDescent="0.3">
      <c r="A595" s="4" t="s">
        <v>63</v>
      </c>
      <c r="B595" s="2" t="s">
        <v>12</v>
      </c>
      <c r="C595" s="2" t="s">
        <v>23</v>
      </c>
      <c r="D595" s="2" t="s">
        <v>28</v>
      </c>
      <c r="E595" s="2" t="s">
        <v>24</v>
      </c>
      <c r="F595" s="5">
        <v>3245.36</v>
      </c>
    </row>
    <row r="596" spans="1:6" ht="15.75" customHeight="1" x14ac:dyDescent="0.3">
      <c r="A596" s="4" t="s">
        <v>208</v>
      </c>
      <c r="B596" s="2" t="s">
        <v>19</v>
      </c>
      <c r="C596" s="2" t="s">
        <v>23</v>
      </c>
      <c r="D596" s="2" t="s">
        <v>14</v>
      </c>
      <c r="E596" s="2" t="s">
        <v>10</v>
      </c>
      <c r="F596" s="5">
        <v>3907.47</v>
      </c>
    </row>
    <row r="597" spans="1:6" ht="15.75" customHeight="1" x14ac:dyDescent="0.3">
      <c r="A597" s="4" t="s">
        <v>176</v>
      </c>
      <c r="B597" s="2" t="s">
        <v>19</v>
      </c>
      <c r="C597" s="2" t="s">
        <v>13</v>
      </c>
      <c r="D597" s="2" t="s">
        <v>9</v>
      </c>
      <c r="E597" s="2" t="s">
        <v>10</v>
      </c>
      <c r="F597" s="5">
        <v>1337.8548840070559</v>
      </c>
    </row>
    <row r="598" spans="1:6" ht="15.75" customHeight="1" x14ac:dyDescent="0.3">
      <c r="A598" s="4" t="s">
        <v>43</v>
      </c>
      <c r="B598" s="2" t="s">
        <v>17</v>
      </c>
      <c r="C598" s="2" t="s">
        <v>23</v>
      </c>
      <c r="D598" s="2" t="s">
        <v>28</v>
      </c>
      <c r="E598" s="2" t="s">
        <v>10</v>
      </c>
      <c r="F598" s="5">
        <v>3487.09</v>
      </c>
    </row>
    <row r="599" spans="1:6" ht="15.75" customHeight="1" x14ac:dyDescent="0.3">
      <c r="A599" s="4" t="s">
        <v>209</v>
      </c>
      <c r="B599" s="2" t="s">
        <v>7</v>
      </c>
      <c r="C599" s="2" t="s">
        <v>23</v>
      </c>
      <c r="D599" s="2" t="s">
        <v>9</v>
      </c>
      <c r="E599" s="2" t="s">
        <v>15</v>
      </c>
      <c r="F599" s="5">
        <v>4959.5938472780635</v>
      </c>
    </row>
    <row r="600" spans="1:6" ht="15.75" customHeight="1" x14ac:dyDescent="0.3">
      <c r="A600" s="4" t="s">
        <v>129</v>
      </c>
      <c r="B600" s="2" t="s">
        <v>17</v>
      </c>
      <c r="C600" s="2" t="s">
        <v>8</v>
      </c>
      <c r="D600" s="2" t="s">
        <v>28</v>
      </c>
      <c r="E600" s="2" t="s">
        <v>15</v>
      </c>
      <c r="F600" s="5">
        <v>4294.03</v>
      </c>
    </row>
    <row r="601" spans="1:6" ht="15.75" customHeight="1" x14ac:dyDescent="0.3">
      <c r="A601" s="4" t="s">
        <v>25</v>
      </c>
      <c r="B601" s="2" t="s">
        <v>19</v>
      </c>
      <c r="C601" s="2" t="s">
        <v>8</v>
      </c>
      <c r="D601" s="2" t="s">
        <v>14</v>
      </c>
      <c r="E601" s="2" t="s">
        <v>10</v>
      </c>
      <c r="F601" s="5">
        <v>648.78</v>
      </c>
    </row>
    <row r="602" spans="1:6" ht="15.75" customHeight="1" x14ac:dyDescent="0.3">
      <c r="A602" s="4" t="s">
        <v>25</v>
      </c>
      <c r="B602" s="2" t="s">
        <v>19</v>
      </c>
      <c r="C602" s="2" t="s">
        <v>13</v>
      </c>
      <c r="D602" s="2" t="s">
        <v>14</v>
      </c>
      <c r="E602" s="2" t="s">
        <v>10</v>
      </c>
      <c r="F602" s="5">
        <v>3771.9</v>
      </c>
    </row>
    <row r="603" spans="1:6" ht="15.75" customHeight="1" x14ac:dyDescent="0.3">
      <c r="A603" s="4" t="s">
        <v>116</v>
      </c>
      <c r="B603" s="2" t="s">
        <v>17</v>
      </c>
      <c r="C603" s="2" t="s">
        <v>34</v>
      </c>
      <c r="D603" s="2" t="s">
        <v>9</v>
      </c>
      <c r="E603" s="2" t="s">
        <v>24</v>
      </c>
      <c r="F603" s="5">
        <v>3071.554129829382</v>
      </c>
    </row>
    <row r="604" spans="1:6" ht="15.75" customHeight="1" x14ac:dyDescent="0.3">
      <c r="A604" s="4" t="s">
        <v>50</v>
      </c>
      <c r="B604" s="2" t="s">
        <v>19</v>
      </c>
      <c r="C604" s="2" t="s">
        <v>13</v>
      </c>
      <c r="D604" s="2" t="s">
        <v>28</v>
      </c>
      <c r="E604" s="2" t="s">
        <v>24</v>
      </c>
      <c r="F604" s="5">
        <v>2591.1799999999998</v>
      </c>
    </row>
    <row r="605" spans="1:6" ht="15.75" customHeight="1" x14ac:dyDescent="0.3">
      <c r="A605" s="4" t="s">
        <v>36</v>
      </c>
      <c r="B605" s="2" t="s">
        <v>12</v>
      </c>
      <c r="C605" s="2" t="s">
        <v>23</v>
      </c>
      <c r="D605" s="2" t="s">
        <v>14</v>
      </c>
      <c r="E605" s="2" t="s">
        <v>15</v>
      </c>
      <c r="F605" s="5">
        <v>3280.07</v>
      </c>
    </row>
    <row r="606" spans="1:6" ht="15.75" customHeight="1" x14ac:dyDescent="0.3">
      <c r="A606" s="4" t="s">
        <v>46</v>
      </c>
      <c r="B606" s="2" t="s">
        <v>30</v>
      </c>
      <c r="C606" s="2" t="s">
        <v>34</v>
      </c>
      <c r="D606" s="2" t="s">
        <v>28</v>
      </c>
      <c r="E606" s="2" t="s">
        <v>15</v>
      </c>
      <c r="F606" s="5">
        <v>632.11</v>
      </c>
    </row>
    <row r="607" spans="1:6" ht="15.75" customHeight="1" x14ac:dyDescent="0.3">
      <c r="A607" s="4" t="s">
        <v>175</v>
      </c>
      <c r="B607" s="2" t="s">
        <v>7</v>
      </c>
      <c r="C607" s="2" t="s">
        <v>13</v>
      </c>
      <c r="D607" s="2" t="s">
        <v>14</v>
      </c>
      <c r="E607" s="2" t="s">
        <v>10</v>
      </c>
      <c r="F607" s="5">
        <v>2914.08</v>
      </c>
    </row>
    <row r="608" spans="1:6" ht="15.75" customHeight="1" x14ac:dyDescent="0.3">
      <c r="A608" s="4" t="s">
        <v>63</v>
      </c>
      <c r="B608" s="2" t="s">
        <v>12</v>
      </c>
      <c r="C608" s="2" t="s">
        <v>34</v>
      </c>
      <c r="D608" s="2" t="s">
        <v>28</v>
      </c>
      <c r="E608" s="2" t="s">
        <v>10</v>
      </c>
      <c r="F608" s="5">
        <v>637.63</v>
      </c>
    </row>
    <row r="609" spans="1:6" ht="15.75" customHeight="1" x14ac:dyDescent="0.3">
      <c r="A609" s="4" t="s">
        <v>97</v>
      </c>
      <c r="B609" s="2" t="s">
        <v>7</v>
      </c>
      <c r="C609" s="2" t="s">
        <v>23</v>
      </c>
      <c r="D609" s="2" t="s">
        <v>14</v>
      </c>
      <c r="E609" s="2" t="s">
        <v>24</v>
      </c>
      <c r="F609" s="5">
        <v>1996.46</v>
      </c>
    </row>
    <row r="610" spans="1:6" ht="15.75" customHeight="1" x14ac:dyDescent="0.3">
      <c r="A610" s="4" t="s">
        <v>48</v>
      </c>
      <c r="B610" s="2" t="s">
        <v>19</v>
      </c>
      <c r="C610" s="2" t="s">
        <v>23</v>
      </c>
      <c r="D610" s="2" t="s">
        <v>14</v>
      </c>
      <c r="E610" s="2" t="s">
        <v>24</v>
      </c>
      <c r="F610" s="5">
        <v>1059.26</v>
      </c>
    </row>
    <row r="611" spans="1:6" ht="15.75" customHeight="1" x14ac:dyDescent="0.3">
      <c r="A611" s="4" t="s">
        <v>36</v>
      </c>
      <c r="B611" s="2" t="s">
        <v>12</v>
      </c>
      <c r="C611" s="2" t="s">
        <v>13</v>
      </c>
      <c r="D611" s="2" t="s">
        <v>9</v>
      </c>
      <c r="E611" s="2" t="s">
        <v>24</v>
      </c>
      <c r="F611" s="5">
        <v>3555.9372722319881</v>
      </c>
    </row>
    <row r="612" spans="1:6" ht="15.75" customHeight="1" x14ac:dyDescent="0.3">
      <c r="A612" s="4" t="s">
        <v>99</v>
      </c>
      <c r="B612" s="2" t="s">
        <v>19</v>
      </c>
      <c r="C612" s="2" t="s">
        <v>34</v>
      </c>
      <c r="D612" s="2" t="s">
        <v>14</v>
      </c>
      <c r="E612" s="2" t="s">
        <v>15</v>
      </c>
      <c r="F612" s="5">
        <v>3698.27</v>
      </c>
    </row>
    <row r="613" spans="1:6" ht="15.75" customHeight="1" x14ac:dyDescent="0.3">
      <c r="A613" s="4" t="s">
        <v>175</v>
      </c>
      <c r="B613" s="2" t="s">
        <v>7</v>
      </c>
      <c r="C613" s="2" t="s">
        <v>34</v>
      </c>
      <c r="D613" s="2" t="s">
        <v>14</v>
      </c>
      <c r="E613" s="2" t="s">
        <v>15</v>
      </c>
      <c r="F613" s="5">
        <v>2286.9699999999998</v>
      </c>
    </row>
    <row r="614" spans="1:6" ht="15.75" customHeight="1" x14ac:dyDescent="0.3">
      <c r="A614" s="4" t="s">
        <v>41</v>
      </c>
      <c r="B614" s="2" t="s">
        <v>30</v>
      </c>
      <c r="C614" s="2" t="s">
        <v>34</v>
      </c>
      <c r="D614" s="2" t="s">
        <v>14</v>
      </c>
      <c r="E614" s="2" t="s">
        <v>24</v>
      </c>
      <c r="F614" s="5">
        <v>3316.45</v>
      </c>
    </row>
    <row r="615" spans="1:6" ht="15.75" customHeight="1" x14ac:dyDescent="0.3">
      <c r="A615" s="4" t="s">
        <v>95</v>
      </c>
      <c r="B615" s="2" t="s">
        <v>30</v>
      </c>
      <c r="C615" s="2" t="s">
        <v>23</v>
      </c>
      <c r="D615" s="2" t="s">
        <v>28</v>
      </c>
      <c r="E615" s="2" t="s">
        <v>24</v>
      </c>
      <c r="F615" s="5">
        <v>1242.96</v>
      </c>
    </row>
    <row r="616" spans="1:6" ht="15.75" customHeight="1" x14ac:dyDescent="0.3">
      <c r="A616" s="4" t="s">
        <v>48</v>
      </c>
      <c r="B616" s="2" t="s">
        <v>19</v>
      </c>
      <c r="C616" s="2" t="s">
        <v>34</v>
      </c>
      <c r="D616" s="2" t="s">
        <v>28</v>
      </c>
      <c r="E616" s="2" t="s">
        <v>10</v>
      </c>
      <c r="F616" s="5">
        <v>3792.28</v>
      </c>
    </row>
    <row r="617" spans="1:6" ht="15.75" customHeight="1" x14ac:dyDescent="0.3">
      <c r="A617" s="4" t="s">
        <v>107</v>
      </c>
      <c r="B617" s="2" t="s">
        <v>30</v>
      </c>
      <c r="C617" s="2" t="s">
        <v>34</v>
      </c>
      <c r="D617" s="2" t="s">
        <v>9</v>
      </c>
      <c r="E617" s="2" t="s">
        <v>15</v>
      </c>
      <c r="F617" s="5">
        <v>4685.3057762798426</v>
      </c>
    </row>
    <row r="618" spans="1:6" ht="15.75" customHeight="1" x14ac:dyDescent="0.3">
      <c r="A618" s="4" t="s">
        <v>26</v>
      </c>
      <c r="B618" s="2" t="s">
        <v>17</v>
      </c>
      <c r="C618" s="2" t="s">
        <v>13</v>
      </c>
      <c r="D618" s="2" t="s">
        <v>28</v>
      </c>
      <c r="E618" s="2" t="s">
        <v>24</v>
      </c>
      <c r="F618" s="5">
        <v>2273.65</v>
      </c>
    </row>
    <row r="619" spans="1:6" ht="15.75" customHeight="1" x14ac:dyDescent="0.3">
      <c r="A619" s="4" t="s">
        <v>144</v>
      </c>
      <c r="B619" s="2" t="s">
        <v>30</v>
      </c>
      <c r="C619" s="2" t="s">
        <v>23</v>
      </c>
      <c r="D619" s="2" t="s">
        <v>9</v>
      </c>
      <c r="E619" s="2" t="s">
        <v>24</v>
      </c>
      <c r="F619" s="5">
        <v>3021.59</v>
      </c>
    </row>
    <row r="620" spans="1:6" ht="15.75" customHeight="1" x14ac:dyDescent="0.3">
      <c r="A620" s="4" t="s">
        <v>43</v>
      </c>
      <c r="B620" s="2" t="s">
        <v>17</v>
      </c>
      <c r="C620" s="2" t="s">
        <v>34</v>
      </c>
      <c r="D620" s="2" t="s">
        <v>28</v>
      </c>
      <c r="E620" s="2" t="s">
        <v>24</v>
      </c>
      <c r="F620" s="5">
        <v>1312.78</v>
      </c>
    </row>
    <row r="621" spans="1:6" ht="15.75" customHeight="1" x14ac:dyDescent="0.3">
      <c r="A621" s="4" t="s">
        <v>21</v>
      </c>
      <c r="B621" s="2" t="s">
        <v>19</v>
      </c>
      <c r="C621" s="2" t="s">
        <v>34</v>
      </c>
      <c r="D621" s="2" t="s">
        <v>9</v>
      </c>
      <c r="E621" s="2" t="s">
        <v>15</v>
      </c>
      <c r="F621" s="5">
        <v>1829.7054491215829</v>
      </c>
    </row>
    <row r="622" spans="1:6" ht="15.75" customHeight="1" x14ac:dyDescent="0.3">
      <c r="A622" s="4" t="s">
        <v>101</v>
      </c>
      <c r="B622" s="2" t="s">
        <v>19</v>
      </c>
      <c r="C622" s="2" t="s">
        <v>34</v>
      </c>
      <c r="D622" s="2" t="s">
        <v>9</v>
      </c>
      <c r="E622" s="2" t="s">
        <v>15</v>
      </c>
      <c r="F622" s="5">
        <v>1549.717800975825</v>
      </c>
    </row>
    <row r="623" spans="1:6" ht="15.75" customHeight="1" x14ac:dyDescent="0.3">
      <c r="A623" s="4" t="s">
        <v>136</v>
      </c>
      <c r="B623" s="2" t="s">
        <v>17</v>
      </c>
      <c r="C623" s="2" t="s">
        <v>8</v>
      </c>
      <c r="D623" s="2" t="s">
        <v>28</v>
      </c>
      <c r="E623" s="2" t="s">
        <v>10</v>
      </c>
      <c r="F623" s="5">
        <v>2500.38</v>
      </c>
    </row>
    <row r="624" spans="1:6" ht="15.75" customHeight="1" x14ac:dyDescent="0.3">
      <c r="A624" s="4" t="s">
        <v>56</v>
      </c>
      <c r="B624" s="2" t="s">
        <v>19</v>
      </c>
      <c r="C624" s="2" t="s">
        <v>13</v>
      </c>
      <c r="D624" s="2" t="s">
        <v>28</v>
      </c>
      <c r="E624" s="2" t="s">
        <v>24</v>
      </c>
      <c r="F624" s="5">
        <v>1314.88</v>
      </c>
    </row>
    <row r="625" spans="1:6" ht="15.75" customHeight="1" x14ac:dyDescent="0.3">
      <c r="A625" s="4" t="s">
        <v>141</v>
      </c>
      <c r="B625" s="2" t="s">
        <v>7</v>
      </c>
      <c r="C625" s="2" t="s">
        <v>34</v>
      </c>
      <c r="D625" s="2" t="s">
        <v>28</v>
      </c>
      <c r="E625" s="2" t="s">
        <v>24</v>
      </c>
      <c r="F625" s="5">
        <v>2425.58</v>
      </c>
    </row>
    <row r="626" spans="1:6" ht="15.75" customHeight="1" x14ac:dyDescent="0.3">
      <c r="A626" s="4" t="s">
        <v>35</v>
      </c>
      <c r="B626" s="2" t="s">
        <v>19</v>
      </c>
      <c r="C626" s="2" t="s">
        <v>13</v>
      </c>
      <c r="D626" s="2" t="s">
        <v>14</v>
      </c>
      <c r="E626" s="2" t="s">
        <v>15</v>
      </c>
      <c r="F626" s="5">
        <v>3143.07</v>
      </c>
    </row>
    <row r="627" spans="1:6" ht="15.75" customHeight="1" x14ac:dyDescent="0.3">
      <c r="A627" s="4" t="s">
        <v>210</v>
      </c>
      <c r="B627" s="2" t="s">
        <v>7</v>
      </c>
      <c r="C627" s="2" t="s">
        <v>34</v>
      </c>
      <c r="D627" s="2" t="s">
        <v>28</v>
      </c>
      <c r="E627" s="2" t="s">
        <v>15</v>
      </c>
      <c r="F627" s="5">
        <v>3426.65</v>
      </c>
    </row>
    <row r="628" spans="1:6" ht="15.75" customHeight="1" x14ac:dyDescent="0.3">
      <c r="A628" s="4" t="s">
        <v>50</v>
      </c>
      <c r="B628" s="2" t="s">
        <v>19</v>
      </c>
      <c r="C628" s="2" t="s">
        <v>34</v>
      </c>
      <c r="D628" s="2" t="s">
        <v>9</v>
      </c>
      <c r="E628" s="2" t="s">
        <v>15</v>
      </c>
      <c r="F628" s="5">
        <v>3334.6940309336042</v>
      </c>
    </row>
    <row r="629" spans="1:6" ht="15.75" customHeight="1" x14ac:dyDescent="0.3">
      <c r="A629" s="4" t="s">
        <v>103</v>
      </c>
      <c r="B629" s="2" t="s">
        <v>19</v>
      </c>
      <c r="C629" s="2" t="s">
        <v>8</v>
      </c>
      <c r="D629" s="2" t="s">
        <v>28</v>
      </c>
      <c r="E629" s="2" t="s">
        <v>24</v>
      </c>
      <c r="F629" s="5">
        <v>1554.47</v>
      </c>
    </row>
    <row r="630" spans="1:6" ht="15.75" customHeight="1" x14ac:dyDescent="0.3">
      <c r="A630" s="4" t="s">
        <v>163</v>
      </c>
      <c r="B630" s="2" t="s">
        <v>19</v>
      </c>
      <c r="C630" s="2" t="s">
        <v>13</v>
      </c>
      <c r="D630" s="2" t="s">
        <v>9</v>
      </c>
      <c r="E630" s="2" t="s">
        <v>24</v>
      </c>
      <c r="F630" s="5">
        <v>613.2168762357569</v>
      </c>
    </row>
    <row r="631" spans="1:6" ht="15.75" customHeight="1" x14ac:dyDescent="0.3">
      <c r="A631" s="4" t="s">
        <v>72</v>
      </c>
      <c r="B631" s="2" t="s">
        <v>19</v>
      </c>
      <c r="C631" s="2" t="s">
        <v>34</v>
      </c>
      <c r="D631" s="2" t="s">
        <v>28</v>
      </c>
      <c r="E631" s="2" t="s">
        <v>24</v>
      </c>
      <c r="F631" s="5">
        <v>2269.8200000000002</v>
      </c>
    </row>
    <row r="632" spans="1:6" ht="15.75" customHeight="1" x14ac:dyDescent="0.3">
      <c r="A632" s="4" t="s">
        <v>155</v>
      </c>
      <c r="B632" s="2" t="s">
        <v>7</v>
      </c>
      <c r="C632" s="2" t="s">
        <v>8</v>
      </c>
      <c r="D632" s="2" t="s">
        <v>9</v>
      </c>
      <c r="E632" s="2" t="s">
        <v>24</v>
      </c>
      <c r="F632" s="5">
        <v>1258.5576706335171</v>
      </c>
    </row>
    <row r="633" spans="1:6" ht="15.75" customHeight="1" x14ac:dyDescent="0.3">
      <c r="A633" s="4" t="s">
        <v>18</v>
      </c>
      <c r="B633" s="2" t="s">
        <v>19</v>
      </c>
      <c r="C633" s="2" t="s">
        <v>8</v>
      </c>
      <c r="D633" s="2" t="s">
        <v>14</v>
      </c>
      <c r="E633" s="2" t="s">
        <v>10</v>
      </c>
      <c r="F633" s="5">
        <v>2102.71</v>
      </c>
    </row>
    <row r="634" spans="1:6" ht="15.75" customHeight="1" x14ac:dyDescent="0.3">
      <c r="A634" s="4" t="s">
        <v>91</v>
      </c>
      <c r="B634" s="2" t="s">
        <v>30</v>
      </c>
      <c r="C634" s="2" t="s">
        <v>13</v>
      </c>
      <c r="D634" s="2" t="s">
        <v>28</v>
      </c>
      <c r="E634" s="2" t="s">
        <v>15</v>
      </c>
      <c r="F634" s="5">
        <v>1951.99</v>
      </c>
    </row>
    <row r="635" spans="1:6" ht="15.75" customHeight="1" x14ac:dyDescent="0.3">
      <c r="A635" s="4" t="s">
        <v>165</v>
      </c>
      <c r="B635" s="2" t="s">
        <v>7</v>
      </c>
      <c r="C635" s="2" t="s">
        <v>8</v>
      </c>
      <c r="D635" s="2" t="s">
        <v>9</v>
      </c>
      <c r="E635" s="2" t="s">
        <v>10</v>
      </c>
      <c r="F635" s="5">
        <v>942.65605684791819</v>
      </c>
    </row>
    <row r="636" spans="1:6" ht="15.75" customHeight="1" x14ac:dyDescent="0.3">
      <c r="A636" s="4" t="s">
        <v>18</v>
      </c>
      <c r="B636" s="2" t="s">
        <v>19</v>
      </c>
      <c r="C636" s="2" t="s">
        <v>8</v>
      </c>
      <c r="D636" s="2" t="s">
        <v>14</v>
      </c>
      <c r="E636" s="2" t="s">
        <v>24</v>
      </c>
      <c r="F636" s="5">
        <v>4612.42</v>
      </c>
    </row>
    <row r="637" spans="1:6" ht="15.75" customHeight="1" x14ac:dyDescent="0.3">
      <c r="A637" s="4" t="s">
        <v>137</v>
      </c>
      <c r="B637" s="2" t="s">
        <v>17</v>
      </c>
      <c r="C637" s="2" t="s">
        <v>23</v>
      </c>
      <c r="D637" s="2" t="s">
        <v>9</v>
      </c>
      <c r="E637" s="2" t="s">
        <v>15</v>
      </c>
      <c r="F637" s="5">
        <v>5180.6869043577999</v>
      </c>
    </row>
    <row r="638" spans="1:6" ht="15.75" customHeight="1" x14ac:dyDescent="0.3">
      <c r="A638" s="4" t="s">
        <v>111</v>
      </c>
      <c r="B638" s="2" t="s">
        <v>19</v>
      </c>
      <c r="C638" s="2" t="s">
        <v>23</v>
      </c>
      <c r="D638" s="2" t="s">
        <v>9</v>
      </c>
      <c r="E638" s="2" t="s">
        <v>10</v>
      </c>
      <c r="F638" s="5">
        <v>3307.682481169973</v>
      </c>
    </row>
    <row r="639" spans="1:6" ht="15.75" customHeight="1" x14ac:dyDescent="0.3">
      <c r="A639" s="4" t="s">
        <v>211</v>
      </c>
      <c r="B639" s="2" t="s">
        <v>7</v>
      </c>
      <c r="C639" s="2" t="s">
        <v>8</v>
      </c>
      <c r="D639" s="2" t="s">
        <v>28</v>
      </c>
      <c r="E639" s="2" t="s">
        <v>24</v>
      </c>
      <c r="F639" s="5">
        <v>4673.95</v>
      </c>
    </row>
    <row r="640" spans="1:6" ht="15.75" customHeight="1" x14ac:dyDescent="0.3">
      <c r="A640" s="4" t="s">
        <v>143</v>
      </c>
      <c r="B640" s="2" t="s">
        <v>17</v>
      </c>
      <c r="C640" s="2" t="s">
        <v>8</v>
      </c>
      <c r="D640" s="2" t="s">
        <v>28</v>
      </c>
      <c r="E640" s="2" t="s">
        <v>24</v>
      </c>
      <c r="F640" s="5">
        <v>2977.11</v>
      </c>
    </row>
    <row r="641" spans="1:6" ht="15.75" customHeight="1" x14ac:dyDescent="0.3">
      <c r="A641" s="4" t="s">
        <v>6</v>
      </c>
      <c r="B641" s="2" t="s">
        <v>7</v>
      </c>
      <c r="C641" s="2" t="s">
        <v>34</v>
      </c>
      <c r="D641" s="2" t="s">
        <v>9</v>
      </c>
      <c r="E641" s="2" t="s">
        <v>15</v>
      </c>
      <c r="F641" s="5">
        <v>2214.8565200012681</v>
      </c>
    </row>
    <row r="642" spans="1:6" ht="15.75" customHeight="1" x14ac:dyDescent="0.3">
      <c r="A642" s="4" t="s">
        <v>127</v>
      </c>
      <c r="B642" s="2" t="s">
        <v>17</v>
      </c>
      <c r="C642" s="2" t="s">
        <v>34</v>
      </c>
      <c r="D642" s="2" t="s">
        <v>28</v>
      </c>
      <c r="E642" s="2" t="s">
        <v>15</v>
      </c>
      <c r="F642" s="5">
        <v>2253.86</v>
      </c>
    </row>
    <row r="643" spans="1:6" ht="15.75" customHeight="1" x14ac:dyDescent="0.3">
      <c r="A643" s="4" t="s">
        <v>112</v>
      </c>
      <c r="B643" s="2" t="s">
        <v>30</v>
      </c>
      <c r="C643" s="2" t="s">
        <v>34</v>
      </c>
      <c r="D643" s="2" t="s">
        <v>9</v>
      </c>
      <c r="E643" s="2" t="s">
        <v>10</v>
      </c>
      <c r="F643" s="5">
        <v>2426.7211913185661</v>
      </c>
    </row>
    <row r="644" spans="1:6" ht="15.75" customHeight="1" x14ac:dyDescent="0.3">
      <c r="A644" s="4" t="s">
        <v>115</v>
      </c>
      <c r="B644" s="2" t="s">
        <v>19</v>
      </c>
      <c r="C644" s="2" t="s">
        <v>13</v>
      </c>
      <c r="D644" s="2" t="s">
        <v>14</v>
      </c>
      <c r="E644" s="2" t="s">
        <v>24</v>
      </c>
      <c r="F644" s="5">
        <v>2903.42</v>
      </c>
    </row>
    <row r="645" spans="1:6" ht="15.75" customHeight="1" x14ac:dyDescent="0.3">
      <c r="A645" s="4" t="s">
        <v>202</v>
      </c>
      <c r="B645" s="2" t="s">
        <v>12</v>
      </c>
      <c r="C645" s="2" t="s">
        <v>13</v>
      </c>
      <c r="D645" s="2" t="s">
        <v>9</v>
      </c>
      <c r="E645" s="2" t="s">
        <v>10</v>
      </c>
      <c r="F645" s="5">
        <v>3101.8439533635519</v>
      </c>
    </row>
    <row r="646" spans="1:6" ht="15.75" customHeight="1" x14ac:dyDescent="0.3">
      <c r="A646" s="4" t="s">
        <v>139</v>
      </c>
      <c r="B646" s="2" t="s">
        <v>7</v>
      </c>
      <c r="C646" s="2" t="s">
        <v>8</v>
      </c>
      <c r="D646" s="2" t="s">
        <v>9</v>
      </c>
      <c r="E646" s="2" t="s">
        <v>10</v>
      </c>
      <c r="F646" s="5">
        <v>3483.9279731504348</v>
      </c>
    </row>
    <row r="647" spans="1:6" ht="15.75" customHeight="1" x14ac:dyDescent="0.3">
      <c r="A647" s="4" t="s">
        <v>41</v>
      </c>
      <c r="B647" s="2" t="s">
        <v>30</v>
      </c>
      <c r="C647" s="2" t="s">
        <v>8</v>
      </c>
      <c r="D647" s="2" t="s">
        <v>28</v>
      </c>
      <c r="E647" s="2" t="s">
        <v>15</v>
      </c>
      <c r="F647" s="5">
        <v>4798.16</v>
      </c>
    </row>
    <row r="648" spans="1:6" ht="15.75" customHeight="1" x14ac:dyDescent="0.3">
      <c r="A648" s="4" t="s">
        <v>188</v>
      </c>
      <c r="B648" s="2" t="s">
        <v>19</v>
      </c>
      <c r="C648" s="2" t="s">
        <v>13</v>
      </c>
      <c r="D648" s="2" t="s">
        <v>28</v>
      </c>
      <c r="E648" s="2" t="s">
        <v>10</v>
      </c>
      <c r="F648" s="5">
        <v>2226.6</v>
      </c>
    </row>
    <row r="649" spans="1:6" ht="15.75" customHeight="1" x14ac:dyDescent="0.3">
      <c r="A649" s="4" t="s">
        <v>156</v>
      </c>
      <c r="B649" s="2" t="s">
        <v>17</v>
      </c>
      <c r="C649" s="2" t="s">
        <v>23</v>
      </c>
      <c r="D649" s="2" t="s">
        <v>9</v>
      </c>
      <c r="E649" s="2" t="s">
        <v>15</v>
      </c>
      <c r="F649" s="5">
        <v>2848.9538487209052</v>
      </c>
    </row>
    <row r="650" spans="1:6" ht="15.75" customHeight="1" x14ac:dyDescent="0.3">
      <c r="A650" s="4" t="s">
        <v>11</v>
      </c>
      <c r="B650" s="2" t="s">
        <v>12</v>
      </c>
      <c r="C650" s="2" t="s">
        <v>8</v>
      </c>
      <c r="D650" s="2" t="s">
        <v>14</v>
      </c>
      <c r="E650" s="2" t="s">
        <v>24</v>
      </c>
      <c r="F650" s="5">
        <v>751.3</v>
      </c>
    </row>
    <row r="651" spans="1:6" ht="15.75" customHeight="1" x14ac:dyDescent="0.3">
      <c r="A651" s="4" t="s">
        <v>64</v>
      </c>
      <c r="B651" s="2" t="s">
        <v>30</v>
      </c>
      <c r="C651" s="2" t="s">
        <v>23</v>
      </c>
      <c r="D651" s="2" t="s">
        <v>28</v>
      </c>
      <c r="E651" s="2" t="s">
        <v>15</v>
      </c>
      <c r="F651" s="5">
        <v>3286.05</v>
      </c>
    </row>
    <row r="652" spans="1:6" ht="15.75" customHeight="1" x14ac:dyDescent="0.3">
      <c r="A652" s="4" t="s">
        <v>100</v>
      </c>
      <c r="B652" s="2" t="s">
        <v>7</v>
      </c>
      <c r="C652" s="2" t="s">
        <v>13</v>
      </c>
      <c r="D652" s="2" t="s">
        <v>28</v>
      </c>
      <c r="E652" s="2" t="s">
        <v>15</v>
      </c>
      <c r="F652" s="5">
        <v>1018.05</v>
      </c>
    </row>
    <row r="653" spans="1:6" ht="15.75" customHeight="1" x14ac:dyDescent="0.3">
      <c r="A653" s="4" t="s">
        <v>189</v>
      </c>
      <c r="B653" s="2" t="s">
        <v>19</v>
      </c>
      <c r="C653" s="2" t="s">
        <v>34</v>
      </c>
      <c r="D653" s="2" t="s">
        <v>14</v>
      </c>
      <c r="E653" s="2" t="s">
        <v>24</v>
      </c>
      <c r="F653" s="5">
        <v>2978.67</v>
      </c>
    </row>
    <row r="654" spans="1:6" ht="15.75" customHeight="1" x14ac:dyDescent="0.3">
      <c r="A654" s="4" t="s">
        <v>26</v>
      </c>
      <c r="B654" s="2" t="s">
        <v>17</v>
      </c>
      <c r="C654" s="2" t="s">
        <v>23</v>
      </c>
      <c r="D654" s="2" t="s">
        <v>28</v>
      </c>
      <c r="E654" s="2" t="s">
        <v>15</v>
      </c>
      <c r="F654" s="5">
        <v>1158.82</v>
      </c>
    </row>
    <row r="655" spans="1:6" ht="15.75" customHeight="1" x14ac:dyDescent="0.3">
      <c r="A655" s="4" t="s">
        <v>63</v>
      </c>
      <c r="B655" s="2" t="s">
        <v>12</v>
      </c>
      <c r="C655" s="2" t="s">
        <v>8</v>
      </c>
      <c r="D655" s="2" t="s">
        <v>9</v>
      </c>
      <c r="E655" s="2" t="s">
        <v>10</v>
      </c>
      <c r="F655" s="5">
        <v>4416.2129788926404</v>
      </c>
    </row>
    <row r="656" spans="1:6" ht="15.75" customHeight="1" x14ac:dyDescent="0.3">
      <c r="A656" s="4" t="s">
        <v>90</v>
      </c>
      <c r="B656" s="2" t="s">
        <v>19</v>
      </c>
      <c r="C656" s="2" t="s">
        <v>13</v>
      </c>
      <c r="D656" s="2" t="s">
        <v>9</v>
      </c>
      <c r="E656" s="2" t="s">
        <v>10</v>
      </c>
      <c r="F656" s="5">
        <v>1348.0319913017011</v>
      </c>
    </row>
    <row r="657" spans="1:6" ht="15.75" customHeight="1" x14ac:dyDescent="0.3">
      <c r="A657" s="4" t="s">
        <v>33</v>
      </c>
      <c r="B657" s="2" t="s">
        <v>19</v>
      </c>
      <c r="C657" s="2" t="s">
        <v>34</v>
      </c>
      <c r="D657" s="2" t="s">
        <v>28</v>
      </c>
      <c r="E657" s="2" t="s">
        <v>10</v>
      </c>
      <c r="F657" s="5">
        <v>2825.42</v>
      </c>
    </row>
    <row r="658" spans="1:6" ht="15.75" customHeight="1" x14ac:dyDescent="0.3">
      <c r="A658" s="4" t="s">
        <v>113</v>
      </c>
      <c r="B658" s="2" t="s">
        <v>30</v>
      </c>
      <c r="C658" s="2" t="s">
        <v>8</v>
      </c>
      <c r="D658" s="2" t="s">
        <v>9</v>
      </c>
      <c r="E658" s="2" t="s">
        <v>24</v>
      </c>
      <c r="F658" s="5">
        <v>4051.467787149883</v>
      </c>
    </row>
    <row r="659" spans="1:6" ht="15.75" customHeight="1" x14ac:dyDescent="0.3">
      <c r="A659" s="4" t="s">
        <v>59</v>
      </c>
      <c r="B659" s="2" t="s">
        <v>17</v>
      </c>
      <c r="C659" s="2" t="s">
        <v>34</v>
      </c>
      <c r="D659" s="2" t="s">
        <v>28</v>
      </c>
      <c r="E659" s="2" t="s">
        <v>24</v>
      </c>
      <c r="F659" s="5">
        <v>3797.37</v>
      </c>
    </row>
    <row r="660" spans="1:6" ht="15.75" customHeight="1" x14ac:dyDescent="0.3">
      <c r="A660" s="4" t="s">
        <v>175</v>
      </c>
      <c r="B660" s="2" t="s">
        <v>7</v>
      </c>
      <c r="C660" s="2" t="s">
        <v>34</v>
      </c>
      <c r="D660" s="2" t="s">
        <v>28</v>
      </c>
      <c r="E660" s="2" t="s">
        <v>24</v>
      </c>
      <c r="F660" s="5">
        <v>4111.7700000000004</v>
      </c>
    </row>
    <row r="661" spans="1:6" ht="15.75" customHeight="1" x14ac:dyDescent="0.3">
      <c r="A661" s="4" t="s">
        <v>195</v>
      </c>
      <c r="B661" s="2" t="s">
        <v>7</v>
      </c>
      <c r="C661" s="2" t="s">
        <v>34</v>
      </c>
      <c r="D661" s="2" t="s">
        <v>9</v>
      </c>
      <c r="E661" s="2" t="s">
        <v>10</v>
      </c>
      <c r="F661" s="5">
        <v>1444.126449218403</v>
      </c>
    </row>
    <row r="662" spans="1:6" ht="15.75" customHeight="1" x14ac:dyDescent="0.3">
      <c r="A662" s="4" t="s">
        <v>155</v>
      </c>
      <c r="B662" s="2" t="s">
        <v>7</v>
      </c>
      <c r="C662" s="2" t="s">
        <v>13</v>
      </c>
      <c r="D662" s="2" t="s">
        <v>28</v>
      </c>
      <c r="E662" s="2" t="s">
        <v>10</v>
      </c>
      <c r="F662" s="5">
        <v>3062.42</v>
      </c>
    </row>
    <row r="663" spans="1:6" ht="15.75" customHeight="1" x14ac:dyDescent="0.3">
      <c r="A663" s="4" t="s">
        <v>76</v>
      </c>
      <c r="B663" s="2" t="s">
        <v>17</v>
      </c>
      <c r="C663" s="2" t="s">
        <v>34</v>
      </c>
      <c r="D663" s="2" t="s">
        <v>14</v>
      </c>
      <c r="E663" s="2" t="s">
        <v>10</v>
      </c>
      <c r="F663" s="5">
        <v>1226.9100000000001</v>
      </c>
    </row>
    <row r="664" spans="1:6" ht="15.75" customHeight="1" x14ac:dyDescent="0.3">
      <c r="A664" s="4" t="s">
        <v>168</v>
      </c>
      <c r="B664" s="2" t="s">
        <v>17</v>
      </c>
      <c r="C664" s="2" t="s">
        <v>13</v>
      </c>
      <c r="D664" s="2" t="s">
        <v>14</v>
      </c>
      <c r="E664" s="2" t="s">
        <v>24</v>
      </c>
      <c r="F664" s="5">
        <v>1442.19</v>
      </c>
    </row>
    <row r="665" spans="1:6" ht="15.75" customHeight="1" x14ac:dyDescent="0.3">
      <c r="A665" s="4" t="s">
        <v>182</v>
      </c>
      <c r="B665" s="2" t="s">
        <v>12</v>
      </c>
      <c r="C665" s="2" t="s">
        <v>13</v>
      </c>
      <c r="D665" s="2" t="s">
        <v>14</v>
      </c>
      <c r="E665" s="2" t="s">
        <v>24</v>
      </c>
      <c r="F665" s="5">
        <v>3767.87</v>
      </c>
    </row>
    <row r="666" spans="1:6" ht="15.75" customHeight="1" x14ac:dyDescent="0.3">
      <c r="A666" s="4" t="s">
        <v>91</v>
      </c>
      <c r="B666" s="2" t="s">
        <v>30</v>
      </c>
      <c r="C666" s="2" t="s">
        <v>23</v>
      </c>
      <c r="D666" s="2" t="s">
        <v>14</v>
      </c>
      <c r="E666" s="2" t="s">
        <v>24</v>
      </c>
      <c r="F666" s="5">
        <v>1528.64</v>
      </c>
    </row>
    <row r="667" spans="1:6" ht="15.75" customHeight="1" x14ac:dyDescent="0.3">
      <c r="A667" s="4" t="s">
        <v>85</v>
      </c>
      <c r="B667" s="2" t="s">
        <v>30</v>
      </c>
      <c r="C667" s="2" t="s">
        <v>23</v>
      </c>
      <c r="D667" s="2" t="s">
        <v>28</v>
      </c>
      <c r="E667" s="2" t="s">
        <v>15</v>
      </c>
      <c r="F667" s="5">
        <v>438.03</v>
      </c>
    </row>
    <row r="668" spans="1:6" ht="15.75" customHeight="1" x14ac:dyDescent="0.3">
      <c r="A668" s="4" t="s">
        <v>119</v>
      </c>
      <c r="B668" s="2" t="s">
        <v>30</v>
      </c>
      <c r="C668" s="2" t="s">
        <v>13</v>
      </c>
      <c r="D668" s="2" t="s">
        <v>14</v>
      </c>
      <c r="E668" s="2" t="s">
        <v>10</v>
      </c>
      <c r="F668" s="5">
        <v>2291.7800000000002</v>
      </c>
    </row>
    <row r="669" spans="1:6" ht="15.75" customHeight="1" x14ac:dyDescent="0.3">
      <c r="A669" s="4" t="s">
        <v>42</v>
      </c>
      <c r="B669" s="2" t="s">
        <v>30</v>
      </c>
      <c r="C669" s="2" t="s">
        <v>13</v>
      </c>
      <c r="D669" s="2" t="s">
        <v>28</v>
      </c>
      <c r="E669" s="2" t="s">
        <v>10</v>
      </c>
      <c r="F669" s="5">
        <v>4099.03</v>
      </c>
    </row>
    <row r="670" spans="1:6" ht="15.75" customHeight="1" x14ac:dyDescent="0.3">
      <c r="A670" s="4" t="s">
        <v>122</v>
      </c>
      <c r="B670" s="2" t="s">
        <v>19</v>
      </c>
      <c r="C670" s="2" t="s">
        <v>23</v>
      </c>
      <c r="D670" s="2" t="s">
        <v>9</v>
      </c>
      <c r="E670" s="2" t="s">
        <v>10</v>
      </c>
      <c r="F670" s="5">
        <v>2713.3180811809102</v>
      </c>
    </row>
    <row r="671" spans="1:6" ht="15.75" customHeight="1" x14ac:dyDescent="0.3">
      <c r="A671" s="4" t="s">
        <v>25</v>
      </c>
      <c r="B671" s="2" t="s">
        <v>19</v>
      </c>
      <c r="C671" s="2" t="s">
        <v>13</v>
      </c>
      <c r="D671" s="2" t="s">
        <v>14</v>
      </c>
      <c r="E671" s="2" t="s">
        <v>15</v>
      </c>
      <c r="F671" s="5">
        <v>769.84</v>
      </c>
    </row>
    <row r="672" spans="1:6" ht="15.75" customHeight="1" x14ac:dyDescent="0.3">
      <c r="A672" s="4" t="s">
        <v>100</v>
      </c>
      <c r="B672" s="2" t="s">
        <v>7</v>
      </c>
      <c r="C672" s="2" t="s">
        <v>23</v>
      </c>
      <c r="D672" s="2" t="s">
        <v>28</v>
      </c>
      <c r="E672" s="2" t="s">
        <v>10</v>
      </c>
      <c r="F672" s="5">
        <v>3217.94</v>
      </c>
    </row>
    <row r="673" spans="1:6" ht="15.75" customHeight="1" x14ac:dyDescent="0.3">
      <c r="A673" s="4" t="s">
        <v>179</v>
      </c>
      <c r="B673" s="2" t="s">
        <v>7</v>
      </c>
      <c r="C673" s="2" t="s">
        <v>23</v>
      </c>
      <c r="D673" s="2" t="s">
        <v>9</v>
      </c>
      <c r="E673" s="2" t="s">
        <v>15</v>
      </c>
      <c r="F673" s="5">
        <v>3817.749017967561</v>
      </c>
    </row>
    <row r="674" spans="1:6" ht="15.75" customHeight="1" x14ac:dyDescent="0.3">
      <c r="A674" s="4" t="s">
        <v>160</v>
      </c>
      <c r="B674" s="2" t="s">
        <v>30</v>
      </c>
      <c r="C674" s="2" t="s">
        <v>34</v>
      </c>
      <c r="D674" s="2" t="s">
        <v>14</v>
      </c>
      <c r="E674" s="2" t="s">
        <v>10</v>
      </c>
      <c r="F674" s="5">
        <v>3796.86</v>
      </c>
    </row>
    <row r="675" spans="1:6" ht="15.75" customHeight="1" x14ac:dyDescent="0.3">
      <c r="A675" s="4" t="s">
        <v>163</v>
      </c>
      <c r="B675" s="2" t="s">
        <v>19</v>
      </c>
      <c r="C675" s="2" t="s">
        <v>8</v>
      </c>
      <c r="D675" s="2" t="s">
        <v>28</v>
      </c>
      <c r="E675" s="2" t="s">
        <v>15</v>
      </c>
      <c r="F675" s="5">
        <v>1722.54</v>
      </c>
    </row>
    <row r="676" spans="1:6" ht="15.75" customHeight="1" x14ac:dyDescent="0.3">
      <c r="A676" s="4" t="s">
        <v>190</v>
      </c>
      <c r="B676" s="2" t="s">
        <v>17</v>
      </c>
      <c r="C676" s="2" t="s">
        <v>23</v>
      </c>
      <c r="D676" s="2" t="s">
        <v>14</v>
      </c>
      <c r="E676" s="2" t="s">
        <v>24</v>
      </c>
      <c r="F676" s="5">
        <v>2472.08</v>
      </c>
    </row>
    <row r="677" spans="1:6" ht="15.75" customHeight="1" x14ac:dyDescent="0.3">
      <c r="A677" s="4" t="s">
        <v>129</v>
      </c>
      <c r="B677" s="2" t="s">
        <v>17</v>
      </c>
      <c r="C677" s="2" t="s">
        <v>34</v>
      </c>
      <c r="D677" s="2" t="s">
        <v>28</v>
      </c>
      <c r="E677" s="2" t="s">
        <v>24</v>
      </c>
      <c r="F677" s="5">
        <v>3592.6</v>
      </c>
    </row>
    <row r="678" spans="1:6" ht="15.75" customHeight="1" x14ac:dyDescent="0.3">
      <c r="A678" s="4" t="s">
        <v>80</v>
      </c>
      <c r="B678" s="2" t="s">
        <v>17</v>
      </c>
      <c r="C678" s="2" t="s">
        <v>34</v>
      </c>
      <c r="D678" s="2" t="s">
        <v>28</v>
      </c>
      <c r="E678" s="2" t="s">
        <v>15</v>
      </c>
      <c r="F678" s="5">
        <v>4482.0600000000004</v>
      </c>
    </row>
    <row r="679" spans="1:6" ht="15.75" customHeight="1" x14ac:dyDescent="0.3">
      <c r="A679" s="4" t="s">
        <v>156</v>
      </c>
      <c r="B679" s="2" t="s">
        <v>17</v>
      </c>
      <c r="C679" s="2" t="s">
        <v>23</v>
      </c>
      <c r="D679" s="2" t="s">
        <v>9</v>
      </c>
      <c r="E679" s="2" t="s">
        <v>15</v>
      </c>
      <c r="F679" s="5">
        <v>3888.6305110379558</v>
      </c>
    </row>
    <row r="680" spans="1:6" ht="15.75" customHeight="1" x14ac:dyDescent="0.3">
      <c r="A680" s="4" t="s">
        <v>204</v>
      </c>
      <c r="B680" s="2" t="s">
        <v>30</v>
      </c>
      <c r="C680" s="2" t="s">
        <v>34</v>
      </c>
      <c r="D680" s="2" t="s">
        <v>9</v>
      </c>
      <c r="E680" s="2" t="s">
        <v>15</v>
      </c>
      <c r="F680" s="5">
        <v>1035.252371181057</v>
      </c>
    </row>
    <row r="681" spans="1:6" ht="15.75" customHeight="1" x14ac:dyDescent="0.3">
      <c r="A681" s="4" t="s">
        <v>107</v>
      </c>
      <c r="B681" s="2" t="s">
        <v>30</v>
      </c>
      <c r="C681" s="2" t="s">
        <v>34</v>
      </c>
      <c r="D681" s="2" t="s">
        <v>14</v>
      </c>
      <c r="E681" s="2" t="s">
        <v>15</v>
      </c>
      <c r="F681" s="5">
        <v>93.17</v>
      </c>
    </row>
    <row r="682" spans="1:6" ht="15.75" customHeight="1" x14ac:dyDescent="0.3">
      <c r="A682" s="4" t="s">
        <v>64</v>
      </c>
      <c r="B682" s="2" t="s">
        <v>30</v>
      </c>
      <c r="C682" s="2" t="s">
        <v>8</v>
      </c>
      <c r="D682" s="2" t="s">
        <v>14</v>
      </c>
      <c r="E682" s="2" t="s">
        <v>15</v>
      </c>
      <c r="F682" s="5">
        <v>489.88</v>
      </c>
    </row>
    <row r="683" spans="1:6" ht="15.75" customHeight="1" x14ac:dyDescent="0.3">
      <c r="A683" s="4" t="s">
        <v>42</v>
      </c>
      <c r="B683" s="2" t="s">
        <v>30</v>
      </c>
      <c r="C683" s="2" t="s">
        <v>8</v>
      </c>
      <c r="D683" s="2" t="s">
        <v>28</v>
      </c>
      <c r="E683" s="2" t="s">
        <v>24</v>
      </c>
      <c r="F683" s="5">
        <v>627.29999999999995</v>
      </c>
    </row>
    <row r="684" spans="1:6" ht="15.75" customHeight="1" x14ac:dyDescent="0.3">
      <c r="A684" s="4" t="s">
        <v>169</v>
      </c>
      <c r="B684" s="2" t="s">
        <v>12</v>
      </c>
      <c r="C684" s="2" t="s">
        <v>23</v>
      </c>
      <c r="D684" s="2" t="s">
        <v>28</v>
      </c>
      <c r="E684" s="2" t="s">
        <v>24</v>
      </c>
      <c r="F684" s="5">
        <v>4443.8500000000004</v>
      </c>
    </row>
    <row r="685" spans="1:6" ht="15.75" customHeight="1" x14ac:dyDescent="0.3">
      <c r="A685" s="4" t="s">
        <v>188</v>
      </c>
      <c r="B685" s="2" t="s">
        <v>19</v>
      </c>
      <c r="C685" s="2" t="s">
        <v>8</v>
      </c>
      <c r="D685" s="2" t="s">
        <v>14</v>
      </c>
      <c r="E685" s="2" t="s">
        <v>15</v>
      </c>
      <c r="F685" s="5">
        <v>2192.52</v>
      </c>
    </row>
    <row r="686" spans="1:6" ht="15.75" customHeight="1" x14ac:dyDescent="0.3">
      <c r="A686" s="4" t="s">
        <v>35</v>
      </c>
      <c r="B686" s="2" t="s">
        <v>19</v>
      </c>
      <c r="C686" s="2" t="s">
        <v>34</v>
      </c>
      <c r="D686" s="2" t="s">
        <v>9</v>
      </c>
      <c r="E686" s="2" t="s">
        <v>15</v>
      </c>
      <c r="F686" s="5">
        <v>1166.768107289013</v>
      </c>
    </row>
    <row r="687" spans="1:6" ht="15.75" customHeight="1" x14ac:dyDescent="0.3">
      <c r="A687" s="4" t="s">
        <v>156</v>
      </c>
      <c r="B687" s="2" t="s">
        <v>17</v>
      </c>
      <c r="C687" s="2" t="s">
        <v>8</v>
      </c>
      <c r="D687" s="2" t="s">
        <v>9</v>
      </c>
      <c r="E687" s="2" t="s">
        <v>10</v>
      </c>
      <c r="F687" s="5">
        <v>3803.961674149617</v>
      </c>
    </row>
    <row r="688" spans="1:6" ht="15.75" customHeight="1" x14ac:dyDescent="0.3">
      <c r="A688" s="4" t="s">
        <v>48</v>
      </c>
      <c r="B688" s="2" t="s">
        <v>19</v>
      </c>
      <c r="C688" s="2" t="s">
        <v>8</v>
      </c>
      <c r="D688" s="2" t="s">
        <v>14</v>
      </c>
      <c r="E688" s="2" t="s">
        <v>24</v>
      </c>
      <c r="F688" s="5">
        <v>4902.53</v>
      </c>
    </row>
    <row r="689" spans="1:6" ht="15.75" customHeight="1" x14ac:dyDescent="0.3">
      <c r="A689" s="4" t="s">
        <v>193</v>
      </c>
      <c r="B689" s="2" t="s">
        <v>12</v>
      </c>
      <c r="C689" s="2" t="s">
        <v>23</v>
      </c>
      <c r="D689" s="2" t="s">
        <v>28</v>
      </c>
      <c r="E689" s="2" t="s">
        <v>24</v>
      </c>
      <c r="F689" s="5">
        <v>1144.49</v>
      </c>
    </row>
    <row r="690" spans="1:6" ht="15.75" customHeight="1" x14ac:dyDescent="0.3">
      <c r="A690" s="4" t="s">
        <v>67</v>
      </c>
      <c r="B690" s="2" t="s">
        <v>7</v>
      </c>
      <c r="C690" s="2" t="s">
        <v>13</v>
      </c>
      <c r="D690" s="2" t="s">
        <v>9</v>
      </c>
      <c r="E690" s="2" t="s">
        <v>15</v>
      </c>
      <c r="F690" s="5">
        <v>4243.1099999999997</v>
      </c>
    </row>
    <row r="691" spans="1:6" ht="15.75" customHeight="1" x14ac:dyDescent="0.3">
      <c r="A691" s="4" t="s">
        <v>22</v>
      </c>
      <c r="B691" s="2" t="s">
        <v>12</v>
      </c>
      <c r="C691" s="2" t="s">
        <v>8</v>
      </c>
      <c r="D691" s="2" t="s">
        <v>28</v>
      </c>
      <c r="E691" s="2" t="s">
        <v>24</v>
      </c>
      <c r="F691" s="5">
        <v>2303.31</v>
      </c>
    </row>
    <row r="692" spans="1:6" ht="15.75" customHeight="1" x14ac:dyDescent="0.3">
      <c r="A692" s="4" t="s">
        <v>95</v>
      </c>
      <c r="B692" s="2" t="s">
        <v>30</v>
      </c>
      <c r="C692" s="2" t="s">
        <v>23</v>
      </c>
      <c r="D692" s="2" t="s">
        <v>14</v>
      </c>
      <c r="E692" s="2" t="s">
        <v>10</v>
      </c>
      <c r="F692" s="5">
        <v>3192.9</v>
      </c>
    </row>
    <row r="693" spans="1:6" ht="15.75" customHeight="1" x14ac:dyDescent="0.3">
      <c r="A693" s="4" t="s">
        <v>71</v>
      </c>
      <c r="B693" s="2" t="s">
        <v>7</v>
      </c>
      <c r="C693" s="2" t="s">
        <v>13</v>
      </c>
      <c r="D693" s="2" t="s">
        <v>28</v>
      </c>
      <c r="E693" s="2" t="s">
        <v>15</v>
      </c>
      <c r="F693" s="5">
        <v>3601.52</v>
      </c>
    </row>
    <row r="694" spans="1:6" ht="15.75" customHeight="1" x14ac:dyDescent="0.3">
      <c r="A694" s="4" t="s">
        <v>95</v>
      </c>
      <c r="B694" s="2" t="s">
        <v>30</v>
      </c>
      <c r="C694" s="2" t="s">
        <v>13</v>
      </c>
      <c r="D694" s="2" t="s">
        <v>14</v>
      </c>
      <c r="E694" s="2" t="s">
        <v>15</v>
      </c>
      <c r="F694" s="5">
        <v>4964.3100000000004</v>
      </c>
    </row>
    <row r="695" spans="1:6" ht="15.75" customHeight="1" x14ac:dyDescent="0.3">
      <c r="A695" s="4" t="s">
        <v>59</v>
      </c>
      <c r="B695" s="2" t="s">
        <v>17</v>
      </c>
      <c r="C695" s="2" t="s">
        <v>23</v>
      </c>
      <c r="D695" s="2" t="s">
        <v>14</v>
      </c>
      <c r="E695" s="2" t="s">
        <v>15</v>
      </c>
      <c r="F695" s="5">
        <v>2143.7399999999998</v>
      </c>
    </row>
    <row r="696" spans="1:6" ht="15.75" customHeight="1" x14ac:dyDescent="0.3">
      <c r="A696" s="4" t="s">
        <v>164</v>
      </c>
      <c r="B696" s="2" t="s">
        <v>19</v>
      </c>
      <c r="C696" s="2" t="s">
        <v>13</v>
      </c>
      <c r="D696" s="2" t="s">
        <v>14</v>
      </c>
      <c r="E696" s="2" t="s">
        <v>15</v>
      </c>
      <c r="F696" s="5">
        <v>563.55999999999995</v>
      </c>
    </row>
    <row r="697" spans="1:6" ht="15.75" customHeight="1" x14ac:dyDescent="0.3">
      <c r="A697" s="4" t="s">
        <v>95</v>
      </c>
      <c r="B697" s="2" t="s">
        <v>30</v>
      </c>
      <c r="C697" s="2" t="s">
        <v>13</v>
      </c>
      <c r="D697" s="2" t="s">
        <v>9</v>
      </c>
      <c r="E697" s="2" t="s">
        <v>15</v>
      </c>
      <c r="F697" s="5">
        <v>1541.864982458068</v>
      </c>
    </row>
    <row r="698" spans="1:6" ht="15.75" customHeight="1" x14ac:dyDescent="0.3">
      <c r="A698" s="4" t="s">
        <v>46</v>
      </c>
      <c r="B698" s="2" t="s">
        <v>30</v>
      </c>
      <c r="C698" s="2" t="s">
        <v>23</v>
      </c>
      <c r="D698" s="2" t="s">
        <v>14</v>
      </c>
      <c r="E698" s="2" t="s">
        <v>10</v>
      </c>
      <c r="F698" s="5">
        <v>2191.88</v>
      </c>
    </row>
    <row r="699" spans="1:6" ht="15.75" customHeight="1" x14ac:dyDescent="0.3">
      <c r="A699" s="4" t="s">
        <v>45</v>
      </c>
      <c r="B699" s="2" t="s">
        <v>7</v>
      </c>
      <c r="C699" s="2" t="s">
        <v>34</v>
      </c>
      <c r="D699" s="2" t="s">
        <v>28</v>
      </c>
      <c r="E699" s="2" t="s">
        <v>15</v>
      </c>
      <c r="F699" s="5">
        <v>4804.76</v>
      </c>
    </row>
    <row r="700" spans="1:6" ht="15.75" customHeight="1" x14ac:dyDescent="0.3">
      <c r="A700" s="4" t="s">
        <v>212</v>
      </c>
      <c r="B700" s="2" t="s">
        <v>7</v>
      </c>
      <c r="C700" s="2" t="s">
        <v>13</v>
      </c>
      <c r="D700" s="2" t="s">
        <v>14</v>
      </c>
      <c r="E700" s="2" t="s">
        <v>10</v>
      </c>
      <c r="F700" s="5">
        <v>4966.99</v>
      </c>
    </row>
    <row r="701" spans="1:6" ht="15.75" customHeight="1" x14ac:dyDescent="0.3">
      <c r="A701" s="4" t="s">
        <v>99</v>
      </c>
      <c r="B701" s="2" t="s">
        <v>19</v>
      </c>
      <c r="C701" s="2" t="s">
        <v>8</v>
      </c>
      <c r="D701" s="2" t="s">
        <v>28</v>
      </c>
      <c r="E701" s="2" t="s">
        <v>15</v>
      </c>
      <c r="F701" s="5">
        <v>2346.08</v>
      </c>
    </row>
    <row r="702" spans="1:6" ht="15.75" customHeight="1" x14ac:dyDescent="0.3">
      <c r="A702" s="4" t="s">
        <v>140</v>
      </c>
      <c r="B702" s="2" t="s">
        <v>17</v>
      </c>
      <c r="C702" s="2" t="s">
        <v>34</v>
      </c>
      <c r="D702" s="2" t="s">
        <v>28</v>
      </c>
      <c r="E702" s="2" t="s">
        <v>15</v>
      </c>
      <c r="F702" s="5">
        <v>278.14</v>
      </c>
    </row>
    <row r="703" spans="1:6" ht="15.75" customHeight="1" x14ac:dyDescent="0.3">
      <c r="A703" s="4" t="s">
        <v>111</v>
      </c>
      <c r="B703" s="2" t="s">
        <v>19</v>
      </c>
      <c r="C703" s="2" t="s">
        <v>34</v>
      </c>
      <c r="D703" s="2" t="s">
        <v>28</v>
      </c>
      <c r="E703" s="2" t="s">
        <v>10</v>
      </c>
      <c r="F703" s="5">
        <v>3551.91</v>
      </c>
    </row>
    <row r="704" spans="1:6" ht="15.75" customHeight="1" x14ac:dyDescent="0.3">
      <c r="A704" s="4" t="s">
        <v>119</v>
      </c>
      <c r="B704" s="2" t="s">
        <v>30</v>
      </c>
      <c r="C704" s="2" t="s">
        <v>34</v>
      </c>
      <c r="D704" s="2" t="s">
        <v>28</v>
      </c>
      <c r="E704" s="2" t="s">
        <v>10</v>
      </c>
      <c r="F704" s="5">
        <v>3834.95</v>
      </c>
    </row>
    <row r="705" spans="1:6" ht="15.75" customHeight="1" x14ac:dyDescent="0.3">
      <c r="A705" s="4" t="s">
        <v>22</v>
      </c>
      <c r="B705" s="2" t="s">
        <v>12</v>
      </c>
      <c r="C705" s="2" t="s">
        <v>13</v>
      </c>
      <c r="D705" s="2" t="s">
        <v>14</v>
      </c>
      <c r="E705" s="2" t="s">
        <v>10</v>
      </c>
      <c r="F705" s="5">
        <v>4076.77</v>
      </c>
    </row>
    <row r="706" spans="1:6" ht="15.75" customHeight="1" x14ac:dyDescent="0.3">
      <c r="A706" s="4" t="s">
        <v>101</v>
      </c>
      <c r="B706" s="2" t="s">
        <v>19</v>
      </c>
      <c r="C706" s="2" t="s">
        <v>13</v>
      </c>
      <c r="D706" s="2" t="s">
        <v>14</v>
      </c>
      <c r="E706" s="2" t="s">
        <v>15</v>
      </c>
      <c r="F706" s="5">
        <v>1402.07</v>
      </c>
    </row>
    <row r="707" spans="1:6" ht="15.75" customHeight="1" x14ac:dyDescent="0.3">
      <c r="A707" s="4" t="s">
        <v>93</v>
      </c>
      <c r="B707" s="2" t="s">
        <v>30</v>
      </c>
      <c r="C707" s="2" t="s">
        <v>8</v>
      </c>
      <c r="D707" s="2" t="s">
        <v>14</v>
      </c>
      <c r="E707" s="2" t="s">
        <v>15</v>
      </c>
      <c r="F707" s="5">
        <v>2817.03</v>
      </c>
    </row>
    <row r="708" spans="1:6" ht="15.75" customHeight="1" x14ac:dyDescent="0.3">
      <c r="A708" s="4" t="s">
        <v>94</v>
      </c>
      <c r="B708" s="2" t="s">
        <v>7</v>
      </c>
      <c r="C708" s="2" t="s">
        <v>34</v>
      </c>
      <c r="D708" s="2" t="s">
        <v>14</v>
      </c>
      <c r="E708" s="2" t="s">
        <v>24</v>
      </c>
      <c r="F708" s="5">
        <v>4610.1499999999996</v>
      </c>
    </row>
    <row r="709" spans="1:6" ht="15.75" customHeight="1" x14ac:dyDescent="0.3">
      <c r="A709" s="4" t="s">
        <v>191</v>
      </c>
      <c r="B709" s="2" t="s">
        <v>12</v>
      </c>
      <c r="C709" s="2" t="s">
        <v>23</v>
      </c>
      <c r="D709" s="2" t="s">
        <v>9</v>
      </c>
      <c r="E709" s="2" t="s">
        <v>24</v>
      </c>
      <c r="F709" s="5">
        <v>1197.675114727394</v>
      </c>
    </row>
    <row r="710" spans="1:6" ht="15.75" customHeight="1" x14ac:dyDescent="0.3">
      <c r="A710" s="4" t="s">
        <v>80</v>
      </c>
      <c r="B710" s="2" t="s">
        <v>17</v>
      </c>
      <c r="C710" s="2" t="s">
        <v>23</v>
      </c>
      <c r="D710" s="2" t="s">
        <v>14</v>
      </c>
      <c r="E710" s="2" t="s">
        <v>24</v>
      </c>
      <c r="F710" s="5">
        <v>2154.8200000000002</v>
      </c>
    </row>
    <row r="711" spans="1:6" ht="15.75" customHeight="1" x14ac:dyDescent="0.3">
      <c r="A711" s="4" t="s">
        <v>71</v>
      </c>
      <c r="B711" s="2" t="s">
        <v>7</v>
      </c>
      <c r="C711" s="2" t="s">
        <v>23</v>
      </c>
      <c r="D711" s="2" t="s">
        <v>28</v>
      </c>
      <c r="E711" s="2" t="s">
        <v>15</v>
      </c>
      <c r="F711" s="5">
        <v>1398.72</v>
      </c>
    </row>
    <row r="712" spans="1:6" ht="15.75" customHeight="1" x14ac:dyDescent="0.3">
      <c r="A712" s="4" t="s">
        <v>18</v>
      </c>
      <c r="B712" s="2" t="s">
        <v>19</v>
      </c>
      <c r="C712" s="2" t="s">
        <v>23</v>
      </c>
      <c r="D712" s="2" t="s">
        <v>14</v>
      </c>
      <c r="E712" s="2" t="s">
        <v>15</v>
      </c>
      <c r="F712" s="5">
        <v>2433.64</v>
      </c>
    </row>
    <row r="713" spans="1:6" ht="15.75" customHeight="1" x14ac:dyDescent="0.3">
      <c r="A713" s="4" t="s">
        <v>52</v>
      </c>
      <c r="B713" s="2" t="s">
        <v>19</v>
      </c>
      <c r="C713" s="2" t="s">
        <v>23</v>
      </c>
      <c r="D713" s="2" t="s">
        <v>14</v>
      </c>
      <c r="E713" s="2" t="s">
        <v>10</v>
      </c>
      <c r="F713" s="5">
        <v>1785.88</v>
      </c>
    </row>
    <row r="714" spans="1:6" ht="15.75" customHeight="1" x14ac:dyDescent="0.3">
      <c r="A714" s="4" t="s">
        <v>65</v>
      </c>
      <c r="B714" s="2" t="s">
        <v>30</v>
      </c>
      <c r="C714" s="2" t="s">
        <v>8</v>
      </c>
      <c r="D714" s="2" t="s">
        <v>9</v>
      </c>
      <c r="E714" s="2" t="s">
        <v>10</v>
      </c>
      <c r="F714" s="5">
        <v>4694.8763877909096</v>
      </c>
    </row>
    <row r="715" spans="1:6" ht="15.75" customHeight="1" x14ac:dyDescent="0.3">
      <c r="A715" s="4" t="s">
        <v>71</v>
      </c>
      <c r="B715" s="2" t="s">
        <v>7</v>
      </c>
      <c r="C715" s="2" t="s">
        <v>8</v>
      </c>
      <c r="D715" s="2" t="s">
        <v>14</v>
      </c>
      <c r="E715" s="2" t="s">
        <v>10</v>
      </c>
      <c r="F715" s="5">
        <v>3069.11</v>
      </c>
    </row>
    <row r="716" spans="1:6" ht="15.75" customHeight="1" x14ac:dyDescent="0.3">
      <c r="A716" s="4" t="s">
        <v>196</v>
      </c>
      <c r="B716" s="2" t="s">
        <v>30</v>
      </c>
      <c r="C716" s="2" t="s">
        <v>13</v>
      </c>
      <c r="D716" s="2" t="s">
        <v>14</v>
      </c>
      <c r="E716" s="2" t="s">
        <v>15</v>
      </c>
      <c r="F716" s="5">
        <v>2819.92</v>
      </c>
    </row>
    <row r="717" spans="1:6" ht="15.75" customHeight="1" x14ac:dyDescent="0.3">
      <c r="A717" s="4" t="s">
        <v>95</v>
      </c>
      <c r="B717" s="2" t="s">
        <v>30</v>
      </c>
      <c r="C717" s="2" t="s">
        <v>13</v>
      </c>
      <c r="D717" s="2" t="s">
        <v>28</v>
      </c>
      <c r="E717" s="2" t="s">
        <v>24</v>
      </c>
      <c r="F717" s="5">
        <v>1772.23</v>
      </c>
    </row>
    <row r="718" spans="1:6" ht="15.75" customHeight="1" x14ac:dyDescent="0.3">
      <c r="A718" s="4" t="s">
        <v>57</v>
      </c>
      <c r="B718" s="2" t="s">
        <v>19</v>
      </c>
      <c r="C718" s="2" t="s">
        <v>8</v>
      </c>
      <c r="D718" s="2" t="s">
        <v>14</v>
      </c>
      <c r="E718" s="2" t="s">
        <v>24</v>
      </c>
      <c r="F718" s="5">
        <v>2502.25</v>
      </c>
    </row>
    <row r="719" spans="1:6" ht="15.75" customHeight="1" x14ac:dyDescent="0.3">
      <c r="A719" s="4" t="s">
        <v>74</v>
      </c>
      <c r="B719" s="2" t="s">
        <v>19</v>
      </c>
      <c r="C719" s="2" t="s">
        <v>8</v>
      </c>
      <c r="D719" s="2" t="s">
        <v>9</v>
      </c>
      <c r="E719" s="2" t="s">
        <v>15</v>
      </c>
      <c r="F719" s="5">
        <v>3851.9349526568549</v>
      </c>
    </row>
    <row r="720" spans="1:6" ht="15.75" customHeight="1" x14ac:dyDescent="0.3">
      <c r="A720" s="4" t="s">
        <v>114</v>
      </c>
      <c r="B720" s="2" t="s">
        <v>30</v>
      </c>
      <c r="C720" s="2" t="s">
        <v>13</v>
      </c>
      <c r="D720" s="2" t="s">
        <v>28</v>
      </c>
      <c r="E720" s="2" t="s">
        <v>24</v>
      </c>
      <c r="F720" s="5">
        <v>3031.48</v>
      </c>
    </row>
    <row r="721" spans="1:6" ht="15.75" customHeight="1" x14ac:dyDescent="0.3">
      <c r="A721" s="4" t="s">
        <v>78</v>
      </c>
      <c r="B721" s="2" t="s">
        <v>7</v>
      </c>
      <c r="C721" s="2" t="s">
        <v>23</v>
      </c>
      <c r="D721" s="2" t="s">
        <v>9</v>
      </c>
      <c r="E721" s="2" t="s">
        <v>24</v>
      </c>
      <c r="F721" s="5">
        <v>601.62</v>
      </c>
    </row>
    <row r="722" spans="1:6" ht="15.75" customHeight="1" x14ac:dyDescent="0.3">
      <c r="A722" s="4" t="s">
        <v>73</v>
      </c>
      <c r="B722" s="2" t="s">
        <v>30</v>
      </c>
      <c r="C722" s="2" t="s">
        <v>8</v>
      </c>
      <c r="D722" s="2" t="s">
        <v>28</v>
      </c>
      <c r="E722" s="2" t="s">
        <v>24</v>
      </c>
      <c r="F722" s="5">
        <v>2060.17</v>
      </c>
    </row>
    <row r="723" spans="1:6" ht="15.75" customHeight="1" x14ac:dyDescent="0.3">
      <c r="A723" s="4" t="s">
        <v>99</v>
      </c>
      <c r="B723" s="2" t="s">
        <v>19</v>
      </c>
      <c r="C723" s="2" t="s">
        <v>13</v>
      </c>
      <c r="D723" s="2" t="s">
        <v>28</v>
      </c>
      <c r="E723" s="2" t="s">
        <v>10</v>
      </c>
      <c r="F723" s="5">
        <v>2452.0300000000002</v>
      </c>
    </row>
    <row r="724" spans="1:6" ht="15.75" customHeight="1" x14ac:dyDescent="0.3">
      <c r="A724" s="4" t="s">
        <v>56</v>
      </c>
      <c r="B724" s="2" t="s">
        <v>19</v>
      </c>
      <c r="C724" s="2" t="s">
        <v>8</v>
      </c>
      <c r="D724" s="2" t="s">
        <v>28</v>
      </c>
      <c r="E724" s="2" t="s">
        <v>10</v>
      </c>
      <c r="F724" s="5">
        <v>1782.21</v>
      </c>
    </row>
    <row r="725" spans="1:6" ht="15.75" customHeight="1" x14ac:dyDescent="0.3">
      <c r="A725" s="4" t="s">
        <v>123</v>
      </c>
      <c r="B725" s="2" t="s">
        <v>30</v>
      </c>
      <c r="C725" s="2" t="s">
        <v>23</v>
      </c>
      <c r="D725" s="2" t="s">
        <v>9</v>
      </c>
      <c r="E725" s="2" t="s">
        <v>15</v>
      </c>
      <c r="F725" s="5">
        <v>103.31</v>
      </c>
    </row>
    <row r="726" spans="1:6" ht="15.75" customHeight="1" x14ac:dyDescent="0.3">
      <c r="A726" s="4" t="s">
        <v>171</v>
      </c>
      <c r="B726" s="2" t="s">
        <v>17</v>
      </c>
      <c r="C726" s="2" t="s">
        <v>13</v>
      </c>
      <c r="D726" s="2" t="s">
        <v>14</v>
      </c>
      <c r="E726" s="2" t="s">
        <v>15</v>
      </c>
      <c r="F726" s="5">
        <v>3568.05</v>
      </c>
    </row>
    <row r="727" spans="1:6" ht="15.75" customHeight="1" x14ac:dyDescent="0.3">
      <c r="A727" s="4" t="s">
        <v>67</v>
      </c>
      <c r="B727" s="2" t="s">
        <v>7</v>
      </c>
      <c r="C727" s="2" t="s">
        <v>23</v>
      </c>
      <c r="D727" s="2" t="s">
        <v>9</v>
      </c>
      <c r="E727" s="2" t="s">
        <v>15</v>
      </c>
      <c r="F727" s="5">
        <v>2290.64</v>
      </c>
    </row>
    <row r="728" spans="1:6" ht="15.75" customHeight="1" x14ac:dyDescent="0.3">
      <c r="A728" s="4" t="s">
        <v>105</v>
      </c>
      <c r="B728" s="2" t="s">
        <v>30</v>
      </c>
      <c r="C728" s="2" t="s">
        <v>23</v>
      </c>
      <c r="D728" s="2" t="s">
        <v>14</v>
      </c>
      <c r="E728" s="2" t="s">
        <v>24</v>
      </c>
      <c r="F728" s="5">
        <v>4937.24</v>
      </c>
    </row>
    <row r="729" spans="1:6" ht="15.75" customHeight="1" x14ac:dyDescent="0.3">
      <c r="A729" s="4" t="s">
        <v>150</v>
      </c>
      <c r="B729" s="2" t="s">
        <v>30</v>
      </c>
      <c r="C729" s="2" t="s">
        <v>23</v>
      </c>
      <c r="D729" s="2" t="s">
        <v>9</v>
      </c>
      <c r="E729" s="2" t="s">
        <v>15</v>
      </c>
      <c r="F729" s="5">
        <v>1728.806943996188</v>
      </c>
    </row>
    <row r="730" spans="1:6" ht="15.75" customHeight="1" x14ac:dyDescent="0.3">
      <c r="A730" s="4" t="s">
        <v>213</v>
      </c>
      <c r="B730" s="2" t="s">
        <v>12</v>
      </c>
      <c r="C730" s="2" t="s">
        <v>13</v>
      </c>
      <c r="D730" s="2" t="s">
        <v>14</v>
      </c>
      <c r="E730" s="2" t="s">
        <v>10</v>
      </c>
      <c r="F730" s="5">
        <v>372.7</v>
      </c>
    </row>
    <row r="731" spans="1:6" ht="15.75" customHeight="1" x14ac:dyDescent="0.3">
      <c r="A731" s="4" t="s">
        <v>80</v>
      </c>
      <c r="B731" s="2" t="s">
        <v>17</v>
      </c>
      <c r="C731" s="2" t="s">
        <v>8</v>
      </c>
      <c r="D731" s="2" t="s">
        <v>14</v>
      </c>
      <c r="E731" s="2" t="s">
        <v>24</v>
      </c>
      <c r="F731" s="5">
        <v>3677.7</v>
      </c>
    </row>
    <row r="732" spans="1:6" ht="15.75" customHeight="1" x14ac:dyDescent="0.3">
      <c r="A732" s="4" t="s">
        <v>20</v>
      </c>
      <c r="B732" s="2" t="s">
        <v>17</v>
      </c>
      <c r="C732" s="2" t="s">
        <v>34</v>
      </c>
      <c r="D732" s="2" t="s">
        <v>28</v>
      </c>
      <c r="E732" s="2" t="s">
        <v>10</v>
      </c>
      <c r="F732" s="5">
        <v>2576.7800000000002</v>
      </c>
    </row>
    <row r="733" spans="1:6" ht="15.75" customHeight="1" x14ac:dyDescent="0.3">
      <c r="A733" s="4" t="s">
        <v>111</v>
      </c>
      <c r="B733" s="2" t="s">
        <v>19</v>
      </c>
      <c r="C733" s="2" t="s">
        <v>8</v>
      </c>
      <c r="D733" s="2" t="s">
        <v>28</v>
      </c>
      <c r="E733" s="2" t="s">
        <v>10</v>
      </c>
      <c r="F733" s="5">
        <v>2972.77</v>
      </c>
    </row>
    <row r="734" spans="1:6" ht="15.75" customHeight="1" x14ac:dyDescent="0.3">
      <c r="A734" s="4" t="s">
        <v>87</v>
      </c>
      <c r="B734" s="2" t="s">
        <v>12</v>
      </c>
      <c r="C734" s="2" t="s">
        <v>23</v>
      </c>
      <c r="D734" s="2" t="s">
        <v>28</v>
      </c>
      <c r="E734" s="2" t="s">
        <v>24</v>
      </c>
      <c r="F734" s="5">
        <v>3995.86</v>
      </c>
    </row>
    <row r="735" spans="1:6" ht="15.75" customHeight="1" x14ac:dyDescent="0.3">
      <c r="A735" s="4" t="s">
        <v>84</v>
      </c>
      <c r="B735" s="2" t="s">
        <v>30</v>
      </c>
      <c r="C735" s="2" t="s">
        <v>13</v>
      </c>
      <c r="D735" s="2" t="s">
        <v>14</v>
      </c>
      <c r="E735" s="2" t="s">
        <v>15</v>
      </c>
      <c r="F735" s="5">
        <v>2798.95</v>
      </c>
    </row>
    <row r="736" spans="1:6" ht="15.75" customHeight="1" x14ac:dyDescent="0.3">
      <c r="A736" s="4" t="s">
        <v>36</v>
      </c>
      <c r="B736" s="2" t="s">
        <v>12</v>
      </c>
      <c r="C736" s="2" t="s">
        <v>8</v>
      </c>
      <c r="D736" s="2" t="s">
        <v>28</v>
      </c>
      <c r="E736" s="2" t="s">
        <v>15</v>
      </c>
      <c r="F736" s="5">
        <v>204.44</v>
      </c>
    </row>
    <row r="737" spans="1:6" ht="15.75" customHeight="1" x14ac:dyDescent="0.3">
      <c r="A737" s="4" t="s">
        <v>179</v>
      </c>
      <c r="B737" s="2" t="s">
        <v>7</v>
      </c>
      <c r="C737" s="2" t="s">
        <v>8</v>
      </c>
      <c r="D737" s="2" t="s">
        <v>14</v>
      </c>
      <c r="E737" s="2" t="s">
        <v>15</v>
      </c>
      <c r="F737" s="5">
        <v>2646.82</v>
      </c>
    </row>
    <row r="738" spans="1:6" ht="15.75" customHeight="1" x14ac:dyDescent="0.3">
      <c r="A738" s="4" t="s">
        <v>50</v>
      </c>
      <c r="B738" s="2" t="s">
        <v>19</v>
      </c>
      <c r="C738" s="2" t="s">
        <v>13</v>
      </c>
      <c r="D738" s="2" t="s">
        <v>14</v>
      </c>
      <c r="E738" s="2" t="s">
        <v>15</v>
      </c>
      <c r="F738" s="5">
        <v>2960.39</v>
      </c>
    </row>
    <row r="739" spans="1:6" ht="15.75" customHeight="1" x14ac:dyDescent="0.3">
      <c r="A739" s="4" t="s">
        <v>78</v>
      </c>
      <c r="B739" s="2" t="s">
        <v>7</v>
      </c>
      <c r="C739" s="2" t="s">
        <v>13</v>
      </c>
      <c r="D739" s="2" t="s">
        <v>14</v>
      </c>
      <c r="E739" s="2" t="s">
        <v>24</v>
      </c>
      <c r="F739" s="5">
        <v>1696.88</v>
      </c>
    </row>
    <row r="740" spans="1:6" ht="15.75" customHeight="1" x14ac:dyDescent="0.3">
      <c r="A740" s="4" t="s">
        <v>214</v>
      </c>
      <c r="B740" s="2" t="s">
        <v>30</v>
      </c>
      <c r="C740" s="2" t="s">
        <v>13</v>
      </c>
      <c r="D740" s="2" t="s">
        <v>9</v>
      </c>
      <c r="E740" s="2" t="s">
        <v>24</v>
      </c>
      <c r="F740" s="5">
        <v>622.99568004024104</v>
      </c>
    </row>
    <row r="741" spans="1:6" ht="15.75" customHeight="1" x14ac:dyDescent="0.3">
      <c r="A741" s="4" t="s">
        <v>128</v>
      </c>
      <c r="B741" s="2" t="s">
        <v>12</v>
      </c>
      <c r="C741" s="2" t="s">
        <v>23</v>
      </c>
      <c r="D741" s="2" t="s">
        <v>14</v>
      </c>
      <c r="E741" s="2" t="s">
        <v>24</v>
      </c>
      <c r="F741" s="5">
        <v>1684.41</v>
      </c>
    </row>
    <row r="742" spans="1:6" ht="15.75" customHeight="1" x14ac:dyDescent="0.3">
      <c r="A742" s="4" t="s">
        <v>68</v>
      </c>
      <c r="B742" s="2" t="s">
        <v>12</v>
      </c>
      <c r="C742" s="2" t="s">
        <v>34</v>
      </c>
      <c r="D742" s="2" t="s">
        <v>14</v>
      </c>
      <c r="E742" s="2" t="s">
        <v>24</v>
      </c>
      <c r="F742" s="5">
        <v>3307.16</v>
      </c>
    </row>
    <row r="743" spans="1:6" ht="15.75" customHeight="1" x14ac:dyDescent="0.3">
      <c r="A743" s="4" t="s">
        <v>38</v>
      </c>
      <c r="B743" s="2" t="s">
        <v>30</v>
      </c>
      <c r="C743" s="2" t="s">
        <v>34</v>
      </c>
      <c r="D743" s="2" t="s">
        <v>9</v>
      </c>
      <c r="E743" s="2" t="s">
        <v>10</v>
      </c>
      <c r="F743" s="5">
        <v>2731.166972629595</v>
      </c>
    </row>
    <row r="744" spans="1:6" ht="15.75" customHeight="1" x14ac:dyDescent="0.3">
      <c r="A744" s="4" t="s">
        <v>29</v>
      </c>
      <c r="B744" s="2" t="s">
        <v>30</v>
      </c>
      <c r="C744" s="2" t="s">
        <v>13</v>
      </c>
      <c r="D744" s="2" t="s">
        <v>28</v>
      </c>
      <c r="E744" s="2" t="s">
        <v>24</v>
      </c>
      <c r="F744" s="5">
        <v>2861.41</v>
      </c>
    </row>
    <row r="745" spans="1:6" ht="15.75" customHeight="1" x14ac:dyDescent="0.3">
      <c r="A745" s="4" t="s">
        <v>117</v>
      </c>
      <c r="B745" s="2" t="s">
        <v>7</v>
      </c>
      <c r="C745" s="2" t="s">
        <v>34</v>
      </c>
      <c r="D745" s="2" t="s">
        <v>14</v>
      </c>
      <c r="E745" s="2" t="s">
        <v>15</v>
      </c>
      <c r="F745" s="5">
        <v>2409.39</v>
      </c>
    </row>
    <row r="746" spans="1:6" ht="15.75" customHeight="1" x14ac:dyDescent="0.3">
      <c r="A746" s="4" t="s">
        <v>125</v>
      </c>
      <c r="B746" s="2" t="s">
        <v>7</v>
      </c>
      <c r="C746" s="2" t="s">
        <v>13</v>
      </c>
      <c r="D746" s="2" t="s">
        <v>28</v>
      </c>
      <c r="E746" s="2" t="s">
        <v>24</v>
      </c>
      <c r="F746" s="5">
        <v>1958.41</v>
      </c>
    </row>
    <row r="747" spans="1:6" ht="15.75" customHeight="1" x14ac:dyDescent="0.3">
      <c r="A747" s="4" t="s">
        <v>87</v>
      </c>
      <c r="B747" s="2" t="s">
        <v>12</v>
      </c>
      <c r="C747" s="2" t="s">
        <v>8</v>
      </c>
      <c r="D747" s="2" t="s">
        <v>28</v>
      </c>
      <c r="E747" s="2" t="s">
        <v>10</v>
      </c>
      <c r="F747" s="5">
        <v>2816.97</v>
      </c>
    </row>
    <row r="748" spans="1:6" ht="15.75" customHeight="1" x14ac:dyDescent="0.3">
      <c r="A748" s="4" t="s">
        <v>164</v>
      </c>
      <c r="B748" s="2" t="s">
        <v>19</v>
      </c>
      <c r="C748" s="2" t="s">
        <v>8</v>
      </c>
      <c r="D748" s="2" t="s">
        <v>14</v>
      </c>
      <c r="E748" s="2" t="s">
        <v>24</v>
      </c>
      <c r="F748" s="5">
        <v>4263.92</v>
      </c>
    </row>
    <row r="749" spans="1:6" ht="15.75" customHeight="1" x14ac:dyDescent="0.3">
      <c r="A749" s="4" t="s">
        <v>163</v>
      </c>
      <c r="B749" s="2" t="s">
        <v>19</v>
      </c>
      <c r="C749" s="2" t="s">
        <v>34</v>
      </c>
      <c r="D749" s="2" t="s">
        <v>14</v>
      </c>
      <c r="E749" s="2" t="s">
        <v>24</v>
      </c>
      <c r="F749" s="5">
        <v>1867.58</v>
      </c>
    </row>
    <row r="750" spans="1:6" ht="15.75" customHeight="1" x14ac:dyDescent="0.3">
      <c r="A750" s="4" t="s">
        <v>54</v>
      </c>
      <c r="B750" s="2" t="s">
        <v>12</v>
      </c>
      <c r="C750" s="2" t="s">
        <v>23</v>
      </c>
      <c r="D750" s="2" t="s">
        <v>9</v>
      </c>
      <c r="E750" s="2" t="s">
        <v>10</v>
      </c>
      <c r="F750" s="5">
        <v>3447.6118421655192</v>
      </c>
    </row>
    <row r="751" spans="1:6" ht="15.75" customHeight="1" x14ac:dyDescent="0.3">
      <c r="A751" s="4" t="s">
        <v>75</v>
      </c>
      <c r="B751" s="2" t="s">
        <v>19</v>
      </c>
      <c r="C751" s="2" t="s">
        <v>34</v>
      </c>
      <c r="D751" s="2" t="s">
        <v>9</v>
      </c>
      <c r="E751" s="2" t="s">
        <v>15</v>
      </c>
      <c r="F751" s="5">
        <v>4785.5801662724789</v>
      </c>
    </row>
    <row r="752" spans="1:6" ht="15.75" customHeight="1" x14ac:dyDescent="0.3">
      <c r="A752" s="4" t="s">
        <v>68</v>
      </c>
      <c r="B752" s="2" t="s">
        <v>12</v>
      </c>
      <c r="C752" s="2" t="s">
        <v>23</v>
      </c>
      <c r="D752" s="2" t="s">
        <v>14</v>
      </c>
      <c r="E752" s="2" t="s">
        <v>15</v>
      </c>
      <c r="F752" s="5">
        <v>3739.05</v>
      </c>
    </row>
    <row r="753" spans="1:6" ht="15.75" customHeight="1" x14ac:dyDescent="0.3">
      <c r="A753" s="4" t="s">
        <v>25</v>
      </c>
      <c r="B753" s="2" t="s">
        <v>19</v>
      </c>
      <c r="C753" s="2" t="s">
        <v>34</v>
      </c>
      <c r="D753" s="2" t="s">
        <v>14</v>
      </c>
      <c r="E753" s="2" t="s">
        <v>10</v>
      </c>
      <c r="F753" s="5">
        <v>4330.71</v>
      </c>
    </row>
    <row r="754" spans="1:6" ht="15.75" customHeight="1" x14ac:dyDescent="0.3">
      <c r="A754" s="4" t="s">
        <v>156</v>
      </c>
      <c r="B754" s="2" t="s">
        <v>17</v>
      </c>
      <c r="C754" s="2" t="s">
        <v>13</v>
      </c>
      <c r="D754" s="2" t="s">
        <v>9</v>
      </c>
      <c r="E754" s="2" t="s">
        <v>24</v>
      </c>
      <c r="F754" s="5">
        <v>1947.4241588278969</v>
      </c>
    </row>
    <row r="755" spans="1:6" ht="15.75" customHeight="1" x14ac:dyDescent="0.3">
      <c r="A755" s="4" t="s">
        <v>119</v>
      </c>
      <c r="B755" s="2" t="s">
        <v>30</v>
      </c>
      <c r="C755" s="2" t="s">
        <v>23</v>
      </c>
      <c r="D755" s="2" t="s">
        <v>14</v>
      </c>
      <c r="E755" s="2" t="s">
        <v>24</v>
      </c>
      <c r="F755" s="5">
        <v>2840.62</v>
      </c>
    </row>
    <row r="756" spans="1:6" ht="15.75" customHeight="1" x14ac:dyDescent="0.3">
      <c r="A756" s="4" t="s">
        <v>117</v>
      </c>
      <c r="B756" s="2" t="s">
        <v>7</v>
      </c>
      <c r="C756" s="2" t="s">
        <v>8</v>
      </c>
      <c r="D756" s="2" t="s">
        <v>28</v>
      </c>
      <c r="E756" s="2" t="s">
        <v>24</v>
      </c>
      <c r="F756" s="5">
        <v>2415.5100000000002</v>
      </c>
    </row>
    <row r="757" spans="1:6" ht="15.75" customHeight="1" x14ac:dyDescent="0.3">
      <c r="A757" s="4" t="s">
        <v>140</v>
      </c>
      <c r="B757" s="2" t="s">
        <v>17</v>
      </c>
      <c r="C757" s="2" t="s">
        <v>34</v>
      </c>
      <c r="D757" s="2" t="s">
        <v>9</v>
      </c>
      <c r="E757" s="2" t="s">
        <v>10</v>
      </c>
      <c r="F757" s="5">
        <v>5161.4594921557609</v>
      </c>
    </row>
    <row r="758" spans="1:6" ht="15.75" customHeight="1" x14ac:dyDescent="0.3">
      <c r="A758" s="4" t="s">
        <v>141</v>
      </c>
      <c r="B758" s="2" t="s">
        <v>7</v>
      </c>
      <c r="C758" s="2" t="s">
        <v>23</v>
      </c>
      <c r="D758" s="2" t="s">
        <v>14</v>
      </c>
      <c r="E758" s="2" t="s">
        <v>24</v>
      </c>
      <c r="F758" s="5">
        <v>2359.52</v>
      </c>
    </row>
    <row r="759" spans="1:6" ht="15.75" customHeight="1" x14ac:dyDescent="0.3">
      <c r="A759" s="4" t="s">
        <v>180</v>
      </c>
      <c r="B759" s="2" t="s">
        <v>30</v>
      </c>
      <c r="C759" s="2" t="s">
        <v>34</v>
      </c>
      <c r="D759" s="2" t="s">
        <v>14</v>
      </c>
      <c r="E759" s="2" t="s">
        <v>15</v>
      </c>
      <c r="F759" s="5">
        <v>4799.96</v>
      </c>
    </row>
    <row r="760" spans="1:6" ht="15.75" customHeight="1" x14ac:dyDescent="0.3">
      <c r="A760" s="4" t="s">
        <v>140</v>
      </c>
      <c r="B760" s="2" t="s">
        <v>17</v>
      </c>
      <c r="C760" s="2" t="s">
        <v>34</v>
      </c>
      <c r="D760" s="2" t="s">
        <v>28</v>
      </c>
      <c r="E760" s="2" t="s">
        <v>10</v>
      </c>
      <c r="F760" s="5">
        <v>152.66999999999999</v>
      </c>
    </row>
    <row r="761" spans="1:6" ht="15.75" customHeight="1" x14ac:dyDescent="0.3">
      <c r="A761" s="4" t="s">
        <v>199</v>
      </c>
      <c r="B761" s="2" t="s">
        <v>17</v>
      </c>
      <c r="C761" s="2" t="s">
        <v>13</v>
      </c>
      <c r="D761" s="2" t="s">
        <v>9</v>
      </c>
      <c r="E761" s="2" t="s">
        <v>24</v>
      </c>
      <c r="F761" s="5">
        <v>2461.888540854221</v>
      </c>
    </row>
    <row r="762" spans="1:6" ht="15.75" customHeight="1" x14ac:dyDescent="0.3">
      <c r="A762" s="4" t="s">
        <v>126</v>
      </c>
      <c r="B762" s="2" t="s">
        <v>30</v>
      </c>
      <c r="C762" s="2" t="s">
        <v>23</v>
      </c>
      <c r="D762" s="2" t="s">
        <v>14</v>
      </c>
      <c r="E762" s="2" t="s">
        <v>15</v>
      </c>
      <c r="F762" s="5">
        <v>3223.43</v>
      </c>
    </row>
    <row r="763" spans="1:6" ht="15.75" customHeight="1" x14ac:dyDescent="0.3">
      <c r="A763" s="4" t="s">
        <v>58</v>
      </c>
      <c r="B763" s="2" t="s">
        <v>17</v>
      </c>
      <c r="C763" s="2" t="s">
        <v>34</v>
      </c>
      <c r="D763" s="2" t="s">
        <v>28</v>
      </c>
      <c r="E763" s="2" t="s">
        <v>15</v>
      </c>
      <c r="F763" s="5">
        <v>3987.54</v>
      </c>
    </row>
    <row r="764" spans="1:6" ht="15.75" customHeight="1" x14ac:dyDescent="0.3">
      <c r="A764" s="4" t="s">
        <v>32</v>
      </c>
      <c r="B764" s="2" t="s">
        <v>7</v>
      </c>
      <c r="C764" s="2" t="s">
        <v>23</v>
      </c>
      <c r="D764" s="2" t="s">
        <v>14</v>
      </c>
      <c r="E764" s="2" t="s">
        <v>24</v>
      </c>
      <c r="F764" s="5">
        <v>2592.73</v>
      </c>
    </row>
    <row r="765" spans="1:6" ht="15.75" customHeight="1" x14ac:dyDescent="0.3">
      <c r="A765" s="4" t="s">
        <v>48</v>
      </c>
      <c r="B765" s="2" t="s">
        <v>19</v>
      </c>
      <c r="C765" s="2" t="s">
        <v>8</v>
      </c>
      <c r="D765" s="2" t="s">
        <v>28</v>
      </c>
      <c r="E765" s="2" t="s">
        <v>10</v>
      </c>
      <c r="F765" s="5">
        <v>3770.78</v>
      </c>
    </row>
    <row r="766" spans="1:6" ht="15.75" customHeight="1" x14ac:dyDescent="0.3">
      <c r="A766" s="4" t="s">
        <v>54</v>
      </c>
      <c r="B766" s="2" t="s">
        <v>12</v>
      </c>
      <c r="C766" s="2" t="s">
        <v>34</v>
      </c>
      <c r="D766" s="2" t="s">
        <v>14</v>
      </c>
      <c r="E766" s="2" t="s">
        <v>10</v>
      </c>
      <c r="F766" s="5">
        <v>348.87</v>
      </c>
    </row>
    <row r="767" spans="1:6" ht="15.75" customHeight="1" x14ac:dyDescent="0.3">
      <c r="A767" s="4" t="s">
        <v>189</v>
      </c>
      <c r="B767" s="2" t="s">
        <v>19</v>
      </c>
      <c r="C767" s="2" t="s">
        <v>13</v>
      </c>
      <c r="D767" s="2" t="s">
        <v>14</v>
      </c>
      <c r="E767" s="2" t="s">
        <v>15</v>
      </c>
      <c r="F767" s="5">
        <v>2278.9499999999998</v>
      </c>
    </row>
    <row r="768" spans="1:6" ht="15.75" customHeight="1" x14ac:dyDescent="0.3">
      <c r="A768" s="4" t="s">
        <v>85</v>
      </c>
      <c r="B768" s="2" t="s">
        <v>30</v>
      </c>
      <c r="C768" s="2" t="s">
        <v>8</v>
      </c>
      <c r="D768" s="2" t="s">
        <v>28</v>
      </c>
      <c r="E768" s="2" t="s">
        <v>10</v>
      </c>
      <c r="F768" s="5">
        <v>2550.35</v>
      </c>
    </row>
    <row r="769" spans="1:6" ht="15.75" customHeight="1" x14ac:dyDescent="0.3">
      <c r="A769" s="4" t="s">
        <v>107</v>
      </c>
      <c r="B769" s="2" t="s">
        <v>30</v>
      </c>
      <c r="C769" s="2" t="s">
        <v>23</v>
      </c>
      <c r="D769" s="2" t="s">
        <v>14</v>
      </c>
      <c r="E769" s="2" t="s">
        <v>15</v>
      </c>
      <c r="F769" s="5">
        <v>2694.43</v>
      </c>
    </row>
    <row r="770" spans="1:6" ht="15.75" customHeight="1" x14ac:dyDescent="0.3">
      <c r="A770" s="4" t="s">
        <v>114</v>
      </c>
      <c r="B770" s="2" t="s">
        <v>30</v>
      </c>
      <c r="C770" s="2" t="s">
        <v>13</v>
      </c>
      <c r="D770" s="2" t="s">
        <v>28</v>
      </c>
      <c r="E770" s="2" t="s">
        <v>10</v>
      </c>
      <c r="F770" s="5">
        <v>3868.63</v>
      </c>
    </row>
    <row r="771" spans="1:6" ht="15.75" customHeight="1" x14ac:dyDescent="0.3">
      <c r="A771" s="4" t="s">
        <v>70</v>
      </c>
      <c r="B771" s="2" t="s">
        <v>19</v>
      </c>
      <c r="C771" s="2" t="s">
        <v>8</v>
      </c>
      <c r="D771" s="2" t="s">
        <v>9</v>
      </c>
      <c r="E771" s="2" t="s">
        <v>10</v>
      </c>
      <c r="F771" s="5">
        <v>297.68827140952732</v>
      </c>
    </row>
    <row r="772" spans="1:6" ht="15.75" customHeight="1" x14ac:dyDescent="0.3">
      <c r="A772" s="4" t="s">
        <v>119</v>
      </c>
      <c r="B772" s="2" t="s">
        <v>30</v>
      </c>
      <c r="C772" s="2" t="s">
        <v>8</v>
      </c>
      <c r="D772" s="2" t="s">
        <v>28</v>
      </c>
      <c r="E772" s="2" t="s">
        <v>24</v>
      </c>
      <c r="F772" s="5">
        <v>579.69000000000005</v>
      </c>
    </row>
    <row r="773" spans="1:6" ht="15.75" customHeight="1" x14ac:dyDescent="0.3">
      <c r="A773" s="4" t="s">
        <v>197</v>
      </c>
      <c r="B773" s="2" t="s">
        <v>30</v>
      </c>
      <c r="C773" s="2" t="s">
        <v>8</v>
      </c>
      <c r="D773" s="2" t="s">
        <v>28</v>
      </c>
      <c r="E773" s="2" t="s">
        <v>10</v>
      </c>
      <c r="F773" s="5">
        <v>1933.86</v>
      </c>
    </row>
    <row r="774" spans="1:6" ht="15.75" customHeight="1" x14ac:dyDescent="0.3">
      <c r="A774" s="4" t="s">
        <v>191</v>
      </c>
      <c r="B774" s="2" t="s">
        <v>12</v>
      </c>
      <c r="C774" s="2" t="s">
        <v>13</v>
      </c>
      <c r="D774" s="2" t="s">
        <v>28</v>
      </c>
      <c r="E774" s="2" t="s">
        <v>15</v>
      </c>
      <c r="F774" s="5">
        <v>2753.65</v>
      </c>
    </row>
    <row r="775" spans="1:6" ht="15.75" customHeight="1" x14ac:dyDescent="0.3">
      <c r="A775" s="4" t="s">
        <v>122</v>
      </c>
      <c r="B775" s="2" t="s">
        <v>19</v>
      </c>
      <c r="C775" s="2" t="s">
        <v>13</v>
      </c>
      <c r="D775" s="2" t="s">
        <v>14</v>
      </c>
      <c r="E775" s="2" t="s">
        <v>15</v>
      </c>
      <c r="F775" s="5">
        <v>1643.04</v>
      </c>
    </row>
    <row r="776" spans="1:6" ht="15.75" customHeight="1" x14ac:dyDescent="0.3">
      <c r="A776" s="4" t="s">
        <v>109</v>
      </c>
      <c r="B776" s="2" t="s">
        <v>12</v>
      </c>
      <c r="C776" s="2" t="s">
        <v>13</v>
      </c>
      <c r="D776" s="2" t="s">
        <v>14</v>
      </c>
      <c r="E776" s="2" t="s">
        <v>15</v>
      </c>
      <c r="F776" s="5">
        <v>4614.76</v>
      </c>
    </row>
    <row r="777" spans="1:6" ht="15.75" customHeight="1" x14ac:dyDescent="0.3">
      <c r="A777" s="4" t="s">
        <v>184</v>
      </c>
      <c r="B777" s="2" t="s">
        <v>30</v>
      </c>
      <c r="C777" s="2" t="s">
        <v>23</v>
      </c>
      <c r="D777" s="2" t="s">
        <v>28</v>
      </c>
      <c r="E777" s="2" t="s">
        <v>10</v>
      </c>
      <c r="F777" s="5">
        <v>1222.43</v>
      </c>
    </row>
    <row r="778" spans="1:6" ht="15.75" customHeight="1" x14ac:dyDescent="0.3">
      <c r="A778" s="4" t="s">
        <v>213</v>
      </c>
      <c r="B778" s="2" t="s">
        <v>12</v>
      </c>
      <c r="C778" s="2" t="s">
        <v>8</v>
      </c>
      <c r="D778" s="2" t="s">
        <v>9</v>
      </c>
      <c r="E778" s="2" t="s">
        <v>24</v>
      </c>
      <c r="F778" s="5">
        <v>2583.2195624347351</v>
      </c>
    </row>
    <row r="779" spans="1:6" ht="15.75" customHeight="1" x14ac:dyDescent="0.3">
      <c r="A779" s="4" t="s">
        <v>54</v>
      </c>
      <c r="B779" s="2" t="s">
        <v>12</v>
      </c>
      <c r="C779" s="2" t="s">
        <v>8</v>
      </c>
      <c r="D779" s="2" t="s">
        <v>28</v>
      </c>
      <c r="E779" s="2" t="s">
        <v>15</v>
      </c>
      <c r="F779" s="5">
        <v>1562.45</v>
      </c>
    </row>
    <row r="780" spans="1:6" ht="15.75" customHeight="1" x14ac:dyDescent="0.3">
      <c r="A780" s="4" t="s">
        <v>18</v>
      </c>
      <c r="B780" s="2" t="s">
        <v>19</v>
      </c>
      <c r="C780" s="2" t="s">
        <v>34</v>
      </c>
      <c r="D780" s="2" t="s">
        <v>9</v>
      </c>
      <c r="E780" s="2" t="s">
        <v>24</v>
      </c>
      <c r="F780" s="5">
        <v>3844.3352818656649</v>
      </c>
    </row>
    <row r="781" spans="1:6" ht="15.75" customHeight="1" x14ac:dyDescent="0.3">
      <c r="A781" s="4" t="s">
        <v>98</v>
      </c>
      <c r="B781" s="2" t="s">
        <v>19</v>
      </c>
      <c r="C781" s="2" t="s">
        <v>23</v>
      </c>
      <c r="D781" s="2" t="s">
        <v>9</v>
      </c>
      <c r="E781" s="2" t="s">
        <v>10</v>
      </c>
      <c r="F781" s="5">
        <v>695.19</v>
      </c>
    </row>
    <row r="782" spans="1:6" ht="15.75" customHeight="1" x14ac:dyDescent="0.3">
      <c r="A782" s="4" t="s">
        <v>214</v>
      </c>
      <c r="B782" s="2" t="s">
        <v>30</v>
      </c>
      <c r="C782" s="2" t="s">
        <v>34</v>
      </c>
      <c r="D782" s="2" t="s">
        <v>28</v>
      </c>
      <c r="E782" s="2" t="s">
        <v>15</v>
      </c>
      <c r="F782" s="5">
        <v>4607.08</v>
      </c>
    </row>
    <row r="783" spans="1:6" ht="15.75" customHeight="1" x14ac:dyDescent="0.3">
      <c r="A783" s="4" t="s">
        <v>76</v>
      </c>
      <c r="B783" s="2" t="s">
        <v>17</v>
      </c>
      <c r="C783" s="2" t="s">
        <v>13</v>
      </c>
      <c r="D783" s="2" t="s">
        <v>9</v>
      </c>
      <c r="E783" s="2" t="s">
        <v>10</v>
      </c>
      <c r="F783" s="5">
        <v>2391.3231032927852</v>
      </c>
    </row>
    <row r="784" spans="1:6" ht="15.75" customHeight="1" x14ac:dyDescent="0.3">
      <c r="A784" s="4" t="s">
        <v>186</v>
      </c>
      <c r="B784" s="2" t="s">
        <v>30</v>
      </c>
      <c r="C784" s="2" t="s">
        <v>13</v>
      </c>
      <c r="D784" s="2" t="s">
        <v>14</v>
      </c>
      <c r="E784" s="2" t="s">
        <v>15</v>
      </c>
      <c r="F784" s="5">
        <v>4313.43</v>
      </c>
    </row>
    <row r="785" spans="1:6" ht="15.75" customHeight="1" x14ac:dyDescent="0.3">
      <c r="A785" s="4" t="s">
        <v>107</v>
      </c>
      <c r="B785" s="2" t="s">
        <v>30</v>
      </c>
      <c r="C785" s="2" t="s">
        <v>13</v>
      </c>
      <c r="D785" s="2" t="s">
        <v>14</v>
      </c>
      <c r="E785" s="2" t="s">
        <v>10</v>
      </c>
      <c r="F785" s="5">
        <v>1094.0999999999999</v>
      </c>
    </row>
    <row r="786" spans="1:6" ht="15.75" customHeight="1" x14ac:dyDescent="0.3">
      <c r="A786" s="4" t="s">
        <v>202</v>
      </c>
      <c r="B786" s="2" t="s">
        <v>12</v>
      </c>
      <c r="C786" s="2" t="s">
        <v>13</v>
      </c>
      <c r="D786" s="2" t="s">
        <v>9</v>
      </c>
      <c r="E786" s="2" t="s">
        <v>10</v>
      </c>
      <c r="F786" s="5">
        <v>5193.7170605778019</v>
      </c>
    </row>
    <row r="787" spans="1:6" ht="15.75" customHeight="1" x14ac:dyDescent="0.3">
      <c r="A787" s="4" t="s">
        <v>184</v>
      </c>
      <c r="B787" s="2" t="s">
        <v>30</v>
      </c>
      <c r="C787" s="2" t="s">
        <v>13</v>
      </c>
      <c r="D787" s="2" t="s">
        <v>28</v>
      </c>
      <c r="E787" s="2" t="s">
        <v>24</v>
      </c>
      <c r="F787" s="5">
        <v>3352.59</v>
      </c>
    </row>
    <row r="788" spans="1:6" ht="15.75" customHeight="1" x14ac:dyDescent="0.3">
      <c r="A788" s="4" t="s">
        <v>123</v>
      </c>
      <c r="B788" s="2" t="s">
        <v>30</v>
      </c>
      <c r="C788" s="2" t="s">
        <v>23</v>
      </c>
      <c r="D788" s="2" t="s">
        <v>9</v>
      </c>
      <c r="E788" s="2" t="s">
        <v>10</v>
      </c>
      <c r="F788" s="5">
        <v>3888.52</v>
      </c>
    </row>
    <row r="789" spans="1:6" ht="15.75" customHeight="1" x14ac:dyDescent="0.3">
      <c r="A789" s="4" t="s">
        <v>108</v>
      </c>
      <c r="B789" s="2" t="s">
        <v>7</v>
      </c>
      <c r="C789" s="2" t="s">
        <v>23</v>
      </c>
      <c r="D789" s="2" t="s">
        <v>28</v>
      </c>
      <c r="E789" s="2" t="s">
        <v>15</v>
      </c>
      <c r="F789" s="5">
        <v>3140.95</v>
      </c>
    </row>
    <row r="790" spans="1:6" ht="15.75" customHeight="1" x14ac:dyDescent="0.3">
      <c r="A790" s="4" t="s">
        <v>57</v>
      </c>
      <c r="B790" s="2" t="s">
        <v>19</v>
      </c>
      <c r="C790" s="2" t="s">
        <v>13</v>
      </c>
      <c r="D790" s="2" t="s">
        <v>9</v>
      </c>
      <c r="E790" s="2" t="s">
        <v>24</v>
      </c>
      <c r="F790" s="5">
        <v>1260.773817172354</v>
      </c>
    </row>
    <row r="791" spans="1:6" ht="15.75" customHeight="1" x14ac:dyDescent="0.3">
      <c r="A791" s="4" t="s">
        <v>156</v>
      </c>
      <c r="B791" s="2" t="s">
        <v>17</v>
      </c>
      <c r="C791" s="2" t="s">
        <v>23</v>
      </c>
      <c r="D791" s="2" t="s">
        <v>14</v>
      </c>
      <c r="E791" s="2" t="s">
        <v>24</v>
      </c>
      <c r="F791" s="5">
        <v>416.29</v>
      </c>
    </row>
    <row r="792" spans="1:6" ht="15.75" customHeight="1" x14ac:dyDescent="0.3">
      <c r="A792" s="4" t="s">
        <v>143</v>
      </c>
      <c r="B792" s="2" t="s">
        <v>17</v>
      </c>
      <c r="C792" s="2" t="s">
        <v>8</v>
      </c>
      <c r="D792" s="2" t="s">
        <v>14</v>
      </c>
      <c r="E792" s="2" t="s">
        <v>15</v>
      </c>
      <c r="F792" s="5">
        <v>96.09</v>
      </c>
    </row>
    <row r="793" spans="1:6" ht="15.75" customHeight="1" x14ac:dyDescent="0.3">
      <c r="A793" s="4" t="s">
        <v>130</v>
      </c>
      <c r="B793" s="2" t="s">
        <v>12</v>
      </c>
      <c r="C793" s="2" t="s">
        <v>23</v>
      </c>
      <c r="D793" s="2" t="s">
        <v>28</v>
      </c>
      <c r="E793" s="2" t="s">
        <v>15</v>
      </c>
      <c r="F793" s="5">
        <v>1224.1099999999999</v>
      </c>
    </row>
    <row r="794" spans="1:6" ht="15.75" customHeight="1" x14ac:dyDescent="0.3">
      <c r="A794" s="4" t="s">
        <v>37</v>
      </c>
      <c r="B794" s="2" t="s">
        <v>17</v>
      </c>
      <c r="C794" s="2" t="s">
        <v>34</v>
      </c>
      <c r="D794" s="2" t="s">
        <v>14</v>
      </c>
      <c r="E794" s="2" t="s">
        <v>15</v>
      </c>
      <c r="F794" s="5">
        <v>3899.81</v>
      </c>
    </row>
    <row r="795" spans="1:6" ht="15.75" customHeight="1" x14ac:dyDescent="0.3">
      <c r="A795" s="4" t="s">
        <v>117</v>
      </c>
      <c r="B795" s="2" t="s">
        <v>7</v>
      </c>
      <c r="C795" s="2" t="s">
        <v>13</v>
      </c>
      <c r="D795" s="2" t="s">
        <v>28</v>
      </c>
      <c r="E795" s="2" t="s">
        <v>15</v>
      </c>
      <c r="F795" s="5">
        <v>1065.82</v>
      </c>
    </row>
    <row r="796" spans="1:6" ht="15.75" customHeight="1" x14ac:dyDescent="0.3">
      <c r="A796" s="4" t="s">
        <v>177</v>
      </c>
      <c r="B796" s="2" t="s">
        <v>7</v>
      </c>
      <c r="C796" s="2" t="s">
        <v>34</v>
      </c>
      <c r="D796" s="2" t="s">
        <v>28</v>
      </c>
      <c r="E796" s="2" t="s">
        <v>15</v>
      </c>
      <c r="F796" s="5">
        <v>4448.1899999999996</v>
      </c>
    </row>
    <row r="797" spans="1:6" ht="15.75" customHeight="1" x14ac:dyDescent="0.3">
      <c r="A797" s="4" t="s">
        <v>43</v>
      </c>
      <c r="B797" s="2" t="s">
        <v>17</v>
      </c>
      <c r="C797" s="2" t="s">
        <v>23</v>
      </c>
      <c r="D797" s="2" t="s">
        <v>9</v>
      </c>
      <c r="E797" s="2" t="s">
        <v>24</v>
      </c>
      <c r="F797" s="5">
        <v>2211.0873019892242</v>
      </c>
    </row>
    <row r="798" spans="1:6" ht="15.75" customHeight="1" x14ac:dyDescent="0.3">
      <c r="A798" s="4" t="s">
        <v>140</v>
      </c>
      <c r="B798" s="2" t="s">
        <v>17</v>
      </c>
      <c r="C798" s="2" t="s">
        <v>23</v>
      </c>
      <c r="D798" s="2" t="s">
        <v>9</v>
      </c>
      <c r="E798" s="2" t="s">
        <v>24</v>
      </c>
      <c r="F798" s="5">
        <v>3199.406901130681</v>
      </c>
    </row>
    <row r="799" spans="1:6" ht="15.75" customHeight="1" x14ac:dyDescent="0.3">
      <c r="A799" s="4" t="s">
        <v>212</v>
      </c>
      <c r="B799" s="2" t="s">
        <v>7</v>
      </c>
      <c r="C799" s="2" t="s">
        <v>34</v>
      </c>
      <c r="D799" s="2" t="s">
        <v>14</v>
      </c>
      <c r="E799" s="2" t="s">
        <v>24</v>
      </c>
      <c r="F799" s="5">
        <v>2263.6999999999998</v>
      </c>
    </row>
    <row r="800" spans="1:6" ht="15.75" customHeight="1" x14ac:dyDescent="0.3">
      <c r="A800" s="4" t="s">
        <v>49</v>
      </c>
      <c r="B800" s="2" t="s">
        <v>19</v>
      </c>
      <c r="C800" s="2" t="s">
        <v>13</v>
      </c>
      <c r="D800" s="2" t="s">
        <v>14</v>
      </c>
      <c r="E800" s="2" t="s">
        <v>15</v>
      </c>
      <c r="F800" s="5">
        <v>4326.03</v>
      </c>
    </row>
    <row r="801" spans="1:6" ht="15.75" customHeight="1" x14ac:dyDescent="0.3">
      <c r="A801" s="4" t="s">
        <v>203</v>
      </c>
      <c r="B801" s="2" t="s">
        <v>12</v>
      </c>
      <c r="C801" s="2" t="s">
        <v>34</v>
      </c>
      <c r="D801" s="2" t="s">
        <v>9</v>
      </c>
      <c r="E801" s="2" t="s">
        <v>24</v>
      </c>
      <c r="F801" s="5">
        <v>4352.7373254144322</v>
      </c>
    </row>
    <row r="802" spans="1:6" ht="15.75" customHeight="1" x14ac:dyDescent="0.3">
      <c r="A802" s="4" t="s">
        <v>32</v>
      </c>
      <c r="B802" s="2" t="s">
        <v>7</v>
      </c>
      <c r="C802" s="2" t="s">
        <v>13</v>
      </c>
      <c r="D802" s="2" t="s">
        <v>9</v>
      </c>
      <c r="E802" s="2" t="s">
        <v>15</v>
      </c>
      <c r="F802" s="5">
        <v>4294.79</v>
      </c>
    </row>
    <row r="803" spans="1:6" ht="15.75" customHeight="1" x14ac:dyDescent="0.3">
      <c r="A803" s="4" t="s">
        <v>132</v>
      </c>
      <c r="B803" s="2" t="s">
        <v>19</v>
      </c>
      <c r="C803" s="2" t="s">
        <v>23</v>
      </c>
      <c r="D803" s="2" t="s">
        <v>14</v>
      </c>
      <c r="E803" s="2" t="s">
        <v>15</v>
      </c>
      <c r="F803" s="5">
        <v>2678.48</v>
      </c>
    </row>
    <row r="804" spans="1:6" ht="15.75" customHeight="1" x14ac:dyDescent="0.3">
      <c r="A804" s="4" t="s">
        <v>73</v>
      </c>
      <c r="B804" s="2" t="s">
        <v>30</v>
      </c>
      <c r="C804" s="2" t="s">
        <v>8</v>
      </c>
      <c r="D804" s="2" t="s">
        <v>14</v>
      </c>
      <c r="E804" s="2" t="s">
        <v>15</v>
      </c>
      <c r="F804" s="5">
        <v>2267.79</v>
      </c>
    </row>
    <row r="805" spans="1:6" ht="15.75" customHeight="1" x14ac:dyDescent="0.3">
      <c r="A805" s="4" t="s">
        <v>93</v>
      </c>
      <c r="B805" s="2" t="s">
        <v>30</v>
      </c>
      <c r="C805" s="2" t="s">
        <v>8</v>
      </c>
      <c r="D805" s="2" t="s">
        <v>14</v>
      </c>
      <c r="E805" s="2" t="s">
        <v>24</v>
      </c>
      <c r="F805" s="5">
        <v>2496.0100000000002</v>
      </c>
    </row>
    <row r="806" spans="1:6" ht="15.75" customHeight="1" x14ac:dyDescent="0.3">
      <c r="A806" s="4" t="s">
        <v>16</v>
      </c>
      <c r="B806" s="2" t="s">
        <v>17</v>
      </c>
      <c r="C806" s="2" t="s">
        <v>13</v>
      </c>
      <c r="D806" s="2" t="s">
        <v>14</v>
      </c>
      <c r="E806" s="2" t="s">
        <v>15</v>
      </c>
      <c r="F806" s="5">
        <v>4601.71</v>
      </c>
    </row>
    <row r="807" spans="1:6" ht="15.75" customHeight="1" x14ac:dyDescent="0.3">
      <c r="A807" s="4" t="s">
        <v>211</v>
      </c>
      <c r="B807" s="2" t="s">
        <v>7</v>
      </c>
      <c r="C807" s="2" t="s">
        <v>34</v>
      </c>
      <c r="D807" s="2" t="s">
        <v>28</v>
      </c>
      <c r="E807" s="2" t="s">
        <v>24</v>
      </c>
      <c r="F807" s="5">
        <v>2739.77</v>
      </c>
    </row>
    <row r="808" spans="1:6" ht="15.75" customHeight="1" x14ac:dyDescent="0.3">
      <c r="A808" s="4" t="s">
        <v>99</v>
      </c>
      <c r="B808" s="2" t="s">
        <v>19</v>
      </c>
      <c r="C808" s="2" t="s">
        <v>23</v>
      </c>
      <c r="D808" s="2" t="s">
        <v>9</v>
      </c>
      <c r="E808" s="2" t="s">
        <v>10</v>
      </c>
      <c r="F808" s="5">
        <v>1410.4</v>
      </c>
    </row>
    <row r="809" spans="1:6" ht="15.75" customHeight="1" x14ac:dyDescent="0.3">
      <c r="A809" s="4" t="s">
        <v>171</v>
      </c>
      <c r="B809" s="2" t="s">
        <v>17</v>
      </c>
      <c r="C809" s="2" t="s">
        <v>8</v>
      </c>
      <c r="D809" s="2" t="s">
        <v>9</v>
      </c>
      <c r="E809" s="2" t="s">
        <v>24</v>
      </c>
      <c r="F809" s="5">
        <v>2563.093739226782</v>
      </c>
    </row>
    <row r="810" spans="1:6" ht="15.75" customHeight="1" x14ac:dyDescent="0.3">
      <c r="A810" s="4" t="s">
        <v>208</v>
      </c>
      <c r="B810" s="2" t="s">
        <v>19</v>
      </c>
      <c r="C810" s="2" t="s">
        <v>23</v>
      </c>
      <c r="D810" s="2" t="s">
        <v>14</v>
      </c>
      <c r="E810" s="2" t="s">
        <v>24</v>
      </c>
      <c r="F810" s="5">
        <v>886.98</v>
      </c>
    </row>
    <row r="811" spans="1:6" ht="15.75" customHeight="1" x14ac:dyDescent="0.3">
      <c r="A811" s="4" t="s">
        <v>73</v>
      </c>
      <c r="B811" s="2" t="s">
        <v>30</v>
      </c>
      <c r="C811" s="2" t="s">
        <v>23</v>
      </c>
      <c r="D811" s="2" t="s">
        <v>14</v>
      </c>
      <c r="E811" s="2" t="s">
        <v>15</v>
      </c>
      <c r="F811" s="5">
        <v>4317.26</v>
      </c>
    </row>
    <row r="812" spans="1:6" ht="15.75" customHeight="1" x14ac:dyDescent="0.3">
      <c r="A812" s="4" t="s">
        <v>70</v>
      </c>
      <c r="B812" s="2" t="s">
        <v>19</v>
      </c>
      <c r="C812" s="2" t="s">
        <v>13</v>
      </c>
      <c r="D812" s="2" t="s">
        <v>28</v>
      </c>
      <c r="E812" s="2" t="s">
        <v>15</v>
      </c>
      <c r="F812" s="5">
        <v>1597.82</v>
      </c>
    </row>
    <row r="813" spans="1:6" ht="15.75" customHeight="1" x14ac:dyDescent="0.3">
      <c r="A813" s="4" t="s">
        <v>154</v>
      </c>
      <c r="B813" s="2" t="s">
        <v>12</v>
      </c>
      <c r="C813" s="2" t="s">
        <v>8</v>
      </c>
      <c r="D813" s="2" t="s">
        <v>14</v>
      </c>
      <c r="E813" s="2" t="s">
        <v>10</v>
      </c>
      <c r="F813" s="5">
        <v>3825.5</v>
      </c>
    </row>
    <row r="814" spans="1:6" ht="15.75" customHeight="1" x14ac:dyDescent="0.3">
      <c r="A814" s="4" t="s">
        <v>202</v>
      </c>
      <c r="B814" s="2" t="s">
        <v>12</v>
      </c>
      <c r="C814" s="2" t="s">
        <v>8</v>
      </c>
      <c r="D814" s="2" t="s">
        <v>9</v>
      </c>
      <c r="E814" s="2" t="s">
        <v>10</v>
      </c>
      <c r="F814" s="5">
        <v>3766.340130936369</v>
      </c>
    </row>
    <row r="815" spans="1:6" ht="15.75" customHeight="1" x14ac:dyDescent="0.3">
      <c r="A815" s="4" t="s">
        <v>51</v>
      </c>
      <c r="B815" s="2" t="s">
        <v>30</v>
      </c>
      <c r="C815" s="2" t="s">
        <v>13</v>
      </c>
      <c r="D815" s="2" t="s">
        <v>9</v>
      </c>
      <c r="E815" s="2" t="s">
        <v>15</v>
      </c>
      <c r="F815" s="5">
        <v>4885.6576479573241</v>
      </c>
    </row>
    <row r="816" spans="1:6" ht="15.75" customHeight="1" x14ac:dyDescent="0.3">
      <c r="A816" s="4" t="s">
        <v>39</v>
      </c>
      <c r="B816" s="2" t="s">
        <v>7</v>
      </c>
      <c r="C816" s="2" t="s">
        <v>23</v>
      </c>
      <c r="D816" s="2" t="s">
        <v>9</v>
      </c>
      <c r="E816" s="2" t="s">
        <v>24</v>
      </c>
      <c r="F816" s="5">
        <v>2013.053784248531</v>
      </c>
    </row>
    <row r="817" spans="1:6" ht="15.75" customHeight="1" x14ac:dyDescent="0.3">
      <c r="A817" s="4" t="s">
        <v>89</v>
      </c>
      <c r="B817" s="2" t="s">
        <v>17</v>
      </c>
      <c r="C817" s="2" t="s">
        <v>34</v>
      </c>
      <c r="D817" s="2" t="s">
        <v>9</v>
      </c>
      <c r="E817" s="2" t="s">
        <v>24</v>
      </c>
      <c r="F817" s="5">
        <v>2140.4226186842402</v>
      </c>
    </row>
    <row r="818" spans="1:6" ht="15.75" customHeight="1" x14ac:dyDescent="0.3">
      <c r="A818" s="4" t="s">
        <v>182</v>
      </c>
      <c r="B818" s="2" t="s">
        <v>12</v>
      </c>
      <c r="C818" s="2" t="s">
        <v>13</v>
      </c>
      <c r="D818" s="2" t="s">
        <v>28</v>
      </c>
      <c r="E818" s="2" t="s">
        <v>10</v>
      </c>
      <c r="F818" s="5">
        <v>707.7</v>
      </c>
    </row>
    <row r="819" spans="1:6" ht="15.75" customHeight="1" x14ac:dyDescent="0.3">
      <c r="A819" s="4" t="s">
        <v>57</v>
      </c>
      <c r="B819" s="2" t="s">
        <v>19</v>
      </c>
      <c r="C819" s="2" t="s">
        <v>23</v>
      </c>
      <c r="D819" s="2" t="s">
        <v>28</v>
      </c>
      <c r="E819" s="2" t="s">
        <v>24</v>
      </c>
      <c r="F819" s="5">
        <v>1703.95</v>
      </c>
    </row>
    <row r="820" spans="1:6" ht="15.75" customHeight="1" x14ac:dyDescent="0.3">
      <c r="A820" s="4" t="s">
        <v>199</v>
      </c>
      <c r="B820" s="2" t="s">
        <v>17</v>
      </c>
      <c r="C820" s="2" t="s">
        <v>8</v>
      </c>
      <c r="D820" s="2" t="s">
        <v>28</v>
      </c>
      <c r="E820" s="2" t="s">
        <v>10</v>
      </c>
      <c r="F820" s="5">
        <v>3023.57</v>
      </c>
    </row>
    <row r="821" spans="1:6" ht="15.75" customHeight="1" x14ac:dyDescent="0.3">
      <c r="A821" s="4" t="s">
        <v>11</v>
      </c>
      <c r="B821" s="2" t="s">
        <v>12</v>
      </c>
      <c r="C821" s="2" t="s">
        <v>23</v>
      </c>
      <c r="D821" s="2" t="s">
        <v>28</v>
      </c>
      <c r="E821" s="2" t="s">
        <v>24</v>
      </c>
      <c r="F821" s="5">
        <v>2101.7199999999998</v>
      </c>
    </row>
    <row r="822" spans="1:6" ht="15.75" customHeight="1" x14ac:dyDescent="0.3">
      <c r="A822" s="4" t="s">
        <v>215</v>
      </c>
      <c r="B822" s="2" t="s">
        <v>17</v>
      </c>
      <c r="C822" s="2" t="s">
        <v>34</v>
      </c>
      <c r="D822" s="2" t="s">
        <v>14</v>
      </c>
      <c r="E822" s="2" t="s">
        <v>15</v>
      </c>
      <c r="F822" s="5">
        <v>72.97</v>
      </c>
    </row>
    <row r="823" spans="1:6" ht="15.75" customHeight="1" x14ac:dyDescent="0.3">
      <c r="A823" s="4" t="s">
        <v>107</v>
      </c>
      <c r="B823" s="2" t="s">
        <v>30</v>
      </c>
      <c r="C823" s="2" t="s">
        <v>34</v>
      </c>
      <c r="D823" s="2" t="s">
        <v>28</v>
      </c>
      <c r="E823" s="2" t="s">
        <v>10</v>
      </c>
      <c r="F823" s="5">
        <v>1271.98</v>
      </c>
    </row>
    <row r="824" spans="1:6" ht="15.75" customHeight="1" x14ac:dyDescent="0.3">
      <c r="A824" s="4" t="s">
        <v>201</v>
      </c>
      <c r="B824" s="2" t="s">
        <v>12</v>
      </c>
      <c r="C824" s="2" t="s">
        <v>8</v>
      </c>
      <c r="D824" s="2" t="s">
        <v>14</v>
      </c>
      <c r="E824" s="2" t="s">
        <v>10</v>
      </c>
      <c r="F824" s="5">
        <v>1645.13</v>
      </c>
    </row>
    <row r="825" spans="1:6" ht="15.75" customHeight="1" x14ac:dyDescent="0.3">
      <c r="A825" s="4" t="s">
        <v>201</v>
      </c>
      <c r="B825" s="2" t="s">
        <v>12</v>
      </c>
      <c r="C825" s="2" t="s">
        <v>8</v>
      </c>
      <c r="D825" s="2" t="s">
        <v>14</v>
      </c>
      <c r="E825" s="2" t="s">
        <v>15</v>
      </c>
      <c r="F825" s="5">
        <v>1271.48</v>
      </c>
    </row>
    <row r="826" spans="1:6" ht="15.75" customHeight="1" x14ac:dyDescent="0.3">
      <c r="A826" s="4" t="s">
        <v>134</v>
      </c>
      <c r="B826" s="2" t="s">
        <v>7</v>
      </c>
      <c r="C826" s="2" t="s">
        <v>23</v>
      </c>
      <c r="D826" s="2" t="s">
        <v>28</v>
      </c>
      <c r="E826" s="2" t="s">
        <v>15</v>
      </c>
      <c r="F826" s="5">
        <v>1183.23</v>
      </c>
    </row>
    <row r="827" spans="1:6" ht="15.75" customHeight="1" x14ac:dyDescent="0.3">
      <c r="A827" s="4" t="s">
        <v>164</v>
      </c>
      <c r="B827" s="2" t="s">
        <v>19</v>
      </c>
      <c r="C827" s="2" t="s">
        <v>13</v>
      </c>
      <c r="D827" s="2" t="s">
        <v>9</v>
      </c>
      <c r="E827" s="2" t="s">
        <v>10</v>
      </c>
      <c r="F827" s="5">
        <v>3135.288240119628</v>
      </c>
    </row>
    <row r="828" spans="1:6" ht="15.75" customHeight="1" x14ac:dyDescent="0.3">
      <c r="A828" s="4" t="s">
        <v>124</v>
      </c>
      <c r="B828" s="2" t="s">
        <v>12</v>
      </c>
      <c r="C828" s="2" t="s">
        <v>23</v>
      </c>
      <c r="D828" s="2" t="s">
        <v>14</v>
      </c>
      <c r="E828" s="2" t="s">
        <v>15</v>
      </c>
      <c r="F828" s="5">
        <v>2647.47</v>
      </c>
    </row>
    <row r="829" spans="1:6" ht="15.75" customHeight="1" x14ac:dyDescent="0.3">
      <c r="A829" s="4" t="s">
        <v>174</v>
      </c>
      <c r="B829" s="2" t="s">
        <v>19</v>
      </c>
      <c r="C829" s="2" t="s">
        <v>13</v>
      </c>
      <c r="D829" s="2" t="s">
        <v>14</v>
      </c>
      <c r="E829" s="2" t="s">
        <v>15</v>
      </c>
      <c r="F829" s="5">
        <v>1670.25</v>
      </c>
    </row>
    <row r="830" spans="1:6" ht="15.75" customHeight="1" x14ac:dyDescent="0.3">
      <c r="A830" s="4" t="s">
        <v>105</v>
      </c>
      <c r="B830" s="2" t="s">
        <v>30</v>
      </c>
      <c r="C830" s="2" t="s">
        <v>13</v>
      </c>
      <c r="D830" s="2" t="s">
        <v>9</v>
      </c>
      <c r="E830" s="2" t="s">
        <v>15</v>
      </c>
      <c r="F830" s="5">
        <v>3796.74</v>
      </c>
    </row>
    <row r="831" spans="1:6" ht="15.75" customHeight="1" x14ac:dyDescent="0.3">
      <c r="A831" s="4" t="s">
        <v>127</v>
      </c>
      <c r="B831" s="2" t="s">
        <v>17</v>
      </c>
      <c r="C831" s="2" t="s">
        <v>8</v>
      </c>
      <c r="D831" s="2" t="s">
        <v>14</v>
      </c>
      <c r="E831" s="2" t="s">
        <v>15</v>
      </c>
      <c r="F831" s="5">
        <v>2430.6999999999998</v>
      </c>
    </row>
    <row r="832" spans="1:6" ht="15.75" customHeight="1" x14ac:dyDescent="0.3">
      <c r="A832" s="4" t="s">
        <v>100</v>
      </c>
      <c r="B832" s="2" t="s">
        <v>7</v>
      </c>
      <c r="C832" s="2" t="s">
        <v>8</v>
      </c>
      <c r="D832" s="2" t="s">
        <v>9</v>
      </c>
      <c r="E832" s="2" t="s">
        <v>10</v>
      </c>
      <c r="F832" s="5">
        <v>4664.5184388300386</v>
      </c>
    </row>
    <row r="833" spans="1:6" ht="15.75" customHeight="1" x14ac:dyDescent="0.3">
      <c r="A833" s="4" t="s">
        <v>70</v>
      </c>
      <c r="B833" s="2" t="s">
        <v>19</v>
      </c>
      <c r="C833" s="2" t="s">
        <v>8</v>
      </c>
      <c r="D833" s="2" t="s">
        <v>14</v>
      </c>
      <c r="E833" s="2" t="s">
        <v>10</v>
      </c>
      <c r="F833" s="5">
        <v>2563.5500000000002</v>
      </c>
    </row>
    <row r="834" spans="1:6" ht="15.75" customHeight="1" x14ac:dyDescent="0.3">
      <c r="A834" s="4" t="s">
        <v>62</v>
      </c>
      <c r="B834" s="2" t="s">
        <v>30</v>
      </c>
      <c r="C834" s="2" t="s">
        <v>13</v>
      </c>
      <c r="D834" s="2" t="s">
        <v>14</v>
      </c>
      <c r="E834" s="2" t="s">
        <v>24</v>
      </c>
      <c r="F834" s="5">
        <v>2866.4</v>
      </c>
    </row>
    <row r="835" spans="1:6" ht="15.75" customHeight="1" x14ac:dyDescent="0.3">
      <c r="A835" s="4" t="s">
        <v>35</v>
      </c>
      <c r="B835" s="2" t="s">
        <v>19</v>
      </c>
      <c r="C835" s="2" t="s">
        <v>34</v>
      </c>
      <c r="D835" s="2" t="s">
        <v>14</v>
      </c>
      <c r="E835" s="2" t="s">
        <v>10</v>
      </c>
      <c r="F835" s="5">
        <v>4646.07</v>
      </c>
    </row>
    <row r="836" spans="1:6" ht="15.75" customHeight="1" x14ac:dyDescent="0.3">
      <c r="A836" s="4" t="s">
        <v>73</v>
      </c>
      <c r="B836" s="2" t="s">
        <v>30</v>
      </c>
      <c r="C836" s="2" t="s">
        <v>23</v>
      </c>
      <c r="D836" s="2" t="s">
        <v>9</v>
      </c>
      <c r="E836" s="2" t="s">
        <v>10</v>
      </c>
      <c r="F836" s="5">
        <v>858.75894456803849</v>
      </c>
    </row>
    <row r="837" spans="1:6" ht="15.75" customHeight="1" x14ac:dyDescent="0.3">
      <c r="A837" s="4" t="s">
        <v>111</v>
      </c>
      <c r="B837" s="2" t="s">
        <v>19</v>
      </c>
      <c r="C837" s="2" t="s">
        <v>34</v>
      </c>
      <c r="D837" s="2" t="s">
        <v>14</v>
      </c>
      <c r="E837" s="2" t="s">
        <v>10</v>
      </c>
      <c r="F837" s="5">
        <v>2645.6</v>
      </c>
    </row>
    <row r="838" spans="1:6" ht="15.75" customHeight="1" x14ac:dyDescent="0.3">
      <c r="A838" s="4" t="s">
        <v>153</v>
      </c>
      <c r="B838" s="2" t="s">
        <v>7</v>
      </c>
      <c r="C838" s="2" t="s">
        <v>23</v>
      </c>
      <c r="D838" s="2" t="s">
        <v>9</v>
      </c>
      <c r="E838" s="2" t="s">
        <v>10</v>
      </c>
      <c r="F838" s="5">
        <v>4396.4497886217696</v>
      </c>
    </row>
    <row r="839" spans="1:6" ht="15.75" customHeight="1" x14ac:dyDescent="0.3">
      <c r="A839" s="4" t="s">
        <v>64</v>
      </c>
      <c r="B839" s="2" t="s">
        <v>30</v>
      </c>
      <c r="C839" s="2" t="s">
        <v>8</v>
      </c>
      <c r="D839" s="2" t="s">
        <v>9</v>
      </c>
      <c r="E839" s="2" t="s">
        <v>15</v>
      </c>
      <c r="F839" s="5">
        <v>2468.89</v>
      </c>
    </row>
    <row r="840" spans="1:6" ht="15.75" customHeight="1" x14ac:dyDescent="0.3">
      <c r="A840" s="4" t="s">
        <v>108</v>
      </c>
      <c r="B840" s="2" t="s">
        <v>7</v>
      </c>
      <c r="C840" s="2" t="s">
        <v>13</v>
      </c>
      <c r="D840" s="2" t="s">
        <v>14</v>
      </c>
      <c r="E840" s="2" t="s">
        <v>24</v>
      </c>
      <c r="F840" s="5">
        <v>3901.9</v>
      </c>
    </row>
    <row r="841" spans="1:6" ht="15.75" customHeight="1" x14ac:dyDescent="0.3">
      <c r="A841" s="4" t="s">
        <v>193</v>
      </c>
      <c r="B841" s="2" t="s">
        <v>12</v>
      </c>
      <c r="C841" s="2" t="s">
        <v>23</v>
      </c>
      <c r="D841" s="2" t="s">
        <v>9</v>
      </c>
      <c r="E841" s="2" t="s">
        <v>24</v>
      </c>
      <c r="F841" s="5">
        <v>2711.0032078025588</v>
      </c>
    </row>
    <row r="842" spans="1:6" ht="15.75" customHeight="1" x14ac:dyDescent="0.3">
      <c r="A842" s="4" t="s">
        <v>110</v>
      </c>
      <c r="B842" s="2" t="s">
        <v>12</v>
      </c>
      <c r="C842" s="2" t="s">
        <v>13</v>
      </c>
      <c r="D842" s="2" t="s">
        <v>9</v>
      </c>
      <c r="E842" s="2" t="s">
        <v>24</v>
      </c>
      <c r="F842" s="5">
        <v>1971.3</v>
      </c>
    </row>
    <row r="843" spans="1:6" ht="15.75" customHeight="1" x14ac:dyDescent="0.3">
      <c r="A843" s="4" t="s">
        <v>189</v>
      </c>
      <c r="B843" s="2" t="s">
        <v>19</v>
      </c>
      <c r="C843" s="2" t="s">
        <v>13</v>
      </c>
      <c r="D843" s="2" t="s">
        <v>14</v>
      </c>
      <c r="E843" s="2" t="s">
        <v>24</v>
      </c>
      <c r="F843" s="5">
        <v>4296.74</v>
      </c>
    </row>
    <row r="844" spans="1:6" ht="15.75" customHeight="1" x14ac:dyDescent="0.3">
      <c r="A844" s="4" t="s">
        <v>87</v>
      </c>
      <c r="B844" s="2" t="s">
        <v>12</v>
      </c>
      <c r="C844" s="2" t="s">
        <v>23</v>
      </c>
      <c r="D844" s="2" t="s">
        <v>28</v>
      </c>
      <c r="E844" s="2" t="s">
        <v>24</v>
      </c>
      <c r="F844" s="5">
        <v>3792.89</v>
      </c>
    </row>
    <row r="845" spans="1:6" ht="15.75" customHeight="1" x14ac:dyDescent="0.3">
      <c r="A845" s="4" t="s">
        <v>99</v>
      </c>
      <c r="B845" s="2" t="s">
        <v>19</v>
      </c>
      <c r="C845" s="2" t="s">
        <v>34</v>
      </c>
      <c r="D845" s="2" t="s">
        <v>28</v>
      </c>
      <c r="E845" s="2" t="s">
        <v>15</v>
      </c>
      <c r="F845" s="5">
        <v>1486.21</v>
      </c>
    </row>
    <row r="846" spans="1:6" ht="15.75" customHeight="1" x14ac:dyDescent="0.3">
      <c r="A846" s="4" t="s">
        <v>216</v>
      </c>
      <c r="B846" s="2" t="s">
        <v>17</v>
      </c>
      <c r="C846" s="2" t="s">
        <v>34</v>
      </c>
      <c r="D846" s="2" t="s">
        <v>28</v>
      </c>
      <c r="E846" s="2" t="s">
        <v>15</v>
      </c>
      <c r="F846" s="5">
        <v>2653.12</v>
      </c>
    </row>
    <row r="847" spans="1:6" ht="15.75" customHeight="1" x14ac:dyDescent="0.3">
      <c r="A847" s="4" t="s">
        <v>181</v>
      </c>
      <c r="B847" s="2" t="s">
        <v>30</v>
      </c>
      <c r="C847" s="2" t="s">
        <v>23</v>
      </c>
      <c r="D847" s="2" t="s">
        <v>14</v>
      </c>
      <c r="E847" s="2" t="s">
        <v>15</v>
      </c>
      <c r="F847" s="5">
        <v>4329.05</v>
      </c>
    </row>
    <row r="848" spans="1:6" ht="15.75" customHeight="1" x14ac:dyDescent="0.3">
      <c r="A848" s="4" t="s">
        <v>184</v>
      </c>
      <c r="B848" s="2" t="s">
        <v>30</v>
      </c>
      <c r="C848" s="2" t="s">
        <v>13</v>
      </c>
      <c r="D848" s="2" t="s">
        <v>9</v>
      </c>
      <c r="E848" s="2" t="s">
        <v>10</v>
      </c>
      <c r="F848" s="5">
        <v>3438.482277400708</v>
      </c>
    </row>
    <row r="849" spans="1:6" ht="15.75" customHeight="1" x14ac:dyDescent="0.3">
      <c r="A849" s="4" t="s">
        <v>211</v>
      </c>
      <c r="B849" s="2" t="s">
        <v>7</v>
      </c>
      <c r="C849" s="2" t="s">
        <v>34</v>
      </c>
      <c r="D849" s="2" t="s">
        <v>9</v>
      </c>
      <c r="E849" s="2" t="s">
        <v>24</v>
      </c>
      <c r="F849" s="5">
        <v>4297.0303941046477</v>
      </c>
    </row>
    <row r="850" spans="1:6" ht="15.75" customHeight="1" x14ac:dyDescent="0.3">
      <c r="A850" s="4" t="s">
        <v>200</v>
      </c>
      <c r="B850" s="2" t="s">
        <v>30</v>
      </c>
      <c r="C850" s="2" t="s">
        <v>34</v>
      </c>
      <c r="D850" s="2" t="s">
        <v>9</v>
      </c>
      <c r="E850" s="2" t="s">
        <v>10</v>
      </c>
      <c r="F850" s="5">
        <v>1748.188033202129</v>
      </c>
    </row>
    <row r="851" spans="1:6" ht="15.75" customHeight="1" x14ac:dyDescent="0.3">
      <c r="A851" s="4" t="s">
        <v>185</v>
      </c>
      <c r="B851" s="2" t="s">
        <v>30</v>
      </c>
      <c r="C851" s="2" t="s">
        <v>34</v>
      </c>
      <c r="D851" s="2" t="s">
        <v>9</v>
      </c>
      <c r="E851" s="2" t="s">
        <v>15</v>
      </c>
      <c r="F851" s="5">
        <v>2629.36</v>
      </c>
    </row>
    <row r="852" spans="1:6" ht="15.75" customHeight="1" x14ac:dyDescent="0.3">
      <c r="A852" s="4" t="s">
        <v>94</v>
      </c>
      <c r="B852" s="2" t="s">
        <v>7</v>
      </c>
      <c r="C852" s="2" t="s">
        <v>13</v>
      </c>
      <c r="D852" s="2" t="s">
        <v>9</v>
      </c>
      <c r="E852" s="2" t="s">
        <v>10</v>
      </c>
      <c r="F852" s="5">
        <v>4350.9599642059884</v>
      </c>
    </row>
    <row r="853" spans="1:6" ht="15.75" customHeight="1" x14ac:dyDescent="0.3">
      <c r="A853" s="4" t="s">
        <v>142</v>
      </c>
      <c r="B853" s="2" t="s">
        <v>17</v>
      </c>
      <c r="C853" s="2" t="s">
        <v>34</v>
      </c>
      <c r="D853" s="2" t="s">
        <v>14</v>
      </c>
      <c r="E853" s="2" t="s">
        <v>10</v>
      </c>
      <c r="F853" s="5">
        <v>400</v>
      </c>
    </row>
    <row r="854" spans="1:6" ht="15.75" customHeight="1" x14ac:dyDescent="0.3">
      <c r="A854" s="4" t="s">
        <v>144</v>
      </c>
      <c r="B854" s="2" t="s">
        <v>30</v>
      </c>
      <c r="C854" s="2" t="s">
        <v>23</v>
      </c>
      <c r="D854" s="2" t="s">
        <v>28</v>
      </c>
      <c r="E854" s="2" t="s">
        <v>15</v>
      </c>
      <c r="F854" s="5">
        <v>4737.45</v>
      </c>
    </row>
    <row r="855" spans="1:6" ht="15.75" customHeight="1" x14ac:dyDescent="0.3">
      <c r="A855" s="4" t="s">
        <v>217</v>
      </c>
      <c r="B855" s="2" t="s">
        <v>19</v>
      </c>
      <c r="C855" s="2" t="s">
        <v>23</v>
      </c>
      <c r="D855" s="2" t="s">
        <v>28</v>
      </c>
      <c r="E855" s="2" t="s">
        <v>24</v>
      </c>
      <c r="F855" s="5">
        <v>2400.9</v>
      </c>
    </row>
    <row r="856" spans="1:6" ht="15.75" customHeight="1" x14ac:dyDescent="0.3">
      <c r="A856" s="4" t="s">
        <v>88</v>
      </c>
      <c r="B856" s="2" t="s">
        <v>7</v>
      </c>
      <c r="C856" s="2" t="s">
        <v>34</v>
      </c>
      <c r="D856" s="2" t="s">
        <v>14</v>
      </c>
      <c r="E856" s="2" t="s">
        <v>10</v>
      </c>
      <c r="F856" s="5">
        <v>3887.35</v>
      </c>
    </row>
    <row r="857" spans="1:6" ht="15.75" customHeight="1" x14ac:dyDescent="0.3">
      <c r="A857" s="4" t="s">
        <v>31</v>
      </c>
      <c r="B857" s="2" t="s">
        <v>30</v>
      </c>
      <c r="C857" s="2" t="s">
        <v>13</v>
      </c>
      <c r="D857" s="2" t="s">
        <v>14</v>
      </c>
      <c r="E857" s="2" t="s">
        <v>10</v>
      </c>
      <c r="F857" s="5">
        <v>3231.03</v>
      </c>
    </row>
    <row r="858" spans="1:6" ht="15.75" customHeight="1" x14ac:dyDescent="0.3">
      <c r="A858" s="4" t="s">
        <v>85</v>
      </c>
      <c r="B858" s="2" t="s">
        <v>30</v>
      </c>
      <c r="C858" s="2" t="s">
        <v>34</v>
      </c>
      <c r="D858" s="2" t="s">
        <v>28</v>
      </c>
      <c r="E858" s="2" t="s">
        <v>24</v>
      </c>
      <c r="F858" s="5">
        <v>1139.33</v>
      </c>
    </row>
    <row r="859" spans="1:6" ht="15.75" customHeight="1" x14ac:dyDescent="0.3">
      <c r="A859" s="4" t="s">
        <v>171</v>
      </c>
      <c r="B859" s="2" t="s">
        <v>17</v>
      </c>
      <c r="C859" s="2" t="s">
        <v>34</v>
      </c>
      <c r="D859" s="2" t="s">
        <v>14</v>
      </c>
      <c r="E859" s="2" t="s">
        <v>15</v>
      </c>
      <c r="F859" s="5">
        <v>4799</v>
      </c>
    </row>
    <row r="860" spans="1:6" ht="15.75" customHeight="1" x14ac:dyDescent="0.3">
      <c r="A860" s="4" t="s">
        <v>26</v>
      </c>
      <c r="B860" s="2" t="s">
        <v>17</v>
      </c>
      <c r="C860" s="2" t="s">
        <v>8</v>
      </c>
      <c r="D860" s="2" t="s">
        <v>14</v>
      </c>
      <c r="E860" s="2" t="s">
        <v>24</v>
      </c>
      <c r="F860" s="5">
        <v>3657.83</v>
      </c>
    </row>
    <row r="861" spans="1:6" ht="15.75" customHeight="1" x14ac:dyDescent="0.3">
      <c r="A861" s="4" t="s">
        <v>195</v>
      </c>
      <c r="B861" s="2" t="s">
        <v>7</v>
      </c>
      <c r="C861" s="2" t="s">
        <v>23</v>
      </c>
      <c r="D861" s="2" t="s">
        <v>9</v>
      </c>
      <c r="E861" s="2" t="s">
        <v>10</v>
      </c>
      <c r="F861" s="5">
        <v>2571.4593089720479</v>
      </c>
    </row>
    <row r="862" spans="1:6" ht="15.75" customHeight="1" x14ac:dyDescent="0.3">
      <c r="A862" s="4" t="s">
        <v>154</v>
      </c>
      <c r="B862" s="2" t="s">
        <v>12</v>
      </c>
      <c r="C862" s="2" t="s">
        <v>8</v>
      </c>
      <c r="D862" s="2" t="s">
        <v>14</v>
      </c>
      <c r="E862" s="2" t="s">
        <v>24</v>
      </c>
      <c r="F862" s="5">
        <v>3338</v>
      </c>
    </row>
    <row r="863" spans="1:6" ht="15.75" customHeight="1" x14ac:dyDescent="0.3">
      <c r="A863" s="4" t="s">
        <v>115</v>
      </c>
      <c r="B863" s="2" t="s">
        <v>19</v>
      </c>
      <c r="C863" s="2" t="s">
        <v>13</v>
      </c>
      <c r="D863" s="2" t="s">
        <v>28</v>
      </c>
      <c r="E863" s="2" t="s">
        <v>24</v>
      </c>
      <c r="F863" s="5">
        <v>4623.8100000000004</v>
      </c>
    </row>
    <row r="864" spans="1:6" ht="15.75" customHeight="1" x14ac:dyDescent="0.3">
      <c r="A864" s="4" t="s">
        <v>140</v>
      </c>
      <c r="B864" s="2" t="s">
        <v>17</v>
      </c>
      <c r="C864" s="2" t="s">
        <v>13</v>
      </c>
      <c r="D864" s="2" t="s">
        <v>28</v>
      </c>
      <c r="E864" s="2" t="s">
        <v>15</v>
      </c>
      <c r="F864" s="5">
        <v>3591.86</v>
      </c>
    </row>
    <row r="865" spans="1:6" ht="15.75" customHeight="1" x14ac:dyDescent="0.3">
      <c r="A865" s="4" t="s">
        <v>128</v>
      </c>
      <c r="B865" s="2" t="s">
        <v>12</v>
      </c>
      <c r="C865" s="2" t="s">
        <v>8</v>
      </c>
      <c r="D865" s="2" t="s">
        <v>9</v>
      </c>
      <c r="E865" s="2" t="s">
        <v>15</v>
      </c>
      <c r="F865" s="5">
        <v>2370.446027590634</v>
      </c>
    </row>
    <row r="866" spans="1:6" ht="15.75" customHeight="1" x14ac:dyDescent="0.3">
      <c r="A866" s="4" t="s">
        <v>76</v>
      </c>
      <c r="B866" s="2" t="s">
        <v>17</v>
      </c>
      <c r="C866" s="2" t="s">
        <v>34</v>
      </c>
      <c r="D866" s="2" t="s">
        <v>9</v>
      </c>
      <c r="E866" s="2" t="s">
        <v>10</v>
      </c>
      <c r="F866" s="5">
        <v>3703.0568625294318</v>
      </c>
    </row>
    <row r="867" spans="1:6" ht="15.75" customHeight="1" x14ac:dyDescent="0.3">
      <c r="A867" s="4" t="s">
        <v>6</v>
      </c>
      <c r="B867" s="2" t="s">
        <v>7</v>
      </c>
      <c r="C867" s="2" t="s">
        <v>34</v>
      </c>
      <c r="D867" s="2" t="s">
        <v>14</v>
      </c>
      <c r="E867" s="2" t="s">
        <v>15</v>
      </c>
      <c r="F867" s="5">
        <v>2135.3200000000002</v>
      </c>
    </row>
    <row r="868" spans="1:6" ht="15.75" customHeight="1" x14ac:dyDescent="0.3">
      <c r="A868" s="4" t="s">
        <v>179</v>
      </c>
      <c r="B868" s="2" t="s">
        <v>7</v>
      </c>
      <c r="C868" s="2" t="s">
        <v>23</v>
      </c>
      <c r="D868" s="2" t="s">
        <v>9</v>
      </c>
      <c r="E868" s="2" t="s">
        <v>15</v>
      </c>
      <c r="F868" s="5">
        <v>4016.4773866246178</v>
      </c>
    </row>
    <row r="869" spans="1:6" ht="15.75" customHeight="1" x14ac:dyDescent="0.3">
      <c r="A869" s="4" t="s">
        <v>210</v>
      </c>
      <c r="B869" s="2" t="s">
        <v>7</v>
      </c>
      <c r="C869" s="2" t="s">
        <v>8</v>
      </c>
      <c r="D869" s="2" t="s">
        <v>28</v>
      </c>
      <c r="E869" s="2" t="s">
        <v>24</v>
      </c>
      <c r="F869" s="5">
        <v>2536.5</v>
      </c>
    </row>
    <row r="870" spans="1:6" ht="15.75" customHeight="1" x14ac:dyDescent="0.3">
      <c r="A870" s="4" t="s">
        <v>88</v>
      </c>
      <c r="B870" s="2" t="s">
        <v>7</v>
      </c>
      <c r="C870" s="2" t="s">
        <v>13</v>
      </c>
      <c r="D870" s="2" t="s">
        <v>14</v>
      </c>
      <c r="E870" s="2" t="s">
        <v>15</v>
      </c>
      <c r="F870" s="5">
        <v>4254.34</v>
      </c>
    </row>
    <row r="871" spans="1:6" ht="15.75" customHeight="1" x14ac:dyDescent="0.3">
      <c r="A871" s="4" t="s">
        <v>82</v>
      </c>
      <c r="B871" s="2" t="s">
        <v>17</v>
      </c>
      <c r="C871" s="2" t="s">
        <v>34</v>
      </c>
      <c r="D871" s="2" t="s">
        <v>14</v>
      </c>
      <c r="E871" s="2" t="s">
        <v>15</v>
      </c>
      <c r="F871" s="5">
        <v>1897.31</v>
      </c>
    </row>
    <row r="872" spans="1:6" ht="15.75" customHeight="1" x14ac:dyDescent="0.3">
      <c r="A872" s="4" t="s">
        <v>82</v>
      </c>
      <c r="B872" s="2" t="s">
        <v>17</v>
      </c>
      <c r="C872" s="2" t="s">
        <v>8</v>
      </c>
      <c r="D872" s="2" t="s">
        <v>14</v>
      </c>
      <c r="E872" s="2" t="s">
        <v>15</v>
      </c>
      <c r="F872" s="5">
        <v>4286.67</v>
      </c>
    </row>
    <row r="873" spans="1:6" ht="15.75" customHeight="1" x14ac:dyDescent="0.3">
      <c r="A873" s="4" t="s">
        <v>83</v>
      </c>
      <c r="B873" s="2" t="s">
        <v>17</v>
      </c>
      <c r="C873" s="2" t="s">
        <v>8</v>
      </c>
      <c r="D873" s="2" t="s">
        <v>28</v>
      </c>
      <c r="E873" s="2" t="s">
        <v>15</v>
      </c>
      <c r="F873" s="5">
        <v>2709.88</v>
      </c>
    </row>
    <row r="874" spans="1:6" ht="15.75" customHeight="1" x14ac:dyDescent="0.3">
      <c r="A874" s="4" t="s">
        <v>91</v>
      </c>
      <c r="B874" s="2" t="s">
        <v>30</v>
      </c>
      <c r="C874" s="2" t="s">
        <v>13</v>
      </c>
      <c r="D874" s="2" t="s">
        <v>28</v>
      </c>
      <c r="E874" s="2" t="s">
        <v>15</v>
      </c>
      <c r="F874" s="5">
        <v>4482.51</v>
      </c>
    </row>
    <row r="875" spans="1:6" ht="15.75" customHeight="1" x14ac:dyDescent="0.3">
      <c r="A875" s="4" t="s">
        <v>62</v>
      </c>
      <c r="B875" s="2" t="s">
        <v>30</v>
      </c>
      <c r="C875" s="2" t="s">
        <v>34</v>
      </c>
      <c r="D875" s="2" t="s">
        <v>28</v>
      </c>
      <c r="E875" s="2" t="s">
        <v>24</v>
      </c>
      <c r="F875" s="5">
        <v>4156</v>
      </c>
    </row>
    <row r="876" spans="1:6" ht="15.75" customHeight="1" x14ac:dyDescent="0.3">
      <c r="A876" s="4" t="s">
        <v>41</v>
      </c>
      <c r="B876" s="2" t="s">
        <v>30</v>
      </c>
      <c r="C876" s="2" t="s">
        <v>34</v>
      </c>
      <c r="D876" s="2" t="s">
        <v>9</v>
      </c>
      <c r="E876" s="2" t="s">
        <v>10</v>
      </c>
      <c r="F876" s="5">
        <v>2731.8927563847019</v>
      </c>
    </row>
    <row r="877" spans="1:6" ht="15.75" customHeight="1" x14ac:dyDescent="0.3">
      <c r="A877" s="4" t="s">
        <v>180</v>
      </c>
      <c r="B877" s="2" t="s">
        <v>30</v>
      </c>
      <c r="C877" s="2" t="s">
        <v>8</v>
      </c>
      <c r="D877" s="2" t="s">
        <v>9</v>
      </c>
      <c r="E877" s="2" t="s">
        <v>24</v>
      </c>
      <c r="F877" s="5">
        <v>84.4</v>
      </c>
    </row>
    <row r="878" spans="1:6" ht="15.75" customHeight="1" x14ac:dyDescent="0.3">
      <c r="A878" s="4" t="s">
        <v>166</v>
      </c>
      <c r="B878" s="2" t="s">
        <v>7</v>
      </c>
      <c r="C878" s="2" t="s">
        <v>34</v>
      </c>
      <c r="D878" s="2" t="s">
        <v>14</v>
      </c>
      <c r="E878" s="2" t="s">
        <v>15</v>
      </c>
      <c r="F878" s="5">
        <v>84.55</v>
      </c>
    </row>
    <row r="879" spans="1:6" ht="15.75" customHeight="1" x14ac:dyDescent="0.3">
      <c r="A879" s="4" t="s">
        <v>129</v>
      </c>
      <c r="B879" s="2" t="s">
        <v>17</v>
      </c>
      <c r="C879" s="2" t="s">
        <v>23</v>
      </c>
      <c r="D879" s="2" t="s">
        <v>14</v>
      </c>
      <c r="E879" s="2" t="s">
        <v>10</v>
      </c>
      <c r="F879" s="5">
        <v>3865.97</v>
      </c>
    </row>
    <row r="880" spans="1:6" ht="15.75" customHeight="1" x14ac:dyDescent="0.3">
      <c r="A880" s="4" t="s">
        <v>70</v>
      </c>
      <c r="B880" s="2" t="s">
        <v>19</v>
      </c>
      <c r="C880" s="2" t="s">
        <v>13</v>
      </c>
      <c r="D880" s="2" t="s">
        <v>28</v>
      </c>
      <c r="E880" s="2" t="s">
        <v>24</v>
      </c>
      <c r="F880" s="5">
        <v>4994.79</v>
      </c>
    </row>
    <row r="881" spans="1:6" ht="15.75" customHeight="1" x14ac:dyDescent="0.3">
      <c r="A881" s="4" t="s">
        <v>65</v>
      </c>
      <c r="B881" s="2" t="s">
        <v>30</v>
      </c>
      <c r="C881" s="2" t="s">
        <v>8</v>
      </c>
      <c r="D881" s="2" t="s">
        <v>9</v>
      </c>
      <c r="E881" s="2" t="s">
        <v>24</v>
      </c>
      <c r="F881" s="5">
        <v>4341.6706555855644</v>
      </c>
    </row>
    <row r="882" spans="1:6" ht="15.75" customHeight="1" x14ac:dyDescent="0.3">
      <c r="A882" s="4" t="s">
        <v>165</v>
      </c>
      <c r="B882" s="2" t="s">
        <v>7</v>
      </c>
      <c r="C882" s="2" t="s">
        <v>34</v>
      </c>
      <c r="D882" s="2" t="s">
        <v>28</v>
      </c>
      <c r="E882" s="2" t="s">
        <v>10</v>
      </c>
      <c r="F882" s="5">
        <v>4845.8500000000004</v>
      </c>
    </row>
    <row r="883" spans="1:6" ht="15.75" customHeight="1" x14ac:dyDescent="0.3">
      <c r="A883" s="4" t="s">
        <v>22</v>
      </c>
      <c r="B883" s="2" t="s">
        <v>12</v>
      </c>
      <c r="C883" s="2" t="s">
        <v>23</v>
      </c>
      <c r="D883" s="2" t="s">
        <v>14</v>
      </c>
      <c r="E883" s="2" t="s">
        <v>15</v>
      </c>
      <c r="F883" s="5">
        <v>695.8</v>
      </c>
    </row>
    <row r="884" spans="1:6" ht="15.75" customHeight="1" x14ac:dyDescent="0.3">
      <c r="A884" s="4" t="s">
        <v>131</v>
      </c>
      <c r="B884" s="2" t="s">
        <v>17</v>
      </c>
      <c r="C884" s="2" t="s">
        <v>23</v>
      </c>
      <c r="D884" s="2" t="s">
        <v>9</v>
      </c>
      <c r="E884" s="2" t="s">
        <v>24</v>
      </c>
      <c r="F884" s="5">
        <v>2429.7024146733179</v>
      </c>
    </row>
    <row r="885" spans="1:6" ht="15.75" customHeight="1" x14ac:dyDescent="0.3">
      <c r="A885" s="4" t="s">
        <v>84</v>
      </c>
      <c r="B885" s="2" t="s">
        <v>30</v>
      </c>
      <c r="C885" s="2" t="s">
        <v>23</v>
      </c>
      <c r="D885" s="2" t="s">
        <v>28</v>
      </c>
      <c r="E885" s="2" t="s">
        <v>10</v>
      </c>
      <c r="F885" s="5">
        <v>3517.31</v>
      </c>
    </row>
    <row r="886" spans="1:6" ht="15.75" customHeight="1" x14ac:dyDescent="0.3">
      <c r="A886" s="4" t="s">
        <v>56</v>
      </c>
      <c r="B886" s="2" t="s">
        <v>19</v>
      </c>
      <c r="C886" s="2" t="s">
        <v>23</v>
      </c>
      <c r="D886" s="2" t="s">
        <v>28</v>
      </c>
      <c r="E886" s="2" t="s">
        <v>10</v>
      </c>
      <c r="F886" s="5">
        <v>2893</v>
      </c>
    </row>
    <row r="887" spans="1:6" ht="15.75" customHeight="1" x14ac:dyDescent="0.3">
      <c r="A887" s="4" t="s">
        <v>213</v>
      </c>
      <c r="B887" s="2" t="s">
        <v>12</v>
      </c>
      <c r="C887" s="2" t="s">
        <v>13</v>
      </c>
      <c r="D887" s="2" t="s">
        <v>14</v>
      </c>
      <c r="E887" s="2" t="s">
        <v>10</v>
      </c>
      <c r="F887" s="5">
        <v>4115.76</v>
      </c>
    </row>
    <row r="888" spans="1:6" ht="15.75" customHeight="1" x14ac:dyDescent="0.3">
      <c r="A888" s="4" t="s">
        <v>6</v>
      </c>
      <c r="B888" s="2" t="s">
        <v>7</v>
      </c>
      <c r="C888" s="2" t="s">
        <v>34</v>
      </c>
      <c r="D888" s="2" t="s">
        <v>28</v>
      </c>
      <c r="E888" s="2" t="s">
        <v>15</v>
      </c>
      <c r="F888" s="5">
        <v>1917.42</v>
      </c>
    </row>
    <row r="889" spans="1:6" ht="15.75" customHeight="1" x14ac:dyDescent="0.3">
      <c r="A889" s="4" t="s">
        <v>127</v>
      </c>
      <c r="B889" s="2" t="s">
        <v>17</v>
      </c>
      <c r="C889" s="2" t="s">
        <v>34</v>
      </c>
      <c r="D889" s="2" t="s">
        <v>28</v>
      </c>
      <c r="E889" s="2" t="s">
        <v>10</v>
      </c>
      <c r="F889" s="5">
        <v>1203.1300000000001</v>
      </c>
    </row>
    <row r="890" spans="1:6" ht="15.75" customHeight="1" x14ac:dyDescent="0.3">
      <c r="A890" s="4" t="s">
        <v>123</v>
      </c>
      <c r="B890" s="2" t="s">
        <v>30</v>
      </c>
      <c r="C890" s="2" t="s">
        <v>34</v>
      </c>
      <c r="D890" s="2" t="s">
        <v>14</v>
      </c>
      <c r="E890" s="2" t="s">
        <v>10</v>
      </c>
      <c r="F890" s="5">
        <v>3085.38</v>
      </c>
    </row>
    <row r="891" spans="1:6" ht="15.75" customHeight="1" x14ac:dyDescent="0.3">
      <c r="A891" s="4" t="s">
        <v>72</v>
      </c>
      <c r="B891" s="2" t="s">
        <v>19</v>
      </c>
      <c r="C891" s="2" t="s">
        <v>34</v>
      </c>
      <c r="D891" s="2" t="s">
        <v>14</v>
      </c>
      <c r="E891" s="2" t="s">
        <v>24</v>
      </c>
      <c r="F891" s="5">
        <v>1942.8</v>
      </c>
    </row>
    <row r="892" spans="1:6" ht="15.75" customHeight="1" x14ac:dyDescent="0.3">
      <c r="A892" s="4" t="s">
        <v>124</v>
      </c>
      <c r="B892" s="2" t="s">
        <v>12</v>
      </c>
      <c r="C892" s="2" t="s">
        <v>13</v>
      </c>
      <c r="D892" s="2" t="s">
        <v>14</v>
      </c>
      <c r="E892" s="2" t="s">
        <v>10</v>
      </c>
      <c r="F892" s="5">
        <v>3632.78</v>
      </c>
    </row>
    <row r="893" spans="1:6" ht="15.75" customHeight="1" x14ac:dyDescent="0.3">
      <c r="A893" s="4" t="s">
        <v>54</v>
      </c>
      <c r="B893" s="2" t="s">
        <v>12</v>
      </c>
      <c r="C893" s="2" t="s">
        <v>23</v>
      </c>
      <c r="D893" s="2" t="s">
        <v>14</v>
      </c>
      <c r="E893" s="2" t="s">
        <v>15</v>
      </c>
      <c r="F893" s="5">
        <v>4435.1000000000004</v>
      </c>
    </row>
    <row r="894" spans="1:6" ht="15.75" customHeight="1" x14ac:dyDescent="0.3">
      <c r="A894" s="4" t="s">
        <v>201</v>
      </c>
      <c r="B894" s="2" t="s">
        <v>12</v>
      </c>
      <c r="C894" s="2" t="s">
        <v>13</v>
      </c>
      <c r="D894" s="2" t="s">
        <v>14</v>
      </c>
      <c r="E894" s="2" t="s">
        <v>24</v>
      </c>
      <c r="F894" s="5">
        <v>3104.04</v>
      </c>
    </row>
    <row r="895" spans="1:6" ht="15.75" customHeight="1" x14ac:dyDescent="0.3">
      <c r="A895" s="4" t="s">
        <v>162</v>
      </c>
      <c r="B895" s="2" t="s">
        <v>30</v>
      </c>
      <c r="C895" s="2" t="s">
        <v>13</v>
      </c>
      <c r="D895" s="2" t="s">
        <v>14</v>
      </c>
      <c r="E895" s="2" t="s">
        <v>24</v>
      </c>
      <c r="F895" s="5">
        <v>1562.42</v>
      </c>
    </row>
    <row r="896" spans="1:6" ht="15.75" customHeight="1" x14ac:dyDescent="0.3">
      <c r="A896" s="4" t="s">
        <v>143</v>
      </c>
      <c r="B896" s="2" t="s">
        <v>17</v>
      </c>
      <c r="C896" s="2" t="s">
        <v>23</v>
      </c>
      <c r="D896" s="2" t="s">
        <v>9</v>
      </c>
      <c r="E896" s="2" t="s">
        <v>15</v>
      </c>
      <c r="F896" s="5">
        <v>3968.0176780834072</v>
      </c>
    </row>
    <row r="897" spans="1:6" ht="15.75" customHeight="1" x14ac:dyDescent="0.3">
      <c r="A897" s="4" t="s">
        <v>98</v>
      </c>
      <c r="B897" s="2" t="s">
        <v>19</v>
      </c>
      <c r="C897" s="2" t="s">
        <v>23</v>
      </c>
      <c r="D897" s="2" t="s">
        <v>28</v>
      </c>
      <c r="E897" s="2" t="s">
        <v>10</v>
      </c>
      <c r="F897" s="5">
        <v>3813.14</v>
      </c>
    </row>
    <row r="898" spans="1:6" ht="15.75" customHeight="1" x14ac:dyDescent="0.3">
      <c r="A898" s="4" t="s">
        <v>189</v>
      </c>
      <c r="B898" s="2" t="s">
        <v>19</v>
      </c>
      <c r="C898" s="2" t="s">
        <v>8</v>
      </c>
      <c r="D898" s="2" t="s">
        <v>14</v>
      </c>
      <c r="E898" s="2" t="s">
        <v>10</v>
      </c>
      <c r="F898" s="5">
        <v>1512.54</v>
      </c>
    </row>
    <row r="899" spans="1:6" ht="15.75" customHeight="1" x14ac:dyDescent="0.3">
      <c r="A899" s="4" t="s">
        <v>74</v>
      </c>
      <c r="B899" s="2" t="s">
        <v>19</v>
      </c>
      <c r="C899" s="2" t="s">
        <v>13</v>
      </c>
      <c r="D899" s="2" t="s">
        <v>9</v>
      </c>
      <c r="E899" s="2" t="s">
        <v>24</v>
      </c>
      <c r="F899" s="5">
        <v>4044.9460966155739</v>
      </c>
    </row>
    <row r="900" spans="1:6" ht="15.75" customHeight="1" x14ac:dyDescent="0.3">
      <c r="A900" s="4" t="s">
        <v>200</v>
      </c>
      <c r="B900" s="2" t="s">
        <v>30</v>
      </c>
      <c r="C900" s="2" t="s">
        <v>34</v>
      </c>
      <c r="D900" s="2" t="s">
        <v>14</v>
      </c>
      <c r="E900" s="2" t="s">
        <v>15</v>
      </c>
      <c r="F900" s="5">
        <v>193.32</v>
      </c>
    </row>
    <row r="901" spans="1:6" ht="15.75" customHeight="1" x14ac:dyDescent="0.3">
      <c r="A901" s="4" t="s">
        <v>178</v>
      </c>
      <c r="B901" s="2" t="s">
        <v>30</v>
      </c>
      <c r="C901" s="2" t="s">
        <v>23</v>
      </c>
      <c r="D901" s="2" t="s">
        <v>28</v>
      </c>
      <c r="E901" s="2" t="s">
        <v>24</v>
      </c>
      <c r="F901" s="5">
        <v>2881.41</v>
      </c>
    </row>
    <row r="902" spans="1:6" ht="15.75" customHeight="1" x14ac:dyDescent="0.3">
      <c r="A902" s="4" t="s">
        <v>38</v>
      </c>
      <c r="B902" s="2" t="s">
        <v>30</v>
      </c>
      <c r="C902" s="2" t="s">
        <v>13</v>
      </c>
      <c r="D902" s="2" t="s">
        <v>28</v>
      </c>
      <c r="E902" s="2" t="s">
        <v>15</v>
      </c>
      <c r="F902" s="5">
        <v>1949.55</v>
      </c>
    </row>
    <row r="903" spans="1:6" ht="15.75" customHeight="1" x14ac:dyDescent="0.3">
      <c r="A903" s="4" t="s">
        <v>142</v>
      </c>
      <c r="B903" s="2" t="s">
        <v>17</v>
      </c>
      <c r="C903" s="2" t="s">
        <v>8</v>
      </c>
      <c r="D903" s="2" t="s">
        <v>28</v>
      </c>
      <c r="E903" s="2" t="s">
        <v>24</v>
      </c>
      <c r="F903" s="5">
        <v>2729.42</v>
      </c>
    </row>
    <row r="904" spans="1:6" ht="15.75" customHeight="1" x14ac:dyDescent="0.3">
      <c r="A904" s="4" t="s">
        <v>150</v>
      </c>
      <c r="B904" s="2" t="s">
        <v>30</v>
      </c>
      <c r="C904" s="2" t="s">
        <v>34</v>
      </c>
      <c r="D904" s="2" t="s">
        <v>14</v>
      </c>
      <c r="E904" s="2" t="s">
        <v>10</v>
      </c>
      <c r="F904" s="5">
        <v>4965.24</v>
      </c>
    </row>
    <row r="905" spans="1:6" ht="15.75" customHeight="1" x14ac:dyDescent="0.3">
      <c r="A905" s="4" t="s">
        <v>215</v>
      </c>
      <c r="B905" s="2" t="s">
        <v>17</v>
      </c>
      <c r="C905" s="2" t="s">
        <v>34</v>
      </c>
      <c r="D905" s="2" t="s">
        <v>14</v>
      </c>
      <c r="E905" s="2" t="s">
        <v>24</v>
      </c>
      <c r="F905" s="5">
        <v>968.64</v>
      </c>
    </row>
    <row r="906" spans="1:6" ht="15.75" customHeight="1" x14ac:dyDescent="0.3">
      <c r="A906" s="4" t="s">
        <v>71</v>
      </c>
      <c r="B906" s="2" t="s">
        <v>7</v>
      </c>
      <c r="C906" s="2" t="s">
        <v>23</v>
      </c>
      <c r="D906" s="2" t="s">
        <v>28</v>
      </c>
      <c r="E906" s="2" t="s">
        <v>10</v>
      </c>
      <c r="F906" s="5">
        <v>2778.34</v>
      </c>
    </row>
    <row r="907" spans="1:6" ht="15.75" customHeight="1" x14ac:dyDescent="0.3">
      <c r="A907" s="4" t="s">
        <v>88</v>
      </c>
      <c r="B907" s="2" t="s">
        <v>7</v>
      </c>
      <c r="C907" s="2" t="s">
        <v>13</v>
      </c>
      <c r="D907" s="2" t="s">
        <v>28</v>
      </c>
      <c r="E907" s="2" t="s">
        <v>10</v>
      </c>
      <c r="F907" s="5">
        <v>901.71</v>
      </c>
    </row>
    <row r="908" spans="1:6" ht="15.75" customHeight="1" x14ac:dyDescent="0.3">
      <c r="A908" s="4" t="s">
        <v>44</v>
      </c>
      <c r="B908" s="2" t="s">
        <v>19</v>
      </c>
      <c r="C908" s="2" t="s">
        <v>34</v>
      </c>
      <c r="D908" s="2" t="s">
        <v>14</v>
      </c>
      <c r="E908" s="2" t="s">
        <v>10</v>
      </c>
      <c r="F908" s="5">
        <v>4031.94</v>
      </c>
    </row>
    <row r="909" spans="1:6" ht="15.75" customHeight="1" x14ac:dyDescent="0.3">
      <c r="A909" s="4" t="s">
        <v>124</v>
      </c>
      <c r="B909" s="2" t="s">
        <v>12</v>
      </c>
      <c r="C909" s="2" t="s">
        <v>8</v>
      </c>
      <c r="D909" s="2" t="s">
        <v>28</v>
      </c>
      <c r="E909" s="2" t="s">
        <v>24</v>
      </c>
      <c r="F909" s="5">
        <v>3868.62</v>
      </c>
    </row>
    <row r="910" spans="1:6" ht="15.75" customHeight="1" x14ac:dyDescent="0.3">
      <c r="A910" s="4" t="s">
        <v>135</v>
      </c>
      <c r="B910" s="2" t="s">
        <v>12</v>
      </c>
      <c r="C910" s="2" t="s">
        <v>34</v>
      </c>
      <c r="D910" s="2" t="s">
        <v>14</v>
      </c>
      <c r="E910" s="2" t="s">
        <v>24</v>
      </c>
      <c r="F910" s="5">
        <v>2670.34</v>
      </c>
    </row>
    <row r="911" spans="1:6" ht="15.75" customHeight="1" x14ac:dyDescent="0.3">
      <c r="A911" s="4" t="s">
        <v>57</v>
      </c>
      <c r="B911" s="2" t="s">
        <v>19</v>
      </c>
      <c r="C911" s="2" t="s">
        <v>13</v>
      </c>
      <c r="D911" s="2" t="s">
        <v>28</v>
      </c>
      <c r="E911" s="2" t="s">
        <v>10</v>
      </c>
      <c r="F911" s="5">
        <v>4061.97</v>
      </c>
    </row>
    <row r="912" spans="1:6" ht="15.75" customHeight="1" x14ac:dyDescent="0.3">
      <c r="A912" s="4" t="s">
        <v>61</v>
      </c>
      <c r="B912" s="2" t="s">
        <v>30</v>
      </c>
      <c r="C912" s="2" t="s">
        <v>23</v>
      </c>
      <c r="D912" s="2" t="s">
        <v>14</v>
      </c>
      <c r="E912" s="2" t="s">
        <v>15</v>
      </c>
      <c r="F912" s="5">
        <v>279.14</v>
      </c>
    </row>
    <row r="913" spans="1:6" ht="15.75" customHeight="1" x14ac:dyDescent="0.3">
      <c r="A913" s="4" t="s">
        <v>168</v>
      </c>
      <c r="B913" s="2" t="s">
        <v>17</v>
      </c>
      <c r="C913" s="2" t="s">
        <v>23</v>
      </c>
      <c r="D913" s="2" t="s">
        <v>9</v>
      </c>
      <c r="E913" s="2" t="s">
        <v>24</v>
      </c>
      <c r="F913" s="5">
        <v>936.92034808619337</v>
      </c>
    </row>
    <row r="914" spans="1:6" ht="15.75" customHeight="1" x14ac:dyDescent="0.3">
      <c r="A914" s="4" t="s">
        <v>65</v>
      </c>
      <c r="B914" s="2" t="s">
        <v>30</v>
      </c>
      <c r="C914" s="2" t="s">
        <v>8</v>
      </c>
      <c r="D914" s="2" t="s">
        <v>9</v>
      </c>
      <c r="E914" s="2" t="s">
        <v>24</v>
      </c>
      <c r="F914" s="5">
        <v>1890.5699271873079</v>
      </c>
    </row>
    <row r="915" spans="1:6" ht="15.75" customHeight="1" x14ac:dyDescent="0.3">
      <c r="A915" s="4" t="s">
        <v>78</v>
      </c>
      <c r="B915" s="2" t="s">
        <v>7</v>
      </c>
      <c r="C915" s="2" t="s">
        <v>13</v>
      </c>
      <c r="D915" s="2" t="s">
        <v>9</v>
      </c>
      <c r="E915" s="2" t="s">
        <v>10</v>
      </c>
      <c r="F915" s="5">
        <v>4697.92</v>
      </c>
    </row>
    <row r="916" spans="1:6" ht="15.75" customHeight="1" x14ac:dyDescent="0.3">
      <c r="A916" s="4" t="s">
        <v>52</v>
      </c>
      <c r="B916" s="2" t="s">
        <v>19</v>
      </c>
      <c r="C916" s="2" t="s">
        <v>34</v>
      </c>
      <c r="D916" s="2" t="s">
        <v>28</v>
      </c>
      <c r="E916" s="2" t="s">
        <v>24</v>
      </c>
      <c r="F916" s="5">
        <v>3192.85</v>
      </c>
    </row>
    <row r="917" spans="1:6" ht="15.75" customHeight="1" x14ac:dyDescent="0.3">
      <c r="A917" s="4" t="s">
        <v>160</v>
      </c>
      <c r="B917" s="2" t="s">
        <v>30</v>
      </c>
      <c r="C917" s="2" t="s">
        <v>13</v>
      </c>
      <c r="D917" s="2" t="s">
        <v>9</v>
      </c>
      <c r="E917" s="2" t="s">
        <v>10</v>
      </c>
      <c r="F917" s="5">
        <v>3010.17</v>
      </c>
    </row>
    <row r="918" spans="1:6" ht="15.75" customHeight="1" x14ac:dyDescent="0.3">
      <c r="A918" s="4" t="s">
        <v>188</v>
      </c>
      <c r="B918" s="2" t="s">
        <v>19</v>
      </c>
      <c r="C918" s="2" t="s">
        <v>23</v>
      </c>
      <c r="D918" s="2" t="s">
        <v>9</v>
      </c>
      <c r="E918" s="2" t="s">
        <v>24</v>
      </c>
      <c r="F918" s="5">
        <v>4348.8599999999997</v>
      </c>
    </row>
    <row r="919" spans="1:6" ht="15.75" customHeight="1" x14ac:dyDescent="0.3">
      <c r="A919" s="4" t="s">
        <v>22</v>
      </c>
      <c r="B919" s="2" t="s">
        <v>12</v>
      </c>
      <c r="C919" s="2" t="s">
        <v>8</v>
      </c>
      <c r="D919" s="2" t="s">
        <v>9</v>
      </c>
      <c r="E919" s="2" t="s">
        <v>10</v>
      </c>
      <c r="F919" s="5">
        <v>4115.1509256389036</v>
      </c>
    </row>
    <row r="920" spans="1:6" ht="15.75" customHeight="1" x14ac:dyDescent="0.3">
      <c r="A920" s="4" t="s">
        <v>195</v>
      </c>
      <c r="B920" s="2" t="s">
        <v>7</v>
      </c>
      <c r="C920" s="2" t="s">
        <v>8</v>
      </c>
      <c r="D920" s="2" t="s">
        <v>28</v>
      </c>
      <c r="E920" s="2" t="s">
        <v>15</v>
      </c>
      <c r="F920" s="5">
        <v>4352.3</v>
      </c>
    </row>
    <row r="921" spans="1:6" ht="15.75" customHeight="1" x14ac:dyDescent="0.3">
      <c r="A921" s="4" t="s">
        <v>56</v>
      </c>
      <c r="B921" s="2" t="s">
        <v>19</v>
      </c>
      <c r="C921" s="2" t="s">
        <v>13</v>
      </c>
      <c r="D921" s="2" t="s">
        <v>9</v>
      </c>
      <c r="E921" s="2" t="s">
        <v>15</v>
      </c>
      <c r="F921" s="5">
        <v>3591.3304595304321</v>
      </c>
    </row>
    <row r="922" spans="1:6" ht="15.75" customHeight="1" x14ac:dyDescent="0.3">
      <c r="A922" s="4" t="s">
        <v>87</v>
      </c>
      <c r="B922" s="2" t="s">
        <v>12</v>
      </c>
      <c r="C922" s="2" t="s">
        <v>8</v>
      </c>
      <c r="D922" s="2" t="s">
        <v>28</v>
      </c>
      <c r="E922" s="2" t="s">
        <v>15</v>
      </c>
      <c r="F922" s="5">
        <v>3260.39</v>
      </c>
    </row>
    <row r="923" spans="1:6" ht="15.75" customHeight="1" x14ac:dyDescent="0.3">
      <c r="A923" s="4" t="s">
        <v>91</v>
      </c>
      <c r="B923" s="2" t="s">
        <v>30</v>
      </c>
      <c r="C923" s="2" t="s">
        <v>23</v>
      </c>
      <c r="D923" s="2" t="s">
        <v>14</v>
      </c>
      <c r="E923" s="2" t="s">
        <v>24</v>
      </c>
      <c r="F923" s="5">
        <v>1083.03</v>
      </c>
    </row>
    <row r="924" spans="1:6" ht="15.75" customHeight="1" x14ac:dyDescent="0.3">
      <c r="A924" s="4" t="s">
        <v>215</v>
      </c>
      <c r="B924" s="2" t="s">
        <v>17</v>
      </c>
      <c r="C924" s="2" t="s">
        <v>13</v>
      </c>
      <c r="D924" s="2" t="s">
        <v>28</v>
      </c>
      <c r="E924" s="2" t="s">
        <v>10</v>
      </c>
      <c r="F924" s="5">
        <v>2051.69</v>
      </c>
    </row>
    <row r="925" spans="1:6" ht="15.75" customHeight="1" x14ac:dyDescent="0.3">
      <c r="A925" s="4" t="s">
        <v>33</v>
      </c>
      <c r="B925" s="2" t="s">
        <v>19</v>
      </c>
      <c r="C925" s="2" t="s">
        <v>23</v>
      </c>
      <c r="D925" s="2" t="s">
        <v>28</v>
      </c>
      <c r="E925" s="2" t="s">
        <v>10</v>
      </c>
      <c r="F925" s="5">
        <v>2402.8200000000002</v>
      </c>
    </row>
    <row r="926" spans="1:6" ht="15.75" customHeight="1" x14ac:dyDescent="0.3">
      <c r="A926" s="4" t="s">
        <v>168</v>
      </c>
      <c r="B926" s="2" t="s">
        <v>17</v>
      </c>
      <c r="C926" s="2" t="s">
        <v>13</v>
      </c>
      <c r="D926" s="2" t="s">
        <v>9</v>
      </c>
      <c r="E926" s="2" t="s">
        <v>10</v>
      </c>
      <c r="F926" s="5">
        <v>1465.5124241153731</v>
      </c>
    </row>
    <row r="927" spans="1:6" ht="15.75" customHeight="1" x14ac:dyDescent="0.3">
      <c r="A927" s="4" t="s">
        <v>129</v>
      </c>
      <c r="B927" s="2" t="s">
        <v>17</v>
      </c>
      <c r="C927" s="2" t="s">
        <v>8</v>
      </c>
      <c r="D927" s="2" t="s">
        <v>9</v>
      </c>
      <c r="E927" s="2" t="s">
        <v>10</v>
      </c>
      <c r="F927" s="5">
        <v>4841.5442559161884</v>
      </c>
    </row>
    <row r="928" spans="1:6" ht="15.75" customHeight="1" x14ac:dyDescent="0.3">
      <c r="A928" s="4" t="s">
        <v>206</v>
      </c>
      <c r="B928" s="2" t="s">
        <v>19</v>
      </c>
      <c r="C928" s="2" t="s">
        <v>34</v>
      </c>
      <c r="D928" s="2" t="s">
        <v>28</v>
      </c>
      <c r="E928" s="2" t="s">
        <v>10</v>
      </c>
      <c r="F928" s="5">
        <v>3187.8</v>
      </c>
    </row>
    <row r="929" spans="1:6" ht="15.75" customHeight="1" x14ac:dyDescent="0.3">
      <c r="A929" s="4" t="s">
        <v>129</v>
      </c>
      <c r="B929" s="2" t="s">
        <v>17</v>
      </c>
      <c r="C929" s="2" t="s">
        <v>34</v>
      </c>
      <c r="D929" s="2" t="s">
        <v>28</v>
      </c>
      <c r="E929" s="2" t="s">
        <v>24</v>
      </c>
      <c r="F929" s="5">
        <v>4547.92</v>
      </c>
    </row>
    <row r="930" spans="1:6" ht="15.75" customHeight="1" x14ac:dyDescent="0.3">
      <c r="A930" s="4" t="s">
        <v>135</v>
      </c>
      <c r="B930" s="2" t="s">
        <v>12</v>
      </c>
      <c r="C930" s="2" t="s">
        <v>13</v>
      </c>
      <c r="D930" s="2" t="s">
        <v>9</v>
      </c>
      <c r="E930" s="2" t="s">
        <v>10</v>
      </c>
      <c r="F930" s="5">
        <v>4751.75</v>
      </c>
    </row>
    <row r="931" spans="1:6" ht="15.75" customHeight="1" x14ac:dyDescent="0.3">
      <c r="A931" s="4" t="s">
        <v>49</v>
      </c>
      <c r="B931" s="2" t="s">
        <v>19</v>
      </c>
      <c r="C931" s="2" t="s">
        <v>13</v>
      </c>
      <c r="D931" s="2" t="s">
        <v>28</v>
      </c>
      <c r="E931" s="2" t="s">
        <v>10</v>
      </c>
      <c r="F931" s="5">
        <v>3218.33</v>
      </c>
    </row>
    <row r="932" spans="1:6" ht="15.75" customHeight="1" x14ac:dyDescent="0.3">
      <c r="A932" s="4" t="s">
        <v>177</v>
      </c>
      <c r="B932" s="2" t="s">
        <v>7</v>
      </c>
      <c r="C932" s="2" t="s">
        <v>23</v>
      </c>
      <c r="D932" s="2" t="s">
        <v>14</v>
      </c>
      <c r="E932" s="2" t="s">
        <v>24</v>
      </c>
      <c r="F932" s="5">
        <v>107.49</v>
      </c>
    </row>
    <row r="933" spans="1:6" ht="15.75" customHeight="1" x14ac:dyDescent="0.3">
      <c r="A933" s="4" t="s">
        <v>159</v>
      </c>
      <c r="B933" s="2" t="s">
        <v>7</v>
      </c>
      <c r="C933" s="2" t="s">
        <v>8</v>
      </c>
      <c r="D933" s="2" t="s">
        <v>28</v>
      </c>
      <c r="E933" s="2" t="s">
        <v>15</v>
      </c>
      <c r="F933" s="5">
        <v>4162.1899999999996</v>
      </c>
    </row>
    <row r="934" spans="1:6" ht="15.75" customHeight="1" x14ac:dyDescent="0.3">
      <c r="A934" s="4" t="s">
        <v>172</v>
      </c>
      <c r="B934" s="2" t="s">
        <v>7</v>
      </c>
      <c r="C934" s="2" t="s">
        <v>13</v>
      </c>
      <c r="D934" s="2" t="s">
        <v>14</v>
      </c>
      <c r="E934" s="2" t="s">
        <v>10</v>
      </c>
      <c r="F934" s="5">
        <v>1795.35</v>
      </c>
    </row>
    <row r="935" spans="1:6" ht="15.75" customHeight="1" x14ac:dyDescent="0.3">
      <c r="A935" s="4" t="s">
        <v>163</v>
      </c>
      <c r="B935" s="2" t="s">
        <v>19</v>
      </c>
      <c r="C935" s="2" t="s">
        <v>13</v>
      </c>
      <c r="D935" s="2" t="s">
        <v>14</v>
      </c>
      <c r="E935" s="2" t="s">
        <v>24</v>
      </c>
      <c r="F935" s="5">
        <v>930.97</v>
      </c>
    </row>
    <row r="936" spans="1:6" ht="15.75" customHeight="1" x14ac:dyDescent="0.3">
      <c r="A936" s="4" t="s">
        <v>143</v>
      </c>
      <c r="B936" s="2" t="s">
        <v>17</v>
      </c>
      <c r="C936" s="2" t="s">
        <v>23</v>
      </c>
      <c r="D936" s="2" t="s">
        <v>9</v>
      </c>
      <c r="E936" s="2" t="s">
        <v>10</v>
      </c>
      <c r="F936" s="5">
        <v>1962.9734945292189</v>
      </c>
    </row>
    <row r="937" spans="1:6" ht="15.75" customHeight="1" x14ac:dyDescent="0.3">
      <c r="A937" s="4" t="s">
        <v>181</v>
      </c>
      <c r="B937" s="2" t="s">
        <v>30</v>
      </c>
      <c r="C937" s="2" t="s">
        <v>23</v>
      </c>
      <c r="D937" s="2" t="s">
        <v>14</v>
      </c>
      <c r="E937" s="2" t="s">
        <v>10</v>
      </c>
      <c r="F937" s="5">
        <v>4615.88</v>
      </c>
    </row>
    <row r="938" spans="1:6" ht="15.75" customHeight="1" x14ac:dyDescent="0.3">
      <c r="A938" s="4" t="s">
        <v>146</v>
      </c>
      <c r="B938" s="2" t="s">
        <v>7</v>
      </c>
      <c r="C938" s="2" t="s">
        <v>34</v>
      </c>
      <c r="D938" s="2" t="s">
        <v>28</v>
      </c>
      <c r="E938" s="2" t="s">
        <v>15</v>
      </c>
      <c r="F938" s="5">
        <v>1530.83</v>
      </c>
    </row>
    <row r="939" spans="1:6" ht="15.75" customHeight="1" x14ac:dyDescent="0.3">
      <c r="A939" s="4" t="s">
        <v>173</v>
      </c>
      <c r="B939" s="2" t="s">
        <v>30</v>
      </c>
      <c r="C939" s="2" t="s">
        <v>23</v>
      </c>
      <c r="D939" s="2" t="s">
        <v>9</v>
      </c>
      <c r="E939" s="2" t="s">
        <v>10</v>
      </c>
      <c r="F939" s="5">
        <v>2440.9876148417438</v>
      </c>
    </row>
    <row r="940" spans="1:6" ht="15.75" customHeight="1" x14ac:dyDescent="0.3">
      <c r="A940" s="4" t="s">
        <v>121</v>
      </c>
      <c r="B940" s="2" t="s">
        <v>30</v>
      </c>
      <c r="C940" s="2" t="s">
        <v>8</v>
      </c>
      <c r="D940" s="2" t="s">
        <v>28</v>
      </c>
      <c r="E940" s="2" t="s">
        <v>24</v>
      </c>
      <c r="F940" s="5">
        <v>1674.72</v>
      </c>
    </row>
    <row r="941" spans="1:6" ht="15.75" customHeight="1" x14ac:dyDescent="0.3">
      <c r="A941" s="4" t="s">
        <v>50</v>
      </c>
      <c r="B941" s="2" t="s">
        <v>19</v>
      </c>
      <c r="C941" s="2" t="s">
        <v>13</v>
      </c>
      <c r="D941" s="2" t="s">
        <v>28</v>
      </c>
      <c r="E941" s="2" t="s">
        <v>15</v>
      </c>
      <c r="F941" s="5">
        <v>3245.74</v>
      </c>
    </row>
    <row r="942" spans="1:6" ht="15.75" customHeight="1" x14ac:dyDescent="0.3">
      <c r="A942" s="4" t="s">
        <v>214</v>
      </c>
      <c r="B942" s="2" t="s">
        <v>30</v>
      </c>
      <c r="C942" s="2" t="s">
        <v>8</v>
      </c>
      <c r="D942" s="2" t="s">
        <v>28</v>
      </c>
      <c r="E942" s="2" t="s">
        <v>15</v>
      </c>
      <c r="F942" s="5">
        <v>3114.72</v>
      </c>
    </row>
    <row r="943" spans="1:6" ht="15.75" customHeight="1" x14ac:dyDescent="0.3">
      <c r="A943" s="4" t="s">
        <v>101</v>
      </c>
      <c r="B943" s="2" t="s">
        <v>19</v>
      </c>
      <c r="C943" s="2" t="s">
        <v>13</v>
      </c>
      <c r="D943" s="2" t="s">
        <v>14</v>
      </c>
      <c r="E943" s="2" t="s">
        <v>15</v>
      </c>
      <c r="F943" s="5">
        <v>2078.6799999999998</v>
      </c>
    </row>
    <row r="944" spans="1:6" ht="15.75" customHeight="1" x14ac:dyDescent="0.3">
      <c r="A944" s="4" t="s">
        <v>137</v>
      </c>
      <c r="B944" s="2" t="s">
        <v>17</v>
      </c>
      <c r="C944" s="2" t="s">
        <v>8</v>
      </c>
      <c r="D944" s="2" t="s">
        <v>28</v>
      </c>
      <c r="E944" s="2" t="s">
        <v>15</v>
      </c>
      <c r="F944" s="5">
        <v>2458.83</v>
      </c>
    </row>
    <row r="945" spans="1:6" ht="15.75" customHeight="1" x14ac:dyDescent="0.3">
      <c r="A945" s="4" t="s">
        <v>126</v>
      </c>
      <c r="B945" s="2" t="s">
        <v>30</v>
      </c>
      <c r="C945" s="2" t="s">
        <v>23</v>
      </c>
      <c r="D945" s="2" t="s">
        <v>14</v>
      </c>
      <c r="E945" s="2" t="s">
        <v>15</v>
      </c>
      <c r="F945" s="5">
        <v>3902.33</v>
      </c>
    </row>
    <row r="946" spans="1:6" ht="15.75" customHeight="1" x14ac:dyDescent="0.3">
      <c r="A946" s="4" t="s">
        <v>22</v>
      </c>
      <c r="B946" s="2" t="s">
        <v>12</v>
      </c>
      <c r="C946" s="2" t="s">
        <v>23</v>
      </c>
      <c r="D946" s="2" t="s">
        <v>9</v>
      </c>
      <c r="E946" s="2" t="s">
        <v>10</v>
      </c>
      <c r="F946" s="5">
        <v>3436.685830275424</v>
      </c>
    </row>
    <row r="947" spans="1:6" ht="15.75" customHeight="1" x14ac:dyDescent="0.3">
      <c r="A947" s="4" t="s">
        <v>133</v>
      </c>
      <c r="B947" s="2" t="s">
        <v>17</v>
      </c>
      <c r="C947" s="2" t="s">
        <v>23</v>
      </c>
      <c r="D947" s="2" t="s">
        <v>28</v>
      </c>
      <c r="E947" s="2" t="s">
        <v>24</v>
      </c>
      <c r="F947" s="5">
        <v>3373.97</v>
      </c>
    </row>
    <row r="948" spans="1:6" ht="15.75" customHeight="1" x14ac:dyDescent="0.3">
      <c r="A948" s="4" t="s">
        <v>202</v>
      </c>
      <c r="B948" s="2" t="s">
        <v>12</v>
      </c>
      <c r="C948" s="2" t="s">
        <v>8</v>
      </c>
      <c r="D948" s="2" t="s">
        <v>14</v>
      </c>
      <c r="E948" s="2" t="s">
        <v>15</v>
      </c>
      <c r="F948" s="5">
        <v>2524.3200000000002</v>
      </c>
    </row>
    <row r="949" spans="1:6" ht="15.75" customHeight="1" x14ac:dyDescent="0.3">
      <c r="A949" s="4" t="s">
        <v>67</v>
      </c>
      <c r="B949" s="2" t="s">
        <v>7</v>
      </c>
      <c r="C949" s="2" t="s">
        <v>13</v>
      </c>
      <c r="D949" s="2" t="s">
        <v>28</v>
      </c>
      <c r="E949" s="2" t="s">
        <v>24</v>
      </c>
      <c r="F949" s="5">
        <v>4152.62</v>
      </c>
    </row>
    <row r="950" spans="1:6" ht="15.75" customHeight="1" x14ac:dyDescent="0.3">
      <c r="A950" s="4" t="s">
        <v>159</v>
      </c>
      <c r="B950" s="2" t="s">
        <v>7</v>
      </c>
      <c r="C950" s="2" t="s">
        <v>13</v>
      </c>
      <c r="D950" s="2" t="s">
        <v>9</v>
      </c>
      <c r="E950" s="2" t="s">
        <v>15</v>
      </c>
      <c r="F950" s="5">
        <v>5429.1162922816629</v>
      </c>
    </row>
    <row r="951" spans="1:6" ht="15.75" customHeight="1" x14ac:dyDescent="0.3">
      <c r="A951" s="4" t="s">
        <v>193</v>
      </c>
      <c r="B951" s="2" t="s">
        <v>12</v>
      </c>
      <c r="C951" s="2" t="s">
        <v>23</v>
      </c>
      <c r="D951" s="2" t="s">
        <v>9</v>
      </c>
      <c r="E951" s="2" t="s">
        <v>24</v>
      </c>
      <c r="F951" s="5">
        <v>4835.4238477782619</v>
      </c>
    </row>
    <row r="952" spans="1:6" ht="15.75" customHeight="1" x14ac:dyDescent="0.3">
      <c r="A952" s="4" t="s">
        <v>101</v>
      </c>
      <c r="B952" s="2" t="s">
        <v>19</v>
      </c>
      <c r="C952" s="2" t="s">
        <v>23</v>
      </c>
      <c r="D952" s="2" t="s">
        <v>28</v>
      </c>
      <c r="E952" s="2" t="s">
        <v>15</v>
      </c>
      <c r="F952" s="5">
        <v>783.3</v>
      </c>
    </row>
    <row r="953" spans="1:6" ht="15.75" customHeight="1" x14ac:dyDescent="0.3">
      <c r="A953" s="4" t="s">
        <v>112</v>
      </c>
      <c r="B953" s="2" t="s">
        <v>30</v>
      </c>
      <c r="C953" s="2" t="s">
        <v>8</v>
      </c>
      <c r="D953" s="2" t="s">
        <v>28</v>
      </c>
      <c r="E953" s="2" t="s">
        <v>24</v>
      </c>
      <c r="F953" s="5">
        <v>4038.18</v>
      </c>
    </row>
    <row r="954" spans="1:6" ht="15.75" customHeight="1" x14ac:dyDescent="0.3">
      <c r="A954" s="4" t="s">
        <v>140</v>
      </c>
      <c r="B954" s="2" t="s">
        <v>17</v>
      </c>
      <c r="C954" s="2" t="s">
        <v>13</v>
      </c>
      <c r="D954" s="2" t="s">
        <v>9</v>
      </c>
      <c r="E954" s="2" t="s">
        <v>10</v>
      </c>
      <c r="F954" s="5">
        <v>4925.5299790026384</v>
      </c>
    </row>
    <row r="955" spans="1:6" ht="15.75" customHeight="1" x14ac:dyDescent="0.3">
      <c r="A955" s="4" t="s">
        <v>20</v>
      </c>
      <c r="B955" s="2" t="s">
        <v>17</v>
      </c>
      <c r="C955" s="2" t="s">
        <v>23</v>
      </c>
      <c r="D955" s="2" t="s">
        <v>9</v>
      </c>
      <c r="E955" s="2" t="s">
        <v>10</v>
      </c>
      <c r="F955" s="5">
        <v>2926.7455695148751</v>
      </c>
    </row>
    <row r="956" spans="1:6" ht="15.75" customHeight="1" x14ac:dyDescent="0.3">
      <c r="A956" s="4" t="s">
        <v>170</v>
      </c>
      <c r="B956" s="2" t="s">
        <v>12</v>
      </c>
      <c r="C956" s="2" t="s">
        <v>8</v>
      </c>
      <c r="D956" s="2" t="s">
        <v>28</v>
      </c>
      <c r="E956" s="2" t="s">
        <v>15</v>
      </c>
      <c r="F956" s="5">
        <v>1931.14</v>
      </c>
    </row>
    <row r="957" spans="1:6" ht="15.75" customHeight="1" x14ac:dyDescent="0.3">
      <c r="A957" s="4" t="s">
        <v>80</v>
      </c>
      <c r="B957" s="2" t="s">
        <v>17</v>
      </c>
      <c r="C957" s="2" t="s">
        <v>13</v>
      </c>
      <c r="D957" s="2" t="s">
        <v>9</v>
      </c>
      <c r="E957" s="2" t="s">
        <v>24</v>
      </c>
      <c r="F957" s="5">
        <v>3586.9128326776972</v>
      </c>
    </row>
    <row r="958" spans="1:6" ht="15.75" customHeight="1" x14ac:dyDescent="0.3">
      <c r="A958" s="4" t="s">
        <v>217</v>
      </c>
      <c r="B958" s="2" t="s">
        <v>19</v>
      </c>
      <c r="C958" s="2" t="s">
        <v>34</v>
      </c>
      <c r="D958" s="2" t="s">
        <v>14</v>
      </c>
      <c r="E958" s="2" t="s">
        <v>15</v>
      </c>
      <c r="F958" s="5">
        <v>2192.19</v>
      </c>
    </row>
    <row r="959" spans="1:6" ht="15.75" customHeight="1" x14ac:dyDescent="0.3">
      <c r="A959" s="4" t="s">
        <v>55</v>
      </c>
      <c r="B959" s="2" t="s">
        <v>12</v>
      </c>
      <c r="C959" s="2" t="s">
        <v>34</v>
      </c>
      <c r="D959" s="2" t="s">
        <v>28</v>
      </c>
      <c r="E959" s="2" t="s">
        <v>15</v>
      </c>
      <c r="F959" s="5">
        <v>3113.98</v>
      </c>
    </row>
    <row r="960" spans="1:6" ht="15.75" customHeight="1" x14ac:dyDescent="0.3">
      <c r="A960" s="4" t="s">
        <v>142</v>
      </c>
      <c r="B960" s="2" t="s">
        <v>17</v>
      </c>
      <c r="C960" s="2" t="s">
        <v>34</v>
      </c>
      <c r="D960" s="2" t="s">
        <v>9</v>
      </c>
      <c r="E960" s="2" t="s">
        <v>10</v>
      </c>
      <c r="F960" s="5">
        <v>4943.0830336414992</v>
      </c>
    </row>
    <row r="961" spans="1:6" ht="15.75" customHeight="1" x14ac:dyDescent="0.3">
      <c r="A961" s="4" t="s">
        <v>214</v>
      </c>
      <c r="B961" s="2" t="s">
        <v>30</v>
      </c>
      <c r="C961" s="2" t="s">
        <v>8</v>
      </c>
      <c r="D961" s="2" t="s">
        <v>14</v>
      </c>
      <c r="E961" s="2" t="s">
        <v>15</v>
      </c>
      <c r="F961" s="5">
        <v>4608.99</v>
      </c>
    </row>
    <row r="962" spans="1:6" ht="15.75" customHeight="1" x14ac:dyDescent="0.3">
      <c r="A962" s="4" t="s">
        <v>56</v>
      </c>
      <c r="B962" s="2" t="s">
        <v>19</v>
      </c>
      <c r="C962" s="2" t="s">
        <v>13</v>
      </c>
      <c r="D962" s="2" t="s">
        <v>28</v>
      </c>
      <c r="E962" s="2" t="s">
        <v>15</v>
      </c>
      <c r="F962" s="5">
        <v>548.27</v>
      </c>
    </row>
    <row r="963" spans="1:6" ht="15.75" customHeight="1" x14ac:dyDescent="0.3">
      <c r="A963" s="4" t="s">
        <v>61</v>
      </c>
      <c r="B963" s="2" t="s">
        <v>30</v>
      </c>
      <c r="C963" s="2" t="s">
        <v>8</v>
      </c>
      <c r="D963" s="2" t="s">
        <v>9</v>
      </c>
      <c r="E963" s="2" t="s">
        <v>10</v>
      </c>
      <c r="F963" s="5">
        <v>2949.1193940831281</v>
      </c>
    </row>
    <row r="964" spans="1:6" ht="15.75" customHeight="1" x14ac:dyDescent="0.3">
      <c r="A964" s="4" t="s">
        <v>41</v>
      </c>
      <c r="B964" s="2" t="s">
        <v>30</v>
      </c>
      <c r="C964" s="2" t="s">
        <v>34</v>
      </c>
      <c r="D964" s="2" t="s">
        <v>9</v>
      </c>
      <c r="E964" s="2" t="s">
        <v>24</v>
      </c>
      <c r="F964" s="5">
        <v>2617.0703120191611</v>
      </c>
    </row>
    <row r="965" spans="1:6" ht="15.75" customHeight="1" x14ac:dyDescent="0.3">
      <c r="A965" s="4" t="s">
        <v>92</v>
      </c>
      <c r="B965" s="2" t="s">
        <v>30</v>
      </c>
      <c r="C965" s="2" t="s">
        <v>34</v>
      </c>
      <c r="D965" s="2" t="s">
        <v>14</v>
      </c>
      <c r="E965" s="2" t="s">
        <v>15</v>
      </c>
      <c r="F965" s="5">
        <v>4990.76</v>
      </c>
    </row>
    <row r="966" spans="1:6" ht="15.75" customHeight="1" x14ac:dyDescent="0.3">
      <c r="A966" s="4" t="s">
        <v>182</v>
      </c>
      <c r="B966" s="2" t="s">
        <v>12</v>
      </c>
      <c r="C966" s="2" t="s">
        <v>34</v>
      </c>
      <c r="D966" s="2" t="s">
        <v>28</v>
      </c>
      <c r="E966" s="2" t="s">
        <v>15</v>
      </c>
      <c r="F966" s="5">
        <v>922.25</v>
      </c>
    </row>
    <row r="967" spans="1:6" ht="15.75" customHeight="1" x14ac:dyDescent="0.3">
      <c r="A967" s="4" t="s">
        <v>68</v>
      </c>
      <c r="B967" s="2" t="s">
        <v>12</v>
      </c>
      <c r="C967" s="2" t="s">
        <v>23</v>
      </c>
      <c r="D967" s="2" t="s">
        <v>14</v>
      </c>
      <c r="E967" s="2" t="s">
        <v>15</v>
      </c>
      <c r="F967" s="5">
        <v>1919.35</v>
      </c>
    </row>
    <row r="968" spans="1:6" ht="15.75" customHeight="1" x14ac:dyDescent="0.3">
      <c r="A968" s="4" t="s">
        <v>192</v>
      </c>
      <c r="B968" s="2" t="s">
        <v>19</v>
      </c>
      <c r="C968" s="2" t="s">
        <v>34</v>
      </c>
      <c r="D968" s="2" t="s">
        <v>9</v>
      </c>
      <c r="E968" s="2" t="s">
        <v>24</v>
      </c>
      <c r="F968" s="5">
        <v>3296.9829684679848</v>
      </c>
    </row>
    <row r="969" spans="1:6" ht="15.75" customHeight="1" x14ac:dyDescent="0.3">
      <c r="A969" s="4" t="s">
        <v>102</v>
      </c>
      <c r="B969" s="2" t="s">
        <v>19</v>
      </c>
      <c r="C969" s="2" t="s">
        <v>13</v>
      </c>
      <c r="D969" s="2" t="s">
        <v>28</v>
      </c>
      <c r="E969" s="2" t="s">
        <v>24</v>
      </c>
      <c r="F969" s="5">
        <v>3879.07</v>
      </c>
    </row>
    <row r="970" spans="1:6" ht="15.75" customHeight="1" x14ac:dyDescent="0.3">
      <c r="A970" s="4" t="s">
        <v>177</v>
      </c>
      <c r="B970" s="2" t="s">
        <v>7</v>
      </c>
      <c r="C970" s="2" t="s">
        <v>23</v>
      </c>
      <c r="D970" s="2" t="s">
        <v>9</v>
      </c>
      <c r="E970" s="2" t="s">
        <v>15</v>
      </c>
      <c r="F970" s="5">
        <v>3326.959361732444</v>
      </c>
    </row>
    <row r="971" spans="1:6" ht="15.75" customHeight="1" x14ac:dyDescent="0.3">
      <c r="A971" s="4" t="s">
        <v>113</v>
      </c>
      <c r="B971" s="2" t="s">
        <v>30</v>
      </c>
      <c r="C971" s="2" t="s">
        <v>13</v>
      </c>
      <c r="D971" s="2" t="s">
        <v>9</v>
      </c>
      <c r="E971" s="2" t="s">
        <v>15</v>
      </c>
      <c r="F971" s="5">
        <v>2620.3764456572699</v>
      </c>
    </row>
    <row r="972" spans="1:6" ht="15.75" customHeight="1" x14ac:dyDescent="0.3">
      <c r="A972" s="4" t="s">
        <v>100</v>
      </c>
      <c r="B972" s="2" t="s">
        <v>7</v>
      </c>
      <c r="C972" s="2" t="s">
        <v>23</v>
      </c>
      <c r="D972" s="2" t="s">
        <v>28</v>
      </c>
      <c r="E972" s="2" t="s">
        <v>10</v>
      </c>
      <c r="F972" s="5">
        <v>3511.53</v>
      </c>
    </row>
    <row r="973" spans="1:6" ht="15.75" customHeight="1" x14ac:dyDescent="0.3">
      <c r="A973" s="4" t="s">
        <v>200</v>
      </c>
      <c r="B973" s="2" t="s">
        <v>30</v>
      </c>
      <c r="C973" s="2" t="s">
        <v>8</v>
      </c>
      <c r="D973" s="2" t="s">
        <v>28</v>
      </c>
      <c r="E973" s="2" t="s">
        <v>15</v>
      </c>
      <c r="F973" s="5">
        <v>402.68</v>
      </c>
    </row>
    <row r="974" spans="1:6" ht="15.75" customHeight="1" x14ac:dyDescent="0.3">
      <c r="A974" s="4" t="s">
        <v>147</v>
      </c>
      <c r="B974" s="2" t="s">
        <v>17</v>
      </c>
      <c r="C974" s="2" t="s">
        <v>34</v>
      </c>
      <c r="D974" s="2" t="s">
        <v>14</v>
      </c>
      <c r="E974" s="2" t="s">
        <v>10</v>
      </c>
      <c r="F974" s="5">
        <v>3834.83</v>
      </c>
    </row>
    <row r="975" spans="1:6" ht="15.75" customHeight="1" x14ac:dyDescent="0.3">
      <c r="A975" s="4" t="s">
        <v>123</v>
      </c>
      <c r="B975" s="2" t="s">
        <v>30</v>
      </c>
      <c r="C975" s="2" t="s">
        <v>13</v>
      </c>
      <c r="D975" s="2" t="s">
        <v>14</v>
      </c>
      <c r="E975" s="2" t="s">
        <v>15</v>
      </c>
      <c r="F975" s="5">
        <v>2705.01</v>
      </c>
    </row>
    <row r="976" spans="1:6" ht="15.75" customHeight="1" x14ac:dyDescent="0.3">
      <c r="A976" s="4" t="s">
        <v>151</v>
      </c>
      <c r="B976" s="2" t="s">
        <v>12</v>
      </c>
      <c r="C976" s="2" t="s">
        <v>13</v>
      </c>
      <c r="D976" s="2" t="s">
        <v>14</v>
      </c>
      <c r="E976" s="2" t="s">
        <v>15</v>
      </c>
      <c r="F976" s="5">
        <v>2242.38</v>
      </c>
    </row>
    <row r="977" spans="1:6" ht="15.75" customHeight="1" x14ac:dyDescent="0.3">
      <c r="A977" s="4" t="s">
        <v>58</v>
      </c>
      <c r="B977" s="2" t="s">
        <v>17</v>
      </c>
      <c r="C977" s="2" t="s">
        <v>34</v>
      </c>
      <c r="D977" s="2" t="s">
        <v>9</v>
      </c>
      <c r="E977" s="2" t="s">
        <v>15</v>
      </c>
      <c r="F977" s="5">
        <v>1860.7437636691391</v>
      </c>
    </row>
    <row r="978" spans="1:6" ht="15.75" customHeight="1" x14ac:dyDescent="0.3">
      <c r="A978" s="4" t="s">
        <v>66</v>
      </c>
      <c r="B978" s="2" t="s">
        <v>30</v>
      </c>
      <c r="C978" s="2" t="s">
        <v>8</v>
      </c>
      <c r="D978" s="2" t="s">
        <v>28</v>
      </c>
      <c r="E978" s="2" t="s">
        <v>24</v>
      </c>
      <c r="F978" s="5">
        <v>2978.15</v>
      </c>
    </row>
    <row r="979" spans="1:6" ht="15.75" customHeight="1" x14ac:dyDescent="0.3">
      <c r="A979" s="4" t="s">
        <v>197</v>
      </c>
      <c r="B979" s="2" t="s">
        <v>30</v>
      </c>
      <c r="C979" s="2" t="s">
        <v>23</v>
      </c>
      <c r="D979" s="2" t="s">
        <v>28</v>
      </c>
      <c r="E979" s="2" t="s">
        <v>10</v>
      </c>
      <c r="F979" s="5">
        <v>1338.04</v>
      </c>
    </row>
    <row r="980" spans="1:6" ht="15.75" customHeight="1" x14ac:dyDescent="0.3">
      <c r="A980" s="4" t="s">
        <v>65</v>
      </c>
      <c r="B980" s="2" t="s">
        <v>30</v>
      </c>
      <c r="C980" s="2" t="s">
        <v>34</v>
      </c>
      <c r="D980" s="2" t="s">
        <v>28</v>
      </c>
      <c r="E980" s="2" t="s">
        <v>24</v>
      </c>
      <c r="F980" s="5">
        <v>2538.44</v>
      </c>
    </row>
    <row r="981" spans="1:6" ht="15.75" customHeight="1" x14ac:dyDescent="0.3">
      <c r="A981" s="4" t="s">
        <v>210</v>
      </c>
      <c r="B981" s="2" t="s">
        <v>7</v>
      </c>
      <c r="C981" s="2" t="s">
        <v>13</v>
      </c>
      <c r="D981" s="2" t="s">
        <v>28</v>
      </c>
      <c r="E981" s="2" t="s">
        <v>24</v>
      </c>
      <c r="F981" s="5">
        <v>1644.11</v>
      </c>
    </row>
    <row r="982" spans="1:6" ht="15.75" customHeight="1" x14ac:dyDescent="0.3">
      <c r="A982" s="4" t="s">
        <v>166</v>
      </c>
      <c r="B982" s="2" t="s">
        <v>7</v>
      </c>
      <c r="C982" s="2" t="s">
        <v>13</v>
      </c>
      <c r="D982" s="2" t="s">
        <v>14</v>
      </c>
      <c r="E982" s="2" t="s">
        <v>15</v>
      </c>
      <c r="F982" s="5">
        <v>3858.7</v>
      </c>
    </row>
    <row r="983" spans="1:6" ht="15.75" customHeight="1" x14ac:dyDescent="0.3">
      <c r="A983" s="4" t="s">
        <v>112</v>
      </c>
      <c r="B983" s="2" t="s">
        <v>30</v>
      </c>
      <c r="C983" s="2" t="s">
        <v>34</v>
      </c>
      <c r="D983" s="2" t="s">
        <v>28</v>
      </c>
      <c r="E983" s="2" t="s">
        <v>24</v>
      </c>
      <c r="F983" s="5">
        <v>2079.69</v>
      </c>
    </row>
    <row r="984" spans="1:6" ht="15.75" customHeight="1" x14ac:dyDescent="0.3">
      <c r="A984" s="4" t="s">
        <v>77</v>
      </c>
      <c r="B984" s="2" t="s">
        <v>30</v>
      </c>
      <c r="C984" s="2" t="s">
        <v>8</v>
      </c>
      <c r="D984" s="2" t="s">
        <v>28</v>
      </c>
      <c r="E984" s="2" t="s">
        <v>15</v>
      </c>
      <c r="F984" s="5">
        <v>439.97</v>
      </c>
    </row>
    <row r="985" spans="1:6" ht="15.75" customHeight="1" x14ac:dyDescent="0.3">
      <c r="A985" s="4" t="s">
        <v>176</v>
      </c>
      <c r="B985" s="2" t="s">
        <v>19</v>
      </c>
      <c r="C985" s="2" t="s">
        <v>23</v>
      </c>
      <c r="D985" s="2" t="s">
        <v>28</v>
      </c>
      <c r="E985" s="2" t="s">
        <v>10</v>
      </c>
      <c r="F985" s="5">
        <v>1486</v>
      </c>
    </row>
    <row r="986" spans="1:6" ht="15.75" customHeight="1" x14ac:dyDescent="0.3">
      <c r="A986" s="4" t="s">
        <v>179</v>
      </c>
      <c r="B986" s="2" t="s">
        <v>7</v>
      </c>
      <c r="C986" s="2" t="s">
        <v>23</v>
      </c>
      <c r="D986" s="2" t="s">
        <v>9</v>
      </c>
      <c r="E986" s="2" t="s">
        <v>24</v>
      </c>
      <c r="F986" s="5">
        <v>396.69632038052629</v>
      </c>
    </row>
    <row r="987" spans="1:6" ht="15.75" customHeight="1" x14ac:dyDescent="0.3">
      <c r="A987" s="4" t="s">
        <v>135</v>
      </c>
      <c r="B987" s="2" t="s">
        <v>12</v>
      </c>
      <c r="C987" s="2" t="s">
        <v>13</v>
      </c>
      <c r="D987" s="2" t="s">
        <v>9</v>
      </c>
      <c r="E987" s="2" t="s">
        <v>15</v>
      </c>
      <c r="F987" s="5">
        <v>1724.46</v>
      </c>
    </row>
    <row r="988" spans="1:6" ht="15.75" customHeight="1" x14ac:dyDescent="0.3">
      <c r="A988" s="4" t="s">
        <v>77</v>
      </c>
      <c r="B988" s="2" t="s">
        <v>30</v>
      </c>
      <c r="C988" s="2" t="s">
        <v>23</v>
      </c>
      <c r="D988" s="2" t="s">
        <v>28</v>
      </c>
      <c r="E988" s="2" t="s">
        <v>15</v>
      </c>
      <c r="F988" s="5">
        <v>3569.77</v>
      </c>
    </row>
    <row r="989" spans="1:6" ht="15.75" customHeight="1" x14ac:dyDescent="0.3">
      <c r="A989" s="4" t="s">
        <v>151</v>
      </c>
      <c r="B989" s="2" t="s">
        <v>12</v>
      </c>
      <c r="C989" s="2" t="s">
        <v>8</v>
      </c>
      <c r="D989" s="2" t="s">
        <v>14</v>
      </c>
      <c r="E989" s="2" t="s">
        <v>10</v>
      </c>
      <c r="F989" s="5">
        <v>1244.99</v>
      </c>
    </row>
    <row r="990" spans="1:6" ht="15.75" customHeight="1" x14ac:dyDescent="0.3">
      <c r="A990" s="4" t="s">
        <v>218</v>
      </c>
      <c r="B990" s="2" t="s">
        <v>17</v>
      </c>
      <c r="C990" s="2" t="s">
        <v>13</v>
      </c>
      <c r="D990" s="2" t="s">
        <v>9</v>
      </c>
      <c r="E990" s="2" t="s">
        <v>10</v>
      </c>
      <c r="F990" s="5">
        <v>4645.6365772858708</v>
      </c>
    </row>
    <row r="991" spans="1:6" ht="15.75" customHeight="1" x14ac:dyDescent="0.3">
      <c r="A991" s="4" t="s">
        <v>106</v>
      </c>
      <c r="B991" s="2" t="s">
        <v>12</v>
      </c>
      <c r="C991" s="2" t="s">
        <v>8</v>
      </c>
      <c r="D991" s="2" t="s">
        <v>9</v>
      </c>
      <c r="E991" s="2" t="s">
        <v>24</v>
      </c>
      <c r="F991" s="5">
        <v>3635.37</v>
      </c>
    </row>
    <row r="992" spans="1:6" ht="15.75" customHeight="1" x14ac:dyDescent="0.3">
      <c r="A992" s="4" t="s">
        <v>87</v>
      </c>
      <c r="B992" s="2" t="s">
        <v>12</v>
      </c>
      <c r="C992" s="2" t="s">
        <v>13</v>
      </c>
      <c r="D992" s="2" t="s">
        <v>9</v>
      </c>
      <c r="E992" s="2" t="s">
        <v>24</v>
      </c>
      <c r="F992" s="5">
        <v>4563.1180218760719</v>
      </c>
    </row>
    <row r="993" spans="1:6" ht="15.75" customHeight="1" x14ac:dyDescent="0.3">
      <c r="A993" s="4" t="s">
        <v>20</v>
      </c>
      <c r="B993" s="2" t="s">
        <v>17</v>
      </c>
      <c r="C993" s="2" t="s">
        <v>8</v>
      </c>
      <c r="D993" s="2" t="s">
        <v>9</v>
      </c>
      <c r="E993" s="2" t="s">
        <v>15</v>
      </c>
      <c r="F993" s="5">
        <v>1337.435550889523</v>
      </c>
    </row>
    <row r="994" spans="1:6" ht="15.75" customHeight="1" x14ac:dyDescent="0.3">
      <c r="A994" s="4" t="s">
        <v>136</v>
      </c>
      <c r="B994" s="2" t="s">
        <v>17</v>
      </c>
      <c r="C994" s="2" t="s">
        <v>23</v>
      </c>
      <c r="D994" s="2" t="s">
        <v>9</v>
      </c>
      <c r="E994" s="2" t="s">
        <v>24</v>
      </c>
      <c r="F994" s="5">
        <v>527.43320611007414</v>
      </c>
    </row>
    <row r="995" spans="1:6" ht="15.75" customHeight="1" x14ac:dyDescent="0.3">
      <c r="A995" s="4" t="s">
        <v>190</v>
      </c>
      <c r="B995" s="2" t="s">
        <v>17</v>
      </c>
      <c r="C995" s="2" t="s">
        <v>34</v>
      </c>
      <c r="D995" s="2" t="s">
        <v>14</v>
      </c>
      <c r="E995" s="2" t="s">
        <v>10</v>
      </c>
      <c r="F995" s="5">
        <v>1979.48</v>
      </c>
    </row>
    <row r="996" spans="1:6" ht="15.75" customHeight="1" x14ac:dyDescent="0.3">
      <c r="A996" s="4" t="s">
        <v>99</v>
      </c>
      <c r="B996" s="2" t="s">
        <v>19</v>
      </c>
      <c r="C996" s="2" t="s">
        <v>23</v>
      </c>
      <c r="D996" s="2" t="s">
        <v>9</v>
      </c>
      <c r="E996" s="2" t="s">
        <v>15</v>
      </c>
      <c r="F996" s="5">
        <v>2025.95</v>
      </c>
    </row>
    <row r="997" spans="1:6" ht="15.75" customHeight="1" x14ac:dyDescent="0.3">
      <c r="A997" s="4" t="s">
        <v>20</v>
      </c>
      <c r="B997" s="2" t="s">
        <v>17</v>
      </c>
      <c r="C997" s="2" t="s">
        <v>13</v>
      </c>
      <c r="D997" s="2" t="s">
        <v>28</v>
      </c>
      <c r="E997" s="2" t="s">
        <v>15</v>
      </c>
      <c r="F997" s="5">
        <v>4195.17</v>
      </c>
    </row>
    <row r="998" spans="1:6" ht="15.75" customHeight="1" x14ac:dyDescent="0.3">
      <c r="A998" s="4" t="s">
        <v>125</v>
      </c>
      <c r="B998" s="2" t="s">
        <v>7</v>
      </c>
      <c r="C998" s="2" t="s">
        <v>8</v>
      </c>
      <c r="D998" s="2" t="s">
        <v>28</v>
      </c>
      <c r="E998" s="2" t="s">
        <v>24</v>
      </c>
      <c r="F998" s="5">
        <v>2104.08</v>
      </c>
    </row>
    <row r="999" spans="1:6" ht="15.75" customHeight="1" x14ac:dyDescent="0.3">
      <c r="A999" s="4" t="s">
        <v>49</v>
      </c>
      <c r="B999" s="2" t="s">
        <v>19</v>
      </c>
      <c r="C999" s="2" t="s">
        <v>8</v>
      </c>
      <c r="D999" s="2" t="s">
        <v>28</v>
      </c>
      <c r="E999" s="2" t="s">
        <v>15</v>
      </c>
      <c r="F999" s="5">
        <v>4229.93</v>
      </c>
    </row>
    <row r="1000" spans="1:6" ht="15.75" customHeight="1" x14ac:dyDescent="0.3">
      <c r="A1000" s="4" t="s">
        <v>143</v>
      </c>
      <c r="B1000" s="2" t="s">
        <v>17</v>
      </c>
      <c r="C1000" s="2" t="s">
        <v>8</v>
      </c>
      <c r="D1000" s="2" t="s">
        <v>14</v>
      </c>
      <c r="E1000" s="2" t="s">
        <v>15</v>
      </c>
      <c r="F1000" s="5">
        <v>3136.15</v>
      </c>
    </row>
    <row r="1001" spans="1:6" ht="15.75" customHeight="1" x14ac:dyDescent="0.3">
      <c r="A1001" s="4" t="s">
        <v>182</v>
      </c>
      <c r="B1001" s="2" t="s">
        <v>12</v>
      </c>
      <c r="C1001" s="2" t="s">
        <v>34</v>
      </c>
      <c r="D1001" s="2" t="s">
        <v>9</v>
      </c>
      <c r="E1001" s="2" t="s">
        <v>24</v>
      </c>
      <c r="F1001" s="5">
        <v>1959.329133839653</v>
      </c>
    </row>
    <row r="1002" spans="1:6" ht="15.75" customHeight="1" x14ac:dyDescent="0.3">
      <c r="A1002" s="4" t="s">
        <v>134</v>
      </c>
      <c r="B1002" s="2" t="s">
        <v>7</v>
      </c>
      <c r="C1002" s="2" t="s">
        <v>8</v>
      </c>
      <c r="D1002" s="2" t="s">
        <v>9</v>
      </c>
      <c r="E1002" s="2" t="s">
        <v>24</v>
      </c>
      <c r="F1002" s="5">
        <v>1221.9530486016611</v>
      </c>
    </row>
    <row r="1003" spans="1:6" ht="15.75" customHeight="1" x14ac:dyDescent="0.3">
      <c r="A1003" s="4" t="s">
        <v>92</v>
      </c>
      <c r="B1003" s="2" t="s">
        <v>30</v>
      </c>
      <c r="C1003" s="2" t="s">
        <v>13</v>
      </c>
      <c r="D1003" s="2" t="s">
        <v>28</v>
      </c>
      <c r="E1003" s="2" t="s">
        <v>10</v>
      </c>
      <c r="F1003" s="5">
        <v>300.75</v>
      </c>
    </row>
    <row r="1004" spans="1:6" ht="15.75" customHeight="1" x14ac:dyDescent="0.3">
      <c r="A1004" s="4" t="s">
        <v>107</v>
      </c>
      <c r="B1004" s="2" t="s">
        <v>30</v>
      </c>
      <c r="C1004" s="2" t="s">
        <v>23</v>
      </c>
      <c r="D1004" s="2" t="s">
        <v>28</v>
      </c>
      <c r="E1004" s="2" t="s">
        <v>24</v>
      </c>
      <c r="F1004" s="5">
        <v>4099.18</v>
      </c>
    </row>
    <row r="1005" spans="1:6" ht="15.75" customHeight="1" x14ac:dyDescent="0.3">
      <c r="A1005" s="4" t="s">
        <v>50</v>
      </c>
      <c r="B1005" s="2" t="s">
        <v>19</v>
      </c>
      <c r="C1005" s="2" t="s">
        <v>13</v>
      </c>
      <c r="D1005" s="2" t="s">
        <v>14</v>
      </c>
      <c r="E1005" s="2" t="s">
        <v>10</v>
      </c>
      <c r="F1005" s="5">
        <v>104.53</v>
      </c>
    </row>
    <row r="1006" spans="1:6" ht="15.75" customHeight="1" x14ac:dyDescent="0.3">
      <c r="A1006" s="4" t="s">
        <v>172</v>
      </c>
      <c r="B1006" s="2" t="s">
        <v>7</v>
      </c>
      <c r="C1006" s="2" t="s">
        <v>34</v>
      </c>
      <c r="D1006" s="2" t="s">
        <v>14</v>
      </c>
      <c r="E1006" s="2" t="s">
        <v>24</v>
      </c>
      <c r="F1006" s="5">
        <v>2781</v>
      </c>
    </row>
    <row r="1007" spans="1:6" ht="15.75" customHeight="1" x14ac:dyDescent="0.3">
      <c r="A1007" s="4" t="s">
        <v>20</v>
      </c>
      <c r="B1007" s="2" t="s">
        <v>17</v>
      </c>
      <c r="C1007" s="2" t="s">
        <v>23</v>
      </c>
      <c r="D1007" s="2" t="s">
        <v>9</v>
      </c>
      <c r="E1007" s="2" t="s">
        <v>24</v>
      </c>
      <c r="F1007" s="5">
        <v>3597.3034527063469</v>
      </c>
    </row>
    <row r="1008" spans="1:6" ht="15.75" customHeight="1" x14ac:dyDescent="0.3">
      <c r="A1008" s="4" t="s">
        <v>174</v>
      </c>
      <c r="B1008" s="2" t="s">
        <v>19</v>
      </c>
      <c r="C1008" s="2" t="s">
        <v>23</v>
      </c>
      <c r="D1008" s="2" t="s">
        <v>28</v>
      </c>
      <c r="E1008" s="2" t="s">
        <v>24</v>
      </c>
      <c r="F1008" s="5">
        <v>2055.7399999999998</v>
      </c>
    </row>
    <row r="1009" spans="1:6" ht="15.75" customHeight="1" x14ac:dyDescent="0.3">
      <c r="A1009" s="4" t="s">
        <v>167</v>
      </c>
      <c r="B1009" s="2" t="s">
        <v>30</v>
      </c>
      <c r="C1009" s="2" t="s">
        <v>23</v>
      </c>
      <c r="D1009" s="2" t="s">
        <v>14</v>
      </c>
      <c r="E1009" s="2" t="s">
        <v>10</v>
      </c>
      <c r="F1009" s="5">
        <v>437.58</v>
      </c>
    </row>
    <row r="1010" spans="1:6" ht="15.75" customHeight="1" x14ac:dyDescent="0.3">
      <c r="A1010" s="4" t="s">
        <v>185</v>
      </c>
      <c r="B1010" s="2" t="s">
        <v>30</v>
      </c>
      <c r="C1010" s="2" t="s">
        <v>13</v>
      </c>
      <c r="D1010" s="2" t="s">
        <v>28</v>
      </c>
      <c r="E1010" s="2" t="s">
        <v>10</v>
      </c>
      <c r="F1010" s="5">
        <v>3087.52</v>
      </c>
    </row>
    <row r="1011" spans="1:6" ht="15.75" customHeight="1" x14ac:dyDescent="0.3">
      <c r="A1011" s="4" t="s">
        <v>190</v>
      </c>
      <c r="B1011" s="2" t="s">
        <v>17</v>
      </c>
      <c r="C1011" s="2" t="s">
        <v>13</v>
      </c>
      <c r="D1011" s="2" t="s">
        <v>9</v>
      </c>
      <c r="E1011" s="2" t="s">
        <v>10</v>
      </c>
      <c r="F1011" s="5">
        <v>2226.371184582415</v>
      </c>
    </row>
    <row r="1012" spans="1:6" ht="15.75" customHeight="1" x14ac:dyDescent="0.3">
      <c r="A1012" s="4" t="s">
        <v>211</v>
      </c>
      <c r="B1012" s="2" t="s">
        <v>7</v>
      </c>
      <c r="C1012" s="2" t="s">
        <v>8</v>
      </c>
      <c r="D1012" s="2" t="s">
        <v>28</v>
      </c>
      <c r="E1012" s="2" t="s">
        <v>10</v>
      </c>
      <c r="F1012" s="5">
        <v>769.29</v>
      </c>
    </row>
    <row r="1013" spans="1:6" ht="15.75" customHeight="1" x14ac:dyDescent="0.3">
      <c r="A1013" s="4" t="s">
        <v>27</v>
      </c>
      <c r="B1013" s="2" t="s">
        <v>12</v>
      </c>
      <c r="C1013" s="2" t="s">
        <v>23</v>
      </c>
      <c r="D1013" s="2" t="s">
        <v>28</v>
      </c>
      <c r="E1013" s="2" t="s">
        <v>24</v>
      </c>
      <c r="F1013" s="5">
        <v>3008.89</v>
      </c>
    </row>
    <row r="1014" spans="1:6" ht="15.75" customHeight="1" x14ac:dyDescent="0.3">
      <c r="A1014" s="4" t="s">
        <v>121</v>
      </c>
      <c r="B1014" s="2" t="s">
        <v>30</v>
      </c>
      <c r="C1014" s="2" t="s">
        <v>34</v>
      </c>
      <c r="D1014" s="2" t="s">
        <v>9</v>
      </c>
      <c r="E1014" s="2" t="s">
        <v>10</v>
      </c>
      <c r="F1014" s="5">
        <v>1802.2968643655231</v>
      </c>
    </row>
    <row r="1015" spans="1:6" ht="15.75" customHeight="1" x14ac:dyDescent="0.3">
      <c r="A1015" s="4" t="s">
        <v>121</v>
      </c>
      <c r="B1015" s="2" t="s">
        <v>30</v>
      </c>
      <c r="C1015" s="2" t="s">
        <v>34</v>
      </c>
      <c r="D1015" s="2" t="s">
        <v>28</v>
      </c>
      <c r="E1015" s="2" t="s">
        <v>10</v>
      </c>
      <c r="F1015" s="5">
        <v>3707.94</v>
      </c>
    </row>
    <row r="1016" spans="1:6" ht="15.75" customHeight="1" x14ac:dyDescent="0.3">
      <c r="A1016" s="4" t="s">
        <v>128</v>
      </c>
      <c r="B1016" s="2" t="s">
        <v>12</v>
      </c>
      <c r="C1016" s="2" t="s">
        <v>13</v>
      </c>
      <c r="D1016" s="2" t="s">
        <v>9</v>
      </c>
      <c r="E1016" s="2" t="s">
        <v>10</v>
      </c>
      <c r="F1016" s="5">
        <v>3134.244477333024</v>
      </c>
    </row>
    <row r="1017" spans="1:6" ht="15.75" customHeight="1" x14ac:dyDescent="0.3">
      <c r="A1017" s="4" t="s">
        <v>29</v>
      </c>
      <c r="B1017" s="2" t="s">
        <v>30</v>
      </c>
      <c r="C1017" s="2" t="s">
        <v>23</v>
      </c>
      <c r="D1017" s="2" t="s">
        <v>28</v>
      </c>
      <c r="E1017" s="2" t="s">
        <v>15</v>
      </c>
      <c r="F1017" s="5">
        <v>1671.05</v>
      </c>
    </row>
    <row r="1018" spans="1:6" ht="15.75" customHeight="1" x14ac:dyDescent="0.3">
      <c r="A1018" s="4" t="s">
        <v>90</v>
      </c>
      <c r="B1018" s="2" t="s">
        <v>19</v>
      </c>
      <c r="C1018" s="2" t="s">
        <v>8</v>
      </c>
      <c r="D1018" s="2" t="s">
        <v>9</v>
      </c>
      <c r="E1018" s="2" t="s">
        <v>15</v>
      </c>
      <c r="F1018" s="5">
        <v>456.60088706521782</v>
      </c>
    </row>
    <row r="1019" spans="1:6" ht="15.75" customHeight="1" x14ac:dyDescent="0.3">
      <c r="A1019" s="4" t="s">
        <v>140</v>
      </c>
      <c r="B1019" s="2" t="s">
        <v>17</v>
      </c>
      <c r="C1019" s="2" t="s">
        <v>8</v>
      </c>
      <c r="D1019" s="2" t="s">
        <v>14</v>
      </c>
      <c r="E1019" s="2" t="s">
        <v>10</v>
      </c>
      <c r="F1019" s="5">
        <v>4237.93</v>
      </c>
    </row>
    <row r="1020" spans="1:6" ht="15.75" customHeight="1" x14ac:dyDescent="0.3">
      <c r="A1020" s="4" t="s">
        <v>203</v>
      </c>
      <c r="B1020" s="2" t="s">
        <v>12</v>
      </c>
      <c r="C1020" s="2" t="s">
        <v>23</v>
      </c>
      <c r="D1020" s="2" t="s">
        <v>9</v>
      </c>
      <c r="E1020" s="2" t="s">
        <v>24</v>
      </c>
      <c r="F1020" s="5">
        <v>4750.1918851713963</v>
      </c>
    </row>
    <row r="1021" spans="1:6" ht="15.75" customHeight="1" x14ac:dyDescent="0.3">
      <c r="A1021" s="4" t="s">
        <v>215</v>
      </c>
      <c r="B1021" s="2" t="s">
        <v>17</v>
      </c>
      <c r="C1021" s="2" t="s">
        <v>23</v>
      </c>
      <c r="D1021" s="2" t="s">
        <v>28</v>
      </c>
      <c r="E1021" s="2" t="s">
        <v>10</v>
      </c>
      <c r="F1021" s="5">
        <v>3912.43</v>
      </c>
    </row>
    <row r="1022" spans="1:6" ht="15.75" customHeight="1" x14ac:dyDescent="0.3">
      <c r="A1022" s="4" t="s">
        <v>50</v>
      </c>
      <c r="B1022" s="2" t="s">
        <v>19</v>
      </c>
      <c r="C1022" s="2" t="s">
        <v>23</v>
      </c>
      <c r="D1022" s="2" t="s">
        <v>14</v>
      </c>
      <c r="E1022" s="2" t="s">
        <v>15</v>
      </c>
      <c r="F1022" s="5">
        <v>349.13</v>
      </c>
    </row>
    <row r="1023" spans="1:6" ht="15.75" customHeight="1" x14ac:dyDescent="0.3">
      <c r="A1023" s="4" t="s">
        <v>35</v>
      </c>
      <c r="B1023" s="2" t="s">
        <v>19</v>
      </c>
      <c r="C1023" s="2" t="s">
        <v>13</v>
      </c>
      <c r="D1023" s="2" t="s">
        <v>28</v>
      </c>
      <c r="E1023" s="2" t="s">
        <v>24</v>
      </c>
      <c r="F1023" s="5">
        <v>3133.74</v>
      </c>
    </row>
    <row r="1024" spans="1:6" ht="15.75" customHeight="1" x14ac:dyDescent="0.3">
      <c r="A1024" s="4" t="s">
        <v>50</v>
      </c>
      <c r="B1024" s="2" t="s">
        <v>19</v>
      </c>
      <c r="C1024" s="2" t="s">
        <v>34</v>
      </c>
      <c r="D1024" s="2" t="s">
        <v>28</v>
      </c>
      <c r="E1024" s="2" t="s">
        <v>10</v>
      </c>
      <c r="F1024" s="5">
        <v>228.22</v>
      </c>
    </row>
    <row r="1025" spans="1:6" ht="15.75" customHeight="1" x14ac:dyDescent="0.3">
      <c r="A1025" s="4" t="s">
        <v>123</v>
      </c>
      <c r="B1025" s="2" t="s">
        <v>30</v>
      </c>
      <c r="C1025" s="2" t="s">
        <v>8</v>
      </c>
      <c r="D1025" s="2" t="s">
        <v>28</v>
      </c>
      <c r="E1025" s="2" t="s">
        <v>15</v>
      </c>
      <c r="F1025" s="5">
        <v>1437.79</v>
      </c>
    </row>
    <row r="1026" spans="1:6" ht="15.75" customHeight="1" x14ac:dyDescent="0.3">
      <c r="A1026" s="4" t="s">
        <v>83</v>
      </c>
      <c r="B1026" s="2" t="s">
        <v>17</v>
      </c>
      <c r="C1026" s="2" t="s">
        <v>34</v>
      </c>
      <c r="D1026" s="2" t="s">
        <v>28</v>
      </c>
      <c r="E1026" s="2" t="s">
        <v>24</v>
      </c>
      <c r="F1026" s="5">
        <v>3734.66</v>
      </c>
    </row>
    <row r="1027" spans="1:6" ht="15.75" customHeight="1" x14ac:dyDescent="0.3">
      <c r="A1027" s="4" t="s">
        <v>40</v>
      </c>
      <c r="B1027" s="2" t="s">
        <v>19</v>
      </c>
      <c r="C1027" s="2" t="s">
        <v>13</v>
      </c>
      <c r="D1027" s="2" t="s">
        <v>28</v>
      </c>
      <c r="E1027" s="2" t="s">
        <v>15</v>
      </c>
      <c r="F1027" s="5">
        <v>923.68</v>
      </c>
    </row>
    <row r="1028" spans="1:6" ht="15.75" customHeight="1" x14ac:dyDescent="0.3">
      <c r="A1028" s="4" t="s">
        <v>163</v>
      </c>
      <c r="B1028" s="2" t="s">
        <v>19</v>
      </c>
      <c r="C1028" s="2" t="s">
        <v>34</v>
      </c>
      <c r="D1028" s="2" t="s">
        <v>28</v>
      </c>
      <c r="E1028" s="2" t="s">
        <v>24</v>
      </c>
      <c r="F1028" s="5">
        <v>1962.58</v>
      </c>
    </row>
    <row r="1029" spans="1:6" ht="15.75" customHeight="1" x14ac:dyDescent="0.3">
      <c r="A1029" s="4" t="s">
        <v>180</v>
      </c>
      <c r="B1029" s="2" t="s">
        <v>30</v>
      </c>
      <c r="C1029" s="2" t="s">
        <v>8</v>
      </c>
      <c r="D1029" s="2" t="s">
        <v>14</v>
      </c>
      <c r="E1029" s="2" t="s">
        <v>15</v>
      </c>
      <c r="F1029" s="5">
        <v>690.6</v>
      </c>
    </row>
    <row r="1030" spans="1:6" ht="15.75" customHeight="1" x14ac:dyDescent="0.3">
      <c r="A1030" s="4" t="s">
        <v>175</v>
      </c>
      <c r="B1030" s="2" t="s">
        <v>7</v>
      </c>
      <c r="C1030" s="2" t="s">
        <v>34</v>
      </c>
      <c r="D1030" s="2" t="s">
        <v>9</v>
      </c>
      <c r="E1030" s="2" t="s">
        <v>10</v>
      </c>
      <c r="F1030" s="5">
        <v>1785.82458467727</v>
      </c>
    </row>
    <row r="1031" spans="1:6" ht="15.75" customHeight="1" x14ac:dyDescent="0.3">
      <c r="A1031" s="4" t="s">
        <v>38</v>
      </c>
      <c r="B1031" s="2" t="s">
        <v>30</v>
      </c>
      <c r="C1031" s="2" t="s">
        <v>23</v>
      </c>
      <c r="D1031" s="2" t="s">
        <v>28</v>
      </c>
      <c r="E1031" s="2" t="s">
        <v>24</v>
      </c>
      <c r="F1031" s="5">
        <v>4949.3</v>
      </c>
    </row>
    <row r="1032" spans="1:6" ht="15.75" customHeight="1" x14ac:dyDescent="0.3">
      <c r="A1032" s="4" t="s">
        <v>92</v>
      </c>
      <c r="B1032" s="2" t="s">
        <v>30</v>
      </c>
      <c r="C1032" s="2" t="s">
        <v>23</v>
      </c>
      <c r="D1032" s="2" t="s">
        <v>9</v>
      </c>
      <c r="E1032" s="2" t="s">
        <v>10</v>
      </c>
      <c r="F1032" s="5">
        <v>3153.3403973290042</v>
      </c>
    </row>
    <row r="1033" spans="1:6" ht="15.75" customHeight="1" x14ac:dyDescent="0.3">
      <c r="A1033" s="4" t="s">
        <v>129</v>
      </c>
      <c r="B1033" s="2" t="s">
        <v>17</v>
      </c>
      <c r="C1033" s="2" t="s">
        <v>34</v>
      </c>
      <c r="D1033" s="2" t="s">
        <v>14</v>
      </c>
      <c r="E1033" s="2" t="s">
        <v>15</v>
      </c>
      <c r="F1033" s="5">
        <v>919.35</v>
      </c>
    </row>
    <row r="1034" spans="1:6" ht="15.75" customHeight="1" x14ac:dyDescent="0.3">
      <c r="A1034" s="4" t="s">
        <v>123</v>
      </c>
      <c r="B1034" s="2" t="s">
        <v>30</v>
      </c>
      <c r="C1034" s="2" t="s">
        <v>34</v>
      </c>
      <c r="D1034" s="2" t="s">
        <v>14</v>
      </c>
      <c r="E1034" s="2" t="s">
        <v>15</v>
      </c>
      <c r="F1034" s="5">
        <v>2465.21</v>
      </c>
    </row>
    <row r="1035" spans="1:6" ht="15.75" customHeight="1" x14ac:dyDescent="0.3">
      <c r="A1035" s="4" t="s">
        <v>147</v>
      </c>
      <c r="B1035" s="2" t="s">
        <v>17</v>
      </c>
      <c r="C1035" s="2" t="s">
        <v>23</v>
      </c>
      <c r="D1035" s="2" t="s">
        <v>14</v>
      </c>
      <c r="E1035" s="2" t="s">
        <v>10</v>
      </c>
      <c r="F1035" s="5">
        <v>2956.74</v>
      </c>
    </row>
    <row r="1036" spans="1:6" ht="15.75" customHeight="1" x14ac:dyDescent="0.3">
      <c r="A1036" s="4" t="s">
        <v>125</v>
      </c>
      <c r="B1036" s="2" t="s">
        <v>7</v>
      </c>
      <c r="C1036" s="2" t="s">
        <v>34</v>
      </c>
      <c r="D1036" s="2" t="s">
        <v>9</v>
      </c>
      <c r="E1036" s="2" t="s">
        <v>10</v>
      </c>
      <c r="F1036" s="5">
        <v>1174.6298440990131</v>
      </c>
    </row>
    <row r="1037" spans="1:6" ht="15.75" customHeight="1" x14ac:dyDescent="0.3">
      <c r="A1037" s="4" t="s">
        <v>130</v>
      </c>
      <c r="B1037" s="2" t="s">
        <v>12</v>
      </c>
      <c r="C1037" s="2" t="s">
        <v>34</v>
      </c>
      <c r="D1037" s="2" t="s">
        <v>14</v>
      </c>
      <c r="E1037" s="2" t="s">
        <v>24</v>
      </c>
      <c r="F1037" s="5">
        <v>1574.82</v>
      </c>
    </row>
    <row r="1038" spans="1:6" ht="15.75" customHeight="1" x14ac:dyDescent="0.3">
      <c r="A1038" s="4" t="s">
        <v>102</v>
      </c>
      <c r="B1038" s="2" t="s">
        <v>19</v>
      </c>
      <c r="C1038" s="2" t="s">
        <v>8</v>
      </c>
      <c r="D1038" s="2" t="s">
        <v>9</v>
      </c>
      <c r="E1038" s="2" t="s">
        <v>10</v>
      </c>
      <c r="F1038" s="5">
        <v>922.3221960910796</v>
      </c>
    </row>
    <row r="1039" spans="1:6" ht="15.75" customHeight="1" x14ac:dyDescent="0.3">
      <c r="A1039" s="4" t="s">
        <v>73</v>
      </c>
      <c r="B1039" s="2" t="s">
        <v>30</v>
      </c>
      <c r="C1039" s="2" t="s">
        <v>23</v>
      </c>
      <c r="D1039" s="2" t="s">
        <v>9</v>
      </c>
      <c r="E1039" s="2" t="s">
        <v>10</v>
      </c>
      <c r="F1039" s="5">
        <v>842.92266965061242</v>
      </c>
    </row>
    <row r="1040" spans="1:6" ht="15.75" customHeight="1" x14ac:dyDescent="0.3">
      <c r="A1040" s="4" t="s">
        <v>110</v>
      </c>
      <c r="B1040" s="2" t="s">
        <v>12</v>
      </c>
      <c r="C1040" s="2" t="s">
        <v>8</v>
      </c>
      <c r="D1040" s="2" t="s">
        <v>14</v>
      </c>
      <c r="E1040" s="2" t="s">
        <v>10</v>
      </c>
      <c r="F1040" s="5">
        <v>3132.1</v>
      </c>
    </row>
    <row r="1041" spans="1:6" ht="15.75" customHeight="1" x14ac:dyDescent="0.3">
      <c r="A1041" s="4" t="s">
        <v>109</v>
      </c>
      <c r="B1041" s="2" t="s">
        <v>12</v>
      </c>
      <c r="C1041" s="2" t="s">
        <v>13</v>
      </c>
      <c r="D1041" s="2" t="s">
        <v>9</v>
      </c>
      <c r="E1041" s="2" t="s">
        <v>10</v>
      </c>
      <c r="F1041" s="5">
        <v>3613.5009597251601</v>
      </c>
    </row>
    <row r="1042" spans="1:6" ht="15.75" customHeight="1" x14ac:dyDescent="0.3">
      <c r="A1042" s="4" t="s">
        <v>45</v>
      </c>
      <c r="B1042" s="2" t="s">
        <v>7</v>
      </c>
      <c r="C1042" s="2" t="s">
        <v>34</v>
      </c>
      <c r="D1042" s="2" t="s">
        <v>9</v>
      </c>
      <c r="E1042" s="2" t="s">
        <v>24</v>
      </c>
      <c r="F1042" s="5">
        <v>1968.523608528347</v>
      </c>
    </row>
    <row r="1043" spans="1:6" ht="15.75" customHeight="1" x14ac:dyDescent="0.3">
      <c r="A1043" s="4" t="s">
        <v>179</v>
      </c>
      <c r="B1043" s="2" t="s">
        <v>7</v>
      </c>
      <c r="C1043" s="2" t="s">
        <v>23</v>
      </c>
      <c r="D1043" s="2" t="s">
        <v>14</v>
      </c>
      <c r="E1043" s="2" t="s">
        <v>10</v>
      </c>
      <c r="F1043" s="5">
        <v>70.83</v>
      </c>
    </row>
    <row r="1044" spans="1:6" ht="15.75" customHeight="1" x14ac:dyDescent="0.3">
      <c r="A1044" s="4" t="s">
        <v>179</v>
      </c>
      <c r="B1044" s="2" t="s">
        <v>7</v>
      </c>
      <c r="C1044" s="2" t="s">
        <v>13</v>
      </c>
      <c r="D1044" s="2" t="s">
        <v>14</v>
      </c>
      <c r="E1044" s="2" t="s">
        <v>15</v>
      </c>
      <c r="F1044" s="5">
        <v>1698.04</v>
      </c>
    </row>
    <row r="1045" spans="1:6" ht="15.75" customHeight="1" x14ac:dyDescent="0.3">
      <c r="A1045" s="4" t="s">
        <v>173</v>
      </c>
      <c r="B1045" s="2" t="s">
        <v>30</v>
      </c>
      <c r="C1045" s="2" t="s">
        <v>23</v>
      </c>
      <c r="D1045" s="2" t="s">
        <v>28</v>
      </c>
      <c r="E1045" s="2" t="s">
        <v>10</v>
      </c>
      <c r="F1045" s="5">
        <v>4151.2</v>
      </c>
    </row>
    <row r="1046" spans="1:6" ht="15.75" customHeight="1" x14ac:dyDescent="0.3">
      <c r="A1046" s="4" t="s">
        <v>122</v>
      </c>
      <c r="B1046" s="2" t="s">
        <v>19</v>
      </c>
      <c r="C1046" s="2" t="s">
        <v>34</v>
      </c>
      <c r="D1046" s="2" t="s">
        <v>28</v>
      </c>
      <c r="E1046" s="2" t="s">
        <v>15</v>
      </c>
      <c r="F1046" s="5">
        <v>4411.01</v>
      </c>
    </row>
    <row r="1047" spans="1:6" ht="15.75" customHeight="1" x14ac:dyDescent="0.3">
      <c r="A1047" s="4" t="s">
        <v>155</v>
      </c>
      <c r="B1047" s="2" t="s">
        <v>7</v>
      </c>
      <c r="C1047" s="2" t="s">
        <v>13</v>
      </c>
      <c r="D1047" s="2" t="s">
        <v>28</v>
      </c>
      <c r="E1047" s="2" t="s">
        <v>15</v>
      </c>
      <c r="F1047" s="5">
        <v>284.04000000000002</v>
      </c>
    </row>
    <row r="1048" spans="1:6" ht="15.75" customHeight="1" x14ac:dyDescent="0.3">
      <c r="A1048" s="4" t="s">
        <v>200</v>
      </c>
      <c r="B1048" s="2" t="s">
        <v>30</v>
      </c>
      <c r="C1048" s="2" t="s">
        <v>8</v>
      </c>
      <c r="D1048" s="2" t="s">
        <v>9</v>
      </c>
      <c r="E1048" s="2" t="s">
        <v>24</v>
      </c>
      <c r="F1048" s="5">
        <v>3725.8493834481519</v>
      </c>
    </row>
    <row r="1049" spans="1:6" ht="15.75" customHeight="1" x14ac:dyDescent="0.3">
      <c r="A1049" s="4" t="s">
        <v>191</v>
      </c>
      <c r="B1049" s="2" t="s">
        <v>12</v>
      </c>
      <c r="C1049" s="2" t="s">
        <v>13</v>
      </c>
      <c r="D1049" s="2" t="s">
        <v>28</v>
      </c>
      <c r="E1049" s="2" t="s">
        <v>24</v>
      </c>
      <c r="F1049" s="5">
        <v>324.83999999999997</v>
      </c>
    </row>
    <row r="1050" spans="1:6" ht="15.75" customHeight="1" x14ac:dyDescent="0.3">
      <c r="A1050" s="4" t="s">
        <v>51</v>
      </c>
      <c r="B1050" s="2" t="s">
        <v>30</v>
      </c>
      <c r="C1050" s="2" t="s">
        <v>13</v>
      </c>
      <c r="D1050" s="2" t="s">
        <v>28</v>
      </c>
      <c r="E1050" s="2" t="s">
        <v>24</v>
      </c>
      <c r="F1050" s="5">
        <v>574.69000000000005</v>
      </c>
    </row>
    <row r="1051" spans="1:6" ht="15.75" customHeight="1" x14ac:dyDescent="0.3">
      <c r="A1051" s="4" t="s">
        <v>198</v>
      </c>
      <c r="B1051" s="2" t="s">
        <v>12</v>
      </c>
      <c r="C1051" s="2" t="s">
        <v>34</v>
      </c>
      <c r="D1051" s="2" t="s">
        <v>9</v>
      </c>
      <c r="E1051" s="2" t="s">
        <v>24</v>
      </c>
      <c r="F1051" s="5">
        <v>3034.3254079588769</v>
      </c>
    </row>
    <row r="1052" spans="1:6" ht="15.75" customHeight="1" x14ac:dyDescent="0.3">
      <c r="A1052" s="4" t="s">
        <v>116</v>
      </c>
      <c r="B1052" s="2" t="s">
        <v>17</v>
      </c>
      <c r="C1052" s="2" t="s">
        <v>34</v>
      </c>
      <c r="D1052" s="2" t="s">
        <v>28</v>
      </c>
      <c r="E1052" s="2" t="s">
        <v>24</v>
      </c>
      <c r="F1052" s="5">
        <v>169.73</v>
      </c>
    </row>
    <row r="1053" spans="1:6" ht="15.75" customHeight="1" x14ac:dyDescent="0.3">
      <c r="A1053" s="4" t="s">
        <v>142</v>
      </c>
      <c r="B1053" s="2" t="s">
        <v>17</v>
      </c>
      <c r="C1053" s="2" t="s">
        <v>13</v>
      </c>
      <c r="D1053" s="2" t="s">
        <v>14</v>
      </c>
      <c r="E1053" s="2" t="s">
        <v>24</v>
      </c>
      <c r="F1053" s="5">
        <v>1309.6199999999999</v>
      </c>
    </row>
    <row r="1054" spans="1:6" ht="15.75" customHeight="1" x14ac:dyDescent="0.3">
      <c r="A1054" s="4" t="s">
        <v>149</v>
      </c>
      <c r="B1054" s="2" t="s">
        <v>17</v>
      </c>
      <c r="C1054" s="2" t="s">
        <v>8</v>
      </c>
      <c r="D1054" s="2" t="s">
        <v>28</v>
      </c>
      <c r="E1054" s="2" t="s">
        <v>24</v>
      </c>
      <c r="F1054" s="5">
        <v>2624.96</v>
      </c>
    </row>
    <row r="1055" spans="1:6" ht="15.75" customHeight="1" x14ac:dyDescent="0.3">
      <c r="A1055" s="4" t="s">
        <v>113</v>
      </c>
      <c r="B1055" s="2" t="s">
        <v>30</v>
      </c>
      <c r="C1055" s="2" t="s">
        <v>8</v>
      </c>
      <c r="D1055" s="2" t="s">
        <v>14</v>
      </c>
      <c r="E1055" s="2" t="s">
        <v>15</v>
      </c>
      <c r="F1055" s="5">
        <v>1753.99</v>
      </c>
    </row>
    <row r="1056" spans="1:6" ht="15.75" customHeight="1" x14ac:dyDescent="0.3">
      <c r="A1056" s="4" t="s">
        <v>94</v>
      </c>
      <c r="B1056" s="2" t="s">
        <v>7</v>
      </c>
      <c r="C1056" s="2" t="s">
        <v>13</v>
      </c>
      <c r="D1056" s="2" t="s">
        <v>9</v>
      </c>
      <c r="E1056" s="2" t="s">
        <v>10</v>
      </c>
      <c r="F1056" s="5">
        <v>4506.3506756490024</v>
      </c>
    </row>
    <row r="1057" spans="1:6" ht="15.75" customHeight="1" x14ac:dyDescent="0.3">
      <c r="A1057" s="4" t="s">
        <v>154</v>
      </c>
      <c r="B1057" s="2" t="s">
        <v>12</v>
      </c>
      <c r="C1057" s="2" t="s">
        <v>13</v>
      </c>
      <c r="D1057" s="2" t="s">
        <v>9</v>
      </c>
      <c r="E1057" s="2" t="s">
        <v>24</v>
      </c>
      <c r="F1057" s="5">
        <v>1399.9373111610009</v>
      </c>
    </row>
    <row r="1058" spans="1:6" ht="15.75" customHeight="1" x14ac:dyDescent="0.3">
      <c r="A1058" s="4" t="s">
        <v>103</v>
      </c>
      <c r="B1058" s="2" t="s">
        <v>19</v>
      </c>
      <c r="C1058" s="2" t="s">
        <v>23</v>
      </c>
      <c r="D1058" s="2" t="s">
        <v>9</v>
      </c>
      <c r="E1058" s="2" t="s">
        <v>15</v>
      </c>
      <c r="F1058" s="5">
        <v>3722.057522484567</v>
      </c>
    </row>
    <row r="1059" spans="1:6" ht="15.75" customHeight="1" x14ac:dyDescent="0.3">
      <c r="A1059" s="4" t="s">
        <v>66</v>
      </c>
      <c r="B1059" s="2" t="s">
        <v>30</v>
      </c>
      <c r="C1059" s="2" t="s">
        <v>23</v>
      </c>
      <c r="D1059" s="2" t="s">
        <v>9</v>
      </c>
      <c r="E1059" s="2" t="s">
        <v>24</v>
      </c>
      <c r="F1059" s="5">
        <v>4854.6605781229218</v>
      </c>
    </row>
    <row r="1060" spans="1:6" ht="15.75" customHeight="1" x14ac:dyDescent="0.3">
      <c r="A1060" s="4" t="s">
        <v>168</v>
      </c>
      <c r="B1060" s="2" t="s">
        <v>17</v>
      </c>
      <c r="C1060" s="2" t="s">
        <v>13</v>
      </c>
      <c r="D1060" s="2" t="s">
        <v>9</v>
      </c>
      <c r="E1060" s="2" t="s">
        <v>24</v>
      </c>
      <c r="F1060" s="5">
        <v>3995.7127211251918</v>
      </c>
    </row>
    <row r="1061" spans="1:6" ht="15.75" customHeight="1" x14ac:dyDescent="0.3">
      <c r="A1061" s="4" t="s">
        <v>183</v>
      </c>
      <c r="B1061" s="2" t="s">
        <v>7</v>
      </c>
      <c r="C1061" s="2" t="s">
        <v>23</v>
      </c>
      <c r="D1061" s="2" t="s">
        <v>9</v>
      </c>
      <c r="E1061" s="2" t="s">
        <v>10</v>
      </c>
      <c r="F1061" s="5">
        <v>1233.92623541222</v>
      </c>
    </row>
    <row r="1062" spans="1:6" ht="15.75" customHeight="1" x14ac:dyDescent="0.3">
      <c r="A1062" s="4" t="s">
        <v>159</v>
      </c>
      <c r="B1062" s="2" t="s">
        <v>7</v>
      </c>
      <c r="C1062" s="2" t="s">
        <v>23</v>
      </c>
      <c r="D1062" s="2" t="s">
        <v>14</v>
      </c>
      <c r="E1062" s="2" t="s">
        <v>15</v>
      </c>
      <c r="F1062" s="5">
        <v>2802.78</v>
      </c>
    </row>
    <row r="1063" spans="1:6" ht="15.75" customHeight="1" x14ac:dyDescent="0.3">
      <c r="A1063" s="4" t="s">
        <v>211</v>
      </c>
      <c r="B1063" s="2" t="s">
        <v>7</v>
      </c>
      <c r="C1063" s="2" t="s">
        <v>8</v>
      </c>
      <c r="D1063" s="2" t="s">
        <v>14</v>
      </c>
      <c r="E1063" s="2" t="s">
        <v>15</v>
      </c>
      <c r="F1063" s="5">
        <v>2330.0300000000002</v>
      </c>
    </row>
    <row r="1064" spans="1:6" ht="15.75" customHeight="1" x14ac:dyDescent="0.3">
      <c r="A1064" s="4" t="s">
        <v>214</v>
      </c>
      <c r="B1064" s="2" t="s">
        <v>30</v>
      </c>
      <c r="C1064" s="2" t="s">
        <v>8</v>
      </c>
      <c r="D1064" s="2" t="s">
        <v>28</v>
      </c>
      <c r="E1064" s="2" t="s">
        <v>24</v>
      </c>
      <c r="F1064" s="5">
        <v>4895.2700000000004</v>
      </c>
    </row>
    <row r="1065" spans="1:6" ht="15.75" customHeight="1" x14ac:dyDescent="0.3">
      <c r="A1065" s="4" t="s">
        <v>52</v>
      </c>
      <c r="B1065" s="2" t="s">
        <v>19</v>
      </c>
      <c r="C1065" s="2" t="s">
        <v>13</v>
      </c>
      <c r="D1065" s="2" t="s">
        <v>14</v>
      </c>
      <c r="E1065" s="2" t="s">
        <v>24</v>
      </c>
      <c r="F1065" s="5">
        <v>804.58</v>
      </c>
    </row>
    <row r="1066" spans="1:6" ht="15.75" customHeight="1" x14ac:dyDescent="0.3">
      <c r="A1066" s="4" t="s">
        <v>61</v>
      </c>
      <c r="B1066" s="2" t="s">
        <v>30</v>
      </c>
      <c r="C1066" s="2" t="s">
        <v>13</v>
      </c>
      <c r="D1066" s="2" t="s">
        <v>9</v>
      </c>
      <c r="E1066" s="2" t="s">
        <v>10</v>
      </c>
      <c r="F1066" s="5">
        <v>5233.9546098693509</v>
      </c>
    </row>
    <row r="1067" spans="1:6" ht="15.75" customHeight="1" x14ac:dyDescent="0.3">
      <c r="A1067" s="4" t="s">
        <v>182</v>
      </c>
      <c r="B1067" s="2" t="s">
        <v>12</v>
      </c>
      <c r="C1067" s="2" t="s">
        <v>23</v>
      </c>
      <c r="D1067" s="2" t="s">
        <v>14</v>
      </c>
      <c r="E1067" s="2" t="s">
        <v>10</v>
      </c>
      <c r="F1067" s="5">
        <v>2997.09</v>
      </c>
    </row>
    <row r="1068" spans="1:6" ht="15.75" customHeight="1" x14ac:dyDescent="0.3">
      <c r="A1068" s="4" t="s">
        <v>161</v>
      </c>
      <c r="B1068" s="2" t="s">
        <v>7</v>
      </c>
      <c r="C1068" s="2" t="s">
        <v>8</v>
      </c>
      <c r="D1068" s="2" t="s">
        <v>9</v>
      </c>
      <c r="E1068" s="2" t="s">
        <v>10</v>
      </c>
      <c r="F1068" s="5">
        <v>964.92144987484903</v>
      </c>
    </row>
    <row r="1069" spans="1:6" ht="15.75" customHeight="1" x14ac:dyDescent="0.3">
      <c r="A1069" s="4" t="s">
        <v>180</v>
      </c>
      <c r="B1069" s="2" t="s">
        <v>30</v>
      </c>
      <c r="C1069" s="2" t="s">
        <v>8</v>
      </c>
      <c r="D1069" s="2" t="s">
        <v>9</v>
      </c>
      <c r="E1069" s="2" t="s">
        <v>24</v>
      </c>
      <c r="F1069" s="5">
        <v>3145.31</v>
      </c>
    </row>
    <row r="1070" spans="1:6" ht="15.75" customHeight="1" x14ac:dyDescent="0.3">
      <c r="A1070" s="4" t="s">
        <v>38</v>
      </c>
      <c r="B1070" s="2" t="s">
        <v>30</v>
      </c>
      <c r="C1070" s="2" t="s">
        <v>13</v>
      </c>
      <c r="D1070" s="2" t="s">
        <v>28</v>
      </c>
      <c r="E1070" s="2" t="s">
        <v>15</v>
      </c>
      <c r="F1070" s="5">
        <v>2135.2800000000002</v>
      </c>
    </row>
    <row r="1071" spans="1:6" ht="15.75" customHeight="1" x14ac:dyDescent="0.3">
      <c r="A1071" s="4" t="s">
        <v>128</v>
      </c>
      <c r="B1071" s="2" t="s">
        <v>12</v>
      </c>
      <c r="C1071" s="2" t="s">
        <v>34</v>
      </c>
      <c r="D1071" s="2" t="s">
        <v>9</v>
      </c>
      <c r="E1071" s="2" t="s">
        <v>24</v>
      </c>
      <c r="F1071" s="5">
        <v>4359.51057092886</v>
      </c>
    </row>
    <row r="1072" spans="1:6" ht="15.75" customHeight="1" x14ac:dyDescent="0.3">
      <c r="A1072" s="4" t="s">
        <v>99</v>
      </c>
      <c r="B1072" s="2" t="s">
        <v>19</v>
      </c>
      <c r="C1072" s="2" t="s">
        <v>23</v>
      </c>
      <c r="D1072" s="2" t="s">
        <v>14</v>
      </c>
      <c r="E1072" s="2" t="s">
        <v>15</v>
      </c>
      <c r="F1072" s="5">
        <v>4094.25</v>
      </c>
    </row>
    <row r="1073" spans="1:6" ht="15.75" customHeight="1" x14ac:dyDescent="0.3">
      <c r="A1073" s="4" t="s">
        <v>183</v>
      </c>
      <c r="B1073" s="2" t="s">
        <v>7</v>
      </c>
      <c r="C1073" s="2" t="s">
        <v>34</v>
      </c>
      <c r="D1073" s="2" t="s">
        <v>9</v>
      </c>
      <c r="E1073" s="2" t="s">
        <v>15</v>
      </c>
      <c r="F1073" s="5">
        <v>1200.6229961537581</v>
      </c>
    </row>
    <row r="1074" spans="1:6" ht="15.75" customHeight="1" x14ac:dyDescent="0.3">
      <c r="A1074" s="4" t="s">
        <v>205</v>
      </c>
      <c r="B1074" s="2" t="s">
        <v>17</v>
      </c>
      <c r="C1074" s="2" t="s">
        <v>23</v>
      </c>
      <c r="D1074" s="2" t="s">
        <v>9</v>
      </c>
      <c r="E1074" s="2" t="s">
        <v>24</v>
      </c>
      <c r="F1074" s="5">
        <v>2599.944831702524</v>
      </c>
    </row>
    <row r="1075" spans="1:6" ht="15.75" customHeight="1" x14ac:dyDescent="0.3">
      <c r="A1075" s="4" t="s">
        <v>199</v>
      </c>
      <c r="B1075" s="2" t="s">
        <v>17</v>
      </c>
      <c r="C1075" s="2" t="s">
        <v>34</v>
      </c>
      <c r="D1075" s="2" t="s">
        <v>14</v>
      </c>
      <c r="E1075" s="2" t="s">
        <v>10</v>
      </c>
      <c r="F1075" s="5">
        <v>3672.52</v>
      </c>
    </row>
    <row r="1076" spans="1:6" ht="15.75" customHeight="1" x14ac:dyDescent="0.3">
      <c r="A1076" s="4" t="s">
        <v>196</v>
      </c>
      <c r="B1076" s="2" t="s">
        <v>30</v>
      </c>
      <c r="C1076" s="2" t="s">
        <v>23</v>
      </c>
      <c r="D1076" s="2" t="s">
        <v>28</v>
      </c>
      <c r="E1076" s="2" t="s">
        <v>24</v>
      </c>
      <c r="F1076" s="5">
        <v>787.76</v>
      </c>
    </row>
    <row r="1077" spans="1:6" ht="15.75" customHeight="1" x14ac:dyDescent="0.3">
      <c r="A1077" s="4" t="s">
        <v>154</v>
      </c>
      <c r="B1077" s="2" t="s">
        <v>12</v>
      </c>
      <c r="C1077" s="2" t="s">
        <v>8</v>
      </c>
      <c r="D1077" s="2" t="s">
        <v>14</v>
      </c>
      <c r="E1077" s="2" t="s">
        <v>10</v>
      </c>
      <c r="F1077" s="5">
        <v>4418.3</v>
      </c>
    </row>
    <row r="1078" spans="1:6" ht="15.75" customHeight="1" x14ac:dyDescent="0.3">
      <c r="A1078" s="4" t="s">
        <v>145</v>
      </c>
      <c r="B1078" s="2" t="s">
        <v>7</v>
      </c>
      <c r="C1078" s="2" t="s">
        <v>23</v>
      </c>
      <c r="D1078" s="2" t="s">
        <v>28</v>
      </c>
      <c r="E1078" s="2" t="s">
        <v>24</v>
      </c>
      <c r="F1078" s="5">
        <v>1918.45</v>
      </c>
    </row>
    <row r="1079" spans="1:6" ht="15.75" customHeight="1" x14ac:dyDescent="0.3">
      <c r="A1079" s="4" t="s">
        <v>208</v>
      </c>
      <c r="B1079" s="2" t="s">
        <v>19</v>
      </c>
      <c r="C1079" s="2" t="s">
        <v>23</v>
      </c>
      <c r="D1079" s="2" t="s">
        <v>28</v>
      </c>
      <c r="E1079" s="2" t="s">
        <v>10</v>
      </c>
      <c r="F1079" s="5">
        <v>4411.78</v>
      </c>
    </row>
    <row r="1080" spans="1:6" ht="15.75" customHeight="1" x14ac:dyDescent="0.3">
      <c r="A1080" s="4" t="s">
        <v>177</v>
      </c>
      <c r="B1080" s="2" t="s">
        <v>7</v>
      </c>
      <c r="C1080" s="2" t="s">
        <v>23</v>
      </c>
      <c r="D1080" s="2" t="s">
        <v>9</v>
      </c>
      <c r="E1080" s="2" t="s">
        <v>10</v>
      </c>
      <c r="F1080" s="5">
        <v>755.83986925657518</v>
      </c>
    </row>
    <row r="1081" spans="1:6" ht="15.75" customHeight="1" x14ac:dyDescent="0.3">
      <c r="A1081" s="4" t="s">
        <v>166</v>
      </c>
      <c r="B1081" s="2" t="s">
        <v>7</v>
      </c>
      <c r="C1081" s="2" t="s">
        <v>13</v>
      </c>
      <c r="D1081" s="2" t="s">
        <v>9</v>
      </c>
      <c r="E1081" s="2" t="s">
        <v>10</v>
      </c>
      <c r="F1081" s="5">
        <v>868.51174339622639</v>
      </c>
    </row>
    <row r="1082" spans="1:6" ht="15.75" customHeight="1" x14ac:dyDescent="0.3">
      <c r="A1082" s="4" t="s">
        <v>26</v>
      </c>
      <c r="B1082" s="2" t="s">
        <v>17</v>
      </c>
      <c r="C1082" s="2" t="s">
        <v>34</v>
      </c>
      <c r="D1082" s="2" t="s">
        <v>14</v>
      </c>
      <c r="E1082" s="2" t="s">
        <v>10</v>
      </c>
      <c r="F1082" s="5">
        <v>3296.99</v>
      </c>
    </row>
    <row r="1083" spans="1:6" ht="15.75" customHeight="1" x14ac:dyDescent="0.3">
      <c r="A1083" s="4" t="s">
        <v>101</v>
      </c>
      <c r="B1083" s="2" t="s">
        <v>19</v>
      </c>
      <c r="C1083" s="2" t="s">
        <v>34</v>
      </c>
      <c r="D1083" s="2" t="s">
        <v>28</v>
      </c>
      <c r="E1083" s="2" t="s">
        <v>24</v>
      </c>
      <c r="F1083" s="5">
        <v>4240.42</v>
      </c>
    </row>
    <row r="1084" spans="1:6" ht="15.75" customHeight="1" x14ac:dyDescent="0.3">
      <c r="A1084" s="4" t="s">
        <v>194</v>
      </c>
      <c r="B1084" s="2" t="s">
        <v>17</v>
      </c>
      <c r="C1084" s="2" t="s">
        <v>13</v>
      </c>
      <c r="D1084" s="2" t="s">
        <v>9</v>
      </c>
      <c r="E1084" s="2" t="s">
        <v>10</v>
      </c>
      <c r="F1084" s="5">
        <v>1409.821359089236</v>
      </c>
    </row>
    <row r="1085" spans="1:6" ht="15.75" customHeight="1" x14ac:dyDescent="0.3">
      <c r="A1085" s="4" t="s">
        <v>122</v>
      </c>
      <c r="B1085" s="2" t="s">
        <v>19</v>
      </c>
      <c r="C1085" s="2" t="s">
        <v>34</v>
      </c>
      <c r="D1085" s="2" t="s">
        <v>14</v>
      </c>
      <c r="E1085" s="2" t="s">
        <v>10</v>
      </c>
      <c r="F1085" s="5">
        <v>3970.76</v>
      </c>
    </row>
    <row r="1086" spans="1:6" ht="15.75" customHeight="1" x14ac:dyDescent="0.3">
      <c r="A1086" s="4" t="s">
        <v>102</v>
      </c>
      <c r="B1086" s="2" t="s">
        <v>19</v>
      </c>
      <c r="C1086" s="2" t="s">
        <v>8</v>
      </c>
      <c r="D1086" s="2" t="s">
        <v>28</v>
      </c>
      <c r="E1086" s="2" t="s">
        <v>15</v>
      </c>
      <c r="F1086" s="5">
        <v>549.77</v>
      </c>
    </row>
    <row r="1087" spans="1:6" ht="15.75" customHeight="1" x14ac:dyDescent="0.3">
      <c r="A1087" s="4" t="s">
        <v>69</v>
      </c>
      <c r="B1087" s="2" t="s">
        <v>7</v>
      </c>
      <c r="C1087" s="2" t="s">
        <v>13</v>
      </c>
      <c r="D1087" s="2" t="s">
        <v>14</v>
      </c>
      <c r="E1087" s="2" t="s">
        <v>10</v>
      </c>
      <c r="F1087" s="5">
        <v>104.29</v>
      </c>
    </row>
    <row r="1088" spans="1:6" ht="15.75" customHeight="1" x14ac:dyDescent="0.3">
      <c r="A1088" s="4" t="s">
        <v>212</v>
      </c>
      <c r="B1088" s="2" t="s">
        <v>7</v>
      </c>
      <c r="C1088" s="2" t="s">
        <v>13</v>
      </c>
      <c r="D1088" s="2" t="s">
        <v>14</v>
      </c>
      <c r="E1088" s="2" t="s">
        <v>10</v>
      </c>
      <c r="F1088" s="5">
        <v>1468.86</v>
      </c>
    </row>
    <row r="1089" spans="1:6" ht="15.75" customHeight="1" x14ac:dyDescent="0.3">
      <c r="A1089" s="4" t="s">
        <v>163</v>
      </c>
      <c r="B1089" s="2" t="s">
        <v>19</v>
      </c>
      <c r="C1089" s="2" t="s">
        <v>13</v>
      </c>
      <c r="D1089" s="2" t="s">
        <v>14</v>
      </c>
      <c r="E1089" s="2" t="s">
        <v>15</v>
      </c>
      <c r="F1089" s="5">
        <v>2876.13</v>
      </c>
    </row>
    <row r="1090" spans="1:6" ht="15.75" customHeight="1" x14ac:dyDescent="0.3">
      <c r="A1090" s="4" t="s">
        <v>154</v>
      </c>
      <c r="B1090" s="2" t="s">
        <v>12</v>
      </c>
      <c r="C1090" s="2" t="s">
        <v>13</v>
      </c>
      <c r="D1090" s="2" t="s">
        <v>28</v>
      </c>
      <c r="E1090" s="2" t="s">
        <v>24</v>
      </c>
      <c r="F1090" s="5">
        <v>1825.34</v>
      </c>
    </row>
    <row r="1091" spans="1:6" ht="15.75" customHeight="1" x14ac:dyDescent="0.3">
      <c r="A1091" s="4" t="s">
        <v>124</v>
      </c>
      <c r="B1091" s="2" t="s">
        <v>12</v>
      </c>
      <c r="C1091" s="2" t="s">
        <v>23</v>
      </c>
      <c r="D1091" s="2" t="s">
        <v>14</v>
      </c>
      <c r="E1091" s="2" t="s">
        <v>15</v>
      </c>
      <c r="F1091" s="5">
        <v>3246.39</v>
      </c>
    </row>
    <row r="1092" spans="1:6" ht="15.75" customHeight="1" x14ac:dyDescent="0.3">
      <c r="A1092" s="4" t="s">
        <v>42</v>
      </c>
      <c r="B1092" s="2" t="s">
        <v>30</v>
      </c>
      <c r="C1092" s="2" t="s">
        <v>8</v>
      </c>
      <c r="D1092" s="2" t="s">
        <v>28</v>
      </c>
      <c r="E1092" s="2" t="s">
        <v>10</v>
      </c>
      <c r="F1092" s="5">
        <v>1846.98</v>
      </c>
    </row>
    <row r="1093" spans="1:6" ht="15.75" customHeight="1" x14ac:dyDescent="0.3">
      <c r="A1093" s="4" t="s">
        <v>134</v>
      </c>
      <c r="B1093" s="2" t="s">
        <v>7</v>
      </c>
      <c r="C1093" s="2" t="s">
        <v>23</v>
      </c>
      <c r="D1093" s="2" t="s">
        <v>14</v>
      </c>
      <c r="E1093" s="2" t="s">
        <v>24</v>
      </c>
      <c r="F1093" s="5">
        <v>4193.53</v>
      </c>
    </row>
    <row r="1094" spans="1:6" ht="15.75" customHeight="1" x14ac:dyDescent="0.3">
      <c r="A1094" s="4" t="s">
        <v>135</v>
      </c>
      <c r="B1094" s="2" t="s">
        <v>12</v>
      </c>
      <c r="C1094" s="2" t="s">
        <v>34</v>
      </c>
      <c r="D1094" s="2" t="s">
        <v>28</v>
      </c>
      <c r="E1094" s="2" t="s">
        <v>10</v>
      </c>
      <c r="F1094" s="5">
        <v>1402.57</v>
      </c>
    </row>
    <row r="1095" spans="1:6" ht="15.75" customHeight="1" x14ac:dyDescent="0.3">
      <c r="A1095" s="4" t="s">
        <v>80</v>
      </c>
      <c r="B1095" s="2" t="s">
        <v>17</v>
      </c>
      <c r="C1095" s="2" t="s">
        <v>8</v>
      </c>
      <c r="D1095" s="2" t="s">
        <v>9</v>
      </c>
      <c r="E1095" s="2" t="s">
        <v>10</v>
      </c>
      <c r="F1095" s="5">
        <v>2860.1475583094089</v>
      </c>
    </row>
    <row r="1096" spans="1:6" ht="15.75" customHeight="1" x14ac:dyDescent="0.3">
      <c r="A1096" s="4" t="s">
        <v>62</v>
      </c>
      <c r="B1096" s="2" t="s">
        <v>30</v>
      </c>
      <c r="C1096" s="2" t="s">
        <v>13</v>
      </c>
      <c r="D1096" s="2" t="s">
        <v>28</v>
      </c>
      <c r="E1096" s="2" t="s">
        <v>15</v>
      </c>
      <c r="F1096" s="5">
        <v>1019.13</v>
      </c>
    </row>
    <row r="1097" spans="1:6" ht="15.75" customHeight="1" x14ac:dyDescent="0.3">
      <c r="A1097" s="4" t="s">
        <v>188</v>
      </c>
      <c r="B1097" s="2" t="s">
        <v>19</v>
      </c>
      <c r="C1097" s="2" t="s">
        <v>8</v>
      </c>
      <c r="D1097" s="2" t="s">
        <v>28</v>
      </c>
      <c r="E1097" s="2" t="s">
        <v>15</v>
      </c>
      <c r="F1097" s="5">
        <v>3886.16</v>
      </c>
    </row>
    <row r="1098" spans="1:6" ht="15.75" customHeight="1" x14ac:dyDescent="0.3">
      <c r="A1098" s="4" t="s">
        <v>125</v>
      </c>
      <c r="B1098" s="2" t="s">
        <v>7</v>
      </c>
      <c r="C1098" s="2" t="s">
        <v>34</v>
      </c>
      <c r="D1098" s="2" t="s">
        <v>9</v>
      </c>
      <c r="E1098" s="2" t="s">
        <v>15</v>
      </c>
      <c r="F1098" s="5">
        <v>2913.9286995954731</v>
      </c>
    </row>
    <row r="1099" spans="1:6" ht="15.75" customHeight="1" x14ac:dyDescent="0.3">
      <c r="A1099" s="4" t="s">
        <v>35</v>
      </c>
      <c r="B1099" s="2" t="s">
        <v>19</v>
      </c>
      <c r="C1099" s="2" t="s">
        <v>8</v>
      </c>
      <c r="D1099" s="2" t="s">
        <v>14</v>
      </c>
      <c r="E1099" s="2" t="s">
        <v>10</v>
      </c>
      <c r="F1099" s="5">
        <v>4929.24</v>
      </c>
    </row>
    <row r="1100" spans="1:6" ht="15.75" customHeight="1" x14ac:dyDescent="0.3">
      <c r="A1100" s="4" t="s">
        <v>48</v>
      </c>
      <c r="B1100" s="2" t="s">
        <v>19</v>
      </c>
      <c r="C1100" s="2" t="s">
        <v>13</v>
      </c>
      <c r="D1100" s="2" t="s">
        <v>14</v>
      </c>
      <c r="E1100" s="2" t="s">
        <v>10</v>
      </c>
      <c r="F1100" s="5">
        <v>197.22</v>
      </c>
    </row>
    <row r="1101" spans="1:6" ht="15.75" customHeight="1" x14ac:dyDescent="0.3">
      <c r="A1101" s="4" t="s">
        <v>205</v>
      </c>
      <c r="B1101" s="2" t="s">
        <v>17</v>
      </c>
      <c r="C1101" s="2" t="s">
        <v>34</v>
      </c>
      <c r="D1101" s="2" t="s">
        <v>28</v>
      </c>
      <c r="E1101" s="2" t="s">
        <v>10</v>
      </c>
      <c r="F1101" s="5">
        <v>3407.21</v>
      </c>
    </row>
    <row r="1102" spans="1:6" ht="15.75" customHeight="1" x14ac:dyDescent="0.3">
      <c r="A1102" s="4" t="s">
        <v>145</v>
      </c>
      <c r="B1102" s="2" t="s">
        <v>7</v>
      </c>
      <c r="C1102" s="2" t="s">
        <v>13</v>
      </c>
      <c r="D1102" s="2" t="s">
        <v>28</v>
      </c>
      <c r="E1102" s="2" t="s">
        <v>24</v>
      </c>
      <c r="F1102" s="5">
        <v>538.5</v>
      </c>
    </row>
    <row r="1103" spans="1:6" ht="15.75" customHeight="1" x14ac:dyDescent="0.3">
      <c r="A1103" s="4" t="s">
        <v>105</v>
      </c>
      <c r="B1103" s="2" t="s">
        <v>30</v>
      </c>
      <c r="C1103" s="2" t="s">
        <v>13</v>
      </c>
      <c r="D1103" s="2" t="s">
        <v>28</v>
      </c>
      <c r="E1103" s="2" t="s">
        <v>10</v>
      </c>
      <c r="F1103" s="5">
        <v>4976.37</v>
      </c>
    </row>
    <row r="1104" spans="1:6" ht="15.75" customHeight="1" x14ac:dyDescent="0.3">
      <c r="A1104" s="4" t="s">
        <v>131</v>
      </c>
      <c r="B1104" s="2" t="s">
        <v>17</v>
      </c>
      <c r="C1104" s="2" t="s">
        <v>8</v>
      </c>
      <c r="D1104" s="2" t="s">
        <v>14</v>
      </c>
      <c r="E1104" s="2" t="s">
        <v>24</v>
      </c>
      <c r="F1104" s="5">
        <v>1334.36</v>
      </c>
    </row>
    <row r="1105" spans="1:6" ht="15.75" customHeight="1" x14ac:dyDescent="0.3">
      <c r="A1105" s="4" t="s">
        <v>172</v>
      </c>
      <c r="B1105" s="2" t="s">
        <v>7</v>
      </c>
      <c r="C1105" s="2" t="s">
        <v>23</v>
      </c>
      <c r="D1105" s="2" t="s">
        <v>14</v>
      </c>
      <c r="E1105" s="2" t="s">
        <v>10</v>
      </c>
      <c r="F1105" s="5">
        <v>2641.31</v>
      </c>
    </row>
    <row r="1106" spans="1:6" ht="15.75" customHeight="1" x14ac:dyDescent="0.3">
      <c r="A1106" s="4" t="s">
        <v>196</v>
      </c>
      <c r="B1106" s="2" t="s">
        <v>30</v>
      </c>
      <c r="C1106" s="2" t="s">
        <v>13</v>
      </c>
      <c r="D1106" s="2" t="s">
        <v>9</v>
      </c>
      <c r="E1106" s="2" t="s">
        <v>24</v>
      </c>
      <c r="F1106" s="5">
        <v>3466.6277036569109</v>
      </c>
    </row>
    <row r="1107" spans="1:6" ht="15.75" customHeight="1" x14ac:dyDescent="0.3">
      <c r="A1107" s="4" t="s">
        <v>152</v>
      </c>
      <c r="B1107" s="2" t="s">
        <v>30</v>
      </c>
      <c r="C1107" s="2" t="s">
        <v>8</v>
      </c>
      <c r="D1107" s="2" t="s">
        <v>14</v>
      </c>
      <c r="E1107" s="2" t="s">
        <v>24</v>
      </c>
      <c r="F1107" s="5">
        <v>4682.5600000000004</v>
      </c>
    </row>
    <row r="1108" spans="1:6" ht="15.75" customHeight="1" x14ac:dyDescent="0.3">
      <c r="A1108" s="4" t="s">
        <v>202</v>
      </c>
      <c r="B1108" s="2" t="s">
        <v>12</v>
      </c>
      <c r="C1108" s="2" t="s">
        <v>13</v>
      </c>
      <c r="D1108" s="2" t="s">
        <v>14</v>
      </c>
      <c r="E1108" s="2" t="s">
        <v>24</v>
      </c>
      <c r="F1108" s="5">
        <v>272.64</v>
      </c>
    </row>
    <row r="1109" spans="1:6" ht="15.75" customHeight="1" x14ac:dyDescent="0.3">
      <c r="A1109" s="4" t="s">
        <v>116</v>
      </c>
      <c r="B1109" s="2" t="s">
        <v>17</v>
      </c>
      <c r="C1109" s="2" t="s">
        <v>23</v>
      </c>
      <c r="D1109" s="2" t="s">
        <v>14</v>
      </c>
      <c r="E1109" s="2" t="s">
        <v>24</v>
      </c>
      <c r="F1109" s="5">
        <v>4584.96</v>
      </c>
    </row>
    <row r="1110" spans="1:6" ht="15.75" customHeight="1" x14ac:dyDescent="0.3">
      <c r="A1110" s="4" t="s">
        <v>175</v>
      </c>
      <c r="B1110" s="2" t="s">
        <v>7</v>
      </c>
      <c r="C1110" s="2" t="s">
        <v>23</v>
      </c>
      <c r="D1110" s="2" t="s">
        <v>14</v>
      </c>
      <c r="E1110" s="2" t="s">
        <v>15</v>
      </c>
      <c r="F1110" s="5">
        <v>3965.06</v>
      </c>
    </row>
    <row r="1111" spans="1:6" ht="15.75" customHeight="1" x14ac:dyDescent="0.3">
      <c r="A1111" s="4" t="s">
        <v>68</v>
      </c>
      <c r="B1111" s="2" t="s">
        <v>12</v>
      </c>
      <c r="C1111" s="2" t="s">
        <v>8</v>
      </c>
      <c r="D1111" s="2" t="s">
        <v>9</v>
      </c>
      <c r="E1111" s="2" t="s">
        <v>24</v>
      </c>
      <c r="F1111" s="5">
        <v>1855.0036908857489</v>
      </c>
    </row>
    <row r="1112" spans="1:6" ht="15.75" customHeight="1" x14ac:dyDescent="0.3">
      <c r="A1112" s="4" t="s">
        <v>58</v>
      </c>
      <c r="B1112" s="2" t="s">
        <v>17</v>
      </c>
      <c r="C1112" s="2" t="s">
        <v>34</v>
      </c>
      <c r="D1112" s="2" t="s">
        <v>9</v>
      </c>
      <c r="E1112" s="2" t="s">
        <v>10</v>
      </c>
      <c r="F1112" s="5">
        <v>1170.491385596798</v>
      </c>
    </row>
    <row r="1113" spans="1:6" ht="15.75" customHeight="1" x14ac:dyDescent="0.3">
      <c r="A1113" s="4" t="s">
        <v>90</v>
      </c>
      <c r="B1113" s="2" t="s">
        <v>19</v>
      </c>
      <c r="C1113" s="2" t="s">
        <v>23</v>
      </c>
      <c r="D1113" s="2" t="s">
        <v>14</v>
      </c>
      <c r="E1113" s="2" t="s">
        <v>10</v>
      </c>
      <c r="F1113" s="5">
        <v>2881.56</v>
      </c>
    </row>
    <row r="1114" spans="1:6" ht="15.75" customHeight="1" x14ac:dyDescent="0.3">
      <c r="A1114" s="4" t="s">
        <v>73</v>
      </c>
      <c r="B1114" s="2" t="s">
        <v>30</v>
      </c>
      <c r="C1114" s="2" t="s">
        <v>34</v>
      </c>
      <c r="D1114" s="2" t="s">
        <v>14</v>
      </c>
      <c r="E1114" s="2" t="s">
        <v>24</v>
      </c>
      <c r="F1114" s="5">
        <v>4820.21</v>
      </c>
    </row>
    <row r="1115" spans="1:6" ht="15.75" customHeight="1" x14ac:dyDescent="0.3">
      <c r="A1115" s="4" t="s">
        <v>122</v>
      </c>
      <c r="B1115" s="2" t="s">
        <v>19</v>
      </c>
      <c r="C1115" s="2" t="s">
        <v>8</v>
      </c>
      <c r="D1115" s="2" t="s">
        <v>14</v>
      </c>
      <c r="E1115" s="2" t="s">
        <v>15</v>
      </c>
      <c r="F1115" s="5">
        <v>2635.84</v>
      </c>
    </row>
    <row r="1116" spans="1:6" ht="15.75" customHeight="1" x14ac:dyDescent="0.3">
      <c r="A1116" s="4" t="s">
        <v>25</v>
      </c>
      <c r="B1116" s="2" t="s">
        <v>19</v>
      </c>
      <c r="C1116" s="2" t="s">
        <v>34</v>
      </c>
      <c r="D1116" s="2" t="s">
        <v>28</v>
      </c>
      <c r="E1116" s="2" t="s">
        <v>15</v>
      </c>
      <c r="F1116" s="5">
        <v>3933.16</v>
      </c>
    </row>
    <row r="1117" spans="1:6" ht="15.75" customHeight="1" x14ac:dyDescent="0.3">
      <c r="A1117" s="4" t="s">
        <v>33</v>
      </c>
      <c r="B1117" s="2" t="s">
        <v>19</v>
      </c>
      <c r="C1117" s="2" t="s">
        <v>23</v>
      </c>
      <c r="D1117" s="2" t="s">
        <v>14</v>
      </c>
      <c r="E1117" s="2" t="s">
        <v>24</v>
      </c>
      <c r="F1117" s="5">
        <v>425.14</v>
      </c>
    </row>
    <row r="1118" spans="1:6" ht="15.75" customHeight="1" x14ac:dyDescent="0.3">
      <c r="A1118" s="4" t="s">
        <v>136</v>
      </c>
      <c r="B1118" s="2" t="s">
        <v>17</v>
      </c>
      <c r="C1118" s="2" t="s">
        <v>23</v>
      </c>
      <c r="D1118" s="2" t="s">
        <v>28</v>
      </c>
      <c r="E1118" s="2" t="s">
        <v>24</v>
      </c>
      <c r="F1118" s="5">
        <v>3494.61</v>
      </c>
    </row>
    <row r="1119" spans="1:6" ht="15.75" customHeight="1" x14ac:dyDescent="0.3">
      <c r="A1119" s="4" t="s">
        <v>204</v>
      </c>
      <c r="B1119" s="2" t="s">
        <v>30</v>
      </c>
      <c r="C1119" s="2" t="s">
        <v>23</v>
      </c>
      <c r="D1119" s="2" t="s">
        <v>9</v>
      </c>
      <c r="E1119" s="2" t="s">
        <v>10</v>
      </c>
      <c r="F1119" s="5">
        <v>3199.7601612137232</v>
      </c>
    </row>
    <row r="1120" spans="1:6" ht="15.75" customHeight="1" x14ac:dyDescent="0.3">
      <c r="A1120" s="4" t="s">
        <v>183</v>
      </c>
      <c r="B1120" s="2" t="s">
        <v>7</v>
      </c>
      <c r="C1120" s="2" t="s">
        <v>8</v>
      </c>
      <c r="D1120" s="2" t="s">
        <v>14</v>
      </c>
      <c r="E1120" s="2" t="s">
        <v>15</v>
      </c>
      <c r="F1120" s="5">
        <v>290.08999999999997</v>
      </c>
    </row>
    <row r="1121" spans="1:6" ht="15.75" customHeight="1" x14ac:dyDescent="0.3">
      <c r="A1121" s="4" t="s">
        <v>166</v>
      </c>
      <c r="B1121" s="2" t="s">
        <v>7</v>
      </c>
      <c r="C1121" s="2" t="s">
        <v>23</v>
      </c>
      <c r="D1121" s="2" t="s">
        <v>28</v>
      </c>
      <c r="E1121" s="2" t="s">
        <v>15</v>
      </c>
      <c r="F1121" s="5">
        <v>1123.56</v>
      </c>
    </row>
    <row r="1122" spans="1:6" ht="15.75" customHeight="1" x14ac:dyDescent="0.3">
      <c r="A1122" s="4" t="s">
        <v>206</v>
      </c>
      <c r="B1122" s="2" t="s">
        <v>19</v>
      </c>
      <c r="C1122" s="2" t="s">
        <v>8</v>
      </c>
      <c r="D1122" s="2" t="s">
        <v>28</v>
      </c>
      <c r="E1122" s="2" t="s">
        <v>10</v>
      </c>
      <c r="F1122" s="5">
        <v>1109.47</v>
      </c>
    </row>
    <row r="1123" spans="1:6" ht="15.75" customHeight="1" x14ac:dyDescent="0.3">
      <c r="A1123" s="4" t="s">
        <v>47</v>
      </c>
      <c r="B1123" s="2" t="s">
        <v>30</v>
      </c>
      <c r="C1123" s="2" t="s">
        <v>34</v>
      </c>
      <c r="D1123" s="2" t="s">
        <v>9</v>
      </c>
      <c r="E1123" s="2" t="s">
        <v>10</v>
      </c>
      <c r="F1123" s="5">
        <v>1044.9244289241481</v>
      </c>
    </row>
    <row r="1124" spans="1:6" ht="15.75" customHeight="1" x14ac:dyDescent="0.3">
      <c r="A1124" s="4" t="s">
        <v>50</v>
      </c>
      <c r="B1124" s="2" t="s">
        <v>19</v>
      </c>
      <c r="C1124" s="2" t="s">
        <v>13</v>
      </c>
      <c r="D1124" s="2" t="s">
        <v>9</v>
      </c>
      <c r="E1124" s="2" t="s">
        <v>15</v>
      </c>
      <c r="F1124" s="5">
        <v>5387.673909887133</v>
      </c>
    </row>
    <row r="1125" spans="1:6" ht="15.75" customHeight="1" x14ac:dyDescent="0.3">
      <c r="A1125" s="4" t="s">
        <v>130</v>
      </c>
      <c r="B1125" s="2" t="s">
        <v>12</v>
      </c>
      <c r="C1125" s="2" t="s">
        <v>13</v>
      </c>
      <c r="D1125" s="2" t="s">
        <v>9</v>
      </c>
      <c r="E1125" s="2" t="s">
        <v>10</v>
      </c>
      <c r="F1125" s="5">
        <v>3244.1674263039949</v>
      </c>
    </row>
    <row r="1126" spans="1:6" ht="15.75" customHeight="1" x14ac:dyDescent="0.3">
      <c r="A1126" s="4" t="s">
        <v>125</v>
      </c>
      <c r="B1126" s="2" t="s">
        <v>7</v>
      </c>
      <c r="C1126" s="2" t="s">
        <v>34</v>
      </c>
      <c r="D1126" s="2" t="s">
        <v>14</v>
      </c>
      <c r="E1126" s="2" t="s">
        <v>15</v>
      </c>
      <c r="F1126" s="5">
        <v>3954.01</v>
      </c>
    </row>
    <row r="1127" spans="1:6" ht="15.75" customHeight="1" x14ac:dyDescent="0.3">
      <c r="A1127" s="4" t="s">
        <v>147</v>
      </c>
      <c r="B1127" s="2" t="s">
        <v>17</v>
      </c>
      <c r="C1127" s="2" t="s">
        <v>34</v>
      </c>
      <c r="D1127" s="2" t="s">
        <v>14</v>
      </c>
      <c r="E1127" s="2" t="s">
        <v>24</v>
      </c>
      <c r="F1127" s="5">
        <v>1475.99</v>
      </c>
    </row>
    <row r="1128" spans="1:6" ht="15.75" customHeight="1" x14ac:dyDescent="0.3">
      <c r="A1128" s="4" t="s">
        <v>120</v>
      </c>
      <c r="B1128" s="2" t="s">
        <v>30</v>
      </c>
      <c r="C1128" s="2" t="s">
        <v>34</v>
      </c>
      <c r="D1128" s="2" t="s">
        <v>9</v>
      </c>
      <c r="E1128" s="2" t="s">
        <v>24</v>
      </c>
      <c r="F1128" s="5">
        <v>4669.9769443153891</v>
      </c>
    </row>
    <row r="1129" spans="1:6" ht="15.75" customHeight="1" x14ac:dyDescent="0.3">
      <c r="A1129" s="4" t="s">
        <v>138</v>
      </c>
      <c r="B1129" s="2" t="s">
        <v>12</v>
      </c>
      <c r="C1129" s="2" t="s">
        <v>13</v>
      </c>
      <c r="D1129" s="2" t="s">
        <v>9</v>
      </c>
      <c r="E1129" s="2" t="s">
        <v>15</v>
      </c>
      <c r="F1129" s="5">
        <v>502.5731907146577</v>
      </c>
    </row>
    <row r="1130" spans="1:6" ht="15.75" customHeight="1" x14ac:dyDescent="0.3">
      <c r="A1130" s="4" t="s">
        <v>166</v>
      </c>
      <c r="B1130" s="2" t="s">
        <v>7</v>
      </c>
      <c r="C1130" s="2" t="s">
        <v>8</v>
      </c>
      <c r="D1130" s="2" t="s">
        <v>14</v>
      </c>
      <c r="E1130" s="2" t="s">
        <v>10</v>
      </c>
      <c r="F1130" s="5">
        <v>2663.13</v>
      </c>
    </row>
    <row r="1131" spans="1:6" ht="15.75" customHeight="1" x14ac:dyDescent="0.3">
      <c r="A1131" s="4" t="s">
        <v>188</v>
      </c>
      <c r="B1131" s="2" t="s">
        <v>19</v>
      </c>
      <c r="C1131" s="2" t="s">
        <v>13</v>
      </c>
      <c r="D1131" s="2" t="s">
        <v>14</v>
      </c>
      <c r="E1131" s="2" t="s">
        <v>15</v>
      </c>
      <c r="F1131" s="5">
        <v>3327.22</v>
      </c>
    </row>
    <row r="1132" spans="1:6" ht="15.75" customHeight="1" x14ac:dyDescent="0.3">
      <c r="A1132" s="4" t="s">
        <v>198</v>
      </c>
      <c r="B1132" s="2" t="s">
        <v>12</v>
      </c>
      <c r="C1132" s="2" t="s">
        <v>23</v>
      </c>
      <c r="D1132" s="2" t="s">
        <v>14</v>
      </c>
      <c r="E1132" s="2" t="s">
        <v>10</v>
      </c>
      <c r="F1132" s="5">
        <v>441.04</v>
      </c>
    </row>
    <row r="1133" spans="1:6" ht="15.75" customHeight="1" x14ac:dyDescent="0.3">
      <c r="A1133" s="4" t="s">
        <v>31</v>
      </c>
      <c r="B1133" s="2" t="s">
        <v>30</v>
      </c>
      <c r="C1133" s="2" t="s">
        <v>13</v>
      </c>
      <c r="D1133" s="2" t="s">
        <v>9</v>
      </c>
      <c r="E1133" s="2" t="s">
        <v>10</v>
      </c>
      <c r="F1133" s="5">
        <v>1466.472692621986</v>
      </c>
    </row>
    <row r="1134" spans="1:6" ht="15.75" customHeight="1" x14ac:dyDescent="0.3">
      <c r="A1134" s="4" t="s">
        <v>95</v>
      </c>
      <c r="B1134" s="2" t="s">
        <v>30</v>
      </c>
      <c r="C1134" s="2" t="s">
        <v>34</v>
      </c>
      <c r="D1134" s="2" t="s">
        <v>9</v>
      </c>
      <c r="E1134" s="2" t="s">
        <v>10</v>
      </c>
      <c r="F1134" s="5">
        <v>5076.0106106283074</v>
      </c>
    </row>
    <row r="1135" spans="1:6" ht="15.75" customHeight="1" x14ac:dyDescent="0.3">
      <c r="A1135" s="4" t="s">
        <v>41</v>
      </c>
      <c r="B1135" s="2" t="s">
        <v>30</v>
      </c>
      <c r="C1135" s="2" t="s">
        <v>34</v>
      </c>
      <c r="D1135" s="2" t="s">
        <v>28</v>
      </c>
      <c r="E1135" s="2" t="s">
        <v>10</v>
      </c>
      <c r="F1135" s="5">
        <v>3971.86</v>
      </c>
    </row>
    <row r="1136" spans="1:6" ht="15.75" customHeight="1" x14ac:dyDescent="0.3">
      <c r="A1136" s="4" t="s">
        <v>189</v>
      </c>
      <c r="B1136" s="2" t="s">
        <v>19</v>
      </c>
      <c r="C1136" s="2" t="s">
        <v>23</v>
      </c>
      <c r="D1136" s="2" t="s">
        <v>28</v>
      </c>
      <c r="E1136" s="2" t="s">
        <v>10</v>
      </c>
      <c r="F1136" s="5">
        <v>3120.88</v>
      </c>
    </row>
    <row r="1137" spans="1:6" ht="15.75" customHeight="1" x14ac:dyDescent="0.3">
      <c r="A1137" s="4" t="s">
        <v>25</v>
      </c>
      <c r="B1137" s="2" t="s">
        <v>19</v>
      </c>
      <c r="C1137" s="2" t="s">
        <v>23</v>
      </c>
      <c r="D1137" s="2" t="s">
        <v>14</v>
      </c>
      <c r="E1137" s="2" t="s">
        <v>15</v>
      </c>
      <c r="F1137" s="5">
        <v>3407.69</v>
      </c>
    </row>
    <row r="1138" spans="1:6" ht="15.75" customHeight="1" x14ac:dyDescent="0.3">
      <c r="A1138" s="4" t="s">
        <v>103</v>
      </c>
      <c r="B1138" s="2" t="s">
        <v>19</v>
      </c>
      <c r="C1138" s="2" t="s">
        <v>8</v>
      </c>
      <c r="D1138" s="2" t="s">
        <v>9</v>
      </c>
      <c r="E1138" s="2" t="s">
        <v>10</v>
      </c>
      <c r="F1138" s="5">
        <v>4867.8938903067556</v>
      </c>
    </row>
    <row r="1139" spans="1:6" ht="15.75" customHeight="1" x14ac:dyDescent="0.3">
      <c r="A1139" s="4" t="s">
        <v>56</v>
      </c>
      <c r="B1139" s="2" t="s">
        <v>19</v>
      </c>
      <c r="C1139" s="2" t="s">
        <v>13</v>
      </c>
      <c r="D1139" s="2" t="s">
        <v>14</v>
      </c>
      <c r="E1139" s="2" t="s">
        <v>15</v>
      </c>
      <c r="F1139" s="5">
        <v>1080.8399999999999</v>
      </c>
    </row>
    <row r="1140" spans="1:6" ht="15.75" customHeight="1" x14ac:dyDescent="0.3">
      <c r="A1140" s="4" t="s">
        <v>171</v>
      </c>
      <c r="B1140" s="2" t="s">
        <v>17</v>
      </c>
      <c r="C1140" s="2" t="s">
        <v>23</v>
      </c>
      <c r="D1140" s="2" t="s">
        <v>9</v>
      </c>
      <c r="E1140" s="2" t="s">
        <v>24</v>
      </c>
      <c r="F1140" s="5">
        <v>1196.4167975908549</v>
      </c>
    </row>
    <row r="1141" spans="1:6" ht="15.75" customHeight="1" x14ac:dyDescent="0.3">
      <c r="A1141" s="4" t="s">
        <v>176</v>
      </c>
      <c r="B1141" s="2" t="s">
        <v>19</v>
      </c>
      <c r="C1141" s="2" t="s">
        <v>34</v>
      </c>
      <c r="D1141" s="2" t="s">
        <v>14</v>
      </c>
      <c r="E1141" s="2" t="s">
        <v>15</v>
      </c>
      <c r="F1141" s="5">
        <v>2634.83</v>
      </c>
    </row>
    <row r="1142" spans="1:6" ht="15.75" customHeight="1" x14ac:dyDescent="0.3">
      <c r="A1142" s="4" t="s">
        <v>181</v>
      </c>
      <c r="B1142" s="2" t="s">
        <v>30</v>
      </c>
      <c r="C1142" s="2" t="s">
        <v>23</v>
      </c>
      <c r="D1142" s="2" t="s">
        <v>9</v>
      </c>
      <c r="E1142" s="2" t="s">
        <v>10</v>
      </c>
      <c r="F1142" s="5">
        <v>3396.5836938313801</v>
      </c>
    </row>
    <row r="1143" spans="1:6" ht="15.75" customHeight="1" x14ac:dyDescent="0.3">
      <c r="A1143" s="4" t="s">
        <v>186</v>
      </c>
      <c r="B1143" s="2" t="s">
        <v>30</v>
      </c>
      <c r="C1143" s="2" t="s">
        <v>13</v>
      </c>
      <c r="D1143" s="2" t="s">
        <v>14</v>
      </c>
      <c r="E1143" s="2" t="s">
        <v>15</v>
      </c>
      <c r="F1143" s="5">
        <v>4067.32</v>
      </c>
    </row>
    <row r="1144" spans="1:6" ht="15.75" customHeight="1" x14ac:dyDescent="0.3">
      <c r="A1144" s="4" t="s">
        <v>183</v>
      </c>
      <c r="B1144" s="2" t="s">
        <v>7</v>
      </c>
      <c r="C1144" s="2" t="s">
        <v>13</v>
      </c>
      <c r="D1144" s="2" t="s">
        <v>9</v>
      </c>
      <c r="E1144" s="2" t="s">
        <v>10</v>
      </c>
      <c r="F1144" s="5">
        <v>1241.412897282014</v>
      </c>
    </row>
    <row r="1145" spans="1:6" ht="15.75" customHeight="1" x14ac:dyDescent="0.3">
      <c r="A1145" s="4" t="s">
        <v>52</v>
      </c>
      <c r="B1145" s="2" t="s">
        <v>19</v>
      </c>
      <c r="C1145" s="2" t="s">
        <v>23</v>
      </c>
      <c r="D1145" s="2" t="s">
        <v>14</v>
      </c>
      <c r="E1145" s="2" t="s">
        <v>24</v>
      </c>
      <c r="F1145" s="5">
        <v>3737.92</v>
      </c>
    </row>
    <row r="1146" spans="1:6" ht="15.75" customHeight="1" x14ac:dyDescent="0.3">
      <c r="A1146" s="4" t="s">
        <v>70</v>
      </c>
      <c r="B1146" s="2" t="s">
        <v>19</v>
      </c>
      <c r="C1146" s="2" t="s">
        <v>34</v>
      </c>
      <c r="D1146" s="2" t="s">
        <v>9</v>
      </c>
      <c r="E1146" s="2" t="s">
        <v>24</v>
      </c>
      <c r="F1146" s="5">
        <v>443.26562317967608</v>
      </c>
    </row>
    <row r="1147" spans="1:6" ht="15.75" customHeight="1" x14ac:dyDescent="0.3">
      <c r="A1147" s="4" t="s">
        <v>175</v>
      </c>
      <c r="B1147" s="2" t="s">
        <v>7</v>
      </c>
      <c r="C1147" s="2" t="s">
        <v>13</v>
      </c>
      <c r="D1147" s="2" t="s">
        <v>14</v>
      </c>
      <c r="E1147" s="2" t="s">
        <v>24</v>
      </c>
      <c r="F1147" s="5">
        <v>179.8</v>
      </c>
    </row>
    <row r="1148" spans="1:6" ht="15.75" customHeight="1" x14ac:dyDescent="0.3">
      <c r="A1148" s="4" t="s">
        <v>79</v>
      </c>
      <c r="B1148" s="2" t="s">
        <v>17</v>
      </c>
      <c r="C1148" s="2" t="s">
        <v>13</v>
      </c>
      <c r="D1148" s="2" t="s">
        <v>9</v>
      </c>
      <c r="E1148" s="2" t="s">
        <v>15</v>
      </c>
      <c r="F1148" s="5">
        <v>253.07943311267459</v>
      </c>
    </row>
    <row r="1149" spans="1:6" ht="15.75" customHeight="1" x14ac:dyDescent="0.3">
      <c r="A1149" s="4" t="s">
        <v>60</v>
      </c>
      <c r="B1149" s="2" t="s">
        <v>12</v>
      </c>
      <c r="C1149" s="2" t="s">
        <v>8</v>
      </c>
      <c r="D1149" s="2" t="s">
        <v>28</v>
      </c>
      <c r="E1149" s="2" t="s">
        <v>24</v>
      </c>
      <c r="F1149" s="5">
        <v>584.44000000000005</v>
      </c>
    </row>
    <row r="1150" spans="1:6" ht="15.75" customHeight="1" x14ac:dyDescent="0.3">
      <c r="A1150" s="4" t="s">
        <v>85</v>
      </c>
      <c r="B1150" s="2" t="s">
        <v>30</v>
      </c>
      <c r="C1150" s="2" t="s">
        <v>8</v>
      </c>
      <c r="D1150" s="2" t="s">
        <v>9</v>
      </c>
      <c r="E1150" s="2" t="s">
        <v>10</v>
      </c>
      <c r="F1150" s="5">
        <v>858.27154146198359</v>
      </c>
    </row>
    <row r="1151" spans="1:6" ht="15.75" customHeight="1" x14ac:dyDescent="0.3">
      <c r="A1151" s="4" t="s">
        <v>31</v>
      </c>
      <c r="B1151" s="2" t="s">
        <v>30</v>
      </c>
      <c r="C1151" s="2" t="s">
        <v>13</v>
      </c>
      <c r="D1151" s="2" t="s">
        <v>28</v>
      </c>
      <c r="E1151" s="2" t="s">
        <v>15</v>
      </c>
      <c r="F1151" s="5">
        <v>220.63</v>
      </c>
    </row>
    <row r="1152" spans="1:6" ht="15.75" customHeight="1" x14ac:dyDescent="0.3">
      <c r="A1152" s="4" t="s">
        <v>71</v>
      </c>
      <c r="B1152" s="2" t="s">
        <v>7</v>
      </c>
      <c r="C1152" s="2" t="s">
        <v>13</v>
      </c>
      <c r="D1152" s="2" t="s">
        <v>14</v>
      </c>
      <c r="E1152" s="2" t="s">
        <v>24</v>
      </c>
      <c r="F1152" s="5">
        <v>4665.38</v>
      </c>
    </row>
    <row r="1153" spans="1:6" ht="15.75" customHeight="1" x14ac:dyDescent="0.3">
      <c r="A1153" s="4" t="s">
        <v>212</v>
      </c>
      <c r="B1153" s="2" t="s">
        <v>7</v>
      </c>
      <c r="C1153" s="2" t="s">
        <v>13</v>
      </c>
      <c r="D1153" s="2" t="s">
        <v>14</v>
      </c>
      <c r="E1153" s="2" t="s">
        <v>15</v>
      </c>
      <c r="F1153" s="5">
        <v>3677.45</v>
      </c>
    </row>
    <row r="1154" spans="1:6" ht="15.75" customHeight="1" x14ac:dyDescent="0.3">
      <c r="A1154" s="4" t="s">
        <v>16</v>
      </c>
      <c r="B1154" s="2" t="s">
        <v>17</v>
      </c>
      <c r="C1154" s="2" t="s">
        <v>13</v>
      </c>
      <c r="D1154" s="2" t="s">
        <v>28</v>
      </c>
      <c r="E1154" s="2" t="s">
        <v>10</v>
      </c>
      <c r="F1154" s="5">
        <v>3434.59</v>
      </c>
    </row>
    <row r="1155" spans="1:6" ht="15.75" customHeight="1" x14ac:dyDescent="0.3">
      <c r="A1155" s="4" t="s">
        <v>40</v>
      </c>
      <c r="B1155" s="2" t="s">
        <v>19</v>
      </c>
      <c r="C1155" s="2" t="s">
        <v>34</v>
      </c>
      <c r="D1155" s="2" t="s">
        <v>9</v>
      </c>
      <c r="E1155" s="2" t="s">
        <v>24</v>
      </c>
      <c r="F1155" s="5">
        <v>1175.593050662683</v>
      </c>
    </row>
    <row r="1156" spans="1:6" ht="15.75" customHeight="1" x14ac:dyDescent="0.3">
      <c r="A1156" s="4" t="s">
        <v>208</v>
      </c>
      <c r="B1156" s="2" t="s">
        <v>19</v>
      </c>
      <c r="C1156" s="2" t="s">
        <v>34</v>
      </c>
      <c r="D1156" s="2" t="s">
        <v>9</v>
      </c>
      <c r="E1156" s="2" t="s">
        <v>15</v>
      </c>
      <c r="F1156" s="5">
        <v>5155.3973186196417</v>
      </c>
    </row>
    <row r="1157" spans="1:6" ht="15.75" customHeight="1" x14ac:dyDescent="0.3">
      <c r="A1157" s="4" t="s">
        <v>148</v>
      </c>
      <c r="B1157" s="2" t="s">
        <v>17</v>
      </c>
      <c r="C1157" s="2" t="s">
        <v>34</v>
      </c>
      <c r="D1157" s="2" t="s">
        <v>14</v>
      </c>
      <c r="E1157" s="2" t="s">
        <v>10</v>
      </c>
      <c r="F1157" s="5">
        <v>4426.07</v>
      </c>
    </row>
    <row r="1158" spans="1:6" ht="15.75" customHeight="1" x14ac:dyDescent="0.3">
      <c r="A1158" s="4" t="s">
        <v>20</v>
      </c>
      <c r="B1158" s="2" t="s">
        <v>17</v>
      </c>
      <c r="C1158" s="2" t="s">
        <v>8</v>
      </c>
      <c r="D1158" s="2" t="s">
        <v>14</v>
      </c>
      <c r="E1158" s="2" t="s">
        <v>24</v>
      </c>
      <c r="F1158" s="5">
        <v>4487.54</v>
      </c>
    </row>
    <row r="1159" spans="1:6" ht="15.75" customHeight="1" x14ac:dyDescent="0.3">
      <c r="A1159" s="4" t="s">
        <v>209</v>
      </c>
      <c r="B1159" s="2" t="s">
        <v>7</v>
      </c>
      <c r="C1159" s="2" t="s">
        <v>13</v>
      </c>
      <c r="D1159" s="2" t="s">
        <v>28</v>
      </c>
      <c r="E1159" s="2" t="s">
        <v>15</v>
      </c>
      <c r="F1159" s="5">
        <v>844.07</v>
      </c>
    </row>
    <row r="1160" spans="1:6" ht="15.75" customHeight="1" x14ac:dyDescent="0.3">
      <c r="A1160" s="4" t="s">
        <v>157</v>
      </c>
      <c r="B1160" s="2" t="s">
        <v>30</v>
      </c>
      <c r="C1160" s="2" t="s">
        <v>34</v>
      </c>
      <c r="D1160" s="2" t="s">
        <v>28</v>
      </c>
      <c r="E1160" s="2" t="s">
        <v>24</v>
      </c>
      <c r="F1160" s="5">
        <v>808.96</v>
      </c>
    </row>
    <row r="1161" spans="1:6" ht="15.75" customHeight="1" x14ac:dyDescent="0.3">
      <c r="A1161" s="4" t="s">
        <v>54</v>
      </c>
      <c r="B1161" s="2" t="s">
        <v>12</v>
      </c>
      <c r="C1161" s="2" t="s">
        <v>23</v>
      </c>
      <c r="D1161" s="2" t="s">
        <v>9</v>
      </c>
      <c r="E1161" s="2" t="s">
        <v>10</v>
      </c>
      <c r="F1161" s="5">
        <v>4896.9166629503779</v>
      </c>
    </row>
    <row r="1162" spans="1:6" ht="15.75" customHeight="1" x14ac:dyDescent="0.3">
      <c r="A1162" s="4" t="s">
        <v>151</v>
      </c>
      <c r="B1162" s="2" t="s">
        <v>12</v>
      </c>
      <c r="C1162" s="2" t="s">
        <v>8</v>
      </c>
      <c r="D1162" s="2" t="s">
        <v>9</v>
      </c>
      <c r="E1162" s="2" t="s">
        <v>10</v>
      </c>
      <c r="F1162" s="5">
        <v>191.17</v>
      </c>
    </row>
    <row r="1163" spans="1:6" ht="15.75" customHeight="1" x14ac:dyDescent="0.3">
      <c r="A1163" s="4" t="s">
        <v>137</v>
      </c>
      <c r="B1163" s="2" t="s">
        <v>17</v>
      </c>
      <c r="C1163" s="2" t="s">
        <v>34</v>
      </c>
      <c r="D1163" s="2" t="s">
        <v>14</v>
      </c>
      <c r="E1163" s="2" t="s">
        <v>10</v>
      </c>
      <c r="F1163" s="5">
        <v>1697.2</v>
      </c>
    </row>
    <row r="1164" spans="1:6" ht="15.75" customHeight="1" x14ac:dyDescent="0.3">
      <c r="A1164" s="4" t="s">
        <v>57</v>
      </c>
      <c r="B1164" s="2" t="s">
        <v>19</v>
      </c>
      <c r="C1164" s="2" t="s">
        <v>8</v>
      </c>
      <c r="D1164" s="2" t="s">
        <v>9</v>
      </c>
      <c r="E1164" s="2" t="s">
        <v>24</v>
      </c>
      <c r="F1164" s="5">
        <v>4105.0089230849944</v>
      </c>
    </row>
    <row r="1165" spans="1:6" ht="15.75" customHeight="1" x14ac:dyDescent="0.3">
      <c r="A1165" s="4" t="s">
        <v>80</v>
      </c>
      <c r="B1165" s="2" t="s">
        <v>17</v>
      </c>
      <c r="C1165" s="2" t="s">
        <v>13</v>
      </c>
      <c r="D1165" s="2" t="s">
        <v>28</v>
      </c>
      <c r="E1165" s="2" t="s">
        <v>10</v>
      </c>
      <c r="F1165" s="5">
        <v>4095.94</v>
      </c>
    </row>
    <row r="1166" spans="1:6" ht="15.75" customHeight="1" x14ac:dyDescent="0.3">
      <c r="A1166" s="4" t="s">
        <v>99</v>
      </c>
      <c r="B1166" s="2" t="s">
        <v>19</v>
      </c>
      <c r="C1166" s="2" t="s">
        <v>8</v>
      </c>
      <c r="D1166" s="2" t="s">
        <v>14</v>
      </c>
      <c r="E1166" s="2" t="s">
        <v>24</v>
      </c>
      <c r="F1166" s="5">
        <v>1094.42</v>
      </c>
    </row>
    <row r="1167" spans="1:6" ht="15.75" customHeight="1" x14ac:dyDescent="0.3">
      <c r="A1167" s="4" t="s">
        <v>178</v>
      </c>
      <c r="B1167" s="2" t="s">
        <v>30</v>
      </c>
      <c r="C1167" s="2" t="s">
        <v>34</v>
      </c>
      <c r="D1167" s="2" t="s">
        <v>9</v>
      </c>
      <c r="E1167" s="2" t="s">
        <v>15</v>
      </c>
      <c r="F1167" s="5">
        <v>2501.470005042594</v>
      </c>
    </row>
    <row r="1168" spans="1:6" ht="15.75" customHeight="1" x14ac:dyDescent="0.3">
      <c r="A1168" s="4" t="s">
        <v>138</v>
      </c>
      <c r="B1168" s="2" t="s">
        <v>12</v>
      </c>
      <c r="C1168" s="2" t="s">
        <v>34</v>
      </c>
      <c r="D1168" s="2" t="s">
        <v>14</v>
      </c>
      <c r="E1168" s="2" t="s">
        <v>24</v>
      </c>
      <c r="F1168" s="5">
        <v>1137.71</v>
      </c>
    </row>
    <row r="1169" spans="1:6" ht="15.75" customHeight="1" x14ac:dyDescent="0.3">
      <c r="A1169" s="4" t="s">
        <v>113</v>
      </c>
      <c r="B1169" s="2" t="s">
        <v>30</v>
      </c>
      <c r="C1169" s="2" t="s">
        <v>23</v>
      </c>
      <c r="D1169" s="2" t="s">
        <v>28</v>
      </c>
      <c r="E1169" s="2" t="s">
        <v>15</v>
      </c>
      <c r="F1169" s="5">
        <v>2685.34</v>
      </c>
    </row>
    <row r="1170" spans="1:6" ht="15.75" customHeight="1" x14ac:dyDescent="0.3">
      <c r="A1170" s="4" t="s">
        <v>184</v>
      </c>
      <c r="B1170" s="2" t="s">
        <v>30</v>
      </c>
      <c r="C1170" s="2" t="s">
        <v>13</v>
      </c>
      <c r="D1170" s="2" t="s">
        <v>14</v>
      </c>
      <c r="E1170" s="2" t="s">
        <v>24</v>
      </c>
      <c r="F1170" s="5">
        <v>3561.14</v>
      </c>
    </row>
    <row r="1171" spans="1:6" ht="15.75" customHeight="1" x14ac:dyDescent="0.3">
      <c r="A1171" s="4" t="s">
        <v>55</v>
      </c>
      <c r="B1171" s="2" t="s">
        <v>12</v>
      </c>
      <c r="C1171" s="2" t="s">
        <v>23</v>
      </c>
      <c r="D1171" s="2" t="s">
        <v>9</v>
      </c>
      <c r="E1171" s="2" t="s">
        <v>10</v>
      </c>
      <c r="F1171" s="5">
        <v>135.5664488954821</v>
      </c>
    </row>
    <row r="1172" spans="1:6" ht="15.75" customHeight="1" x14ac:dyDescent="0.3">
      <c r="A1172" s="4" t="s">
        <v>201</v>
      </c>
      <c r="B1172" s="2" t="s">
        <v>12</v>
      </c>
      <c r="C1172" s="2" t="s">
        <v>8</v>
      </c>
      <c r="D1172" s="2" t="s">
        <v>28</v>
      </c>
      <c r="E1172" s="2" t="s">
        <v>15</v>
      </c>
      <c r="F1172" s="5">
        <v>651.62</v>
      </c>
    </row>
    <row r="1173" spans="1:6" ht="15.75" customHeight="1" x14ac:dyDescent="0.3">
      <c r="A1173" s="4" t="s">
        <v>189</v>
      </c>
      <c r="B1173" s="2" t="s">
        <v>19</v>
      </c>
      <c r="C1173" s="2" t="s">
        <v>34</v>
      </c>
      <c r="D1173" s="2" t="s">
        <v>9</v>
      </c>
      <c r="E1173" s="2" t="s">
        <v>10</v>
      </c>
      <c r="F1173" s="5">
        <v>243.88</v>
      </c>
    </row>
    <row r="1174" spans="1:6" ht="15.75" customHeight="1" x14ac:dyDescent="0.3">
      <c r="A1174" s="4" t="s">
        <v>215</v>
      </c>
      <c r="B1174" s="2" t="s">
        <v>17</v>
      </c>
      <c r="C1174" s="2" t="s">
        <v>34</v>
      </c>
      <c r="D1174" s="2" t="s">
        <v>28</v>
      </c>
      <c r="E1174" s="2" t="s">
        <v>24</v>
      </c>
      <c r="F1174" s="5">
        <v>2204.12</v>
      </c>
    </row>
    <row r="1175" spans="1:6" ht="15.75" customHeight="1" x14ac:dyDescent="0.3">
      <c r="A1175" s="4" t="s">
        <v>77</v>
      </c>
      <c r="B1175" s="2" t="s">
        <v>30</v>
      </c>
      <c r="C1175" s="2" t="s">
        <v>34</v>
      </c>
      <c r="D1175" s="2" t="s">
        <v>9</v>
      </c>
      <c r="E1175" s="2" t="s">
        <v>24</v>
      </c>
      <c r="F1175" s="5">
        <v>4031.311754508964</v>
      </c>
    </row>
    <row r="1176" spans="1:6" ht="15.75" customHeight="1" x14ac:dyDescent="0.3">
      <c r="A1176" s="4" t="s">
        <v>37</v>
      </c>
      <c r="B1176" s="2" t="s">
        <v>17</v>
      </c>
      <c r="C1176" s="2" t="s">
        <v>8</v>
      </c>
      <c r="D1176" s="2" t="s">
        <v>14</v>
      </c>
      <c r="E1176" s="2" t="s">
        <v>24</v>
      </c>
      <c r="F1176" s="5">
        <v>1311.25</v>
      </c>
    </row>
    <row r="1177" spans="1:6" ht="15.75" customHeight="1" x14ac:dyDescent="0.3">
      <c r="A1177" s="4" t="s">
        <v>96</v>
      </c>
      <c r="B1177" s="2" t="s">
        <v>19</v>
      </c>
      <c r="C1177" s="2" t="s">
        <v>8</v>
      </c>
      <c r="D1177" s="2" t="s">
        <v>9</v>
      </c>
      <c r="E1177" s="2" t="s">
        <v>10</v>
      </c>
      <c r="F1177" s="5">
        <v>496.00451524701481</v>
      </c>
    </row>
    <row r="1178" spans="1:6" ht="15.75" customHeight="1" x14ac:dyDescent="0.3">
      <c r="A1178" s="4" t="s">
        <v>136</v>
      </c>
      <c r="B1178" s="2" t="s">
        <v>17</v>
      </c>
      <c r="C1178" s="2" t="s">
        <v>8</v>
      </c>
      <c r="D1178" s="2" t="s">
        <v>14</v>
      </c>
      <c r="E1178" s="2" t="s">
        <v>10</v>
      </c>
      <c r="F1178" s="5">
        <v>3182.6</v>
      </c>
    </row>
    <row r="1179" spans="1:6" ht="15.75" customHeight="1" x14ac:dyDescent="0.3">
      <c r="A1179" s="4" t="s">
        <v>182</v>
      </c>
      <c r="B1179" s="2" t="s">
        <v>12</v>
      </c>
      <c r="C1179" s="2" t="s">
        <v>23</v>
      </c>
      <c r="D1179" s="2" t="s">
        <v>14</v>
      </c>
      <c r="E1179" s="2" t="s">
        <v>15</v>
      </c>
      <c r="F1179" s="5">
        <v>1935.31</v>
      </c>
    </row>
    <row r="1180" spans="1:6" ht="15.75" customHeight="1" x14ac:dyDescent="0.3">
      <c r="A1180" s="4" t="s">
        <v>103</v>
      </c>
      <c r="B1180" s="2" t="s">
        <v>19</v>
      </c>
      <c r="C1180" s="2" t="s">
        <v>34</v>
      </c>
      <c r="D1180" s="2" t="s">
        <v>9</v>
      </c>
      <c r="E1180" s="2" t="s">
        <v>10</v>
      </c>
      <c r="F1180" s="5">
        <v>4354.0755701443959</v>
      </c>
    </row>
    <row r="1181" spans="1:6" ht="15.75" customHeight="1" x14ac:dyDescent="0.3">
      <c r="A1181" s="4" t="s">
        <v>144</v>
      </c>
      <c r="B1181" s="2" t="s">
        <v>30</v>
      </c>
      <c r="C1181" s="2" t="s">
        <v>13</v>
      </c>
      <c r="D1181" s="2" t="s">
        <v>28</v>
      </c>
      <c r="E1181" s="2" t="s">
        <v>15</v>
      </c>
      <c r="F1181" s="5">
        <v>4545.6899999999996</v>
      </c>
    </row>
    <row r="1182" spans="1:6" ht="15.75" customHeight="1" x14ac:dyDescent="0.3">
      <c r="A1182" s="4" t="s">
        <v>126</v>
      </c>
      <c r="B1182" s="2" t="s">
        <v>30</v>
      </c>
      <c r="C1182" s="2" t="s">
        <v>13</v>
      </c>
      <c r="D1182" s="2" t="s">
        <v>28</v>
      </c>
      <c r="E1182" s="2" t="s">
        <v>10</v>
      </c>
      <c r="F1182" s="5">
        <v>1019.91</v>
      </c>
    </row>
    <row r="1183" spans="1:6" ht="15.75" customHeight="1" x14ac:dyDescent="0.3">
      <c r="A1183" s="4" t="s">
        <v>205</v>
      </c>
      <c r="B1183" s="2" t="s">
        <v>17</v>
      </c>
      <c r="C1183" s="2" t="s">
        <v>34</v>
      </c>
      <c r="D1183" s="2" t="s">
        <v>9</v>
      </c>
      <c r="E1183" s="2" t="s">
        <v>24</v>
      </c>
      <c r="F1183" s="5">
        <v>3313.076882583212</v>
      </c>
    </row>
    <row r="1184" spans="1:6" ht="15.75" customHeight="1" x14ac:dyDescent="0.3">
      <c r="A1184" s="4" t="s">
        <v>72</v>
      </c>
      <c r="B1184" s="2" t="s">
        <v>19</v>
      </c>
      <c r="C1184" s="2" t="s">
        <v>34</v>
      </c>
      <c r="D1184" s="2" t="s">
        <v>28</v>
      </c>
      <c r="E1184" s="2" t="s">
        <v>24</v>
      </c>
      <c r="F1184" s="5">
        <v>2988.27</v>
      </c>
    </row>
    <row r="1185" spans="1:6" ht="15.75" customHeight="1" x14ac:dyDescent="0.3">
      <c r="A1185" s="4" t="s">
        <v>146</v>
      </c>
      <c r="B1185" s="2" t="s">
        <v>7</v>
      </c>
      <c r="C1185" s="2" t="s">
        <v>34</v>
      </c>
      <c r="D1185" s="2" t="s">
        <v>9</v>
      </c>
      <c r="E1185" s="2" t="s">
        <v>24</v>
      </c>
      <c r="F1185" s="5">
        <v>4688.4712577760774</v>
      </c>
    </row>
    <row r="1186" spans="1:6" ht="15.75" customHeight="1" x14ac:dyDescent="0.3">
      <c r="A1186" s="4" t="s">
        <v>76</v>
      </c>
      <c r="B1186" s="2" t="s">
        <v>17</v>
      </c>
      <c r="C1186" s="2" t="s">
        <v>34</v>
      </c>
      <c r="D1186" s="2" t="s">
        <v>9</v>
      </c>
      <c r="E1186" s="2" t="s">
        <v>24</v>
      </c>
      <c r="F1186" s="5">
        <v>4159.3606564068978</v>
      </c>
    </row>
    <row r="1187" spans="1:6" ht="15.75" customHeight="1" x14ac:dyDescent="0.3">
      <c r="A1187" s="4" t="s">
        <v>146</v>
      </c>
      <c r="B1187" s="2" t="s">
        <v>7</v>
      </c>
      <c r="C1187" s="2" t="s">
        <v>13</v>
      </c>
      <c r="D1187" s="2" t="s">
        <v>14</v>
      </c>
      <c r="E1187" s="2" t="s">
        <v>24</v>
      </c>
      <c r="F1187" s="5">
        <v>3142.22</v>
      </c>
    </row>
    <row r="1188" spans="1:6" ht="15.75" customHeight="1" x14ac:dyDescent="0.3">
      <c r="A1188" s="4" t="s">
        <v>193</v>
      </c>
      <c r="B1188" s="2" t="s">
        <v>12</v>
      </c>
      <c r="C1188" s="2" t="s">
        <v>34</v>
      </c>
      <c r="D1188" s="2" t="s">
        <v>9</v>
      </c>
      <c r="E1188" s="2" t="s">
        <v>15</v>
      </c>
      <c r="F1188" s="5">
        <v>4654.5582058395594</v>
      </c>
    </row>
    <row r="1189" spans="1:6" ht="15.75" customHeight="1" x14ac:dyDescent="0.3">
      <c r="A1189" s="4" t="s">
        <v>76</v>
      </c>
      <c r="B1189" s="2" t="s">
        <v>17</v>
      </c>
      <c r="C1189" s="2" t="s">
        <v>13</v>
      </c>
      <c r="D1189" s="2" t="s">
        <v>9</v>
      </c>
      <c r="E1189" s="2" t="s">
        <v>15</v>
      </c>
      <c r="F1189" s="5">
        <v>348.73387587854631</v>
      </c>
    </row>
    <row r="1190" spans="1:6" ht="15.75" customHeight="1" x14ac:dyDescent="0.3">
      <c r="A1190" s="4" t="s">
        <v>109</v>
      </c>
      <c r="B1190" s="2" t="s">
        <v>12</v>
      </c>
      <c r="C1190" s="2" t="s">
        <v>23</v>
      </c>
      <c r="D1190" s="2" t="s">
        <v>14</v>
      </c>
      <c r="E1190" s="2" t="s">
        <v>15</v>
      </c>
      <c r="F1190" s="5">
        <v>4243.12</v>
      </c>
    </row>
    <row r="1191" spans="1:6" ht="15.75" customHeight="1" x14ac:dyDescent="0.3">
      <c r="A1191" s="4" t="s">
        <v>52</v>
      </c>
      <c r="B1191" s="2" t="s">
        <v>19</v>
      </c>
      <c r="C1191" s="2" t="s">
        <v>8</v>
      </c>
      <c r="D1191" s="2" t="s">
        <v>14</v>
      </c>
      <c r="E1191" s="2" t="s">
        <v>24</v>
      </c>
      <c r="F1191" s="5">
        <v>4673.26</v>
      </c>
    </row>
    <row r="1192" spans="1:6" ht="15.75" customHeight="1" x14ac:dyDescent="0.3">
      <c r="A1192" s="4" t="s">
        <v>85</v>
      </c>
      <c r="B1192" s="2" t="s">
        <v>30</v>
      </c>
      <c r="C1192" s="2" t="s">
        <v>8</v>
      </c>
      <c r="D1192" s="2" t="s">
        <v>28</v>
      </c>
      <c r="E1192" s="2" t="s">
        <v>10</v>
      </c>
      <c r="F1192" s="5">
        <v>1127.24</v>
      </c>
    </row>
    <row r="1193" spans="1:6" ht="15.75" customHeight="1" x14ac:dyDescent="0.3">
      <c r="A1193" s="4" t="s">
        <v>185</v>
      </c>
      <c r="B1193" s="2" t="s">
        <v>30</v>
      </c>
      <c r="C1193" s="2" t="s">
        <v>34</v>
      </c>
      <c r="D1193" s="2" t="s">
        <v>9</v>
      </c>
      <c r="E1193" s="2" t="s">
        <v>24</v>
      </c>
      <c r="F1193" s="5">
        <v>884.52</v>
      </c>
    </row>
    <row r="1194" spans="1:6" ht="15.75" customHeight="1" x14ac:dyDescent="0.3">
      <c r="A1194" s="4" t="s">
        <v>131</v>
      </c>
      <c r="B1194" s="2" t="s">
        <v>17</v>
      </c>
      <c r="C1194" s="2" t="s">
        <v>34</v>
      </c>
      <c r="D1194" s="2" t="s">
        <v>9</v>
      </c>
      <c r="E1194" s="2" t="s">
        <v>24</v>
      </c>
      <c r="F1194" s="5">
        <v>692.69108287331869</v>
      </c>
    </row>
    <row r="1195" spans="1:6" ht="15.75" customHeight="1" x14ac:dyDescent="0.3">
      <c r="A1195" s="4" t="s">
        <v>149</v>
      </c>
      <c r="B1195" s="2" t="s">
        <v>17</v>
      </c>
      <c r="C1195" s="2" t="s">
        <v>8</v>
      </c>
      <c r="D1195" s="2" t="s">
        <v>9</v>
      </c>
      <c r="E1195" s="2" t="s">
        <v>15</v>
      </c>
      <c r="F1195" s="5">
        <v>1097.7746553810059</v>
      </c>
    </row>
    <row r="1196" spans="1:6" ht="15.75" customHeight="1" x14ac:dyDescent="0.3">
      <c r="A1196" s="4" t="s">
        <v>41</v>
      </c>
      <c r="B1196" s="2" t="s">
        <v>30</v>
      </c>
      <c r="C1196" s="2" t="s">
        <v>8</v>
      </c>
      <c r="D1196" s="2" t="s">
        <v>9</v>
      </c>
      <c r="E1196" s="2" t="s">
        <v>15</v>
      </c>
      <c r="F1196" s="5">
        <v>3601.712426447556</v>
      </c>
    </row>
    <row r="1197" spans="1:6" ht="15.75" customHeight="1" x14ac:dyDescent="0.3">
      <c r="A1197" s="4" t="s">
        <v>130</v>
      </c>
      <c r="B1197" s="2" t="s">
        <v>12</v>
      </c>
      <c r="C1197" s="2" t="s">
        <v>23</v>
      </c>
      <c r="D1197" s="2" t="s">
        <v>14</v>
      </c>
      <c r="E1197" s="2" t="s">
        <v>15</v>
      </c>
      <c r="F1197" s="5">
        <v>4661.5</v>
      </c>
    </row>
    <row r="1198" spans="1:6" ht="15.75" customHeight="1" x14ac:dyDescent="0.3">
      <c r="A1198" s="4" t="s">
        <v>25</v>
      </c>
      <c r="B1198" s="2" t="s">
        <v>19</v>
      </c>
      <c r="C1198" s="2" t="s">
        <v>23</v>
      </c>
      <c r="D1198" s="2" t="s">
        <v>14</v>
      </c>
      <c r="E1198" s="2" t="s">
        <v>10</v>
      </c>
      <c r="F1198" s="5">
        <v>4163.95</v>
      </c>
    </row>
    <row r="1199" spans="1:6" ht="15.75" customHeight="1" x14ac:dyDescent="0.3">
      <c r="A1199" s="4" t="s">
        <v>40</v>
      </c>
      <c r="B1199" s="2" t="s">
        <v>19</v>
      </c>
      <c r="C1199" s="2" t="s">
        <v>23</v>
      </c>
      <c r="D1199" s="2" t="s">
        <v>14</v>
      </c>
      <c r="E1199" s="2" t="s">
        <v>15</v>
      </c>
      <c r="F1199" s="5">
        <v>2018.59</v>
      </c>
    </row>
    <row r="1200" spans="1:6" ht="15.75" customHeight="1" x14ac:dyDescent="0.3">
      <c r="A1200" s="4" t="s">
        <v>118</v>
      </c>
      <c r="B1200" s="2" t="s">
        <v>30</v>
      </c>
      <c r="C1200" s="2" t="s">
        <v>13</v>
      </c>
      <c r="D1200" s="2" t="s">
        <v>28</v>
      </c>
      <c r="E1200" s="2" t="s">
        <v>10</v>
      </c>
      <c r="F1200" s="5">
        <v>1373.09</v>
      </c>
    </row>
    <row r="1201" spans="1:6" ht="15.75" customHeight="1" x14ac:dyDescent="0.3">
      <c r="A1201" s="4" t="s">
        <v>65</v>
      </c>
      <c r="B1201" s="2" t="s">
        <v>30</v>
      </c>
      <c r="C1201" s="2" t="s">
        <v>13</v>
      </c>
      <c r="D1201" s="2" t="s">
        <v>14</v>
      </c>
      <c r="E1201" s="2" t="s">
        <v>10</v>
      </c>
      <c r="F1201" s="5">
        <v>1419.59</v>
      </c>
    </row>
    <row r="1202" spans="1:6" ht="15.75" customHeight="1" x14ac:dyDescent="0.3">
      <c r="A1202" s="4" t="s">
        <v>47</v>
      </c>
      <c r="B1202" s="2" t="s">
        <v>30</v>
      </c>
      <c r="C1202" s="2" t="s">
        <v>34</v>
      </c>
      <c r="D1202" s="2" t="s">
        <v>14</v>
      </c>
      <c r="E1202" s="2" t="s">
        <v>24</v>
      </c>
      <c r="F1202" s="5">
        <v>3946.93</v>
      </c>
    </row>
    <row r="1203" spans="1:6" ht="15.75" customHeight="1" x14ac:dyDescent="0.3">
      <c r="A1203" s="4" t="s">
        <v>32</v>
      </c>
      <c r="B1203" s="2" t="s">
        <v>7</v>
      </c>
      <c r="C1203" s="2" t="s">
        <v>34</v>
      </c>
      <c r="D1203" s="2" t="s">
        <v>14</v>
      </c>
      <c r="E1203" s="2" t="s">
        <v>24</v>
      </c>
      <c r="F1203" s="5">
        <v>685.73</v>
      </c>
    </row>
    <row r="1204" spans="1:6" ht="15.75" customHeight="1" x14ac:dyDescent="0.3">
      <c r="A1204" s="4" t="s">
        <v>108</v>
      </c>
      <c r="B1204" s="2" t="s">
        <v>7</v>
      </c>
      <c r="C1204" s="2" t="s">
        <v>8</v>
      </c>
      <c r="D1204" s="2" t="s">
        <v>14</v>
      </c>
      <c r="E1204" s="2" t="s">
        <v>10</v>
      </c>
      <c r="F1204" s="5">
        <v>4879.25</v>
      </c>
    </row>
    <row r="1205" spans="1:6" ht="15.75" customHeight="1" x14ac:dyDescent="0.3">
      <c r="A1205" s="4" t="s">
        <v>64</v>
      </c>
      <c r="B1205" s="2" t="s">
        <v>30</v>
      </c>
      <c r="C1205" s="2" t="s">
        <v>8</v>
      </c>
      <c r="D1205" s="2" t="s">
        <v>9</v>
      </c>
      <c r="E1205" s="2" t="s">
        <v>10</v>
      </c>
      <c r="F1205" s="5">
        <v>3667.49</v>
      </c>
    </row>
    <row r="1206" spans="1:6" ht="15.75" customHeight="1" x14ac:dyDescent="0.3">
      <c r="A1206" s="4" t="s">
        <v>150</v>
      </c>
      <c r="B1206" s="2" t="s">
        <v>30</v>
      </c>
      <c r="C1206" s="2" t="s">
        <v>13</v>
      </c>
      <c r="D1206" s="2" t="s">
        <v>28</v>
      </c>
      <c r="E1206" s="2" t="s">
        <v>15</v>
      </c>
      <c r="F1206" s="5">
        <v>1085.32</v>
      </c>
    </row>
    <row r="1207" spans="1:6" ht="15.75" customHeight="1" x14ac:dyDescent="0.3">
      <c r="A1207" s="4" t="s">
        <v>175</v>
      </c>
      <c r="B1207" s="2" t="s">
        <v>7</v>
      </c>
      <c r="C1207" s="2" t="s">
        <v>23</v>
      </c>
      <c r="D1207" s="2" t="s">
        <v>14</v>
      </c>
      <c r="E1207" s="2" t="s">
        <v>10</v>
      </c>
      <c r="F1207" s="5">
        <v>4510.42</v>
      </c>
    </row>
    <row r="1208" spans="1:6" ht="15.75" customHeight="1" x14ac:dyDescent="0.3">
      <c r="A1208" s="4" t="s">
        <v>84</v>
      </c>
      <c r="B1208" s="2" t="s">
        <v>30</v>
      </c>
      <c r="C1208" s="2" t="s">
        <v>34</v>
      </c>
      <c r="D1208" s="2" t="s">
        <v>14</v>
      </c>
      <c r="E1208" s="2" t="s">
        <v>24</v>
      </c>
      <c r="F1208" s="5">
        <v>499.33</v>
      </c>
    </row>
    <row r="1209" spans="1:6" ht="15.75" customHeight="1" x14ac:dyDescent="0.3">
      <c r="A1209" s="4" t="s">
        <v>153</v>
      </c>
      <c r="B1209" s="2" t="s">
        <v>7</v>
      </c>
      <c r="C1209" s="2" t="s">
        <v>8</v>
      </c>
      <c r="D1209" s="2" t="s">
        <v>9</v>
      </c>
      <c r="E1209" s="2" t="s">
        <v>15</v>
      </c>
      <c r="F1209" s="5">
        <v>1951.9222403739129</v>
      </c>
    </row>
    <row r="1210" spans="1:6" ht="15.75" customHeight="1" x14ac:dyDescent="0.3">
      <c r="A1210" s="4" t="s">
        <v>93</v>
      </c>
      <c r="B1210" s="2" t="s">
        <v>30</v>
      </c>
      <c r="C1210" s="2" t="s">
        <v>23</v>
      </c>
      <c r="D1210" s="2" t="s">
        <v>9</v>
      </c>
      <c r="E1210" s="2" t="s">
        <v>15</v>
      </c>
      <c r="F1210" s="5">
        <v>1473.5947918411141</v>
      </c>
    </row>
    <row r="1211" spans="1:6" ht="15.75" customHeight="1" x14ac:dyDescent="0.3">
      <c r="A1211" s="4" t="s">
        <v>97</v>
      </c>
      <c r="B1211" s="2" t="s">
        <v>7</v>
      </c>
      <c r="C1211" s="2" t="s">
        <v>13</v>
      </c>
      <c r="D1211" s="2" t="s">
        <v>14</v>
      </c>
      <c r="E1211" s="2" t="s">
        <v>15</v>
      </c>
      <c r="F1211" s="5">
        <v>3545.05</v>
      </c>
    </row>
    <row r="1212" spans="1:6" ht="15.75" customHeight="1" x14ac:dyDescent="0.3">
      <c r="A1212" s="4" t="s">
        <v>115</v>
      </c>
      <c r="B1212" s="2" t="s">
        <v>19</v>
      </c>
      <c r="C1212" s="2" t="s">
        <v>34</v>
      </c>
      <c r="D1212" s="2" t="s">
        <v>28</v>
      </c>
      <c r="E1212" s="2" t="s">
        <v>24</v>
      </c>
      <c r="F1212" s="5">
        <v>84.78</v>
      </c>
    </row>
    <row r="1213" spans="1:6" ht="15.75" customHeight="1" x14ac:dyDescent="0.3">
      <c r="A1213" s="4" t="s">
        <v>102</v>
      </c>
      <c r="B1213" s="2" t="s">
        <v>19</v>
      </c>
      <c r="C1213" s="2" t="s">
        <v>23</v>
      </c>
      <c r="D1213" s="2" t="s">
        <v>28</v>
      </c>
      <c r="E1213" s="2" t="s">
        <v>10</v>
      </c>
      <c r="F1213" s="5">
        <v>1941.65</v>
      </c>
    </row>
    <row r="1214" spans="1:6" ht="15.75" customHeight="1" x14ac:dyDescent="0.3">
      <c r="A1214" s="4" t="s">
        <v>191</v>
      </c>
      <c r="B1214" s="2" t="s">
        <v>12</v>
      </c>
      <c r="C1214" s="2" t="s">
        <v>34</v>
      </c>
      <c r="D1214" s="2" t="s">
        <v>14</v>
      </c>
      <c r="E1214" s="2" t="s">
        <v>10</v>
      </c>
      <c r="F1214" s="5">
        <v>2646.36</v>
      </c>
    </row>
    <row r="1215" spans="1:6" ht="15.75" customHeight="1" x14ac:dyDescent="0.3">
      <c r="A1215" s="4" t="s">
        <v>101</v>
      </c>
      <c r="B1215" s="2" t="s">
        <v>19</v>
      </c>
      <c r="C1215" s="2" t="s">
        <v>23</v>
      </c>
      <c r="D1215" s="2" t="s">
        <v>9</v>
      </c>
      <c r="E1215" s="2" t="s">
        <v>24</v>
      </c>
      <c r="F1215" s="5">
        <v>1257.0845323896499</v>
      </c>
    </row>
    <row r="1216" spans="1:6" ht="15.75" customHeight="1" x14ac:dyDescent="0.3">
      <c r="A1216" s="4" t="s">
        <v>49</v>
      </c>
      <c r="B1216" s="2" t="s">
        <v>19</v>
      </c>
      <c r="C1216" s="2" t="s">
        <v>13</v>
      </c>
      <c r="D1216" s="2" t="s">
        <v>14</v>
      </c>
      <c r="E1216" s="2" t="s">
        <v>10</v>
      </c>
      <c r="F1216" s="5">
        <v>4445.1499999999996</v>
      </c>
    </row>
    <row r="1217" spans="1:6" ht="15.75" customHeight="1" x14ac:dyDescent="0.3">
      <c r="A1217" s="4" t="s">
        <v>84</v>
      </c>
      <c r="B1217" s="2" t="s">
        <v>30</v>
      </c>
      <c r="C1217" s="2" t="s">
        <v>13</v>
      </c>
      <c r="D1217" s="2" t="s">
        <v>28</v>
      </c>
      <c r="E1217" s="2" t="s">
        <v>15</v>
      </c>
      <c r="F1217" s="5">
        <v>3717.99</v>
      </c>
    </row>
    <row r="1218" spans="1:6" ht="15.75" customHeight="1" x14ac:dyDescent="0.3">
      <c r="A1218" s="4" t="s">
        <v>196</v>
      </c>
      <c r="B1218" s="2" t="s">
        <v>30</v>
      </c>
      <c r="C1218" s="2" t="s">
        <v>23</v>
      </c>
      <c r="D1218" s="2" t="s">
        <v>9</v>
      </c>
      <c r="E1218" s="2" t="s">
        <v>24</v>
      </c>
      <c r="F1218" s="5">
        <v>4588.6389292781423</v>
      </c>
    </row>
    <row r="1219" spans="1:6" ht="15.75" customHeight="1" x14ac:dyDescent="0.3">
      <c r="A1219" s="4" t="s">
        <v>161</v>
      </c>
      <c r="B1219" s="2" t="s">
        <v>7</v>
      </c>
      <c r="C1219" s="2" t="s">
        <v>8</v>
      </c>
      <c r="D1219" s="2" t="s">
        <v>9</v>
      </c>
      <c r="E1219" s="2" t="s">
        <v>10</v>
      </c>
      <c r="F1219" s="5">
        <v>1806.8769450160789</v>
      </c>
    </row>
    <row r="1220" spans="1:6" ht="15.75" customHeight="1" x14ac:dyDescent="0.3">
      <c r="A1220" s="4" t="s">
        <v>83</v>
      </c>
      <c r="B1220" s="2" t="s">
        <v>17</v>
      </c>
      <c r="C1220" s="2" t="s">
        <v>8</v>
      </c>
      <c r="D1220" s="2" t="s">
        <v>9</v>
      </c>
      <c r="E1220" s="2" t="s">
        <v>15</v>
      </c>
      <c r="F1220" s="5">
        <v>1893.445913335911</v>
      </c>
    </row>
    <row r="1221" spans="1:6" ht="15.75" customHeight="1" x14ac:dyDescent="0.3">
      <c r="A1221" s="4" t="s">
        <v>87</v>
      </c>
      <c r="B1221" s="2" t="s">
        <v>12</v>
      </c>
      <c r="C1221" s="2" t="s">
        <v>23</v>
      </c>
      <c r="D1221" s="2" t="s">
        <v>28</v>
      </c>
      <c r="E1221" s="2" t="s">
        <v>15</v>
      </c>
      <c r="F1221" s="5">
        <v>2906.15</v>
      </c>
    </row>
    <row r="1222" spans="1:6" ht="15.75" customHeight="1" x14ac:dyDescent="0.3">
      <c r="A1222" s="4" t="s">
        <v>205</v>
      </c>
      <c r="B1222" s="2" t="s">
        <v>17</v>
      </c>
      <c r="C1222" s="2" t="s">
        <v>23</v>
      </c>
      <c r="D1222" s="2" t="s">
        <v>9</v>
      </c>
      <c r="E1222" s="2" t="s">
        <v>10</v>
      </c>
      <c r="F1222" s="5">
        <v>4352.6233113881644</v>
      </c>
    </row>
    <row r="1223" spans="1:6" ht="15.75" customHeight="1" x14ac:dyDescent="0.3">
      <c r="A1223" s="4" t="s">
        <v>40</v>
      </c>
      <c r="B1223" s="2" t="s">
        <v>19</v>
      </c>
      <c r="C1223" s="2" t="s">
        <v>8</v>
      </c>
      <c r="D1223" s="2" t="s">
        <v>14</v>
      </c>
      <c r="E1223" s="2" t="s">
        <v>10</v>
      </c>
      <c r="F1223" s="5">
        <v>750.01</v>
      </c>
    </row>
    <row r="1224" spans="1:6" ht="15.75" customHeight="1" x14ac:dyDescent="0.3">
      <c r="A1224" s="4" t="s">
        <v>78</v>
      </c>
      <c r="B1224" s="2" t="s">
        <v>7</v>
      </c>
      <c r="C1224" s="2" t="s">
        <v>13</v>
      </c>
      <c r="D1224" s="2" t="s">
        <v>28</v>
      </c>
      <c r="E1224" s="2" t="s">
        <v>15</v>
      </c>
      <c r="F1224" s="5">
        <v>1435.13</v>
      </c>
    </row>
    <row r="1225" spans="1:6" ht="15.75" customHeight="1" x14ac:dyDescent="0.3">
      <c r="A1225" s="4" t="s">
        <v>181</v>
      </c>
      <c r="B1225" s="2" t="s">
        <v>30</v>
      </c>
      <c r="C1225" s="2" t="s">
        <v>13</v>
      </c>
      <c r="D1225" s="2" t="s">
        <v>14</v>
      </c>
      <c r="E1225" s="2" t="s">
        <v>24</v>
      </c>
      <c r="F1225" s="5">
        <v>3346.28</v>
      </c>
    </row>
    <row r="1226" spans="1:6" ht="15.75" customHeight="1" x14ac:dyDescent="0.3">
      <c r="A1226" s="4" t="s">
        <v>74</v>
      </c>
      <c r="B1226" s="2" t="s">
        <v>19</v>
      </c>
      <c r="C1226" s="2" t="s">
        <v>8</v>
      </c>
      <c r="D1226" s="2" t="s">
        <v>9</v>
      </c>
      <c r="E1226" s="2" t="s">
        <v>15</v>
      </c>
      <c r="F1226" s="5">
        <v>3975.6861546667419</v>
      </c>
    </row>
    <row r="1227" spans="1:6" ht="15.75" customHeight="1" x14ac:dyDescent="0.3">
      <c r="A1227" s="4" t="s">
        <v>88</v>
      </c>
      <c r="B1227" s="2" t="s">
        <v>7</v>
      </c>
      <c r="C1227" s="2" t="s">
        <v>23</v>
      </c>
      <c r="D1227" s="2" t="s">
        <v>14</v>
      </c>
      <c r="E1227" s="2" t="s">
        <v>24</v>
      </c>
      <c r="F1227" s="5">
        <v>3453.13</v>
      </c>
    </row>
    <row r="1228" spans="1:6" ht="15.75" customHeight="1" x14ac:dyDescent="0.3">
      <c r="A1228" s="4" t="s">
        <v>151</v>
      </c>
      <c r="B1228" s="2" t="s">
        <v>12</v>
      </c>
      <c r="C1228" s="2" t="s">
        <v>34</v>
      </c>
      <c r="D1228" s="2" t="s">
        <v>9</v>
      </c>
      <c r="E1228" s="2" t="s">
        <v>24</v>
      </c>
      <c r="F1228" s="5">
        <v>626.03</v>
      </c>
    </row>
    <row r="1229" spans="1:6" ht="15.75" customHeight="1" x14ac:dyDescent="0.3">
      <c r="A1229" s="4" t="s">
        <v>123</v>
      </c>
      <c r="B1229" s="2" t="s">
        <v>30</v>
      </c>
      <c r="C1229" s="2" t="s">
        <v>13</v>
      </c>
      <c r="D1229" s="2" t="s">
        <v>14</v>
      </c>
      <c r="E1229" s="2" t="s">
        <v>15</v>
      </c>
      <c r="F1229" s="5">
        <v>3255.93</v>
      </c>
    </row>
    <row r="1230" spans="1:6" ht="15.75" customHeight="1" x14ac:dyDescent="0.3">
      <c r="A1230" s="4" t="s">
        <v>219</v>
      </c>
      <c r="B1230" s="2" t="s">
        <v>12</v>
      </c>
      <c r="C1230" s="2" t="s">
        <v>8</v>
      </c>
      <c r="D1230" s="2" t="s">
        <v>28</v>
      </c>
      <c r="E1230" s="2" t="s">
        <v>24</v>
      </c>
      <c r="F1230" s="5">
        <v>4437.74</v>
      </c>
    </row>
    <row r="1231" spans="1:6" ht="15.75" customHeight="1" x14ac:dyDescent="0.3">
      <c r="A1231" s="4" t="s">
        <v>62</v>
      </c>
      <c r="B1231" s="2" t="s">
        <v>30</v>
      </c>
      <c r="C1231" s="2" t="s">
        <v>23</v>
      </c>
      <c r="D1231" s="2" t="s">
        <v>28</v>
      </c>
      <c r="E1231" s="2" t="s">
        <v>10</v>
      </c>
      <c r="F1231" s="5">
        <v>1531</v>
      </c>
    </row>
    <row r="1232" spans="1:6" ht="15.75" customHeight="1" x14ac:dyDescent="0.3">
      <c r="A1232" s="4" t="s">
        <v>142</v>
      </c>
      <c r="B1232" s="2" t="s">
        <v>17</v>
      </c>
      <c r="C1232" s="2" t="s">
        <v>8</v>
      </c>
      <c r="D1232" s="2" t="s">
        <v>28</v>
      </c>
      <c r="E1232" s="2" t="s">
        <v>24</v>
      </c>
      <c r="F1232" s="5">
        <v>3938.07</v>
      </c>
    </row>
    <row r="1233" spans="1:6" ht="15.75" customHeight="1" x14ac:dyDescent="0.3">
      <c r="A1233" s="4" t="s">
        <v>141</v>
      </c>
      <c r="B1233" s="2" t="s">
        <v>7</v>
      </c>
      <c r="C1233" s="2" t="s">
        <v>13</v>
      </c>
      <c r="D1233" s="2" t="s">
        <v>14</v>
      </c>
      <c r="E1233" s="2" t="s">
        <v>10</v>
      </c>
      <c r="F1233" s="5">
        <v>1999.93</v>
      </c>
    </row>
    <row r="1234" spans="1:6" ht="15.75" customHeight="1" x14ac:dyDescent="0.3">
      <c r="A1234" s="4" t="s">
        <v>214</v>
      </c>
      <c r="B1234" s="2" t="s">
        <v>30</v>
      </c>
      <c r="C1234" s="2" t="s">
        <v>13</v>
      </c>
      <c r="D1234" s="2" t="s">
        <v>9</v>
      </c>
      <c r="E1234" s="2" t="s">
        <v>15</v>
      </c>
      <c r="F1234" s="5">
        <v>379.85075037815801</v>
      </c>
    </row>
    <row r="1235" spans="1:6" ht="15.75" customHeight="1" x14ac:dyDescent="0.3">
      <c r="A1235" s="4" t="s">
        <v>55</v>
      </c>
      <c r="B1235" s="2" t="s">
        <v>12</v>
      </c>
      <c r="C1235" s="2" t="s">
        <v>13</v>
      </c>
      <c r="D1235" s="2" t="s">
        <v>9</v>
      </c>
      <c r="E1235" s="2" t="s">
        <v>24</v>
      </c>
      <c r="F1235" s="5">
        <v>4069.541358682935</v>
      </c>
    </row>
    <row r="1236" spans="1:6" ht="15.75" customHeight="1" x14ac:dyDescent="0.3">
      <c r="A1236" s="4" t="s">
        <v>171</v>
      </c>
      <c r="B1236" s="2" t="s">
        <v>17</v>
      </c>
      <c r="C1236" s="2" t="s">
        <v>34</v>
      </c>
      <c r="D1236" s="2" t="s">
        <v>28</v>
      </c>
      <c r="E1236" s="2" t="s">
        <v>15</v>
      </c>
      <c r="F1236" s="5">
        <v>2664.95</v>
      </c>
    </row>
    <row r="1237" spans="1:6" ht="15.75" customHeight="1" x14ac:dyDescent="0.3">
      <c r="A1237" s="4" t="s">
        <v>160</v>
      </c>
      <c r="B1237" s="2" t="s">
        <v>30</v>
      </c>
      <c r="C1237" s="2" t="s">
        <v>34</v>
      </c>
      <c r="D1237" s="2" t="s">
        <v>9</v>
      </c>
      <c r="E1237" s="2" t="s">
        <v>15</v>
      </c>
      <c r="F1237" s="5">
        <v>1975.28</v>
      </c>
    </row>
    <row r="1238" spans="1:6" ht="15.75" customHeight="1" x14ac:dyDescent="0.3">
      <c r="A1238" s="4" t="s">
        <v>215</v>
      </c>
      <c r="B1238" s="2" t="s">
        <v>17</v>
      </c>
      <c r="C1238" s="2" t="s">
        <v>8</v>
      </c>
      <c r="D1238" s="2" t="s">
        <v>14</v>
      </c>
      <c r="E1238" s="2" t="s">
        <v>24</v>
      </c>
      <c r="F1238" s="5">
        <v>4697.13</v>
      </c>
    </row>
    <row r="1239" spans="1:6" ht="15.75" customHeight="1" x14ac:dyDescent="0.3">
      <c r="A1239" s="4" t="s">
        <v>204</v>
      </c>
      <c r="B1239" s="2" t="s">
        <v>30</v>
      </c>
      <c r="C1239" s="2" t="s">
        <v>13</v>
      </c>
      <c r="D1239" s="2" t="s">
        <v>14</v>
      </c>
      <c r="E1239" s="2" t="s">
        <v>15</v>
      </c>
      <c r="F1239" s="5">
        <v>2932.94</v>
      </c>
    </row>
    <row r="1240" spans="1:6" ht="15.75" customHeight="1" x14ac:dyDescent="0.3">
      <c r="A1240" s="4" t="s">
        <v>190</v>
      </c>
      <c r="B1240" s="2" t="s">
        <v>17</v>
      </c>
      <c r="C1240" s="2" t="s">
        <v>8</v>
      </c>
      <c r="D1240" s="2" t="s">
        <v>28</v>
      </c>
      <c r="E1240" s="2" t="s">
        <v>15</v>
      </c>
      <c r="F1240" s="5">
        <v>1869.13</v>
      </c>
    </row>
    <row r="1241" spans="1:6" ht="15.75" customHeight="1" x14ac:dyDescent="0.3">
      <c r="A1241" s="4" t="s">
        <v>87</v>
      </c>
      <c r="B1241" s="2" t="s">
        <v>12</v>
      </c>
      <c r="C1241" s="2" t="s">
        <v>8</v>
      </c>
      <c r="D1241" s="2" t="s">
        <v>14</v>
      </c>
      <c r="E1241" s="2" t="s">
        <v>15</v>
      </c>
      <c r="F1241" s="5">
        <v>3433.46</v>
      </c>
    </row>
    <row r="1242" spans="1:6" ht="15.75" customHeight="1" x14ac:dyDescent="0.3">
      <c r="A1242" s="4" t="s">
        <v>218</v>
      </c>
      <c r="B1242" s="2" t="s">
        <v>17</v>
      </c>
      <c r="C1242" s="2" t="s">
        <v>23</v>
      </c>
      <c r="D1242" s="2" t="s">
        <v>14</v>
      </c>
      <c r="E1242" s="2" t="s">
        <v>10</v>
      </c>
      <c r="F1242" s="5">
        <v>3234.84</v>
      </c>
    </row>
    <row r="1243" spans="1:6" ht="15.75" customHeight="1" x14ac:dyDescent="0.3">
      <c r="A1243" s="4" t="s">
        <v>31</v>
      </c>
      <c r="B1243" s="2" t="s">
        <v>30</v>
      </c>
      <c r="C1243" s="2" t="s">
        <v>8</v>
      </c>
      <c r="D1243" s="2" t="s">
        <v>14</v>
      </c>
      <c r="E1243" s="2" t="s">
        <v>24</v>
      </c>
      <c r="F1243" s="5">
        <v>2947.36</v>
      </c>
    </row>
    <row r="1244" spans="1:6" ht="15.75" customHeight="1" x14ac:dyDescent="0.3">
      <c r="A1244" s="4" t="s">
        <v>204</v>
      </c>
      <c r="B1244" s="2" t="s">
        <v>30</v>
      </c>
      <c r="C1244" s="2" t="s">
        <v>34</v>
      </c>
      <c r="D1244" s="2" t="s">
        <v>9</v>
      </c>
      <c r="E1244" s="2" t="s">
        <v>24</v>
      </c>
      <c r="F1244" s="5">
        <v>4189.4613181320174</v>
      </c>
    </row>
    <row r="1245" spans="1:6" ht="15.75" customHeight="1" x14ac:dyDescent="0.3">
      <c r="A1245" s="4" t="s">
        <v>31</v>
      </c>
      <c r="B1245" s="2" t="s">
        <v>30</v>
      </c>
      <c r="C1245" s="2" t="s">
        <v>8</v>
      </c>
      <c r="D1245" s="2" t="s">
        <v>14</v>
      </c>
      <c r="E1245" s="2" t="s">
        <v>15</v>
      </c>
      <c r="F1245" s="5">
        <v>4346.51</v>
      </c>
    </row>
    <row r="1246" spans="1:6" ht="15.75" customHeight="1" x14ac:dyDescent="0.3">
      <c r="A1246" s="4" t="s">
        <v>124</v>
      </c>
      <c r="B1246" s="2" t="s">
        <v>12</v>
      </c>
      <c r="C1246" s="2" t="s">
        <v>34</v>
      </c>
      <c r="D1246" s="2" t="s">
        <v>14</v>
      </c>
      <c r="E1246" s="2" t="s">
        <v>15</v>
      </c>
      <c r="F1246" s="5">
        <v>1356.94</v>
      </c>
    </row>
    <row r="1247" spans="1:6" ht="15.75" customHeight="1" x14ac:dyDescent="0.3">
      <c r="A1247" s="4" t="s">
        <v>197</v>
      </c>
      <c r="B1247" s="2" t="s">
        <v>30</v>
      </c>
      <c r="C1247" s="2" t="s">
        <v>8</v>
      </c>
      <c r="D1247" s="2" t="s">
        <v>28</v>
      </c>
      <c r="E1247" s="2" t="s">
        <v>10</v>
      </c>
      <c r="F1247" s="5">
        <v>50.06</v>
      </c>
    </row>
    <row r="1248" spans="1:6" ht="15.75" customHeight="1" x14ac:dyDescent="0.3">
      <c r="A1248" s="4" t="s">
        <v>202</v>
      </c>
      <c r="B1248" s="2" t="s">
        <v>12</v>
      </c>
      <c r="C1248" s="2" t="s">
        <v>13</v>
      </c>
      <c r="D1248" s="2" t="s">
        <v>28</v>
      </c>
      <c r="E1248" s="2" t="s">
        <v>15</v>
      </c>
      <c r="F1248" s="5">
        <v>3795.55</v>
      </c>
    </row>
    <row r="1249" spans="1:6" ht="15.75" customHeight="1" x14ac:dyDescent="0.3">
      <c r="A1249" s="4" t="s">
        <v>60</v>
      </c>
      <c r="B1249" s="2" t="s">
        <v>12</v>
      </c>
      <c r="C1249" s="2" t="s">
        <v>34</v>
      </c>
      <c r="D1249" s="2" t="s">
        <v>9</v>
      </c>
      <c r="E1249" s="2" t="s">
        <v>10</v>
      </c>
      <c r="F1249" s="5">
        <v>4134.2097935191114</v>
      </c>
    </row>
    <row r="1250" spans="1:6" ht="15.75" customHeight="1" x14ac:dyDescent="0.3">
      <c r="A1250" s="4" t="s">
        <v>214</v>
      </c>
      <c r="B1250" s="2" t="s">
        <v>30</v>
      </c>
      <c r="C1250" s="2" t="s">
        <v>34</v>
      </c>
      <c r="D1250" s="2" t="s">
        <v>9</v>
      </c>
      <c r="E1250" s="2" t="s">
        <v>24</v>
      </c>
      <c r="F1250" s="5">
        <v>2597.3550549144679</v>
      </c>
    </row>
    <row r="1251" spans="1:6" ht="15.75" customHeight="1" x14ac:dyDescent="0.3">
      <c r="A1251" s="4" t="s">
        <v>219</v>
      </c>
      <c r="B1251" s="2" t="s">
        <v>12</v>
      </c>
      <c r="C1251" s="2" t="s">
        <v>8</v>
      </c>
      <c r="D1251" s="2" t="s">
        <v>14</v>
      </c>
      <c r="E1251" s="2" t="s">
        <v>24</v>
      </c>
      <c r="F1251" s="5">
        <v>2151.91</v>
      </c>
    </row>
    <row r="1252" spans="1:6" ht="15.75" customHeight="1" x14ac:dyDescent="0.3">
      <c r="A1252" s="4" t="s">
        <v>164</v>
      </c>
      <c r="B1252" s="2" t="s">
        <v>19</v>
      </c>
      <c r="C1252" s="2" t="s">
        <v>34</v>
      </c>
      <c r="D1252" s="2" t="s">
        <v>14</v>
      </c>
      <c r="E1252" s="2" t="s">
        <v>10</v>
      </c>
      <c r="F1252" s="5">
        <v>3338.56</v>
      </c>
    </row>
    <row r="1253" spans="1:6" ht="15.75" customHeight="1" x14ac:dyDescent="0.3">
      <c r="A1253" s="4" t="s">
        <v>123</v>
      </c>
      <c r="B1253" s="2" t="s">
        <v>30</v>
      </c>
      <c r="C1253" s="2" t="s">
        <v>23</v>
      </c>
      <c r="D1253" s="2" t="s">
        <v>9</v>
      </c>
      <c r="E1253" s="2" t="s">
        <v>15</v>
      </c>
      <c r="F1253" s="5">
        <v>284.86</v>
      </c>
    </row>
    <row r="1254" spans="1:6" ht="15.75" customHeight="1" x14ac:dyDescent="0.3">
      <c r="A1254" s="4" t="s">
        <v>149</v>
      </c>
      <c r="B1254" s="2" t="s">
        <v>17</v>
      </c>
      <c r="C1254" s="2" t="s">
        <v>34</v>
      </c>
      <c r="D1254" s="2" t="s">
        <v>14</v>
      </c>
      <c r="E1254" s="2" t="s">
        <v>15</v>
      </c>
      <c r="F1254" s="5">
        <v>4418.62</v>
      </c>
    </row>
    <row r="1255" spans="1:6" ht="15.75" customHeight="1" x14ac:dyDescent="0.3">
      <c r="A1255" s="4" t="s">
        <v>194</v>
      </c>
      <c r="B1255" s="2" t="s">
        <v>17</v>
      </c>
      <c r="C1255" s="2" t="s">
        <v>23</v>
      </c>
      <c r="D1255" s="2" t="s">
        <v>14</v>
      </c>
      <c r="E1255" s="2" t="s">
        <v>24</v>
      </c>
      <c r="F1255" s="5">
        <v>1452.21</v>
      </c>
    </row>
    <row r="1256" spans="1:6" ht="15.75" customHeight="1" x14ac:dyDescent="0.3">
      <c r="A1256" s="4" t="s">
        <v>35</v>
      </c>
      <c r="B1256" s="2" t="s">
        <v>19</v>
      </c>
      <c r="C1256" s="2" t="s">
        <v>23</v>
      </c>
      <c r="D1256" s="2" t="s">
        <v>28</v>
      </c>
      <c r="E1256" s="2" t="s">
        <v>15</v>
      </c>
      <c r="F1256" s="5">
        <v>1001.43</v>
      </c>
    </row>
    <row r="1257" spans="1:6" ht="15.75" customHeight="1" x14ac:dyDescent="0.3">
      <c r="A1257" s="4" t="s">
        <v>123</v>
      </c>
      <c r="B1257" s="2" t="s">
        <v>30</v>
      </c>
      <c r="C1257" s="2" t="s">
        <v>8</v>
      </c>
      <c r="D1257" s="2" t="s">
        <v>28</v>
      </c>
      <c r="E1257" s="2" t="s">
        <v>15</v>
      </c>
      <c r="F1257" s="5">
        <v>3280.78</v>
      </c>
    </row>
    <row r="1258" spans="1:6" ht="15.75" customHeight="1" x14ac:dyDescent="0.3">
      <c r="A1258" s="4" t="s">
        <v>209</v>
      </c>
      <c r="B1258" s="2" t="s">
        <v>7</v>
      </c>
      <c r="C1258" s="2" t="s">
        <v>8</v>
      </c>
      <c r="D1258" s="2" t="s">
        <v>14</v>
      </c>
      <c r="E1258" s="2" t="s">
        <v>24</v>
      </c>
      <c r="F1258" s="5">
        <v>2429.6</v>
      </c>
    </row>
    <row r="1259" spans="1:6" ht="15.75" customHeight="1" x14ac:dyDescent="0.3">
      <c r="A1259" s="4" t="s">
        <v>103</v>
      </c>
      <c r="B1259" s="2" t="s">
        <v>19</v>
      </c>
      <c r="C1259" s="2" t="s">
        <v>13</v>
      </c>
      <c r="D1259" s="2" t="s">
        <v>9</v>
      </c>
      <c r="E1259" s="2" t="s">
        <v>10</v>
      </c>
      <c r="F1259" s="5">
        <v>4025.9912265284552</v>
      </c>
    </row>
    <row r="1260" spans="1:6" ht="15.75" customHeight="1" x14ac:dyDescent="0.3">
      <c r="A1260" s="4" t="s">
        <v>209</v>
      </c>
      <c r="B1260" s="2" t="s">
        <v>7</v>
      </c>
      <c r="C1260" s="2" t="s">
        <v>13</v>
      </c>
      <c r="D1260" s="2" t="s">
        <v>14</v>
      </c>
      <c r="E1260" s="2" t="s">
        <v>15</v>
      </c>
      <c r="F1260" s="5">
        <v>1880.25</v>
      </c>
    </row>
    <row r="1261" spans="1:6" ht="15.75" customHeight="1" x14ac:dyDescent="0.3">
      <c r="A1261" s="4" t="s">
        <v>132</v>
      </c>
      <c r="B1261" s="2" t="s">
        <v>19</v>
      </c>
      <c r="C1261" s="2" t="s">
        <v>23</v>
      </c>
      <c r="D1261" s="2" t="s">
        <v>28</v>
      </c>
      <c r="E1261" s="2" t="s">
        <v>15</v>
      </c>
      <c r="F1261" s="5">
        <v>3107.51</v>
      </c>
    </row>
    <row r="1262" spans="1:6" ht="15.75" customHeight="1" x14ac:dyDescent="0.3">
      <c r="A1262" s="4" t="s">
        <v>107</v>
      </c>
      <c r="B1262" s="2" t="s">
        <v>30</v>
      </c>
      <c r="C1262" s="2" t="s">
        <v>23</v>
      </c>
      <c r="D1262" s="2" t="s">
        <v>9</v>
      </c>
      <c r="E1262" s="2" t="s">
        <v>15</v>
      </c>
      <c r="F1262" s="5">
        <v>1430.9374864092269</v>
      </c>
    </row>
    <row r="1263" spans="1:6" ht="15.75" customHeight="1" x14ac:dyDescent="0.3">
      <c r="A1263" s="4" t="s">
        <v>169</v>
      </c>
      <c r="B1263" s="2" t="s">
        <v>12</v>
      </c>
      <c r="C1263" s="2" t="s">
        <v>34</v>
      </c>
      <c r="D1263" s="2" t="s">
        <v>28</v>
      </c>
      <c r="E1263" s="2" t="s">
        <v>15</v>
      </c>
      <c r="F1263" s="5">
        <v>4735.9399999999996</v>
      </c>
    </row>
    <row r="1264" spans="1:6" ht="15.75" customHeight="1" x14ac:dyDescent="0.3">
      <c r="A1264" s="4" t="s">
        <v>177</v>
      </c>
      <c r="B1264" s="2" t="s">
        <v>7</v>
      </c>
      <c r="C1264" s="2" t="s">
        <v>8</v>
      </c>
      <c r="D1264" s="2" t="s">
        <v>28</v>
      </c>
      <c r="E1264" s="2" t="s">
        <v>15</v>
      </c>
      <c r="F1264" s="5">
        <v>419.21</v>
      </c>
    </row>
    <row r="1265" spans="1:6" ht="15.75" customHeight="1" x14ac:dyDescent="0.3">
      <c r="A1265" s="4" t="s">
        <v>208</v>
      </c>
      <c r="B1265" s="2" t="s">
        <v>19</v>
      </c>
      <c r="C1265" s="2" t="s">
        <v>34</v>
      </c>
      <c r="D1265" s="2" t="s">
        <v>9</v>
      </c>
      <c r="E1265" s="2" t="s">
        <v>24</v>
      </c>
      <c r="F1265" s="5">
        <v>3952.7880936820839</v>
      </c>
    </row>
    <row r="1266" spans="1:6" ht="15.75" customHeight="1" x14ac:dyDescent="0.3">
      <c r="A1266" s="4" t="s">
        <v>170</v>
      </c>
      <c r="B1266" s="2" t="s">
        <v>12</v>
      </c>
      <c r="C1266" s="2" t="s">
        <v>8</v>
      </c>
      <c r="D1266" s="2" t="s">
        <v>28</v>
      </c>
      <c r="E1266" s="2" t="s">
        <v>10</v>
      </c>
      <c r="F1266" s="5">
        <v>2905.28</v>
      </c>
    </row>
    <row r="1267" spans="1:6" ht="15.75" customHeight="1" x14ac:dyDescent="0.3">
      <c r="A1267" s="4" t="s">
        <v>101</v>
      </c>
      <c r="B1267" s="2" t="s">
        <v>19</v>
      </c>
      <c r="C1267" s="2" t="s">
        <v>13</v>
      </c>
      <c r="D1267" s="2" t="s">
        <v>28</v>
      </c>
      <c r="E1267" s="2" t="s">
        <v>24</v>
      </c>
      <c r="F1267" s="5">
        <v>2595.02</v>
      </c>
    </row>
    <row r="1268" spans="1:6" ht="15.75" customHeight="1" x14ac:dyDescent="0.3">
      <c r="A1268" s="4" t="s">
        <v>93</v>
      </c>
      <c r="B1268" s="2" t="s">
        <v>30</v>
      </c>
      <c r="C1268" s="2" t="s">
        <v>34</v>
      </c>
      <c r="D1268" s="2" t="s">
        <v>9</v>
      </c>
      <c r="E1268" s="2" t="s">
        <v>15</v>
      </c>
      <c r="F1268" s="5">
        <v>4395.4888261292053</v>
      </c>
    </row>
    <row r="1269" spans="1:6" ht="15.75" customHeight="1" x14ac:dyDescent="0.3">
      <c r="A1269" s="4" t="s">
        <v>91</v>
      </c>
      <c r="B1269" s="2" t="s">
        <v>30</v>
      </c>
      <c r="C1269" s="2" t="s">
        <v>23</v>
      </c>
      <c r="D1269" s="2" t="s">
        <v>14</v>
      </c>
      <c r="E1269" s="2" t="s">
        <v>24</v>
      </c>
      <c r="F1269" s="5">
        <v>969.03</v>
      </c>
    </row>
    <row r="1270" spans="1:6" ht="15.75" customHeight="1" x14ac:dyDescent="0.3">
      <c r="A1270" s="4" t="s">
        <v>218</v>
      </c>
      <c r="B1270" s="2" t="s">
        <v>17</v>
      </c>
      <c r="C1270" s="2" t="s">
        <v>34</v>
      </c>
      <c r="D1270" s="2" t="s">
        <v>14</v>
      </c>
      <c r="E1270" s="2" t="s">
        <v>15</v>
      </c>
      <c r="F1270" s="5">
        <v>4736.7</v>
      </c>
    </row>
    <row r="1271" spans="1:6" ht="15.75" customHeight="1" x14ac:dyDescent="0.3">
      <c r="A1271" s="4" t="s">
        <v>67</v>
      </c>
      <c r="B1271" s="2" t="s">
        <v>7</v>
      </c>
      <c r="C1271" s="2" t="s">
        <v>8</v>
      </c>
      <c r="D1271" s="2" t="s">
        <v>9</v>
      </c>
      <c r="E1271" s="2" t="s">
        <v>15</v>
      </c>
      <c r="F1271" s="5">
        <v>3116.27</v>
      </c>
    </row>
    <row r="1272" spans="1:6" ht="15.75" customHeight="1" x14ac:dyDescent="0.3">
      <c r="A1272" s="4" t="s">
        <v>150</v>
      </c>
      <c r="B1272" s="2" t="s">
        <v>30</v>
      </c>
      <c r="C1272" s="2" t="s">
        <v>34</v>
      </c>
      <c r="D1272" s="2" t="s">
        <v>28</v>
      </c>
      <c r="E1272" s="2" t="s">
        <v>15</v>
      </c>
      <c r="F1272" s="5">
        <v>3048.92</v>
      </c>
    </row>
    <row r="1273" spans="1:6" ht="15.75" customHeight="1" x14ac:dyDescent="0.3">
      <c r="A1273" s="4" t="s">
        <v>75</v>
      </c>
      <c r="B1273" s="2" t="s">
        <v>19</v>
      </c>
      <c r="C1273" s="2" t="s">
        <v>34</v>
      </c>
      <c r="D1273" s="2" t="s">
        <v>9</v>
      </c>
      <c r="E1273" s="2" t="s">
        <v>15</v>
      </c>
      <c r="F1273" s="5">
        <v>4792.2007904355123</v>
      </c>
    </row>
    <row r="1274" spans="1:6" ht="15.75" customHeight="1" x14ac:dyDescent="0.3">
      <c r="A1274" s="4" t="s">
        <v>205</v>
      </c>
      <c r="B1274" s="2" t="s">
        <v>17</v>
      </c>
      <c r="C1274" s="2" t="s">
        <v>34</v>
      </c>
      <c r="D1274" s="2" t="s">
        <v>14</v>
      </c>
      <c r="E1274" s="2" t="s">
        <v>15</v>
      </c>
      <c r="F1274" s="5">
        <v>1851.08</v>
      </c>
    </row>
    <row r="1275" spans="1:6" ht="15.75" customHeight="1" x14ac:dyDescent="0.3">
      <c r="A1275" s="4" t="s">
        <v>79</v>
      </c>
      <c r="B1275" s="2" t="s">
        <v>17</v>
      </c>
      <c r="C1275" s="2" t="s">
        <v>34</v>
      </c>
      <c r="D1275" s="2" t="s">
        <v>14</v>
      </c>
      <c r="E1275" s="2" t="s">
        <v>10</v>
      </c>
      <c r="F1275" s="5">
        <v>331.53</v>
      </c>
    </row>
    <row r="1276" spans="1:6" ht="15.75" customHeight="1" x14ac:dyDescent="0.3">
      <c r="A1276" s="4" t="s">
        <v>179</v>
      </c>
      <c r="B1276" s="2" t="s">
        <v>7</v>
      </c>
      <c r="C1276" s="2" t="s">
        <v>13</v>
      </c>
      <c r="D1276" s="2" t="s">
        <v>28</v>
      </c>
      <c r="E1276" s="2" t="s">
        <v>24</v>
      </c>
      <c r="F1276" s="5">
        <v>2756.07</v>
      </c>
    </row>
    <row r="1277" spans="1:6" ht="15.75" customHeight="1" x14ac:dyDescent="0.3">
      <c r="A1277" s="4" t="s">
        <v>138</v>
      </c>
      <c r="B1277" s="2" t="s">
        <v>12</v>
      </c>
      <c r="C1277" s="2" t="s">
        <v>13</v>
      </c>
      <c r="D1277" s="2" t="s">
        <v>9</v>
      </c>
      <c r="E1277" s="2" t="s">
        <v>15</v>
      </c>
      <c r="F1277" s="5">
        <v>1185.144685140958</v>
      </c>
    </row>
    <row r="1278" spans="1:6" ht="15.75" customHeight="1" x14ac:dyDescent="0.3">
      <c r="A1278" s="4" t="s">
        <v>31</v>
      </c>
      <c r="B1278" s="2" t="s">
        <v>30</v>
      </c>
      <c r="C1278" s="2" t="s">
        <v>13</v>
      </c>
      <c r="D1278" s="2" t="s">
        <v>14</v>
      </c>
      <c r="E1278" s="2" t="s">
        <v>15</v>
      </c>
      <c r="F1278" s="5">
        <v>770.82</v>
      </c>
    </row>
    <row r="1279" spans="1:6" ht="15.75" customHeight="1" x14ac:dyDescent="0.3">
      <c r="A1279" s="4" t="s">
        <v>69</v>
      </c>
      <c r="B1279" s="2" t="s">
        <v>7</v>
      </c>
      <c r="C1279" s="2" t="s">
        <v>8</v>
      </c>
      <c r="D1279" s="2" t="s">
        <v>14</v>
      </c>
      <c r="E1279" s="2" t="s">
        <v>24</v>
      </c>
      <c r="F1279" s="5">
        <v>1735.38</v>
      </c>
    </row>
    <row r="1280" spans="1:6" ht="15.75" customHeight="1" x14ac:dyDescent="0.3">
      <c r="A1280" s="4" t="s">
        <v>211</v>
      </c>
      <c r="B1280" s="2" t="s">
        <v>7</v>
      </c>
      <c r="C1280" s="2" t="s">
        <v>8</v>
      </c>
      <c r="D1280" s="2" t="s">
        <v>9</v>
      </c>
      <c r="E1280" s="2" t="s">
        <v>15</v>
      </c>
      <c r="F1280" s="5">
        <v>2191.3122179801999</v>
      </c>
    </row>
    <row r="1281" spans="1:6" ht="15.75" customHeight="1" x14ac:dyDescent="0.3">
      <c r="A1281" s="4" t="s">
        <v>212</v>
      </c>
      <c r="B1281" s="2" t="s">
        <v>7</v>
      </c>
      <c r="C1281" s="2" t="s">
        <v>13</v>
      </c>
      <c r="D1281" s="2" t="s">
        <v>28</v>
      </c>
      <c r="E1281" s="2" t="s">
        <v>15</v>
      </c>
      <c r="F1281" s="5">
        <v>759.32</v>
      </c>
    </row>
    <row r="1282" spans="1:6" ht="15.75" customHeight="1" x14ac:dyDescent="0.3">
      <c r="A1282" s="4" t="s">
        <v>207</v>
      </c>
      <c r="B1282" s="2" t="s">
        <v>17</v>
      </c>
      <c r="C1282" s="2" t="s">
        <v>23</v>
      </c>
      <c r="D1282" s="2" t="s">
        <v>14</v>
      </c>
      <c r="E1282" s="2" t="s">
        <v>15</v>
      </c>
      <c r="F1282" s="5">
        <v>1954.05</v>
      </c>
    </row>
    <row r="1283" spans="1:6" ht="15.75" customHeight="1" x14ac:dyDescent="0.3">
      <c r="A1283" s="4" t="s">
        <v>144</v>
      </c>
      <c r="B1283" s="2" t="s">
        <v>30</v>
      </c>
      <c r="C1283" s="2" t="s">
        <v>34</v>
      </c>
      <c r="D1283" s="2" t="s">
        <v>9</v>
      </c>
      <c r="E1283" s="2" t="s">
        <v>15</v>
      </c>
      <c r="F1283" s="5">
        <v>4153</v>
      </c>
    </row>
    <row r="1284" spans="1:6" ht="15.75" customHeight="1" x14ac:dyDescent="0.3">
      <c r="A1284" s="4" t="s">
        <v>71</v>
      </c>
      <c r="B1284" s="2" t="s">
        <v>7</v>
      </c>
      <c r="C1284" s="2" t="s">
        <v>23</v>
      </c>
      <c r="D1284" s="2" t="s">
        <v>9</v>
      </c>
      <c r="E1284" s="2" t="s">
        <v>15</v>
      </c>
      <c r="F1284" s="5">
        <v>3571.757492340053</v>
      </c>
    </row>
    <row r="1285" spans="1:6" ht="15.75" customHeight="1" x14ac:dyDescent="0.3">
      <c r="A1285" s="4" t="s">
        <v>193</v>
      </c>
      <c r="B1285" s="2" t="s">
        <v>12</v>
      </c>
      <c r="C1285" s="2" t="s">
        <v>8</v>
      </c>
      <c r="D1285" s="2" t="s">
        <v>28</v>
      </c>
      <c r="E1285" s="2" t="s">
        <v>24</v>
      </c>
      <c r="F1285" s="5">
        <v>3705.85</v>
      </c>
    </row>
    <row r="1286" spans="1:6" ht="15.75" customHeight="1" x14ac:dyDescent="0.3">
      <c r="A1286" s="4" t="s">
        <v>158</v>
      </c>
      <c r="B1286" s="2" t="s">
        <v>30</v>
      </c>
      <c r="C1286" s="2" t="s">
        <v>13</v>
      </c>
      <c r="D1286" s="2" t="s">
        <v>14</v>
      </c>
      <c r="E1286" s="2" t="s">
        <v>15</v>
      </c>
      <c r="F1286" s="5">
        <v>4393.54</v>
      </c>
    </row>
    <row r="1287" spans="1:6" ht="15.75" customHeight="1" x14ac:dyDescent="0.3">
      <c r="A1287" s="4" t="s">
        <v>121</v>
      </c>
      <c r="B1287" s="2" t="s">
        <v>30</v>
      </c>
      <c r="C1287" s="2" t="s">
        <v>8</v>
      </c>
      <c r="D1287" s="2" t="s">
        <v>9</v>
      </c>
      <c r="E1287" s="2" t="s">
        <v>24</v>
      </c>
      <c r="F1287" s="5">
        <v>1303.239074360155</v>
      </c>
    </row>
    <row r="1288" spans="1:6" ht="15.75" customHeight="1" x14ac:dyDescent="0.3">
      <c r="A1288" s="4" t="s">
        <v>42</v>
      </c>
      <c r="B1288" s="2" t="s">
        <v>30</v>
      </c>
      <c r="C1288" s="2" t="s">
        <v>8</v>
      </c>
      <c r="D1288" s="2" t="s">
        <v>28</v>
      </c>
      <c r="E1288" s="2" t="s">
        <v>15</v>
      </c>
      <c r="F1288" s="5">
        <v>1709.14</v>
      </c>
    </row>
    <row r="1289" spans="1:6" ht="15.75" customHeight="1" x14ac:dyDescent="0.3">
      <c r="A1289" s="4" t="s">
        <v>144</v>
      </c>
      <c r="B1289" s="2" t="s">
        <v>30</v>
      </c>
      <c r="C1289" s="2" t="s">
        <v>34</v>
      </c>
      <c r="D1289" s="2" t="s">
        <v>9</v>
      </c>
      <c r="E1289" s="2" t="s">
        <v>15</v>
      </c>
      <c r="F1289" s="5">
        <v>4816.54</v>
      </c>
    </row>
    <row r="1290" spans="1:6" ht="15.75" customHeight="1" x14ac:dyDescent="0.3">
      <c r="A1290" s="4" t="s">
        <v>157</v>
      </c>
      <c r="B1290" s="2" t="s">
        <v>30</v>
      </c>
      <c r="C1290" s="2" t="s">
        <v>23</v>
      </c>
      <c r="D1290" s="2" t="s">
        <v>9</v>
      </c>
      <c r="E1290" s="2" t="s">
        <v>24</v>
      </c>
      <c r="F1290" s="5">
        <v>4237.9135155816439</v>
      </c>
    </row>
    <row r="1291" spans="1:6" ht="15.75" customHeight="1" x14ac:dyDescent="0.3">
      <c r="A1291" s="4" t="s">
        <v>215</v>
      </c>
      <c r="B1291" s="2" t="s">
        <v>17</v>
      </c>
      <c r="C1291" s="2" t="s">
        <v>34</v>
      </c>
      <c r="D1291" s="2" t="s">
        <v>14</v>
      </c>
      <c r="E1291" s="2" t="s">
        <v>24</v>
      </c>
      <c r="F1291" s="5">
        <v>2911.32</v>
      </c>
    </row>
    <row r="1292" spans="1:6" ht="15.75" customHeight="1" x14ac:dyDescent="0.3">
      <c r="A1292" s="4" t="s">
        <v>43</v>
      </c>
      <c r="B1292" s="2" t="s">
        <v>17</v>
      </c>
      <c r="C1292" s="2" t="s">
        <v>13</v>
      </c>
      <c r="D1292" s="2" t="s">
        <v>14</v>
      </c>
      <c r="E1292" s="2" t="s">
        <v>10</v>
      </c>
      <c r="F1292" s="5">
        <v>1512.18</v>
      </c>
    </row>
    <row r="1293" spans="1:6" ht="15.75" customHeight="1" x14ac:dyDescent="0.3">
      <c r="A1293" s="4" t="s">
        <v>21</v>
      </c>
      <c r="B1293" s="2" t="s">
        <v>19</v>
      </c>
      <c r="C1293" s="2" t="s">
        <v>34</v>
      </c>
      <c r="D1293" s="2" t="s">
        <v>28</v>
      </c>
      <c r="E1293" s="2" t="s">
        <v>15</v>
      </c>
      <c r="F1293" s="5">
        <v>2308.83</v>
      </c>
    </row>
    <row r="1294" spans="1:6" ht="15.75" customHeight="1" x14ac:dyDescent="0.3">
      <c r="A1294" s="4" t="s">
        <v>144</v>
      </c>
      <c r="B1294" s="2" t="s">
        <v>30</v>
      </c>
      <c r="C1294" s="2" t="s">
        <v>8</v>
      </c>
      <c r="D1294" s="2" t="s">
        <v>28</v>
      </c>
      <c r="E1294" s="2" t="s">
        <v>15</v>
      </c>
      <c r="F1294" s="5">
        <v>4743.8500000000004</v>
      </c>
    </row>
    <row r="1295" spans="1:6" ht="15.75" customHeight="1" x14ac:dyDescent="0.3">
      <c r="A1295" s="4" t="s">
        <v>123</v>
      </c>
      <c r="B1295" s="2" t="s">
        <v>30</v>
      </c>
      <c r="C1295" s="2" t="s">
        <v>23</v>
      </c>
      <c r="D1295" s="2" t="s">
        <v>9</v>
      </c>
      <c r="E1295" s="2" t="s">
        <v>24</v>
      </c>
      <c r="F1295" s="5">
        <v>3863.8</v>
      </c>
    </row>
    <row r="1296" spans="1:6" ht="15.75" customHeight="1" x14ac:dyDescent="0.3">
      <c r="A1296" s="4" t="s">
        <v>151</v>
      </c>
      <c r="B1296" s="2" t="s">
        <v>12</v>
      </c>
      <c r="C1296" s="2" t="s">
        <v>34</v>
      </c>
      <c r="D1296" s="2" t="s">
        <v>14</v>
      </c>
      <c r="E1296" s="2" t="s">
        <v>10</v>
      </c>
      <c r="F1296" s="5">
        <v>1928.39</v>
      </c>
    </row>
    <row r="1297" spans="1:6" ht="15.75" customHeight="1" x14ac:dyDescent="0.3">
      <c r="A1297" s="4" t="s">
        <v>116</v>
      </c>
      <c r="B1297" s="2" t="s">
        <v>17</v>
      </c>
      <c r="C1297" s="2" t="s">
        <v>23</v>
      </c>
      <c r="D1297" s="2" t="s">
        <v>28</v>
      </c>
      <c r="E1297" s="2" t="s">
        <v>24</v>
      </c>
      <c r="F1297" s="5">
        <v>2001.66</v>
      </c>
    </row>
    <row r="1298" spans="1:6" ht="15.75" customHeight="1" x14ac:dyDescent="0.3">
      <c r="A1298" s="4" t="s">
        <v>167</v>
      </c>
      <c r="B1298" s="2" t="s">
        <v>30</v>
      </c>
      <c r="C1298" s="2" t="s">
        <v>23</v>
      </c>
      <c r="D1298" s="2" t="s">
        <v>14</v>
      </c>
      <c r="E1298" s="2" t="s">
        <v>10</v>
      </c>
      <c r="F1298" s="5">
        <v>1031.08</v>
      </c>
    </row>
    <row r="1299" spans="1:6" ht="15.75" customHeight="1" x14ac:dyDescent="0.3">
      <c r="A1299" s="4" t="s">
        <v>182</v>
      </c>
      <c r="B1299" s="2" t="s">
        <v>12</v>
      </c>
      <c r="C1299" s="2" t="s">
        <v>34</v>
      </c>
      <c r="D1299" s="2" t="s">
        <v>14</v>
      </c>
      <c r="E1299" s="2" t="s">
        <v>10</v>
      </c>
      <c r="F1299" s="5">
        <v>4637.72</v>
      </c>
    </row>
    <row r="1300" spans="1:6" ht="15.75" customHeight="1" x14ac:dyDescent="0.3">
      <c r="A1300" s="4" t="s">
        <v>25</v>
      </c>
      <c r="B1300" s="2" t="s">
        <v>19</v>
      </c>
      <c r="C1300" s="2" t="s">
        <v>34</v>
      </c>
      <c r="D1300" s="2" t="s">
        <v>14</v>
      </c>
      <c r="E1300" s="2" t="s">
        <v>15</v>
      </c>
      <c r="F1300" s="5">
        <v>2119.1</v>
      </c>
    </row>
    <row r="1301" spans="1:6" ht="15.75" customHeight="1" x14ac:dyDescent="0.3">
      <c r="A1301" s="4" t="s">
        <v>172</v>
      </c>
      <c r="B1301" s="2" t="s">
        <v>7</v>
      </c>
      <c r="C1301" s="2" t="s">
        <v>8</v>
      </c>
      <c r="D1301" s="2" t="s">
        <v>9</v>
      </c>
      <c r="E1301" s="2" t="s">
        <v>10</v>
      </c>
      <c r="F1301" s="5">
        <v>672.58975537787273</v>
      </c>
    </row>
    <row r="1302" spans="1:6" ht="15.75" customHeight="1" x14ac:dyDescent="0.3">
      <c r="A1302" s="4" t="s">
        <v>120</v>
      </c>
      <c r="B1302" s="2" t="s">
        <v>30</v>
      </c>
      <c r="C1302" s="2" t="s">
        <v>8</v>
      </c>
      <c r="D1302" s="2" t="s">
        <v>9</v>
      </c>
      <c r="E1302" s="2" t="s">
        <v>15</v>
      </c>
      <c r="F1302" s="5">
        <v>1187.166128642406</v>
      </c>
    </row>
    <row r="1303" spans="1:6" ht="15.75" customHeight="1" x14ac:dyDescent="0.3">
      <c r="A1303" s="4" t="s">
        <v>80</v>
      </c>
      <c r="B1303" s="2" t="s">
        <v>17</v>
      </c>
      <c r="C1303" s="2" t="s">
        <v>13</v>
      </c>
      <c r="D1303" s="2" t="s">
        <v>14</v>
      </c>
      <c r="E1303" s="2" t="s">
        <v>15</v>
      </c>
      <c r="F1303" s="5">
        <v>3253.86</v>
      </c>
    </row>
    <row r="1304" spans="1:6" ht="15.75" customHeight="1" x14ac:dyDescent="0.3">
      <c r="A1304" s="4" t="s">
        <v>26</v>
      </c>
      <c r="B1304" s="2" t="s">
        <v>17</v>
      </c>
      <c r="C1304" s="2" t="s">
        <v>23</v>
      </c>
      <c r="D1304" s="2" t="s">
        <v>14</v>
      </c>
      <c r="E1304" s="2" t="s">
        <v>10</v>
      </c>
      <c r="F1304" s="5">
        <v>276.16000000000003</v>
      </c>
    </row>
    <row r="1305" spans="1:6" ht="15.75" customHeight="1" x14ac:dyDescent="0.3">
      <c r="A1305" s="4" t="s">
        <v>51</v>
      </c>
      <c r="B1305" s="2" t="s">
        <v>30</v>
      </c>
      <c r="C1305" s="2" t="s">
        <v>34</v>
      </c>
      <c r="D1305" s="2" t="s">
        <v>9</v>
      </c>
      <c r="E1305" s="2" t="s">
        <v>15</v>
      </c>
      <c r="F1305" s="5">
        <v>1988.3138029253139</v>
      </c>
    </row>
    <row r="1306" spans="1:6" ht="15.75" customHeight="1" x14ac:dyDescent="0.3">
      <c r="A1306" s="4" t="s">
        <v>67</v>
      </c>
      <c r="B1306" s="2" t="s">
        <v>7</v>
      </c>
      <c r="C1306" s="2" t="s">
        <v>13</v>
      </c>
      <c r="D1306" s="2" t="s">
        <v>28</v>
      </c>
      <c r="E1306" s="2" t="s">
        <v>10</v>
      </c>
      <c r="F1306" s="5">
        <v>1459.49</v>
      </c>
    </row>
    <row r="1307" spans="1:6" ht="15.75" customHeight="1" x14ac:dyDescent="0.3">
      <c r="A1307" s="4" t="s">
        <v>113</v>
      </c>
      <c r="B1307" s="2" t="s">
        <v>30</v>
      </c>
      <c r="C1307" s="2" t="s">
        <v>13</v>
      </c>
      <c r="D1307" s="2" t="s">
        <v>14</v>
      </c>
      <c r="E1307" s="2" t="s">
        <v>15</v>
      </c>
      <c r="F1307" s="5">
        <v>4054.68</v>
      </c>
    </row>
    <row r="1308" spans="1:6" ht="15.75" customHeight="1" x14ac:dyDescent="0.3">
      <c r="A1308" s="4" t="s">
        <v>47</v>
      </c>
      <c r="B1308" s="2" t="s">
        <v>30</v>
      </c>
      <c r="C1308" s="2" t="s">
        <v>13</v>
      </c>
      <c r="D1308" s="2" t="s">
        <v>14</v>
      </c>
      <c r="E1308" s="2" t="s">
        <v>24</v>
      </c>
      <c r="F1308" s="5">
        <v>270.88</v>
      </c>
    </row>
    <row r="1309" spans="1:6" ht="15.75" customHeight="1" x14ac:dyDescent="0.3">
      <c r="A1309" s="4" t="s">
        <v>33</v>
      </c>
      <c r="B1309" s="2" t="s">
        <v>19</v>
      </c>
      <c r="C1309" s="2" t="s">
        <v>8</v>
      </c>
      <c r="D1309" s="2" t="s">
        <v>14</v>
      </c>
      <c r="E1309" s="2" t="s">
        <v>10</v>
      </c>
      <c r="F1309" s="5">
        <v>1234.77</v>
      </c>
    </row>
    <row r="1310" spans="1:6" ht="15.75" customHeight="1" x14ac:dyDescent="0.3">
      <c r="A1310" s="4" t="s">
        <v>6</v>
      </c>
      <c r="B1310" s="2" t="s">
        <v>7</v>
      </c>
      <c r="C1310" s="2" t="s">
        <v>23</v>
      </c>
      <c r="D1310" s="2" t="s">
        <v>14</v>
      </c>
      <c r="E1310" s="2" t="s">
        <v>15</v>
      </c>
      <c r="F1310" s="5">
        <v>4028.89</v>
      </c>
    </row>
    <row r="1311" spans="1:6" ht="15.75" customHeight="1" x14ac:dyDescent="0.3">
      <c r="A1311" s="4" t="s">
        <v>101</v>
      </c>
      <c r="B1311" s="2" t="s">
        <v>19</v>
      </c>
      <c r="C1311" s="2" t="s">
        <v>23</v>
      </c>
      <c r="D1311" s="2" t="s">
        <v>9</v>
      </c>
      <c r="E1311" s="2" t="s">
        <v>15</v>
      </c>
      <c r="F1311" s="5">
        <v>4303.8535135412376</v>
      </c>
    </row>
    <row r="1312" spans="1:6" ht="15.75" customHeight="1" x14ac:dyDescent="0.3">
      <c r="A1312" s="4" t="s">
        <v>173</v>
      </c>
      <c r="B1312" s="2" t="s">
        <v>30</v>
      </c>
      <c r="C1312" s="2" t="s">
        <v>34</v>
      </c>
      <c r="D1312" s="2" t="s">
        <v>14</v>
      </c>
      <c r="E1312" s="2" t="s">
        <v>24</v>
      </c>
      <c r="F1312" s="5">
        <v>2941.43</v>
      </c>
    </row>
    <row r="1313" spans="1:6" ht="15.75" customHeight="1" x14ac:dyDescent="0.3">
      <c r="A1313" s="4" t="s">
        <v>192</v>
      </c>
      <c r="B1313" s="2" t="s">
        <v>19</v>
      </c>
      <c r="C1313" s="2" t="s">
        <v>8</v>
      </c>
      <c r="D1313" s="2" t="s">
        <v>14</v>
      </c>
      <c r="E1313" s="2" t="s">
        <v>24</v>
      </c>
      <c r="F1313" s="5">
        <v>125.18</v>
      </c>
    </row>
    <row r="1314" spans="1:6" ht="15.75" customHeight="1" x14ac:dyDescent="0.3">
      <c r="A1314" s="4" t="s">
        <v>150</v>
      </c>
      <c r="B1314" s="2" t="s">
        <v>30</v>
      </c>
      <c r="C1314" s="2" t="s">
        <v>34</v>
      </c>
      <c r="D1314" s="2" t="s">
        <v>14</v>
      </c>
      <c r="E1314" s="2" t="s">
        <v>15</v>
      </c>
      <c r="F1314" s="5">
        <v>2302.58</v>
      </c>
    </row>
    <row r="1315" spans="1:6" ht="15.75" customHeight="1" x14ac:dyDescent="0.3">
      <c r="A1315" s="4" t="s">
        <v>177</v>
      </c>
      <c r="B1315" s="2" t="s">
        <v>7</v>
      </c>
      <c r="C1315" s="2" t="s">
        <v>23</v>
      </c>
      <c r="D1315" s="2" t="s">
        <v>14</v>
      </c>
      <c r="E1315" s="2" t="s">
        <v>10</v>
      </c>
      <c r="F1315" s="5">
        <v>365.22</v>
      </c>
    </row>
    <row r="1316" spans="1:6" ht="15.75" customHeight="1" x14ac:dyDescent="0.3">
      <c r="A1316" s="4" t="s">
        <v>131</v>
      </c>
      <c r="B1316" s="2" t="s">
        <v>17</v>
      </c>
      <c r="C1316" s="2" t="s">
        <v>34</v>
      </c>
      <c r="D1316" s="2" t="s">
        <v>28</v>
      </c>
      <c r="E1316" s="2" t="s">
        <v>24</v>
      </c>
      <c r="F1316" s="5">
        <v>93.15</v>
      </c>
    </row>
    <row r="1317" spans="1:6" ht="15.75" customHeight="1" x14ac:dyDescent="0.3">
      <c r="A1317" s="4" t="s">
        <v>170</v>
      </c>
      <c r="B1317" s="2" t="s">
        <v>12</v>
      </c>
      <c r="C1317" s="2" t="s">
        <v>13</v>
      </c>
      <c r="D1317" s="2" t="s">
        <v>28</v>
      </c>
      <c r="E1317" s="2" t="s">
        <v>15</v>
      </c>
      <c r="F1317" s="5">
        <v>807.86</v>
      </c>
    </row>
    <row r="1318" spans="1:6" ht="15.75" customHeight="1" x14ac:dyDescent="0.3">
      <c r="A1318" s="4" t="s">
        <v>203</v>
      </c>
      <c r="B1318" s="2" t="s">
        <v>12</v>
      </c>
      <c r="C1318" s="2" t="s">
        <v>8</v>
      </c>
      <c r="D1318" s="2" t="s">
        <v>28</v>
      </c>
      <c r="E1318" s="2" t="s">
        <v>24</v>
      </c>
      <c r="F1318" s="5">
        <v>3779.13</v>
      </c>
    </row>
    <row r="1319" spans="1:6" ht="15.75" customHeight="1" x14ac:dyDescent="0.3">
      <c r="A1319" s="4" t="s">
        <v>206</v>
      </c>
      <c r="B1319" s="2" t="s">
        <v>19</v>
      </c>
      <c r="C1319" s="2" t="s">
        <v>13</v>
      </c>
      <c r="D1319" s="2" t="s">
        <v>9</v>
      </c>
      <c r="E1319" s="2" t="s">
        <v>10</v>
      </c>
      <c r="F1319" s="5">
        <v>4998.3865495747596</v>
      </c>
    </row>
    <row r="1320" spans="1:6" ht="15.75" customHeight="1" x14ac:dyDescent="0.3">
      <c r="A1320" s="4" t="s">
        <v>16</v>
      </c>
      <c r="B1320" s="2" t="s">
        <v>17</v>
      </c>
      <c r="C1320" s="2" t="s">
        <v>34</v>
      </c>
      <c r="D1320" s="2" t="s">
        <v>14</v>
      </c>
      <c r="E1320" s="2" t="s">
        <v>24</v>
      </c>
      <c r="F1320" s="5">
        <v>2268.11</v>
      </c>
    </row>
    <row r="1321" spans="1:6" ht="15.75" customHeight="1" x14ac:dyDescent="0.3">
      <c r="A1321" s="4" t="s">
        <v>189</v>
      </c>
      <c r="B1321" s="2" t="s">
        <v>19</v>
      </c>
      <c r="C1321" s="2" t="s">
        <v>8</v>
      </c>
      <c r="D1321" s="2" t="s">
        <v>14</v>
      </c>
      <c r="E1321" s="2" t="s">
        <v>24</v>
      </c>
      <c r="F1321" s="5">
        <v>1247.71</v>
      </c>
    </row>
    <row r="1322" spans="1:6" ht="15.75" customHeight="1" x14ac:dyDescent="0.3">
      <c r="A1322" s="4" t="s">
        <v>138</v>
      </c>
      <c r="B1322" s="2" t="s">
        <v>12</v>
      </c>
      <c r="C1322" s="2" t="s">
        <v>34</v>
      </c>
      <c r="D1322" s="2" t="s">
        <v>28</v>
      </c>
      <c r="E1322" s="2" t="s">
        <v>24</v>
      </c>
      <c r="F1322" s="5">
        <v>2941.25</v>
      </c>
    </row>
    <row r="1323" spans="1:6" ht="15.75" customHeight="1" x14ac:dyDescent="0.3">
      <c r="A1323" s="4" t="s">
        <v>63</v>
      </c>
      <c r="B1323" s="2" t="s">
        <v>12</v>
      </c>
      <c r="C1323" s="2" t="s">
        <v>13</v>
      </c>
      <c r="D1323" s="2" t="s">
        <v>28</v>
      </c>
      <c r="E1323" s="2" t="s">
        <v>24</v>
      </c>
      <c r="F1323" s="5">
        <v>1210.07</v>
      </c>
    </row>
    <row r="1324" spans="1:6" ht="15.75" customHeight="1" x14ac:dyDescent="0.3">
      <c r="A1324" s="4" t="s">
        <v>25</v>
      </c>
      <c r="B1324" s="2" t="s">
        <v>19</v>
      </c>
      <c r="C1324" s="2" t="s">
        <v>34</v>
      </c>
      <c r="D1324" s="2" t="s">
        <v>28</v>
      </c>
      <c r="E1324" s="2" t="s">
        <v>15</v>
      </c>
      <c r="F1324" s="5">
        <v>4451</v>
      </c>
    </row>
    <row r="1325" spans="1:6" ht="15.75" customHeight="1" x14ac:dyDescent="0.3">
      <c r="A1325" s="4" t="s">
        <v>20</v>
      </c>
      <c r="B1325" s="2" t="s">
        <v>17</v>
      </c>
      <c r="C1325" s="2" t="s">
        <v>23</v>
      </c>
      <c r="D1325" s="2" t="s">
        <v>28</v>
      </c>
      <c r="E1325" s="2" t="s">
        <v>24</v>
      </c>
      <c r="F1325" s="5">
        <v>867.35</v>
      </c>
    </row>
    <row r="1326" spans="1:6" ht="15.75" customHeight="1" x14ac:dyDescent="0.3">
      <c r="A1326" s="4" t="s">
        <v>85</v>
      </c>
      <c r="B1326" s="2" t="s">
        <v>30</v>
      </c>
      <c r="C1326" s="2" t="s">
        <v>23</v>
      </c>
      <c r="D1326" s="2" t="s">
        <v>14</v>
      </c>
      <c r="E1326" s="2" t="s">
        <v>10</v>
      </c>
      <c r="F1326" s="5">
        <v>3856.1</v>
      </c>
    </row>
    <row r="1327" spans="1:6" ht="15.75" customHeight="1" x14ac:dyDescent="0.3">
      <c r="A1327" s="4" t="s">
        <v>29</v>
      </c>
      <c r="B1327" s="2" t="s">
        <v>30</v>
      </c>
      <c r="C1327" s="2" t="s">
        <v>34</v>
      </c>
      <c r="D1327" s="2" t="s">
        <v>28</v>
      </c>
      <c r="E1327" s="2" t="s">
        <v>10</v>
      </c>
      <c r="F1327" s="5">
        <v>1963.47</v>
      </c>
    </row>
    <row r="1328" spans="1:6" ht="15.75" customHeight="1" x14ac:dyDescent="0.3">
      <c r="A1328" s="4" t="s">
        <v>18</v>
      </c>
      <c r="B1328" s="2" t="s">
        <v>19</v>
      </c>
      <c r="C1328" s="2" t="s">
        <v>13</v>
      </c>
      <c r="D1328" s="2" t="s">
        <v>14</v>
      </c>
      <c r="E1328" s="2" t="s">
        <v>10</v>
      </c>
      <c r="F1328" s="5">
        <v>4776.8</v>
      </c>
    </row>
    <row r="1329" spans="1:6" ht="15.75" customHeight="1" x14ac:dyDescent="0.3">
      <c r="A1329" s="4" t="s">
        <v>150</v>
      </c>
      <c r="B1329" s="2" t="s">
        <v>30</v>
      </c>
      <c r="C1329" s="2" t="s">
        <v>23</v>
      </c>
      <c r="D1329" s="2" t="s">
        <v>14</v>
      </c>
      <c r="E1329" s="2" t="s">
        <v>24</v>
      </c>
      <c r="F1329" s="5">
        <v>1736.71</v>
      </c>
    </row>
    <row r="1330" spans="1:6" ht="15.75" customHeight="1" x14ac:dyDescent="0.3">
      <c r="A1330" s="4" t="s">
        <v>70</v>
      </c>
      <c r="B1330" s="2" t="s">
        <v>19</v>
      </c>
      <c r="C1330" s="2" t="s">
        <v>8</v>
      </c>
      <c r="D1330" s="2" t="s">
        <v>14</v>
      </c>
      <c r="E1330" s="2" t="s">
        <v>15</v>
      </c>
      <c r="F1330" s="5">
        <v>4367.4799999999996</v>
      </c>
    </row>
    <row r="1331" spans="1:6" ht="15.75" customHeight="1" x14ac:dyDescent="0.3">
      <c r="A1331" s="4" t="s">
        <v>143</v>
      </c>
      <c r="B1331" s="2" t="s">
        <v>17</v>
      </c>
      <c r="C1331" s="2" t="s">
        <v>23</v>
      </c>
      <c r="D1331" s="2" t="s">
        <v>28</v>
      </c>
      <c r="E1331" s="2" t="s">
        <v>15</v>
      </c>
      <c r="F1331" s="5">
        <v>700.15</v>
      </c>
    </row>
    <row r="1332" spans="1:6" ht="15.75" customHeight="1" x14ac:dyDescent="0.3">
      <c r="A1332" s="4" t="s">
        <v>151</v>
      </c>
      <c r="B1332" s="2" t="s">
        <v>12</v>
      </c>
      <c r="C1332" s="2" t="s">
        <v>34</v>
      </c>
      <c r="D1332" s="2" t="s">
        <v>28</v>
      </c>
      <c r="E1332" s="2" t="s">
        <v>15</v>
      </c>
      <c r="F1332" s="5">
        <v>4667.1400000000003</v>
      </c>
    </row>
    <row r="1333" spans="1:6" ht="15.75" customHeight="1" x14ac:dyDescent="0.3">
      <c r="A1333" s="4" t="s">
        <v>146</v>
      </c>
      <c r="B1333" s="2" t="s">
        <v>7</v>
      </c>
      <c r="C1333" s="2" t="s">
        <v>34</v>
      </c>
      <c r="D1333" s="2" t="s">
        <v>9</v>
      </c>
      <c r="E1333" s="2" t="s">
        <v>24</v>
      </c>
      <c r="F1333" s="5">
        <v>2262.426779918188</v>
      </c>
    </row>
    <row r="1334" spans="1:6" ht="15.75" customHeight="1" x14ac:dyDescent="0.3">
      <c r="A1334" s="4" t="s">
        <v>153</v>
      </c>
      <c r="B1334" s="2" t="s">
        <v>7</v>
      </c>
      <c r="C1334" s="2" t="s">
        <v>13</v>
      </c>
      <c r="D1334" s="2" t="s">
        <v>28</v>
      </c>
      <c r="E1334" s="2" t="s">
        <v>10</v>
      </c>
      <c r="F1334" s="5">
        <v>4898.1499999999996</v>
      </c>
    </row>
    <row r="1335" spans="1:6" ht="15.75" customHeight="1" x14ac:dyDescent="0.3">
      <c r="A1335" s="4" t="s">
        <v>208</v>
      </c>
      <c r="B1335" s="2" t="s">
        <v>19</v>
      </c>
      <c r="C1335" s="2" t="s">
        <v>13</v>
      </c>
      <c r="D1335" s="2" t="s">
        <v>14</v>
      </c>
      <c r="E1335" s="2" t="s">
        <v>15</v>
      </c>
      <c r="F1335" s="5">
        <v>2735.09</v>
      </c>
    </row>
    <row r="1336" spans="1:6" ht="15.75" customHeight="1" x14ac:dyDescent="0.3">
      <c r="A1336" s="4" t="s">
        <v>32</v>
      </c>
      <c r="B1336" s="2" t="s">
        <v>7</v>
      </c>
      <c r="C1336" s="2" t="s">
        <v>13</v>
      </c>
      <c r="D1336" s="2" t="s">
        <v>28</v>
      </c>
      <c r="E1336" s="2" t="s">
        <v>15</v>
      </c>
      <c r="F1336" s="5">
        <v>129.43</v>
      </c>
    </row>
    <row r="1337" spans="1:6" ht="15.75" customHeight="1" x14ac:dyDescent="0.3">
      <c r="A1337" s="4" t="s">
        <v>203</v>
      </c>
      <c r="B1337" s="2" t="s">
        <v>12</v>
      </c>
      <c r="C1337" s="2" t="s">
        <v>34</v>
      </c>
      <c r="D1337" s="2" t="s">
        <v>28</v>
      </c>
      <c r="E1337" s="2" t="s">
        <v>15</v>
      </c>
      <c r="F1337" s="5">
        <v>556.38</v>
      </c>
    </row>
    <row r="1338" spans="1:6" ht="15.75" customHeight="1" x14ac:dyDescent="0.3">
      <c r="A1338" s="4" t="s">
        <v>67</v>
      </c>
      <c r="B1338" s="2" t="s">
        <v>7</v>
      </c>
      <c r="C1338" s="2" t="s">
        <v>23</v>
      </c>
      <c r="D1338" s="2" t="s">
        <v>14</v>
      </c>
      <c r="E1338" s="2" t="s">
        <v>10</v>
      </c>
      <c r="F1338" s="5">
        <v>358.08</v>
      </c>
    </row>
    <row r="1339" spans="1:6" ht="15.75" customHeight="1" x14ac:dyDescent="0.3">
      <c r="A1339" s="4" t="s">
        <v>87</v>
      </c>
      <c r="B1339" s="2" t="s">
        <v>12</v>
      </c>
      <c r="C1339" s="2" t="s">
        <v>34</v>
      </c>
      <c r="D1339" s="2" t="s">
        <v>9</v>
      </c>
      <c r="E1339" s="2" t="s">
        <v>24</v>
      </c>
      <c r="F1339" s="5">
        <v>5236.8358757008327</v>
      </c>
    </row>
    <row r="1340" spans="1:6" ht="15.75" customHeight="1" x14ac:dyDescent="0.3">
      <c r="A1340" s="4" t="s">
        <v>210</v>
      </c>
      <c r="B1340" s="2" t="s">
        <v>7</v>
      </c>
      <c r="C1340" s="2" t="s">
        <v>34</v>
      </c>
      <c r="D1340" s="2" t="s">
        <v>28</v>
      </c>
      <c r="E1340" s="2" t="s">
        <v>24</v>
      </c>
      <c r="F1340" s="5">
        <v>2820.63</v>
      </c>
    </row>
    <row r="1341" spans="1:6" ht="15.75" customHeight="1" x14ac:dyDescent="0.3">
      <c r="A1341" s="4" t="s">
        <v>35</v>
      </c>
      <c r="B1341" s="2" t="s">
        <v>19</v>
      </c>
      <c r="C1341" s="2" t="s">
        <v>34</v>
      </c>
      <c r="D1341" s="2" t="s">
        <v>9</v>
      </c>
      <c r="E1341" s="2" t="s">
        <v>15</v>
      </c>
      <c r="F1341" s="5">
        <v>1652.630181582382</v>
      </c>
    </row>
    <row r="1342" spans="1:6" ht="15.75" customHeight="1" x14ac:dyDescent="0.3">
      <c r="A1342" s="4" t="s">
        <v>206</v>
      </c>
      <c r="B1342" s="2" t="s">
        <v>19</v>
      </c>
      <c r="C1342" s="2" t="s">
        <v>34</v>
      </c>
      <c r="D1342" s="2" t="s">
        <v>9</v>
      </c>
      <c r="E1342" s="2" t="s">
        <v>15</v>
      </c>
      <c r="F1342" s="5">
        <v>4298.4759346620049</v>
      </c>
    </row>
    <row r="1343" spans="1:6" ht="15.75" customHeight="1" x14ac:dyDescent="0.3">
      <c r="A1343" s="4" t="s">
        <v>169</v>
      </c>
      <c r="B1343" s="2" t="s">
        <v>12</v>
      </c>
      <c r="C1343" s="2" t="s">
        <v>34</v>
      </c>
      <c r="D1343" s="2" t="s">
        <v>14</v>
      </c>
      <c r="E1343" s="2" t="s">
        <v>10</v>
      </c>
      <c r="F1343" s="5">
        <v>2188.52</v>
      </c>
    </row>
    <row r="1344" spans="1:6" ht="15.75" customHeight="1" x14ac:dyDescent="0.3">
      <c r="A1344" s="4" t="s">
        <v>141</v>
      </c>
      <c r="B1344" s="2" t="s">
        <v>7</v>
      </c>
      <c r="C1344" s="2" t="s">
        <v>8</v>
      </c>
      <c r="D1344" s="2" t="s">
        <v>28</v>
      </c>
      <c r="E1344" s="2" t="s">
        <v>15</v>
      </c>
      <c r="F1344" s="5">
        <v>228.37</v>
      </c>
    </row>
    <row r="1345" spans="1:6" ht="15.75" customHeight="1" x14ac:dyDescent="0.3">
      <c r="A1345" s="4" t="s">
        <v>169</v>
      </c>
      <c r="B1345" s="2" t="s">
        <v>12</v>
      </c>
      <c r="C1345" s="2" t="s">
        <v>34</v>
      </c>
      <c r="D1345" s="2" t="s">
        <v>9</v>
      </c>
      <c r="E1345" s="2" t="s">
        <v>10</v>
      </c>
      <c r="F1345" s="5">
        <v>3425.06</v>
      </c>
    </row>
    <row r="1346" spans="1:6" ht="15.75" customHeight="1" x14ac:dyDescent="0.3">
      <c r="A1346" s="4" t="s">
        <v>140</v>
      </c>
      <c r="B1346" s="2" t="s">
        <v>17</v>
      </c>
      <c r="C1346" s="2" t="s">
        <v>34</v>
      </c>
      <c r="D1346" s="2" t="s">
        <v>28</v>
      </c>
      <c r="E1346" s="2" t="s">
        <v>24</v>
      </c>
      <c r="F1346" s="5">
        <v>3780.56</v>
      </c>
    </row>
    <row r="1347" spans="1:6" ht="15.75" customHeight="1" x14ac:dyDescent="0.3">
      <c r="A1347" s="4" t="s">
        <v>113</v>
      </c>
      <c r="B1347" s="2" t="s">
        <v>30</v>
      </c>
      <c r="C1347" s="2" t="s">
        <v>13</v>
      </c>
      <c r="D1347" s="2" t="s">
        <v>28</v>
      </c>
      <c r="E1347" s="2" t="s">
        <v>24</v>
      </c>
      <c r="F1347" s="5">
        <v>1026.45</v>
      </c>
    </row>
    <row r="1348" spans="1:6" ht="15.75" customHeight="1" x14ac:dyDescent="0.3">
      <c r="A1348" s="4" t="s">
        <v>73</v>
      </c>
      <c r="B1348" s="2" t="s">
        <v>30</v>
      </c>
      <c r="C1348" s="2" t="s">
        <v>8</v>
      </c>
      <c r="D1348" s="2" t="s">
        <v>9</v>
      </c>
      <c r="E1348" s="2" t="s">
        <v>15</v>
      </c>
      <c r="F1348" s="5">
        <v>1973.137098370162</v>
      </c>
    </row>
    <row r="1349" spans="1:6" ht="15.75" customHeight="1" x14ac:dyDescent="0.3">
      <c r="A1349" s="4" t="s">
        <v>203</v>
      </c>
      <c r="B1349" s="2" t="s">
        <v>12</v>
      </c>
      <c r="C1349" s="2" t="s">
        <v>13</v>
      </c>
      <c r="D1349" s="2" t="s">
        <v>9</v>
      </c>
      <c r="E1349" s="2" t="s">
        <v>15</v>
      </c>
      <c r="F1349" s="5">
        <v>3828.4128340070911</v>
      </c>
    </row>
    <row r="1350" spans="1:6" ht="15.75" customHeight="1" x14ac:dyDescent="0.3">
      <c r="A1350" s="4" t="s">
        <v>63</v>
      </c>
      <c r="B1350" s="2" t="s">
        <v>12</v>
      </c>
      <c r="C1350" s="2" t="s">
        <v>23</v>
      </c>
      <c r="D1350" s="2" t="s">
        <v>28</v>
      </c>
      <c r="E1350" s="2" t="s">
        <v>10</v>
      </c>
      <c r="F1350" s="5">
        <v>3883.26</v>
      </c>
    </row>
    <row r="1351" spans="1:6" ht="15.75" customHeight="1" x14ac:dyDescent="0.3">
      <c r="A1351" s="4" t="s">
        <v>77</v>
      </c>
      <c r="B1351" s="2" t="s">
        <v>30</v>
      </c>
      <c r="C1351" s="2" t="s">
        <v>8</v>
      </c>
      <c r="D1351" s="2" t="s">
        <v>9</v>
      </c>
      <c r="E1351" s="2" t="s">
        <v>15</v>
      </c>
      <c r="F1351" s="5">
        <v>4934.974339262274</v>
      </c>
    </row>
    <row r="1352" spans="1:6" ht="15.75" customHeight="1" x14ac:dyDescent="0.3">
      <c r="A1352" s="4" t="s">
        <v>20</v>
      </c>
      <c r="B1352" s="2" t="s">
        <v>17</v>
      </c>
      <c r="C1352" s="2" t="s">
        <v>13</v>
      </c>
      <c r="D1352" s="2" t="s">
        <v>14</v>
      </c>
      <c r="E1352" s="2" t="s">
        <v>24</v>
      </c>
      <c r="F1352" s="5">
        <v>336.58</v>
      </c>
    </row>
    <row r="1353" spans="1:6" ht="15.75" customHeight="1" x14ac:dyDescent="0.3">
      <c r="A1353" s="4" t="s">
        <v>174</v>
      </c>
      <c r="B1353" s="2" t="s">
        <v>19</v>
      </c>
      <c r="C1353" s="2" t="s">
        <v>13</v>
      </c>
      <c r="D1353" s="2" t="s">
        <v>28</v>
      </c>
      <c r="E1353" s="2" t="s">
        <v>10</v>
      </c>
      <c r="F1353" s="5">
        <v>3817.85</v>
      </c>
    </row>
    <row r="1354" spans="1:6" ht="15.75" customHeight="1" x14ac:dyDescent="0.3">
      <c r="A1354" s="4" t="s">
        <v>95</v>
      </c>
      <c r="B1354" s="2" t="s">
        <v>30</v>
      </c>
      <c r="C1354" s="2" t="s">
        <v>13</v>
      </c>
      <c r="D1354" s="2" t="s">
        <v>28</v>
      </c>
      <c r="E1354" s="2" t="s">
        <v>15</v>
      </c>
      <c r="F1354" s="5">
        <v>1089.25</v>
      </c>
    </row>
    <row r="1355" spans="1:6" ht="15.75" customHeight="1" x14ac:dyDescent="0.3">
      <c r="A1355" s="4" t="s">
        <v>68</v>
      </c>
      <c r="B1355" s="2" t="s">
        <v>12</v>
      </c>
      <c r="C1355" s="2" t="s">
        <v>23</v>
      </c>
      <c r="D1355" s="2" t="s">
        <v>9</v>
      </c>
      <c r="E1355" s="2" t="s">
        <v>10</v>
      </c>
      <c r="F1355" s="5">
        <v>316.07829403065881</v>
      </c>
    </row>
    <row r="1356" spans="1:6" ht="15.75" customHeight="1" x14ac:dyDescent="0.3">
      <c r="A1356" s="4" t="s">
        <v>55</v>
      </c>
      <c r="B1356" s="2" t="s">
        <v>12</v>
      </c>
      <c r="C1356" s="2" t="s">
        <v>13</v>
      </c>
      <c r="D1356" s="2" t="s">
        <v>14</v>
      </c>
      <c r="E1356" s="2" t="s">
        <v>15</v>
      </c>
      <c r="F1356" s="5">
        <v>2112.3200000000002</v>
      </c>
    </row>
    <row r="1357" spans="1:6" ht="15.75" customHeight="1" x14ac:dyDescent="0.3">
      <c r="A1357" s="4" t="s">
        <v>59</v>
      </c>
      <c r="B1357" s="2" t="s">
        <v>17</v>
      </c>
      <c r="C1357" s="2" t="s">
        <v>23</v>
      </c>
      <c r="D1357" s="2" t="s">
        <v>9</v>
      </c>
      <c r="E1357" s="2" t="s">
        <v>10</v>
      </c>
      <c r="F1357" s="5">
        <v>892.44</v>
      </c>
    </row>
    <row r="1358" spans="1:6" ht="15.75" customHeight="1" x14ac:dyDescent="0.3">
      <c r="A1358" s="4" t="s">
        <v>68</v>
      </c>
      <c r="B1358" s="2" t="s">
        <v>12</v>
      </c>
      <c r="C1358" s="2" t="s">
        <v>13</v>
      </c>
      <c r="D1358" s="2" t="s">
        <v>14</v>
      </c>
      <c r="E1358" s="2" t="s">
        <v>10</v>
      </c>
      <c r="F1358" s="5">
        <v>1569.2</v>
      </c>
    </row>
    <row r="1359" spans="1:6" ht="15.75" customHeight="1" x14ac:dyDescent="0.3">
      <c r="A1359" s="4" t="s">
        <v>139</v>
      </c>
      <c r="B1359" s="2" t="s">
        <v>7</v>
      </c>
      <c r="C1359" s="2" t="s">
        <v>34</v>
      </c>
      <c r="D1359" s="2" t="s">
        <v>9</v>
      </c>
      <c r="E1359" s="2" t="s">
        <v>15</v>
      </c>
      <c r="F1359" s="5">
        <v>1407.446723889007</v>
      </c>
    </row>
    <row r="1360" spans="1:6" ht="15.75" customHeight="1" x14ac:dyDescent="0.3">
      <c r="A1360" s="4" t="s">
        <v>84</v>
      </c>
      <c r="B1360" s="2" t="s">
        <v>30</v>
      </c>
      <c r="C1360" s="2" t="s">
        <v>13</v>
      </c>
      <c r="D1360" s="2" t="s">
        <v>9</v>
      </c>
      <c r="E1360" s="2" t="s">
        <v>24</v>
      </c>
      <c r="F1360" s="5">
        <v>4401.5937172808772</v>
      </c>
    </row>
    <row r="1361" spans="1:6" ht="15.75" customHeight="1" x14ac:dyDescent="0.3">
      <c r="A1361" s="4" t="s">
        <v>124</v>
      </c>
      <c r="B1361" s="2" t="s">
        <v>12</v>
      </c>
      <c r="C1361" s="2" t="s">
        <v>34</v>
      </c>
      <c r="D1361" s="2" t="s">
        <v>28</v>
      </c>
      <c r="E1361" s="2" t="s">
        <v>10</v>
      </c>
      <c r="F1361" s="5">
        <v>4331.4399999999996</v>
      </c>
    </row>
    <row r="1362" spans="1:6" ht="15.75" customHeight="1" x14ac:dyDescent="0.3">
      <c r="A1362" s="4" t="s">
        <v>139</v>
      </c>
      <c r="B1362" s="2" t="s">
        <v>7</v>
      </c>
      <c r="C1362" s="2" t="s">
        <v>23</v>
      </c>
      <c r="D1362" s="2" t="s">
        <v>14</v>
      </c>
      <c r="E1362" s="2" t="s">
        <v>15</v>
      </c>
      <c r="F1362" s="5">
        <v>191.28</v>
      </c>
    </row>
    <row r="1363" spans="1:6" ht="15.75" customHeight="1" x14ac:dyDescent="0.3">
      <c r="A1363" s="4" t="s">
        <v>72</v>
      </c>
      <c r="B1363" s="2" t="s">
        <v>19</v>
      </c>
      <c r="C1363" s="2" t="s">
        <v>8</v>
      </c>
      <c r="D1363" s="2" t="s">
        <v>14</v>
      </c>
      <c r="E1363" s="2" t="s">
        <v>10</v>
      </c>
      <c r="F1363" s="5">
        <v>3002.77</v>
      </c>
    </row>
    <row r="1364" spans="1:6" ht="15.75" customHeight="1" x14ac:dyDescent="0.3">
      <c r="A1364" s="4" t="s">
        <v>37</v>
      </c>
      <c r="B1364" s="2" t="s">
        <v>17</v>
      </c>
      <c r="C1364" s="2" t="s">
        <v>8</v>
      </c>
      <c r="D1364" s="2" t="s">
        <v>28</v>
      </c>
      <c r="E1364" s="2" t="s">
        <v>24</v>
      </c>
      <c r="F1364" s="5">
        <v>2511.59</v>
      </c>
    </row>
    <row r="1365" spans="1:6" ht="15.75" customHeight="1" x14ac:dyDescent="0.3">
      <c r="A1365" s="4" t="s">
        <v>94</v>
      </c>
      <c r="B1365" s="2" t="s">
        <v>7</v>
      </c>
      <c r="C1365" s="2" t="s">
        <v>23</v>
      </c>
      <c r="D1365" s="2" t="s">
        <v>9</v>
      </c>
      <c r="E1365" s="2" t="s">
        <v>15</v>
      </c>
      <c r="F1365" s="5">
        <v>2282.1801988985248</v>
      </c>
    </row>
    <row r="1366" spans="1:6" ht="15.75" customHeight="1" x14ac:dyDescent="0.3">
      <c r="A1366" s="4" t="s">
        <v>218</v>
      </c>
      <c r="B1366" s="2" t="s">
        <v>17</v>
      </c>
      <c r="C1366" s="2" t="s">
        <v>8</v>
      </c>
      <c r="D1366" s="2" t="s">
        <v>28</v>
      </c>
      <c r="E1366" s="2" t="s">
        <v>10</v>
      </c>
      <c r="F1366" s="5">
        <v>4726.1099999999997</v>
      </c>
    </row>
    <row r="1367" spans="1:6" ht="15.75" customHeight="1" x14ac:dyDescent="0.3">
      <c r="A1367" s="4" t="s">
        <v>103</v>
      </c>
      <c r="B1367" s="2" t="s">
        <v>19</v>
      </c>
      <c r="C1367" s="2" t="s">
        <v>13</v>
      </c>
      <c r="D1367" s="2" t="s">
        <v>14</v>
      </c>
      <c r="E1367" s="2" t="s">
        <v>24</v>
      </c>
      <c r="F1367" s="5">
        <v>252.05</v>
      </c>
    </row>
    <row r="1368" spans="1:6" ht="15.75" customHeight="1" x14ac:dyDescent="0.3">
      <c r="A1368" s="4" t="s">
        <v>95</v>
      </c>
      <c r="B1368" s="2" t="s">
        <v>30</v>
      </c>
      <c r="C1368" s="2" t="s">
        <v>23</v>
      </c>
      <c r="D1368" s="2" t="s">
        <v>28</v>
      </c>
      <c r="E1368" s="2" t="s">
        <v>24</v>
      </c>
      <c r="F1368" s="5">
        <v>3693.42</v>
      </c>
    </row>
    <row r="1369" spans="1:6" ht="15.75" customHeight="1" x14ac:dyDescent="0.3">
      <c r="A1369" s="4" t="s">
        <v>204</v>
      </c>
      <c r="B1369" s="2" t="s">
        <v>30</v>
      </c>
      <c r="C1369" s="2" t="s">
        <v>13</v>
      </c>
      <c r="D1369" s="2" t="s">
        <v>9</v>
      </c>
      <c r="E1369" s="2" t="s">
        <v>10</v>
      </c>
      <c r="F1369" s="5">
        <v>2670.529377462683</v>
      </c>
    </row>
    <row r="1370" spans="1:6" ht="15.75" customHeight="1" x14ac:dyDescent="0.3">
      <c r="A1370" s="4" t="s">
        <v>169</v>
      </c>
      <c r="B1370" s="2" t="s">
        <v>12</v>
      </c>
      <c r="C1370" s="2" t="s">
        <v>13</v>
      </c>
      <c r="D1370" s="2" t="s">
        <v>28</v>
      </c>
      <c r="E1370" s="2" t="s">
        <v>15</v>
      </c>
      <c r="F1370" s="5">
        <v>1186.4000000000001</v>
      </c>
    </row>
    <row r="1371" spans="1:6" ht="15.75" customHeight="1" x14ac:dyDescent="0.3">
      <c r="A1371" s="4" t="s">
        <v>52</v>
      </c>
      <c r="B1371" s="2" t="s">
        <v>19</v>
      </c>
      <c r="C1371" s="2" t="s">
        <v>23</v>
      </c>
      <c r="D1371" s="2" t="s">
        <v>9</v>
      </c>
      <c r="E1371" s="2" t="s">
        <v>10</v>
      </c>
      <c r="F1371" s="5">
        <v>1201.099580572959</v>
      </c>
    </row>
    <row r="1372" spans="1:6" ht="15.75" customHeight="1" x14ac:dyDescent="0.3">
      <c r="A1372" s="4" t="s">
        <v>203</v>
      </c>
      <c r="B1372" s="2" t="s">
        <v>12</v>
      </c>
      <c r="C1372" s="2" t="s">
        <v>8</v>
      </c>
      <c r="D1372" s="2" t="s">
        <v>9</v>
      </c>
      <c r="E1372" s="2" t="s">
        <v>10</v>
      </c>
      <c r="F1372" s="5">
        <v>1093.391795949613</v>
      </c>
    </row>
    <row r="1373" spans="1:6" ht="15.75" customHeight="1" x14ac:dyDescent="0.3">
      <c r="A1373" s="4" t="s">
        <v>217</v>
      </c>
      <c r="B1373" s="2" t="s">
        <v>19</v>
      </c>
      <c r="C1373" s="2" t="s">
        <v>13</v>
      </c>
      <c r="D1373" s="2" t="s">
        <v>14</v>
      </c>
      <c r="E1373" s="2" t="s">
        <v>24</v>
      </c>
      <c r="F1373" s="5">
        <v>4636.55</v>
      </c>
    </row>
    <row r="1374" spans="1:6" ht="15.75" customHeight="1" x14ac:dyDescent="0.3">
      <c r="A1374" s="4" t="s">
        <v>157</v>
      </c>
      <c r="B1374" s="2" t="s">
        <v>30</v>
      </c>
      <c r="C1374" s="2" t="s">
        <v>8</v>
      </c>
      <c r="D1374" s="2" t="s">
        <v>9</v>
      </c>
      <c r="E1374" s="2" t="s">
        <v>15</v>
      </c>
      <c r="F1374" s="5">
        <v>1840.5346778542059</v>
      </c>
    </row>
    <row r="1375" spans="1:6" ht="15.75" customHeight="1" x14ac:dyDescent="0.3">
      <c r="A1375" s="4" t="s">
        <v>217</v>
      </c>
      <c r="B1375" s="2" t="s">
        <v>19</v>
      </c>
      <c r="C1375" s="2" t="s">
        <v>23</v>
      </c>
      <c r="D1375" s="2" t="s">
        <v>14</v>
      </c>
      <c r="E1375" s="2" t="s">
        <v>15</v>
      </c>
      <c r="F1375" s="5">
        <v>1036.07</v>
      </c>
    </row>
    <row r="1376" spans="1:6" ht="15.75" customHeight="1" x14ac:dyDescent="0.3">
      <c r="A1376" s="4" t="s">
        <v>193</v>
      </c>
      <c r="B1376" s="2" t="s">
        <v>12</v>
      </c>
      <c r="C1376" s="2" t="s">
        <v>13</v>
      </c>
      <c r="D1376" s="2" t="s">
        <v>9</v>
      </c>
      <c r="E1376" s="2" t="s">
        <v>15</v>
      </c>
      <c r="F1376" s="5">
        <v>390.78143084966871</v>
      </c>
    </row>
    <row r="1377" spans="1:6" ht="15.75" customHeight="1" x14ac:dyDescent="0.3">
      <c r="A1377" s="4" t="s">
        <v>177</v>
      </c>
      <c r="B1377" s="2" t="s">
        <v>7</v>
      </c>
      <c r="C1377" s="2" t="s">
        <v>23</v>
      </c>
      <c r="D1377" s="2" t="s">
        <v>28</v>
      </c>
      <c r="E1377" s="2" t="s">
        <v>10</v>
      </c>
      <c r="F1377" s="5">
        <v>4126.71</v>
      </c>
    </row>
    <row r="1378" spans="1:6" ht="15.75" customHeight="1" x14ac:dyDescent="0.3">
      <c r="A1378" s="4" t="s">
        <v>96</v>
      </c>
      <c r="B1378" s="2" t="s">
        <v>19</v>
      </c>
      <c r="C1378" s="2" t="s">
        <v>23</v>
      </c>
      <c r="D1378" s="2" t="s">
        <v>28</v>
      </c>
      <c r="E1378" s="2" t="s">
        <v>10</v>
      </c>
      <c r="F1378" s="5">
        <v>4171.8100000000004</v>
      </c>
    </row>
    <row r="1379" spans="1:6" ht="15.75" customHeight="1" x14ac:dyDescent="0.3">
      <c r="A1379" s="4" t="s">
        <v>145</v>
      </c>
      <c r="B1379" s="2" t="s">
        <v>7</v>
      </c>
      <c r="C1379" s="2" t="s">
        <v>8</v>
      </c>
      <c r="D1379" s="2" t="s">
        <v>14</v>
      </c>
      <c r="E1379" s="2" t="s">
        <v>24</v>
      </c>
      <c r="F1379" s="5">
        <v>3571.47</v>
      </c>
    </row>
    <row r="1380" spans="1:6" ht="15.75" customHeight="1" x14ac:dyDescent="0.3">
      <c r="A1380" s="4" t="s">
        <v>154</v>
      </c>
      <c r="B1380" s="2" t="s">
        <v>12</v>
      </c>
      <c r="C1380" s="2" t="s">
        <v>34</v>
      </c>
      <c r="D1380" s="2" t="s">
        <v>28</v>
      </c>
      <c r="E1380" s="2" t="s">
        <v>10</v>
      </c>
      <c r="F1380" s="5">
        <v>1961.65</v>
      </c>
    </row>
    <row r="1381" spans="1:6" ht="15.75" customHeight="1" x14ac:dyDescent="0.3">
      <c r="A1381" s="4" t="s">
        <v>114</v>
      </c>
      <c r="B1381" s="2" t="s">
        <v>30</v>
      </c>
      <c r="C1381" s="2" t="s">
        <v>34</v>
      </c>
      <c r="D1381" s="2" t="s">
        <v>14</v>
      </c>
      <c r="E1381" s="2" t="s">
        <v>10</v>
      </c>
      <c r="F1381" s="5">
        <v>3905.64</v>
      </c>
    </row>
    <row r="1382" spans="1:6" ht="15.75" customHeight="1" x14ac:dyDescent="0.3">
      <c r="A1382" s="4" t="s">
        <v>173</v>
      </c>
      <c r="B1382" s="2" t="s">
        <v>30</v>
      </c>
      <c r="C1382" s="2" t="s">
        <v>13</v>
      </c>
      <c r="D1382" s="2" t="s">
        <v>9</v>
      </c>
      <c r="E1382" s="2" t="s">
        <v>15</v>
      </c>
      <c r="F1382" s="5">
        <v>2192.9713043942079</v>
      </c>
    </row>
    <row r="1383" spans="1:6" ht="15.75" customHeight="1" x14ac:dyDescent="0.3">
      <c r="A1383" s="4" t="s">
        <v>201</v>
      </c>
      <c r="B1383" s="2" t="s">
        <v>12</v>
      </c>
      <c r="C1383" s="2" t="s">
        <v>23</v>
      </c>
      <c r="D1383" s="2" t="s">
        <v>14</v>
      </c>
      <c r="E1383" s="2" t="s">
        <v>15</v>
      </c>
      <c r="F1383" s="5">
        <v>369.5</v>
      </c>
    </row>
    <row r="1384" spans="1:6" ht="15.75" customHeight="1" x14ac:dyDescent="0.3">
      <c r="A1384" s="4" t="s">
        <v>68</v>
      </c>
      <c r="B1384" s="2" t="s">
        <v>12</v>
      </c>
      <c r="C1384" s="2" t="s">
        <v>13</v>
      </c>
      <c r="D1384" s="2" t="s">
        <v>14</v>
      </c>
      <c r="E1384" s="2" t="s">
        <v>15</v>
      </c>
      <c r="F1384" s="5">
        <v>2277.1799999999998</v>
      </c>
    </row>
    <row r="1385" spans="1:6" ht="15.75" customHeight="1" x14ac:dyDescent="0.3">
      <c r="A1385" s="4" t="s">
        <v>166</v>
      </c>
      <c r="B1385" s="2" t="s">
        <v>7</v>
      </c>
      <c r="C1385" s="2" t="s">
        <v>8</v>
      </c>
      <c r="D1385" s="2" t="s">
        <v>14</v>
      </c>
      <c r="E1385" s="2" t="s">
        <v>10</v>
      </c>
      <c r="F1385" s="5">
        <v>4278.8900000000003</v>
      </c>
    </row>
    <row r="1386" spans="1:6" ht="15.75" customHeight="1" x14ac:dyDescent="0.3">
      <c r="A1386" s="4" t="s">
        <v>123</v>
      </c>
      <c r="B1386" s="2" t="s">
        <v>30</v>
      </c>
      <c r="C1386" s="2" t="s">
        <v>13</v>
      </c>
      <c r="D1386" s="2" t="s">
        <v>14</v>
      </c>
      <c r="E1386" s="2" t="s">
        <v>15</v>
      </c>
      <c r="F1386" s="5">
        <v>3665.62</v>
      </c>
    </row>
    <row r="1387" spans="1:6" ht="15.75" customHeight="1" x14ac:dyDescent="0.3">
      <c r="A1387" s="4" t="s">
        <v>192</v>
      </c>
      <c r="B1387" s="2" t="s">
        <v>19</v>
      </c>
      <c r="C1387" s="2" t="s">
        <v>13</v>
      </c>
      <c r="D1387" s="2" t="s">
        <v>9</v>
      </c>
      <c r="E1387" s="2" t="s">
        <v>15</v>
      </c>
      <c r="F1387" s="5">
        <v>4127.2296196760599</v>
      </c>
    </row>
    <row r="1388" spans="1:6" ht="15.75" customHeight="1" x14ac:dyDescent="0.3">
      <c r="A1388" s="4" t="s">
        <v>55</v>
      </c>
      <c r="B1388" s="2" t="s">
        <v>12</v>
      </c>
      <c r="C1388" s="2" t="s">
        <v>23</v>
      </c>
      <c r="D1388" s="2" t="s">
        <v>14</v>
      </c>
      <c r="E1388" s="2" t="s">
        <v>24</v>
      </c>
      <c r="F1388" s="5">
        <v>1251.29</v>
      </c>
    </row>
    <row r="1389" spans="1:6" ht="15.75" customHeight="1" x14ac:dyDescent="0.3">
      <c r="A1389" s="4" t="s">
        <v>207</v>
      </c>
      <c r="B1389" s="2" t="s">
        <v>17</v>
      </c>
      <c r="C1389" s="2" t="s">
        <v>13</v>
      </c>
      <c r="D1389" s="2" t="s">
        <v>28</v>
      </c>
      <c r="E1389" s="2" t="s">
        <v>15</v>
      </c>
      <c r="F1389" s="5">
        <v>3935.94</v>
      </c>
    </row>
    <row r="1390" spans="1:6" ht="15.75" customHeight="1" x14ac:dyDescent="0.3">
      <c r="A1390" s="4" t="s">
        <v>42</v>
      </c>
      <c r="B1390" s="2" t="s">
        <v>30</v>
      </c>
      <c r="C1390" s="2" t="s">
        <v>34</v>
      </c>
      <c r="D1390" s="2" t="s">
        <v>28</v>
      </c>
      <c r="E1390" s="2" t="s">
        <v>15</v>
      </c>
      <c r="F1390" s="5">
        <v>1012.81</v>
      </c>
    </row>
    <row r="1391" spans="1:6" ht="15.75" customHeight="1" x14ac:dyDescent="0.3">
      <c r="A1391" s="4" t="s">
        <v>205</v>
      </c>
      <c r="B1391" s="2" t="s">
        <v>17</v>
      </c>
      <c r="C1391" s="2" t="s">
        <v>23</v>
      </c>
      <c r="D1391" s="2" t="s">
        <v>28</v>
      </c>
      <c r="E1391" s="2" t="s">
        <v>15</v>
      </c>
      <c r="F1391" s="5">
        <v>817.03</v>
      </c>
    </row>
    <row r="1392" spans="1:6" ht="15.75" customHeight="1" x14ac:dyDescent="0.3">
      <c r="A1392" s="4" t="s">
        <v>170</v>
      </c>
      <c r="B1392" s="2" t="s">
        <v>12</v>
      </c>
      <c r="C1392" s="2" t="s">
        <v>13</v>
      </c>
      <c r="D1392" s="2" t="s">
        <v>28</v>
      </c>
      <c r="E1392" s="2" t="s">
        <v>15</v>
      </c>
      <c r="F1392" s="5">
        <v>4733.58</v>
      </c>
    </row>
    <row r="1393" spans="1:6" ht="15.75" customHeight="1" x14ac:dyDescent="0.3">
      <c r="A1393" s="4" t="s">
        <v>112</v>
      </c>
      <c r="B1393" s="2" t="s">
        <v>30</v>
      </c>
      <c r="C1393" s="2" t="s">
        <v>23</v>
      </c>
      <c r="D1393" s="2" t="s">
        <v>14</v>
      </c>
      <c r="E1393" s="2" t="s">
        <v>10</v>
      </c>
      <c r="F1393" s="5">
        <v>4851.63</v>
      </c>
    </row>
    <row r="1394" spans="1:6" ht="15.75" customHeight="1" x14ac:dyDescent="0.3">
      <c r="A1394" s="4" t="s">
        <v>173</v>
      </c>
      <c r="B1394" s="2" t="s">
        <v>30</v>
      </c>
      <c r="C1394" s="2" t="s">
        <v>34</v>
      </c>
      <c r="D1394" s="2" t="s">
        <v>28</v>
      </c>
      <c r="E1394" s="2" t="s">
        <v>10</v>
      </c>
      <c r="F1394" s="5">
        <v>2889.59</v>
      </c>
    </row>
    <row r="1395" spans="1:6" ht="15.75" customHeight="1" x14ac:dyDescent="0.3">
      <c r="A1395" s="4" t="s">
        <v>126</v>
      </c>
      <c r="B1395" s="2" t="s">
        <v>30</v>
      </c>
      <c r="C1395" s="2" t="s">
        <v>34</v>
      </c>
      <c r="D1395" s="2" t="s">
        <v>14</v>
      </c>
      <c r="E1395" s="2" t="s">
        <v>10</v>
      </c>
      <c r="F1395" s="5">
        <v>2545.79</v>
      </c>
    </row>
    <row r="1396" spans="1:6" ht="15.75" customHeight="1" x14ac:dyDescent="0.3">
      <c r="A1396" s="4" t="s">
        <v>206</v>
      </c>
      <c r="B1396" s="2" t="s">
        <v>19</v>
      </c>
      <c r="C1396" s="2" t="s">
        <v>23</v>
      </c>
      <c r="D1396" s="2" t="s">
        <v>9</v>
      </c>
      <c r="E1396" s="2" t="s">
        <v>24</v>
      </c>
      <c r="F1396" s="5">
        <v>3857.374411783203</v>
      </c>
    </row>
    <row r="1397" spans="1:6" ht="15.75" customHeight="1" x14ac:dyDescent="0.3">
      <c r="A1397" s="4" t="s">
        <v>29</v>
      </c>
      <c r="B1397" s="2" t="s">
        <v>30</v>
      </c>
      <c r="C1397" s="2" t="s">
        <v>8</v>
      </c>
      <c r="D1397" s="2" t="s">
        <v>9</v>
      </c>
      <c r="E1397" s="2" t="s">
        <v>10</v>
      </c>
      <c r="F1397" s="5">
        <v>1399.1880407177471</v>
      </c>
    </row>
    <row r="1398" spans="1:6" ht="15.75" customHeight="1" x14ac:dyDescent="0.3">
      <c r="A1398" s="4" t="s">
        <v>115</v>
      </c>
      <c r="B1398" s="2" t="s">
        <v>19</v>
      </c>
      <c r="C1398" s="2" t="s">
        <v>8</v>
      </c>
      <c r="D1398" s="2" t="s">
        <v>28</v>
      </c>
      <c r="E1398" s="2" t="s">
        <v>10</v>
      </c>
      <c r="F1398" s="5">
        <v>1563.76</v>
      </c>
    </row>
    <row r="1399" spans="1:6" ht="15.75" customHeight="1" x14ac:dyDescent="0.3">
      <c r="A1399" s="4" t="s">
        <v>218</v>
      </c>
      <c r="B1399" s="2" t="s">
        <v>17</v>
      </c>
      <c r="C1399" s="2" t="s">
        <v>13</v>
      </c>
      <c r="D1399" s="2" t="s">
        <v>14</v>
      </c>
      <c r="E1399" s="2" t="s">
        <v>10</v>
      </c>
      <c r="F1399" s="5">
        <v>2518.31</v>
      </c>
    </row>
    <row r="1400" spans="1:6" ht="15.75" customHeight="1" x14ac:dyDescent="0.3">
      <c r="A1400" s="4" t="s">
        <v>71</v>
      </c>
      <c r="B1400" s="2" t="s">
        <v>7</v>
      </c>
      <c r="C1400" s="2" t="s">
        <v>23</v>
      </c>
      <c r="D1400" s="2" t="s">
        <v>14</v>
      </c>
      <c r="E1400" s="2" t="s">
        <v>15</v>
      </c>
      <c r="F1400" s="5">
        <v>4134.78</v>
      </c>
    </row>
    <row r="1401" spans="1:6" ht="15.75" customHeight="1" x14ac:dyDescent="0.3">
      <c r="A1401" s="4" t="s">
        <v>178</v>
      </c>
      <c r="B1401" s="2" t="s">
        <v>30</v>
      </c>
      <c r="C1401" s="2" t="s">
        <v>8</v>
      </c>
      <c r="D1401" s="2" t="s">
        <v>28</v>
      </c>
      <c r="E1401" s="2" t="s">
        <v>10</v>
      </c>
      <c r="F1401" s="5">
        <v>2532.84</v>
      </c>
    </row>
    <row r="1402" spans="1:6" ht="15.75" customHeight="1" x14ac:dyDescent="0.3">
      <c r="A1402" s="4" t="s">
        <v>110</v>
      </c>
      <c r="B1402" s="2" t="s">
        <v>12</v>
      </c>
      <c r="C1402" s="2" t="s">
        <v>8</v>
      </c>
      <c r="D1402" s="2" t="s">
        <v>14</v>
      </c>
      <c r="E1402" s="2" t="s">
        <v>10</v>
      </c>
      <c r="F1402" s="5">
        <v>2192.7800000000002</v>
      </c>
    </row>
    <row r="1403" spans="1:6" ht="15.75" customHeight="1" x14ac:dyDescent="0.3">
      <c r="A1403" s="4" t="s">
        <v>168</v>
      </c>
      <c r="B1403" s="2" t="s">
        <v>17</v>
      </c>
      <c r="C1403" s="2" t="s">
        <v>23</v>
      </c>
      <c r="D1403" s="2" t="s">
        <v>28</v>
      </c>
      <c r="E1403" s="2" t="s">
        <v>24</v>
      </c>
      <c r="F1403" s="5">
        <v>2433.0700000000002</v>
      </c>
    </row>
    <row r="1404" spans="1:6" ht="15.75" customHeight="1" x14ac:dyDescent="0.3">
      <c r="A1404" s="4" t="s">
        <v>190</v>
      </c>
      <c r="B1404" s="2" t="s">
        <v>17</v>
      </c>
      <c r="C1404" s="2" t="s">
        <v>8</v>
      </c>
      <c r="D1404" s="2" t="s">
        <v>28</v>
      </c>
      <c r="E1404" s="2" t="s">
        <v>10</v>
      </c>
      <c r="F1404" s="5">
        <v>3760.84</v>
      </c>
    </row>
    <row r="1405" spans="1:6" ht="15.75" customHeight="1" x14ac:dyDescent="0.3">
      <c r="A1405" s="4" t="s">
        <v>64</v>
      </c>
      <c r="B1405" s="2" t="s">
        <v>30</v>
      </c>
      <c r="C1405" s="2" t="s">
        <v>8</v>
      </c>
      <c r="D1405" s="2" t="s">
        <v>9</v>
      </c>
      <c r="E1405" s="2" t="s">
        <v>10</v>
      </c>
      <c r="F1405" s="5">
        <v>3726.94</v>
      </c>
    </row>
    <row r="1406" spans="1:6" ht="15.75" customHeight="1" x14ac:dyDescent="0.3">
      <c r="A1406" s="4" t="s">
        <v>186</v>
      </c>
      <c r="B1406" s="2" t="s">
        <v>30</v>
      </c>
      <c r="C1406" s="2" t="s">
        <v>8</v>
      </c>
      <c r="D1406" s="2" t="s">
        <v>14</v>
      </c>
      <c r="E1406" s="2" t="s">
        <v>10</v>
      </c>
      <c r="F1406" s="5">
        <v>3670.96</v>
      </c>
    </row>
    <row r="1407" spans="1:6" ht="15.75" customHeight="1" x14ac:dyDescent="0.3">
      <c r="A1407" s="4" t="s">
        <v>97</v>
      </c>
      <c r="B1407" s="2" t="s">
        <v>7</v>
      </c>
      <c r="C1407" s="2" t="s">
        <v>13</v>
      </c>
      <c r="D1407" s="2" t="s">
        <v>9</v>
      </c>
      <c r="E1407" s="2" t="s">
        <v>10</v>
      </c>
      <c r="F1407" s="5">
        <v>1821.13</v>
      </c>
    </row>
    <row r="1408" spans="1:6" ht="15.75" customHeight="1" x14ac:dyDescent="0.3">
      <c r="A1408" s="4" t="s">
        <v>163</v>
      </c>
      <c r="B1408" s="2" t="s">
        <v>19</v>
      </c>
      <c r="C1408" s="2" t="s">
        <v>23</v>
      </c>
      <c r="D1408" s="2" t="s">
        <v>28</v>
      </c>
      <c r="E1408" s="2" t="s">
        <v>10</v>
      </c>
      <c r="F1408" s="5">
        <v>231.16</v>
      </c>
    </row>
    <row r="1409" spans="1:6" ht="15.75" customHeight="1" x14ac:dyDescent="0.3">
      <c r="A1409" s="4" t="s">
        <v>165</v>
      </c>
      <c r="B1409" s="2" t="s">
        <v>7</v>
      </c>
      <c r="C1409" s="2" t="s">
        <v>13</v>
      </c>
      <c r="D1409" s="2" t="s">
        <v>9</v>
      </c>
      <c r="E1409" s="2" t="s">
        <v>15</v>
      </c>
      <c r="F1409" s="5">
        <v>1503.886974354951</v>
      </c>
    </row>
    <row r="1410" spans="1:6" ht="15.75" customHeight="1" x14ac:dyDescent="0.3">
      <c r="A1410" s="4" t="s">
        <v>65</v>
      </c>
      <c r="B1410" s="2" t="s">
        <v>30</v>
      </c>
      <c r="C1410" s="2" t="s">
        <v>23</v>
      </c>
      <c r="D1410" s="2" t="s">
        <v>28</v>
      </c>
      <c r="E1410" s="2" t="s">
        <v>24</v>
      </c>
      <c r="F1410" s="5">
        <v>1448.62</v>
      </c>
    </row>
    <row r="1411" spans="1:6" ht="15.75" customHeight="1" x14ac:dyDescent="0.3">
      <c r="A1411" s="4" t="s">
        <v>95</v>
      </c>
      <c r="B1411" s="2" t="s">
        <v>30</v>
      </c>
      <c r="C1411" s="2" t="s">
        <v>13</v>
      </c>
      <c r="D1411" s="2" t="s">
        <v>14</v>
      </c>
      <c r="E1411" s="2" t="s">
        <v>10</v>
      </c>
      <c r="F1411" s="5">
        <v>3712.48</v>
      </c>
    </row>
    <row r="1412" spans="1:6" ht="15.75" customHeight="1" x14ac:dyDescent="0.3">
      <c r="A1412" s="4" t="s">
        <v>98</v>
      </c>
      <c r="B1412" s="2" t="s">
        <v>19</v>
      </c>
      <c r="C1412" s="2" t="s">
        <v>23</v>
      </c>
      <c r="D1412" s="2" t="s">
        <v>28</v>
      </c>
      <c r="E1412" s="2" t="s">
        <v>10</v>
      </c>
      <c r="F1412" s="5">
        <v>4843.3</v>
      </c>
    </row>
    <row r="1413" spans="1:6" ht="15.75" customHeight="1" x14ac:dyDescent="0.3">
      <c r="A1413" s="4" t="s">
        <v>137</v>
      </c>
      <c r="B1413" s="2" t="s">
        <v>17</v>
      </c>
      <c r="C1413" s="2" t="s">
        <v>23</v>
      </c>
      <c r="D1413" s="2" t="s">
        <v>14</v>
      </c>
      <c r="E1413" s="2" t="s">
        <v>15</v>
      </c>
      <c r="F1413" s="5">
        <v>2038.87</v>
      </c>
    </row>
    <row r="1414" spans="1:6" ht="15.75" customHeight="1" x14ac:dyDescent="0.3">
      <c r="A1414" s="4" t="s">
        <v>218</v>
      </c>
      <c r="B1414" s="2" t="s">
        <v>17</v>
      </c>
      <c r="C1414" s="2" t="s">
        <v>8</v>
      </c>
      <c r="D1414" s="2" t="s">
        <v>28</v>
      </c>
      <c r="E1414" s="2" t="s">
        <v>24</v>
      </c>
      <c r="F1414" s="5">
        <v>501.53</v>
      </c>
    </row>
    <row r="1415" spans="1:6" ht="15.75" customHeight="1" x14ac:dyDescent="0.3">
      <c r="A1415" s="4" t="s">
        <v>141</v>
      </c>
      <c r="B1415" s="2" t="s">
        <v>7</v>
      </c>
      <c r="C1415" s="2" t="s">
        <v>34</v>
      </c>
      <c r="D1415" s="2" t="s">
        <v>14</v>
      </c>
      <c r="E1415" s="2" t="s">
        <v>24</v>
      </c>
      <c r="F1415" s="5">
        <v>2494.41</v>
      </c>
    </row>
    <row r="1416" spans="1:6" ht="15.75" customHeight="1" x14ac:dyDescent="0.3">
      <c r="A1416" s="4" t="s">
        <v>79</v>
      </c>
      <c r="B1416" s="2" t="s">
        <v>17</v>
      </c>
      <c r="C1416" s="2" t="s">
        <v>8</v>
      </c>
      <c r="D1416" s="2" t="s">
        <v>14</v>
      </c>
      <c r="E1416" s="2" t="s">
        <v>24</v>
      </c>
      <c r="F1416" s="5">
        <v>3410.79</v>
      </c>
    </row>
    <row r="1417" spans="1:6" ht="15.75" customHeight="1" x14ac:dyDescent="0.3">
      <c r="A1417" s="4" t="s">
        <v>89</v>
      </c>
      <c r="B1417" s="2" t="s">
        <v>17</v>
      </c>
      <c r="C1417" s="2" t="s">
        <v>8</v>
      </c>
      <c r="D1417" s="2" t="s">
        <v>9</v>
      </c>
      <c r="E1417" s="2" t="s">
        <v>15</v>
      </c>
      <c r="F1417" s="5">
        <v>4596.0482235730242</v>
      </c>
    </row>
    <row r="1418" spans="1:6" ht="15.75" customHeight="1" x14ac:dyDescent="0.3">
      <c r="A1418" s="4" t="s">
        <v>160</v>
      </c>
      <c r="B1418" s="2" t="s">
        <v>30</v>
      </c>
      <c r="C1418" s="2" t="s">
        <v>8</v>
      </c>
      <c r="D1418" s="2" t="s">
        <v>28</v>
      </c>
      <c r="E1418" s="2" t="s">
        <v>24</v>
      </c>
      <c r="F1418" s="5">
        <v>2175.48</v>
      </c>
    </row>
    <row r="1419" spans="1:6" ht="15.75" customHeight="1" x14ac:dyDescent="0.3">
      <c r="A1419" s="4" t="s">
        <v>173</v>
      </c>
      <c r="B1419" s="2" t="s">
        <v>30</v>
      </c>
      <c r="C1419" s="2" t="s">
        <v>8</v>
      </c>
      <c r="D1419" s="2" t="s">
        <v>28</v>
      </c>
      <c r="E1419" s="2" t="s">
        <v>10</v>
      </c>
      <c r="F1419" s="5">
        <v>4410.9799999999996</v>
      </c>
    </row>
    <row r="1420" spans="1:6" ht="15.75" customHeight="1" x14ac:dyDescent="0.3">
      <c r="A1420" s="4" t="s">
        <v>67</v>
      </c>
      <c r="B1420" s="2" t="s">
        <v>7</v>
      </c>
      <c r="C1420" s="2" t="s">
        <v>8</v>
      </c>
      <c r="D1420" s="2" t="s">
        <v>9</v>
      </c>
      <c r="E1420" s="2" t="s">
        <v>15</v>
      </c>
      <c r="F1420" s="5">
        <v>4785.2299999999996</v>
      </c>
    </row>
    <row r="1421" spans="1:6" ht="15.75" customHeight="1" x14ac:dyDescent="0.3">
      <c r="A1421" s="4" t="s">
        <v>45</v>
      </c>
      <c r="B1421" s="2" t="s">
        <v>7</v>
      </c>
      <c r="C1421" s="2" t="s">
        <v>23</v>
      </c>
      <c r="D1421" s="2" t="s">
        <v>28</v>
      </c>
      <c r="E1421" s="2" t="s">
        <v>15</v>
      </c>
      <c r="F1421" s="5">
        <v>3604.55</v>
      </c>
    </row>
    <row r="1422" spans="1:6" ht="15.75" customHeight="1" x14ac:dyDescent="0.3">
      <c r="A1422" s="4" t="s">
        <v>109</v>
      </c>
      <c r="B1422" s="2" t="s">
        <v>12</v>
      </c>
      <c r="C1422" s="2" t="s">
        <v>13</v>
      </c>
      <c r="D1422" s="2" t="s">
        <v>28</v>
      </c>
      <c r="E1422" s="2" t="s">
        <v>15</v>
      </c>
      <c r="F1422" s="5">
        <v>3470.96</v>
      </c>
    </row>
    <row r="1423" spans="1:6" ht="15.75" customHeight="1" x14ac:dyDescent="0.3">
      <c r="A1423" s="4" t="s">
        <v>112</v>
      </c>
      <c r="B1423" s="2" t="s">
        <v>30</v>
      </c>
      <c r="C1423" s="2" t="s">
        <v>23</v>
      </c>
      <c r="D1423" s="2" t="s">
        <v>14</v>
      </c>
      <c r="E1423" s="2" t="s">
        <v>10</v>
      </c>
      <c r="F1423" s="5">
        <v>3506.46</v>
      </c>
    </row>
    <row r="1424" spans="1:6" ht="15.75" customHeight="1" x14ac:dyDescent="0.3">
      <c r="A1424" s="4" t="s">
        <v>175</v>
      </c>
      <c r="B1424" s="2" t="s">
        <v>7</v>
      </c>
      <c r="C1424" s="2" t="s">
        <v>13</v>
      </c>
      <c r="D1424" s="2" t="s">
        <v>9</v>
      </c>
      <c r="E1424" s="2" t="s">
        <v>24</v>
      </c>
      <c r="F1424" s="5">
        <v>2058.1298220401259</v>
      </c>
    </row>
    <row r="1425" spans="1:6" ht="15.75" customHeight="1" x14ac:dyDescent="0.3">
      <c r="A1425" s="4" t="s">
        <v>94</v>
      </c>
      <c r="B1425" s="2" t="s">
        <v>7</v>
      </c>
      <c r="C1425" s="2" t="s">
        <v>34</v>
      </c>
      <c r="D1425" s="2" t="s">
        <v>28</v>
      </c>
      <c r="E1425" s="2" t="s">
        <v>24</v>
      </c>
      <c r="F1425" s="5">
        <v>1643.92</v>
      </c>
    </row>
    <row r="1426" spans="1:6" ht="15.75" customHeight="1" x14ac:dyDescent="0.3">
      <c r="A1426" s="4" t="s">
        <v>217</v>
      </c>
      <c r="B1426" s="2" t="s">
        <v>19</v>
      </c>
      <c r="C1426" s="2" t="s">
        <v>23</v>
      </c>
      <c r="D1426" s="2" t="s">
        <v>28</v>
      </c>
      <c r="E1426" s="2" t="s">
        <v>10</v>
      </c>
      <c r="F1426" s="5">
        <v>2080.0300000000002</v>
      </c>
    </row>
    <row r="1427" spans="1:6" ht="15.75" customHeight="1" x14ac:dyDescent="0.3">
      <c r="A1427" s="4" t="s">
        <v>211</v>
      </c>
      <c r="B1427" s="2" t="s">
        <v>7</v>
      </c>
      <c r="C1427" s="2" t="s">
        <v>8</v>
      </c>
      <c r="D1427" s="2" t="s">
        <v>14</v>
      </c>
      <c r="E1427" s="2" t="s">
        <v>24</v>
      </c>
      <c r="F1427" s="5">
        <v>2465.4499999999998</v>
      </c>
    </row>
    <row r="1428" spans="1:6" ht="15.75" customHeight="1" x14ac:dyDescent="0.3">
      <c r="A1428" s="4" t="s">
        <v>80</v>
      </c>
      <c r="B1428" s="2" t="s">
        <v>17</v>
      </c>
      <c r="C1428" s="2" t="s">
        <v>13</v>
      </c>
      <c r="D1428" s="2" t="s">
        <v>14</v>
      </c>
      <c r="E1428" s="2" t="s">
        <v>24</v>
      </c>
      <c r="F1428" s="5">
        <v>2931.16</v>
      </c>
    </row>
    <row r="1429" spans="1:6" ht="15.75" customHeight="1" x14ac:dyDescent="0.3">
      <c r="A1429" s="4" t="s">
        <v>117</v>
      </c>
      <c r="B1429" s="2" t="s">
        <v>7</v>
      </c>
      <c r="C1429" s="2" t="s">
        <v>23</v>
      </c>
      <c r="D1429" s="2" t="s">
        <v>28</v>
      </c>
      <c r="E1429" s="2" t="s">
        <v>24</v>
      </c>
      <c r="F1429" s="5">
        <v>1925.79</v>
      </c>
    </row>
    <row r="1430" spans="1:6" ht="15.75" customHeight="1" x14ac:dyDescent="0.3">
      <c r="A1430" s="4" t="s">
        <v>86</v>
      </c>
      <c r="B1430" s="2" t="s">
        <v>19</v>
      </c>
      <c r="C1430" s="2" t="s">
        <v>8</v>
      </c>
      <c r="D1430" s="2" t="s">
        <v>14</v>
      </c>
      <c r="E1430" s="2" t="s">
        <v>24</v>
      </c>
      <c r="F1430" s="5">
        <v>1331.9</v>
      </c>
    </row>
    <row r="1431" spans="1:6" ht="15.75" customHeight="1" x14ac:dyDescent="0.3">
      <c r="A1431" s="4" t="s">
        <v>18</v>
      </c>
      <c r="B1431" s="2" t="s">
        <v>19</v>
      </c>
      <c r="C1431" s="2" t="s">
        <v>8</v>
      </c>
      <c r="D1431" s="2" t="s">
        <v>9</v>
      </c>
      <c r="E1431" s="2" t="s">
        <v>15</v>
      </c>
      <c r="F1431" s="5">
        <v>3932.2339571110738</v>
      </c>
    </row>
    <row r="1432" spans="1:6" ht="15.75" customHeight="1" x14ac:dyDescent="0.3">
      <c r="A1432" s="4" t="s">
        <v>18</v>
      </c>
      <c r="B1432" s="2" t="s">
        <v>19</v>
      </c>
      <c r="C1432" s="2" t="s">
        <v>13</v>
      </c>
      <c r="D1432" s="2" t="s">
        <v>28</v>
      </c>
      <c r="E1432" s="2" t="s">
        <v>24</v>
      </c>
      <c r="F1432" s="5">
        <v>1414.52</v>
      </c>
    </row>
    <row r="1433" spans="1:6" ht="15.75" customHeight="1" x14ac:dyDescent="0.3">
      <c r="A1433" s="4" t="s">
        <v>36</v>
      </c>
      <c r="B1433" s="2" t="s">
        <v>12</v>
      </c>
      <c r="C1433" s="2" t="s">
        <v>13</v>
      </c>
      <c r="D1433" s="2" t="s">
        <v>9</v>
      </c>
      <c r="E1433" s="2" t="s">
        <v>24</v>
      </c>
      <c r="F1433" s="5">
        <v>3472.6851879529659</v>
      </c>
    </row>
    <row r="1434" spans="1:6" ht="15.75" customHeight="1" x14ac:dyDescent="0.3">
      <c r="A1434" s="4" t="s">
        <v>180</v>
      </c>
      <c r="B1434" s="2" t="s">
        <v>30</v>
      </c>
      <c r="C1434" s="2" t="s">
        <v>34</v>
      </c>
      <c r="D1434" s="2" t="s">
        <v>28</v>
      </c>
      <c r="E1434" s="2" t="s">
        <v>24</v>
      </c>
      <c r="F1434" s="5">
        <v>1357.85</v>
      </c>
    </row>
    <row r="1435" spans="1:6" ht="15.75" customHeight="1" x14ac:dyDescent="0.3">
      <c r="A1435" s="4" t="s">
        <v>114</v>
      </c>
      <c r="B1435" s="2" t="s">
        <v>30</v>
      </c>
      <c r="C1435" s="2" t="s">
        <v>8</v>
      </c>
      <c r="D1435" s="2" t="s">
        <v>28</v>
      </c>
      <c r="E1435" s="2" t="s">
        <v>10</v>
      </c>
      <c r="F1435" s="5">
        <v>347.5</v>
      </c>
    </row>
    <row r="1436" spans="1:6" ht="15.75" customHeight="1" x14ac:dyDescent="0.3">
      <c r="A1436" s="4" t="s">
        <v>214</v>
      </c>
      <c r="B1436" s="2" t="s">
        <v>30</v>
      </c>
      <c r="C1436" s="2" t="s">
        <v>13</v>
      </c>
      <c r="D1436" s="2" t="s">
        <v>9</v>
      </c>
      <c r="E1436" s="2" t="s">
        <v>24</v>
      </c>
      <c r="F1436" s="5">
        <v>4534.2319144452822</v>
      </c>
    </row>
    <row r="1437" spans="1:6" ht="15.75" customHeight="1" x14ac:dyDescent="0.3">
      <c r="A1437" s="4" t="s">
        <v>173</v>
      </c>
      <c r="B1437" s="2" t="s">
        <v>30</v>
      </c>
      <c r="C1437" s="2" t="s">
        <v>34</v>
      </c>
      <c r="D1437" s="2" t="s">
        <v>14</v>
      </c>
      <c r="E1437" s="2" t="s">
        <v>10</v>
      </c>
      <c r="F1437" s="5">
        <v>3600.52</v>
      </c>
    </row>
    <row r="1438" spans="1:6" ht="15.75" customHeight="1" x14ac:dyDescent="0.3">
      <c r="A1438" s="4" t="s">
        <v>192</v>
      </c>
      <c r="B1438" s="2" t="s">
        <v>19</v>
      </c>
      <c r="C1438" s="2" t="s">
        <v>34</v>
      </c>
      <c r="D1438" s="2" t="s">
        <v>28</v>
      </c>
      <c r="E1438" s="2" t="s">
        <v>24</v>
      </c>
      <c r="F1438" s="5">
        <v>4875.1000000000004</v>
      </c>
    </row>
    <row r="1439" spans="1:6" ht="15.75" customHeight="1" x14ac:dyDescent="0.3">
      <c r="A1439" s="4" t="s">
        <v>104</v>
      </c>
      <c r="B1439" s="2" t="s">
        <v>17</v>
      </c>
      <c r="C1439" s="2" t="s">
        <v>8</v>
      </c>
      <c r="D1439" s="2" t="s">
        <v>9</v>
      </c>
      <c r="E1439" s="2" t="s">
        <v>10</v>
      </c>
      <c r="F1439" s="5">
        <v>1708.84</v>
      </c>
    </row>
    <row r="1440" spans="1:6" ht="15.75" customHeight="1" x14ac:dyDescent="0.3">
      <c r="A1440" s="4" t="s">
        <v>132</v>
      </c>
      <c r="B1440" s="2" t="s">
        <v>19</v>
      </c>
      <c r="C1440" s="2" t="s">
        <v>34</v>
      </c>
      <c r="D1440" s="2" t="s">
        <v>28</v>
      </c>
      <c r="E1440" s="2" t="s">
        <v>10</v>
      </c>
      <c r="F1440" s="5">
        <v>126.6</v>
      </c>
    </row>
    <row r="1441" spans="1:6" ht="15.75" customHeight="1" x14ac:dyDescent="0.3">
      <c r="A1441" s="4" t="s">
        <v>64</v>
      </c>
      <c r="B1441" s="2" t="s">
        <v>30</v>
      </c>
      <c r="C1441" s="2" t="s">
        <v>23</v>
      </c>
      <c r="D1441" s="2" t="s">
        <v>28</v>
      </c>
      <c r="E1441" s="2" t="s">
        <v>24</v>
      </c>
      <c r="F1441" s="5">
        <v>1749.03</v>
      </c>
    </row>
    <row r="1442" spans="1:6" ht="15.75" customHeight="1" x14ac:dyDescent="0.3">
      <c r="A1442" s="4" t="s">
        <v>61</v>
      </c>
      <c r="B1442" s="2" t="s">
        <v>30</v>
      </c>
      <c r="C1442" s="2" t="s">
        <v>8</v>
      </c>
      <c r="D1442" s="2" t="s">
        <v>9</v>
      </c>
      <c r="E1442" s="2" t="s">
        <v>24</v>
      </c>
      <c r="F1442" s="5">
        <v>2617.5188037162729</v>
      </c>
    </row>
    <row r="1443" spans="1:6" ht="15.75" customHeight="1" x14ac:dyDescent="0.3">
      <c r="A1443" s="4" t="s">
        <v>78</v>
      </c>
      <c r="B1443" s="2" t="s">
        <v>7</v>
      </c>
      <c r="C1443" s="2" t="s">
        <v>13</v>
      </c>
      <c r="D1443" s="2" t="s">
        <v>9</v>
      </c>
      <c r="E1443" s="2" t="s">
        <v>10</v>
      </c>
      <c r="F1443" s="5">
        <v>351.56</v>
      </c>
    </row>
    <row r="1444" spans="1:6" ht="15.75" customHeight="1" x14ac:dyDescent="0.3">
      <c r="A1444" s="4" t="s">
        <v>196</v>
      </c>
      <c r="B1444" s="2" t="s">
        <v>30</v>
      </c>
      <c r="C1444" s="2" t="s">
        <v>34</v>
      </c>
      <c r="D1444" s="2" t="s">
        <v>28</v>
      </c>
      <c r="E1444" s="2" t="s">
        <v>10</v>
      </c>
      <c r="F1444" s="5">
        <v>1743.41</v>
      </c>
    </row>
    <row r="1445" spans="1:6" ht="15.75" customHeight="1" x14ac:dyDescent="0.3">
      <c r="A1445" s="4" t="s">
        <v>68</v>
      </c>
      <c r="B1445" s="2" t="s">
        <v>12</v>
      </c>
      <c r="C1445" s="2" t="s">
        <v>34</v>
      </c>
      <c r="D1445" s="2" t="s">
        <v>9</v>
      </c>
      <c r="E1445" s="2" t="s">
        <v>24</v>
      </c>
      <c r="F1445" s="5">
        <v>4857.872388392585</v>
      </c>
    </row>
    <row r="1446" spans="1:6" ht="15.75" customHeight="1" x14ac:dyDescent="0.3">
      <c r="A1446" s="4" t="s">
        <v>184</v>
      </c>
      <c r="B1446" s="2" t="s">
        <v>30</v>
      </c>
      <c r="C1446" s="2" t="s">
        <v>34</v>
      </c>
      <c r="D1446" s="2" t="s">
        <v>14</v>
      </c>
      <c r="E1446" s="2" t="s">
        <v>24</v>
      </c>
      <c r="F1446" s="5">
        <v>2816.93</v>
      </c>
    </row>
    <row r="1447" spans="1:6" ht="15.75" customHeight="1" x14ac:dyDescent="0.3">
      <c r="A1447" s="4" t="s">
        <v>48</v>
      </c>
      <c r="B1447" s="2" t="s">
        <v>19</v>
      </c>
      <c r="C1447" s="2" t="s">
        <v>13</v>
      </c>
      <c r="D1447" s="2" t="s">
        <v>14</v>
      </c>
      <c r="E1447" s="2" t="s">
        <v>15</v>
      </c>
      <c r="F1447" s="5">
        <v>2641.98</v>
      </c>
    </row>
    <row r="1448" spans="1:6" ht="15.75" customHeight="1" x14ac:dyDescent="0.3">
      <c r="A1448" s="4" t="s">
        <v>127</v>
      </c>
      <c r="B1448" s="2" t="s">
        <v>17</v>
      </c>
      <c r="C1448" s="2" t="s">
        <v>34</v>
      </c>
      <c r="D1448" s="2" t="s">
        <v>14</v>
      </c>
      <c r="E1448" s="2" t="s">
        <v>15</v>
      </c>
      <c r="F1448" s="5">
        <v>2924.31</v>
      </c>
    </row>
    <row r="1449" spans="1:6" ht="15.75" customHeight="1" x14ac:dyDescent="0.3">
      <c r="A1449" s="4" t="s">
        <v>112</v>
      </c>
      <c r="B1449" s="2" t="s">
        <v>30</v>
      </c>
      <c r="C1449" s="2" t="s">
        <v>13</v>
      </c>
      <c r="D1449" s="2" t="s">
        <v>9</v>
      </c>
      <c r="E1449" s="2" t="s">
        <v>15</v>
      </c>
      <c r="F1449" s="5">
        <v>2885.0903607914911</v>
      </c>
    </row>
    <row r="1450" spans="1:6" ht="15.75" customHeight="1" x14ac:dyDescent="0.3">
      <c r="A1450" s="4" t="s">
        <v>215</v>
      </c>
      <c r="B1450" s="2" t="s">
        <v>17</v>
      </c>
      <c r="C1450" s="2" t="s">
        <v>34</v>
      </c>
      <c r="D1450" s="2" t="s">
        <v>28</v>
      </c>
      <c r="E1450" s="2" t="s">
        <v>24</v>
      </c>
      <c r="F1450" s="5">
        <v>4563.34</v>
      </c>
    </row>
    <row r="1451" spans="1:6" ht="15.75" customHeight="1" x14ac:dyDescent="0.3">
      <c r="A1451" s="4" t="s">
        <v>61</v>
      </c>
      <c r="B1451" s="2" t="s">
        <v>30</v>
      </c>
      <c r="C1451" s="2" t="s">
        <v>8</v>
      </c>
      <c r="D1451" s="2" t="s">
        <v>14</v>
      </c>
      <c r="E1451" s="2" t="s">
        <v>15</v>
      </c>
      <c r="F1451" s="5">
        <v>3703.75</v>
      </c>
    </row>
    <row r="1452" spans="1:6" ht="15.75" customHeight="1" x14ac:dyDescent="0.3">
      <c r="A1452" s="4" t="s">
        <v>152</v>
      </c>
      <c r="B1452" s="2" t="s">
        <v>30</v>
      </c>
      <c r="C1452" s="2" t="s">
        <v>13</v>
      </c>
      <c r="D1452" s="2" t="s">
        <v>28</v>
      </c>
      <c r="E1452" s="2" t="s">
        <v>10</v>
      </c>
      <c r="F1452" s="5">
        <v>3328.72</v>
      </c>
    </row>
    <row r="1453" spans="1:6" ht="15.75" customHeight="1" x14ac:dyDescent="0.3">
      <c r="A1453" s="4" t="s">
        <v>156</v>
      </c>
      <c r="B1453" s="2" t="s">
        <v>17</v>
      </c>
      <c r="C1453" s="2" t="s">
        <v>23</v>
      </c>
      <c r="D1453" s="2" t="s">
        <v>28</v>
      </c>
      <c r="E1453" s="2" t="s">
        <v>10</v>
      </c>
      <c r="F1453" s="5">
        <v>4650.1400000000003</v>
      </c>
    </row>
    <row r="1454" spans="1:6" ht="15.75" customHeight="1" x14ac:dyDescent="0.3">
      <c r="A1454" s="4" t="s">
        <v>18</v>
      </c>
      <c r="B1454" s="2" t="s">
        <v>19</v>
      </c>
      <c r="C1454" s="2" t="s">
        <v>8</v>
      </c>
      <c r="D1454" s="2" t="s">
        <v>9</v>
      </c>
      <c r="E1454" s="2" t="s">
        <v>10</v>
      </c>
      <c r="F1454" s="5">
        <v>1410.901710821292</v>
      </c>
    </row>
    <row r="1455" spans="1:6" ht="15.75" customHeight="1" x14ac:dyDescent="0.3">
      <c r="A1455" s="4" t="s">
        <v>82</v>
      </c>
      <c r="B1455" s="2" t="s">
        <v>17</v>
      </c>
      <c r="C1455" s="2" t="s">
        <v>13</v>
      </c>
      <c r="D1455" s="2" t="s">
        <v>14</v>
      </c>
      <c r="E1455" s="2" t="s">
        <v>10</v>
      </c>
      <c r="F1455" s="5">
        <v>802.15</v>
      </c>
    </row>
    <row r="1456" spans="1:6" ht="15.75" customHeight="1" x14ac:dyDescent="0.3">
      <c r="A1456" s="4" t="s">
        <v>219</v>
      </c>
      <c r="B1456" s="2" t="s">
        <v>12</v>
      </c>
      <c r="C1456" s="2" t="s">
        <v>34</v>
      </c>
      <c r="D1456" s="2" t="s">
        <v>14</v>
      </c>
      <c r="E1456" s="2" t="s">
        <v>15</v>
      </c>
      <c r="F1456" s="5">
        <v>3338.5</v>
      </c>
    </row>
    <row r="1457" spans="1:6" ht="15.75" customHeight="1" x14ac:dyDescent="0.3">
      <c r="A1457" s="4" t="s">
        <v>152</v>
      </c>
      <c r="B1457" s="2" t="s">
        <v>30</v>
      </c>
      <c r="C1457" s="2" t="s">
        <v>23</v>
      </c>
      <c r="D1457" s="2" t="s">
        <v>28</v>
      </c>
      <c r="E1457" s="2" t="s">
        <v>24</v>
      </c>
      <c r="F1457" s="5">
        <v>1108.8800000000001</v>
      </c>
    </row>
    <row r="1458" spans="1:6" ht="15.75" customHeight="1" x14ac:dyDescent="0.3">
      <c r="A1458" s="4" t="s">
        <v>191</v>
      </c>
      <c r="B1458" s="2" t="s">
        <v>12</v>
      </c>
      <c r="C1458" s="2" t="s">
        <v>13</v>
      </c>
      <c r="D1458" s="2" t="s">
        <v>14</v>
      </c>
      <c r="E1458" s="2" t="s">
        <v>24</v>
      </c>
      <c r="F1458" s="5">
        <v>350.22</v>
      </c>
    </row>
    <row r="1459" spans="1:6" ht="15.75" customHeight="1" x14ac:dyDescent="0.3">
      <c r="A1459" s="4" t="s">
        <v>186</v>
      </c>
      <c r="B1459" s="2" t="s">
        <v>30</v>
      </c>
      <c r="C1459" s="2" t="s">
        <v>13</v>
      </c>
      <c r="D1459" s="2" t="s">
        <v>14</v>
      </c>
      <c r="E1459" s="2" t="s">
        <v>15</v>
      </c>
      <c r="F1459" s="5">
        <v>1884.68</v>
      </c>
    </row>
    <row r="1460" spans="1:6" ht="15.75" customHeight="1" x14ac:dyDescent="0.3">
      <c r="A1460" s="4" t="s">
        <v>168</v>
      </c>
      <c r="B1460" s="2" t="s">
        <v>17</v>
      </c>
      <c r="C1460" s="2" t="s">
        <v>13</v>
      </c>
      <c r="D1460" s="2" t="s">
        <v>9</v>
      </c>
      <c r="E1460" s="2" t="s">
        <v>10</v>
      </c>
      <c r="F1460" s="5">
        <v>2634.7603021191971</v>
      </c>
    </row>
    <row r="1461" spans="1:6" ht="15.75" customHeight="1" x14ac:dyDescent="0.3">
      <c r="A1461" s="4" t="s">
        <v>175</v>
      </c>
      <c r="B1461" s="2" t="s">
        <v>7</v>
      </c>
      <c r="C1461" s="2" t="s">
        <v>13</v>
      </c>
      <c r="D1461" s="2" t="s">
        <v>14</v>
      </c>
      <c r="E1461" s="2" t="s">
        <v>10</v>
      </c>
      <c r="F1461" s="5">
        <v>1677.52</v>
      </c>
    </row>
    <row r="1462" spans="1:6" ht="15.75" customHeight="1" x14ac:dyDescent="0.3">
      <c r="A1462" s="4" t="s">
        <v>83</v>
      </c>
      <c r="B1462" s="2" t="s">
        <v>17</v>
      </c>
      <c r="C1462" s="2" t="s">
        <v>8</v>
      </c>
      <c r="D1462" s="2" t="s">
        <v>28</v>
      </c>
      <c r="E1462" s="2" t="s">
        <v>10</v>
      </c>
      <c r="F1462" s="5">
        <v>2395.0100000000002</v>
      </c>
    </row>
    <row r="1463" spans="1:6" ht="15.75" customHeight="1" x14ac:dyDescent="0.3">
      <c r="A1463" s="4" t="s">
        <v>146</v>
      </c>
      <c r="B1463" s="2" t="s">
        <v>7</v>
      </c>
      <c r="C1463" s="2" t="s">
        <v>23</v>
      </c>
      <c r="D1463" s="2" t="s">
        <v>9</v>
      </c>
      <c r="E1463" s="2" t="s">
        <v>15</v>
      </c>
      <c r="F1463" s="5">
        <v>2603.0123578259881</v>
      </c>
    </row>
    <row r="1464" spans="1:6" ht="15.75" customHeight="1" x14ac:dyDescent="0.3">
      <c r="A1464" s="4" t="s">
        <v>95</v>
      </c>
      <c r="B1464" s="2" t="s">
        <v>30</v>
      </c>
      <c r="C1464" s="2" t="s">
        <v>13</v>
      </c>
      <c r="D1464" s="2" t="s">
        <v>9</v>
      </c>
      <c r="E1464" s="2" t="s">
        <v>15</v>
      </c>
      <c r="F1464" s="5">
        <v>1656.4435218421741</v>
      </c>
    </row>
    <row r="1465" spans="1:6" ht="15.75" customHeight="1" x14ac:dyDescent="0.3">
      <c r="A1465" s="4" t="s">
        <v>106</v>
      </c>
      <c r="B1465" s="2" t="s">
        <v>12</v>
      </c>
      <c r="C1465" s="2" t="s">
        <v>23</v>
      </c>
      <c r="D1465" s="2" t="s">
        <v>9</v>
      </c>
      <c r="E1465" s="2" t="s">
        <v>10</v>
      </c>
      <c r="F1465" s="5">
        <v>274.58999999999997</v>
      </c>
    </row>
    <row r="1466" spans="1:6" ht="15.75" customHeight="1" x14ac:dyDescent="0.3">
      <c r="A1466" s="4" t="s">
        <v>155</v>
      </c>
      <c r="B1466" s="2" t="s">
        <v>7</v>
      </c>
      <c r="C1466" s="2" t="s">
        <v>8</v>
      </c>
      <c r="D1466" s="2" t="s">
        <v>9</v>
      </c>
      <c r="E1466" s="2" t="s">
        <v>10</v>
      </c>
      <c r="F1466" s="5">
        <v>1298.281820134808</v>
      </c>
    </row>
    <row r="1467" spans="1:6" ht="15.75" customHeight="1" x14ac:dyDescent="0.3">
      <c r="A1467" s="4" t="s">
        <v>136</v>
      </c>
      <c r="B1467" s="2" t="s">
        <v>17</v>
      </c>
      <c r="C1467" s="2" t="s">
        <v>34</v>
      </c>
      <c r="D1467" s="2" t="s">
        <v>28</v>
      </c>
      <c r="E1467" s="2" t="s">
        <v>15</v>
      </c>
      <c r="F1467" s="5">
        <v>814.66</v>
      </c>
    </row>
    <row r="1468" spans="1:6" ht="15.75" customHeight="1" x14ac:dyDescent="0.3">
      <c r="A1468" s="4" t="s">
        <v>22</v>
      </c>
      <c r="B1468" s="2" t="s">
        <v>12</v>
      </c>
      <c r="C1468" s="2" t="s">
        <v>23</v>
      </c>
      <c r="D1468" s="2" t="s">
        <v>14</v>
      </c>
      <c r="E1468" s="2" t="s">
        <v>10</v>
      </c>
      <c r="F1468" s="5">
        <v>4037.11</v>
      </c>
    </row>
    <row r="1469" spans="1:6" ht="15.75" customHeight="1" x14ac:dyDescent="0.3">
      <c r="A1469" s="4" t="s">
        <v>130</v>
      </c>
      <c r="B1469" s="2" t="s">
        <v>12</v>
      </c>
      <c r="C1469" s="2" t="s">
        <v>23</v>
      </c>
      <c r="D1469" s="2" t="s">
        <v>9</v>
      </c>
      <c r="E1469" s="2" t="s">
        <v>15</v>
      </c>
      <c r="F1469" s="5">
        <v>1604.8106106415801</v>
      </c>
    </row>
    <row r="1470" spans="1:6" ht="15.75" customHeight="1" x14ac:dyDescent="0.3">
      <c r="A1470" s="4" t="s">
        <v>57</v>
      </c>
      <c r="B1470" s="2" t="s">
        <v>19</v>
      </c>
      <c r="C1470" s="2" t="s">
        <v>23</v>
      </c>
      <c r="D1470" s="2" t="s">
        <v>14</v>
      </c>
      <c r="E1470" s="2" t="s">
        <v>24</v>
      </c>
      <c r="F1470" s="5">
        <v>2667.56</v>
      </c>
    </row>
    <row r="1471" spans="1:6" ht="15.75" customHeight="1" x14ac:dyDescent="0.3">
      <c r="A1471" s="4" t="s">
        <v>55</v>
      </c>
      <c r="B1471" s="2" t="s">
        <v>12</v>
      </c>
      <c r="C1471" s="2" t="s">
        <v>13</v>
      </c>
      <c r="D1471" s="2" t="s">
        <v>14</v>
      </c>
      <c r="E1471" s="2" t="s">
        <v>10</v>
      </c>
      <c r="F1471" s="5">
        <v>1194.52</v>
      </c>
    </row>
    <row r="1472" spans="1:6" ht="15.75" customHeight="1" x14ac:dyDescent="0.3">
      <c r="A1472" s="4" t="s">
        <v>193</v>
      </c>
      <c r="B1472" s="2" t="s">
        <v>12</v>
      </c>
      <c r="C1472" s="2" t="s">
        <v>8</v>
      </c>
      <c r="D1472" s="2" t="s">
        <v>28</v>
      </c>
      <c r="E1472" s="2" t="s">
        <v>10</v>
      </c>
      <c r="F1472" s="5">
        <v>4059.51</v>
      </c>
    </row>
    <row r="1473" spans="1:6" ht="15.75" customHeight="1" x14ac:dyDescent="0.3">
      <c r="A1473" s="4" t="s">
        <v>186</v>
      </c>
      <c r="B1473" s="2" t="s">
        <v>30</v>
      </c>
      <c r="C1473" s="2" t="s">
        <v>23</v>
      </c>
      <c r="D1473" s="2" t="s">
        <v>14</v>
      </c>
      <c r="E1473" s="2" t="s">
        <v>15</v>
      </c>
      <c r="F1473" s="5">
        <v>1051.4000000000001</v>
      </c>
    </row>
    <row r="1474" spans="1:6" ht="15.75" customHeight="1" x14ac:dyDescent="0.3">
      <c r="A1474" s="4" t="s">
        <v>68</v>
      </c>
      <c r="B1474" s="2" t="s">
        <v>12</v>
      </c>
      <c r="C1474" s="2" t="s">
        <v>13</v>
      </c>
      <c r="D1474" s="2" t="s">
        <v>9</v>
      </c>
      <c r="E1474" s="2" t="s">
        <v>24</v>
      </c>
      <c r="F1474" s="5">
        <v>1810.5440910834759</v>
      </c>
    </row>
    <row r="1475" spans="1:6" ht="15.75" customHeight="1" x14ac:dyDescent="0.3">
      <c r="A1475" s="4" t="s">
        <v>18</v>
      </c>
      <c r="B1475" s="2" t="s">
        <v>19</v>
      </c>
      <c r="C1475" s="2" t="s">
        <v>34</v>
      </c>
      <c r="D1475" s="2" t="s">
        <v>14</v>
      </c>
      <c r="E1475" s="2" t="s">
        <v>24</v>
      </c>
      <c r="F1475" s="5">
        <v>2916.42</v>
      </c>
    </row>
    <row r="1476" spans="1:6" ht="15.75" customHeight="1" x14ac:dyDescent="0.3">
      <c r="A1476" s="4" t="s">
        <v>51</v>
      </c>
      <c r="B1476" s="2" t="s">
        <v>30</v>
      </c>
      <c r="C1476" s="2" t="s">
        <v>34</v>
      </c>
      <c r="D1476" s="2" t="s">
        <v>28</v>
      </c>
      <c r="E1476" s="2" t="s">
        <v>15</v>
      </c>
      <c r="F1476" s="5">
        <v>3852.61</v>
      </c>
    </row>
    <row r="1477" spans="1:6" ht="15.75" customHeight="1" x14ac:dyDescent="0.3">
      <c r="A1477" s="4" t="s">
        <v>164</v>
      </c>
      <c r="B1477" s="2" t="s">
        <v>19</v>
      </c>
      <c r="C1477" s="2" t="s">
        <v>34</v>
      </c>
      <c r="D1477" s="2" t="s">
        <v>28</v>
      </c>
      <c r="E1477" s="2" t="s">
        <v>10</v>
      </c>
      <c r="F1477" s="5">
        <v>4795.1400000000003</v>
      </c>
    </row>
    <row r="1478" spans="1:6" ht="15.75" customHeight="1" x14ac:dyDescent="0.3">
      <c r="A1478" s="4" t="s">
        <v>193</v>
      </c>
      <c r="B1478" s="2" t="s">
        <v>12</v>
      </c>
      <c r="C1478" s="2" t="s">
        <v>23</v>
      </c>
      <c r="D1478" s="2" t="s">
        <v>28</v>
      </c>
      <c r="E1478" s="2" t="s">
        <v>15</v>
      </c>
      <c r="F1478" s="5">
        <v>1445.25</v>
      </c>
    </row>
    <row r="1479" spans="1:6" ht="15.75" customHeight="1" x14ac:dyDescent="0.3">
      <c r="A1479" s="4" t="s">
        <v>93</v>
      </c>
      <c r="B1479" s="2" t="s">
        <v>30</v>
      </c>
      <c r="C1479" s="2" t="s">
        <v>13</v>
      </c>
      <c r="D1479" s="2" t="s">
        <v>28</v>
      </c>
      <c r="E1479" s="2" t="s">
        <v>15</v>
      </c>
      <c r="F1479" s="5">
        <v>869.01</v>
      </c>
    </row>
    <row r="1480" spans="1:6" ht="15.75" customHeight="1" x14ac:dyDescent="0.3">
      <c r="A1480" s="4" t="s">
        <v>203</v>
      </c>
      <c r="B1480" s="2" t="s">
        <v>12</v>
      </c>
      <c r="C1480" s="2" t="s">
        <v>23</v>
      </c>
      <c r="D1480" s="2" t="s">
        <v>28</v>
      </c>
      <c r="E1480" s="2" t="s">
        <v>15</v>
      </c>
      <c r="F1480" s="5">
        <v>4077.29</v>
      </c>
    </row>
    <row r="1481" spans="1:6" ht="15.75" customHeight="1" x14ac:dyDescent="0.3">
      <c r="A1481" s="4" t="s">
        <v>120</v>
      </c>
      <c r="B1481" s="2" t="s">
        <v>30</v>
      </c>
      <c r="C1481" s="2" t="s">
        <v>8</v>
      </c>
      <c r="D1481" s="2" t="s">
        <v>14</v>
      </c>
      <c r="E1481" s="2" t="s">
        <v>10</v>
      </c>
      <c r="F1481" s="5">
        <v>2770.18</v>
      </c>
    </row>
    <row r="1482" spans="1:6" ht="15.75" customHeight="1" x14ac:dyDescent="0.3">
      <c r="A1482" s="4" t="s">
        <v>141</v>
      </c>
      <c r="B1482" s="2" t="s">
        <v>7</v>
      </c>
      <c r="C1482" s="2" t="s">
        <v>34</v>
      </c>
      <c r="D1482" s="2" t="s">
        <v>9</v>
      </c>
      <c r="E1482" s="2" t="s">
        <v>10</v>
      </c>
      <c r="F1482" s="5">
        <v>2004.696916098392</v>
      </c>
    </row>
    <row r="1483" spans="1:6" ht="15.75" customHeight="1" x14ac:dyDescent="0.3">
      <c r="A1483" s="4" t="s">
        <v>193</v>
      </c>
      <c r="B1483" s="2" t="s">
        <v>12</v>
      </c>
      <c r="C1483" s="2" t="s">
        <v>34</v>
      </c>
      <c r="D1483" s="2" t="s">
        <v>28</v>
      </c>
      <c r="E1483" s="2" t="s">
        <v>15</v>
      </c>
      <c r="F1483" s="5">
        <v>4717.47</v>
      </c>
    </row>
    <row r="1484" spans="1:6" ht="15.75" customHeight="1" x14ac:dyDescent="0.3">
      <c r="A1484" s="4" t="s">
        <v>115</v>
      </c>
      <c r="B1484" s="2" t="s">
        <v>19</v>
      </c>
      <c r="C1484" s="2" t="s">
        <v>13</v>
      </c>
      <c r="D1484" s="2" t="s">
        <v>9</v>
      </c>
      <c r="E1484" s="2" t="s">
        <v>10</v>
      </c>
      <c r="F1484" s="5">
        <v>1392.4758685381171</v>
      </c>
    </row>
    <row r="1485" spans="1:6" ht="15.75" customHeight="1" x14ac:dyDescent="0.3">
      <c r="A1485" s="4" t="s">
        <v>148</v>
      </c>
      <c r="B1485" s="2" t="s">
        <v>17</v>
      </c>
      <c r="C1485" s="2" t="s">
        <v>23</v>
      </c>
      <c r="D1485" s="2" t="s">
        <v>9</v>
      </c>
      <c r="E1485" s="2" t="s">
        <v>15</v>
      </c>
      <c r="F1485" s="5">
        <v>2563.325761835506</v>
      </c>
    </row>
    <row r="1486" spans="1:6" ht="15.75" customHeight="1" x14ac:dyDescent="0.3">
      <c r="A1486" s="4" t="s">
        <v>130</v>
      </c>
      <c r="B1486" s="2" t="s">
        <v>12</v>
      </c>
      <c r="C1486" s="2" t="s">
        <v>34</v>
      </c>
      <c r="D1486" s="2" t="s">
        <v>9</v>
      </c>
      <c r="E1486" s="2" t="s">
        <v>15</v>
      </c>
      <c r="F1486" s="5">
        <v>503.8561406793562</v>
      </c>
    </row>
    <row r="1487" spans="1:6" ht="15.75" customHeight="1" x14ac:dyDescent="0.3">
      <c r="A1487" s="4" t="s">
        <v>164</v>
      </c>
      <c r="B1487" s="2" t="s">
        <v>19</v>
      </c>
      <c r="C1487" s="2" t="s">
        <v>8</v>
      </c>
      <c r="D1487" s="2" t="s">
        <v>28</v>
      </c>
      <c r="E1487" s="2" t="s">
        <v>24</v>
      </c>
      <c r="F1487" s="5">
        <v>897.2</v>
      </c>
    </row>
    <row r="1488" spans="1:6" ht="15.75" customHeight="1" x14ac:dyDescent="0.3">
      <c r="A1488" s="4" t="s">
        <v>152</v>
      </c>
      <c r="B1488" s="2" t="s">
        <v>30</v>
      </c>
      <c r="C1488" s="2" t="s">
        <v>23</v>
      </c>
      <c r="D1488" s="2" t="s">
        <v>14</v>
      </c>
      <c r="E1488" s="2" t="s">
        <v>15</v>
      </c>
      <c r="F1488" s="5">
        <v>2988.56</v>
      </c>
    </row>
    <row r="1489" spans="1:6" ht="15.75" customHeight="1" x14ac:dyDescent="0.3">
      <c r="A1489" s="4" t="s">
        <v>86</v>
      </c>
      <c r="B1489" s="2" t="s">
        <v>19</v>
      </c>
      <c r="C1489" s="2" t="s">
        <v>34</v>
      </c>
      <c r="D1489" s="2" t="s">
        <v>9</v>
      </c>
      <c r="E1489" s="2" t="s">
        <v>15</v>
      </c>
      <c r="F1489" s="5">
        <v>1067.2256459411151</v>
      </c>
    </row>
    <row r="1490" spans="1:6" ht="15.75" customHeight="1" x14ac:dyDescent="0.3">
      <c r="A1490" s="4" t="s">
        <v>127</v>
      </c>
      <c r="B1490" s="2" t="s">
        <v>17</v>
      </c>
      <c r="C1490" s="2" t="s">
        <v>34</v>
      </c>
      <c r="D1490" s="2" t="s">
        <v>9</v>
      </c>
      <c r="E1490" s="2" t="s">
        <v>10</v>
      </c>
      <c r="F1490" s="5">
        <v>2128.883957950005</v>
      </c>
    </row>
    <row r="1491" spans="1:6" ht="15.75" customHeight="1" x14ac:dyDescent="0.3">
      <c r="A1491" s="4" t="s">
        <v>143</v>
      </c>
      <c r="B1491" s="2" t="s">
        <v>17</v>
      </c>
      <c r="C1491" s="2" t="s">
        <v>13</v>
      </c>
      <c r="D1491" s="2" t="s">
        <v>28</v>
      </c>
      <c r="E1491" s="2" t="s">
        <v>15</v>
      </c>
      <c r="F1491" s="5">
        <v>569.36</v>
      </c>
    </row>
    <row r="1492" spans="1:6" ht="15.75" customHeight="1" x14ac:dyDescent="0.3">
      <c r="A1492" s="4" t="s">
        <v>165</v>
      </c>
      <c r="B1492" s="2" t="s">
        <v>7</v>
      </c>
      <c r="C1492" s="2" t="s">
        <v>8</v>
      </c>
      <c r="D1492" s="2" t="s">
        <v>14</v>
      </c>
      <c r="E1492" s="2" t="s">
        <v>15</v>
      </c>
      <c r="F1492" s="5">
        <v>2763.46</v>
      </c>
    </row>
    <row r="1493" spans="1:6" ht="15.75" customHeight="1" x14ac:dyDescent="0.3">
      <c r="A1493" s="4" t="s">
        <v>58</v>
      </c>
      <c r="B1493" s="2" t="s">
        <v>17</v>
      </c>
      <c r="C1493" s="2" t="s">
        <v>13</v>
      </c>
      <c r="D1493" s="2" t="s">
        <v>9</v>
      </c>
      <c r="E1493" s="2" t="s">
        <v>10</v>
      </c>
      <c r="F1493" s="5">
        <v>889.01334213777295</v>
      </c>
    </row>
    <row r="1494" spans="1:6" ht="15.75" customHeight="1" x14ac:dyDescent="0.3">
      <c r="A1494" s="4" t="s">
        <v>138</v>
      </c>
      <c r="B1494" s="2" t="s">
        <v>12</v>
      </c>
      <c r="C1494" s="2" t="s">
        <v>34</v>
      </c>
      <c r="D1494" s="2" t="s">
        <v>9</v>
      </c>
      <c r="E1494" s="2" t="s">
        <v>24</v>
      </c>
      <c r="F1494" s="5">
        <v>565.20370017570747</v>
      </c>
    </row>
    <row r="1495" spans="1:6" ht="15.75" customHeight="1" x14ac:dyDescent="0.3">
      <c r="A1495" s="4" t="s">
        <v>155</v>
      </c>
      <c r="B1495" s="2" t="s">
        <v>7</v>
      </c>
      <c r="C1495" s="2" t="s">
        <v>34</v>
      </c>
      <c r="D1495" s="2" t="s">
        <v>28</v>
      </c>
      <c r="E1495" s="2" t="s">
        <v>15</v>
      </c>
      <c r="F1495" s="5">
        <v>4475.2700000000004</v>
      </c>
    </row>
    <row r="1496" spans="1:6" ht="15.75" customHeight="1" x14ac:dyDescent="0.3">
      <c r="A1496" s="4" t="s">
        <v>193</v>
      </c>
      <c r="B1496" s="2" t="s">
        <v>12</v>
      </c>
      <c r="C1496" s="2" t="s">
        <v>13</v>
      </c>
      <c r="D1496" s="2" t="s">
        <v>14</v>
      </c>
      <c r="E1496" s="2" t="s">
        <v>10</v>
      </c>
      <c r="F1496" s="5">
        <v>3884.64</v>
      </c>
    </row>
    <row r="1497" spans="1:6" ht="15.75" customHeight="1" x14ac:dyDescent="0.3">
      <c r="A1497" s="4" t="s">
        <v>155</v>
      </c>
      <c r="B1497" s="2" t="s">
        <v>7</v>
      </c>
      <c r="C1497" s="2" t="s">
        <v>34</v>
      </c>
      <c r="D1497" s="2" t="s">
        <v>9</v>
      </c>
      <c r="E1497" s="2" t="s">
        <v>15</v>
      </c>
      <c r="F1497" s="5">
        <v>1548.146783917656</v>
      </c>
    </row>
    <row r="1498" spans="1:6" ht="15.75" customHeight="1" x14ac:dyDescent="0.3">
      <c r="A1498" s="4" t="s">
        <v>218</v>
      </c>
      <c r="B1498" s="2" t="s">
        <v>17</v>
      </c>
      <c r="C1498" s="2" t="s">
        <v>23</v>
      </c>
      <c r="D1498" s="2" t="s">
        <v>14</v>
      </c>
      <c r="E1498" s="2" t="s">
        <v>10</v>
      </c>
      <c r="F1498" s="5">
        <v>1310.02</v>
      </c>
    </row>
    <row r="1499" spans="1:6" ht="15.75" customHeight="1" x14ac:dyDescent="0.3">
      <c r="A1499" s="4" t="s">
        <v>206</v>
      </c>
      <c r="B1499" s="2" t="s">
        <v>19</v>
      </c>
      <c r="C1499" s="2" t="s">
        <v>13</v>
      </c>
      <c r="D1499" s="2" t="s">
        <v>14</v>
      </c>
      <c r="E1499" s="2" t="s">
        <v>24</v>
      </c>
      <c r="F1499" s="5">
        <v>1833.43</v>
      </c>
    </row>
    <row r="1500" spans="1:6" ht="15.75" customHeight="1" x14ac:dyDescent="0.3">
      <c r="A1500" s="4" t="s">
        <v>188</v>
      </c>
      <c r="B1500" s="2" t="s">
        <v>19</v>
      </c>
      <c r="C1500" s="2" t="s">
        <v>13</v>
      </c>
      <c r="D1500" s="2" t="s">
        <v>14</v>
      </c>
      <c r="E1500" s="2" t="s">
        <v>15</v>
      </c>
      <c r="F1500" s="5">
        <v>1039.8399999999999</v>
      </c>
    </row>
    <row r="1501" spans="1:6" ht="15.75" customHeight="1" x14ac:dyDescent="0.3">
      <c r="A1501" s="4" t="s">
        <v>110</v>
      </c>
      <c r="B1501" s="2" t="s">
        <v>12</v>
      </c>
      <c r="C1501" s="2" t="s">
        <v>13</v>
      </c>
      <c r="D1501" s="2" t="s">
        <v>28</v>
      </c>
      <c r="E1501" s="2" t="s">
        <v>15</v>
      </c>
      <c r="F1501" s="5">
        <v>3297.47</v>
      </c>
    </row>
    <row r="1502" spans="1:6" ht="15.75" customHeight="1" x14ac:dyDescent="0.3">
      <c r="A1502" s="4" t="s">
        <v>56</v>
      </c>
      <c r="B1502" s="2" t="s">
        <v>19</v>
      </c>
      <c r="C1502" s="2" t="s">
        <v>13</v>
      </c>
      <c r="D1502" s="2" t="s">
        <v>14</v>
      </c>
      <c r="E1502" s="2" t="s">
        <v>10</v>
      </c>
      <c r="F1502" s="5">
        <v>3091.2</v>
      </c>
    </row>
    <row r="1503" spans="1:6" ht="15.75" customHeight="1" x14ac:dyDescent="0.3">
      <c r="A1503" s="4" t="s">
        <v>185</v>
      </c>
      <c r="B1503" s="2" t="s">
        <v>30</v>
      </c>
      <c r="C1503" s="2" t="s">
        <v>34</v>
      </c>
      <c r="D1503" s="2" t="s">
        <v>28</v>
      </c>
      <c r="E1503" s="2" t="s">
        <v>15</v>
      </c>
      <c r="F1503" s="5">
        <v>301.86</v>
      </c>
    </row>
    <row r="1504" spans="1:6" ht="15.75" customHeight="1" x14ac:dyDescent="0.3">
      <c r="A1504" s="4" t="s">
        <v>178</v>
      </c>
      <c r="B1504" s="2" t="s">
        <v>30</v>
      </c>
      <c r="C1504" s="2" t="s">
        <v>23</v>
      </c>
      <c r="D1504" s="2" t="s">
        <v>14</v>
      </c>
      <c r="E1504" s="2" t="s">
        <v>24</v>
      </c>
      <c r="F1504" s="5">
        <v>4171.41</v>
      </c>
    </row>
    <row r="1505" spans="1:6" ht="15.75" customHeight="1" x14ac:dyDescent="0.3">
      <c r="A1505" s="4" t="s">
        <v>219</v>
      </c>
      <c r="B1505" s="2" t="s">
        <v>12</v>
      </c>
      <c r="C1505" s="2" t="s">
        <v>34</v>
      </c>
      <c r="D1505" s="2" t="s">
        <v>14</v>
      </c>
      <c r="E1505" s="2" t="s">
        <v>10</v>
      </c>
      <c r="F1505" s="5">
        <v>4337.95</v>
      </c>
    </row>
    <row r="1506" spans="1:6" ht="15.75" customHeight="1" x14ac:dyDescent="0.3">
      <c r="A1506" s="4" t="s">
        <v>150</v>
      </c>
      <c r="B1506" s="2" t="s">
        <v>30</v>
      </c>
      <c r="C1506" s="2" t="s">
        <v>34</v>
      </c>
      <c r="D1506" s="2" t="s">
        <v>9</v>
      </c>
      <c r="E1506" s="2" t="s">
        <v>24</v>
      </c>
      <c r="F1506" s="5">
        <v>3830.1000914634992</v>
      </c>
    </row>
    <row r="1507" spans="1:6" ht="15.75" customHeight="1" x14ac:dyDescent="0.3">
      <c r="A1507" s="4" t="s">
        <v>91</v>
      </c>
      <c r="B1507" s="2" t="s">
        <v>30</v>
      </c>
      <c r="C1507" s="2" t="s">
        <v>8</v>
      </c>
      <c r="D1507" s="2" t="s">
        <v>28</v>
      </c>
      <c r="E1507" s="2" t="s">
        <v>24</v>
      </c>
      <c r="F1507" s="5">
        <v>3808.17</v>
      </c>
    </row>
    <row r="1508" spans="1:6" ht="15.75" customHeight="1" x14ac:dyDescent="0.3">
      <c r="A1508" s="4" t="s">
        <v>20</v>
      </c>
      <c r="B1508" s="2" t="s">
        <v>17</v>
      </c>
      <c r="C1508" s="2" t="s">
        <v>8</v>
      </c>
      <c r="D1508" s="2" t="s">
        <v>14</v>
      </c>
      <c r="E1508" s="2" t="s">
        <v>10</v>
      </c>
      <c r="F1508" s="5">
        <v>3167.4</v>
      </c>
    </row>
    <row r="1509" spans="1:6" ht="15.75" customHeight="1" x14ac:dyDescent="0.3">
      <c r="A1509" s="4" t="s">
        <v>39</v>
      </c>
      <c r="B1509" s="2" t="s">
        <v>7</v>
      </c>
      <c r="C1509" s="2" t="s">
        <v>13</v>
      </c>
      <c r="D1509" s="2" t="s">
        <v>9</v>
      </c>
      <c r="E1509" s="2" t="s">
        <v>15</v>
      </c>
      <c r="F1509" s="5">
        <v>742.10983382618224</v>
      </c>
    </row>
    <row r="1510" spans="1:6" ht="15.75" customHeight="1" x14ac:dyDescent="0.3">
      <c r="A1510" s="4" t="s">
        <v>183</v>
      </c>
      <c r="B1510" s="2" t="s">
        <v>7</v>
      </c>
      <c r="C1510" s="2" t="s">
        <v>34</v>
      </c>
      <c r="D1510" s="2" t="s">
        <v>14</v>
      </c>
      <c r="E1510" s="2" t="s">
        <v>15</v>
      </c>
      <c r="F1510" s="5">
        <v>4632.6400000000003</v>
      </c>
    </row>
    <row r="1511" spans="1:6" ht="15.75" customHeight="1" x14ac:dyDescent="0.3">
      <c r="A1511" s="4" t="s">
        <v>21</v>
      </c>
      <c r="B1511" s="2" t="s">
        <v>19</v>
      </c>
      <c r="C1511" s="2" t="s">
        <v>13</v>
      </c>
      <c r="D1511" s="2" t="s">
        <v>14</v>
      </c>
      <c r="E1511" s="2" t="s">
        <v>10</v>
      </c>
      <c r="F1511" s="5">
        <v>1268.8</v>
      </c>
    </row>
    <row r="1512" spans="1:6" ht="15.75" customHeight="1" x14ac:dyDescent="0.3">
      <c r="A1512" s="4" t="s">
        <v>150</v>
      </c>
      <c r="B1512" s="2" t="s">
        <v>30</v>
      </c>
      <c r="C1512" s="2" t="s">
        <v>8</v>
      </c>
      <c r="D1512" s="2" t="s">
        <v>28</v>
      </c>
      <c r="E1512" s="2" t="s">
        <v>15</v>
      </c>
      <c r="F1512" s="5">
        <v>3546.58</v>
      </c>
    </row>
    <row r="1513" spans="1:6" ht="15.75" customHeight="1" x14ac:dyDescent="0.3">
      <c r="A1513" s="4" t="s">
        <v>25</v>
      </c>
      <c r="B1513" s="2" t="s">
        <v>19</v>
      </c>
      <c r="C1513" s="2" t="s">
        <v>23</v>
      </c>
      <c r="D1513" s="2" t="s">
        <v>28</v>
      </c>
      <c r="E1513" s="2" t="s">
        <v>10</v>
      </c>
      <c r="F1513" s="5">
        <v>1609.6</v>
      </c>
    </row>
    <row r="1514" spans="1:6" ht="15.75" customHeight="1" x14ac:dyDescent="0.3">
      <c r="A1514" s="4" t="s">
        <v>209</v>
      </c>
      <c r="B1514" s="2" t="s">
        <v>7</v>
      </c>
      <c r="C1514" s="2" t="s">
        <v>34</v>
      </c>
      <c r="D1514" s="2" t="s">
        <v>9</v>
      </c>
      <c r="E1514" s="2" t="s">
        <v>15</v>
      </c>
      <c r="F1514" s="5">
        <v>3630.7097179727562</v>
      </c>
    </row>
    <row r="1515" spans="1:6" ht="15.75" customHeight="1" x14ac:dyDescent="0.3">
      <c r="A1515" s="4" t="s">
        <v>181</v>
      </c>
      <c r="B1515" s="2" t="s">
        <v>30</v>
      </c>
      <c r="C1515" s="2" t="s">
        <v>34</v>
      </c>
      <c r="D1515" s="2" t="s">
        <v>14</v>
      </c>
      <c r="E1515" s="2" t="s">
        <v>10</v>
      </c>
      <c r="F1515" s="5">
        <v>999.48</v>
      </c>
    </row>
    <row r="1516" spans="1:6" ht="15.75" customHeight="1" x14ac:dyDescent="0.3">
      <c r="A1516" s="4" t="s">
        <v>127</v>
      </c>
      <c r="B1516" s="2" t="s">
        <v>17</v>
      </c>
      <c r="C1516" s="2" t="s">
        <v>13</v>
      </c>
      <c r="D1516" s="2" t="s">
        <v>14</v>
      </c>
      <c r="E1516" s="2" t="s">
        <v>15</v>
      </c>
      <c r="F1516" s="5">
        <v>4553.04</v>
      </c>
    </row>
    <row r="1517" spans="1:6" ht="15.75" customHeight="1" x14ac:dyDescent="0.3">
      <c r="A1517" s="4" t="s">
        <v>123</v>
      </c>
      <c r="B1517" s="2" t="s">
        <v>30</v>
      </c>
      <c r="C1517" s="2" t="s">
        <v>8</v>
      </c>
      <c r="D1517" s="2" t="s">
        <v>9</v>
      </c>
      <c r="E1517" s="2" t="s">
        <v>24</v>
      </c>
      <c r="F1517" s="5">
        <v>1345.95</v>
      </c>
    </row>
    <row r="1518" spans="1:6" ht="15.75" customHeight="1" x14ac:dyDescent="0.3">
      <c r="A1518" s="4" t="s">
        <v>89</v>
      </c>
      <c r="B1518" s="2" t="s">
        <v>17</v>
      </c>
      <c r="C1518" s="2" t="s">
        <v>34</v>
      </c>
      <c r="D1518" s="2" t="s">
        <v>28</v>
      </c>
      <c r="E1518" s="2" t="s">
        <v>10</v>
      </c>
      <c r="F1518" s="5">
        <v>1432.5</v>
      </c>
    </row>
    <row r="1519" spans="1:6" ht="15.75" customHeight="1" x14ac:dyDescent="0.3">
      <c r="A1519" s="4" t="s">
        <v>67</v>
      </c>
      <c r="B1519" s="2" t="s">
        <v>7</v>
      </c>
      <c r="C1519" s="2" t="s">
        <v>34</v>
      </c>
      <c r="D1519" s="2" t="s">
        <v>28</v>
      </c>
      <c r="E1519" s="2" t="s">
        <v>10</v>
      </c>
      <c r="F1519" s="5">
        <v>2537.5</v>
      </c>
    </row>
    <row r="1520" spans="1:6" ht="15.75" customHeight="1" x14ac:dyDescent="0.3">
      <c r="A1520" s="4" t="s">
        <v>194</v>
      </c>
      <c r="B1520" s="2" t="s">
        <v>17</v>
      </c>
      <c r="C1520" s="2" t="s">
        <v>13</v>
      </c>
      <c r="D1520" s="2" t="s">
        <v>14</v>
      </c>
      <c r="E1520" s="2" t="s">
        <v>10</v>
      </c>
      <c r="F1520" s="5">
        <v>4832.05</v>
      </c>
    </row>
    <row r="1521" spans="1:6" ht="15.75" customHeight="1" x14ac:dyDescent="0.3">
      <c r="A1521" s="4" t="s">
        <v>180</v>
      </c>
      <c r="B1521" s="2" t="s">
        <v>30</v>
      </c>
      <c r="C1521" s="2" t="s">
        <v>13</v>
      </c>
      <c r="D1521" s="2" t="s">
        <v>14</v>
      </c>
      <c r="E1521" s="2" t="s">
        <v>10</v>
      </c>
      <c r="F1521" s="5">
        <v>3935.58</v>
      </c>
    </row>
    <row r="1522" spans="1:6" ht="15.75" customHeight="1" x14ac:dyDescent="0.3">
      <c r="A1522" s="4" t="s">
        <v>209</v>
      </c>
      <c r="B1522" s="2" t="s">
        <v>7</v>
      </c>
      <c r="C1522" s="2" t="s">
        <v>13</v>
      </c>
      <c r="D1522" s="2" t="s">
        <v>9</v>
      </c>
      <c r="E1522" s="2" t="s">
        <v>24</v>
      </c>
      <c r="F1522" s="5">
        <v>3258.2856310066568</v>
      </c>
    </row>
    <row r="1523" spans="1:6" ht="15.75" customHeight="1" x14ac:dyDescent="0.3">
      <c r="A1523" s="4" t="s">
        <v>174</v>
      </c>
      <c r="B1523" s="2" t="s">
        <v>19</v>
      </c>
      <c r="C1523" s="2" t="s">
        <v>34</v>
      </c>
      <c r="D1523" s="2" t="s">
        <v>14</v>
      </c>
      <c r="E1523" s="2" t="s">
        <v>15</v>
      </c>
      <c r="F1523" s="5">
        <v>1512.13</v>
      </c>
    </row>
    <row r="1524" spans="1:6" ht="15.75" customHeight="1" x14ac:dyDescent="0.3">
      <c r="A1524" s="4" t="s">
        <v>42</v>
      </c>
      <c r="B1524" s="2" t="s">
        <v>30</v>
      </c>
      <c r="C1524" s="2" t="s">
        <v>13</v>
      </c>
      <c r="D1524" s="2" t="s">
        <v>14</v>
      </c>
      <c r="E1524" s="2" t="s">
        <v>10</v>
      </c>
      <c r="F1524" s="5">
        <v>245.71</v>
      </c>
    </row>
    <row r="1525" spans="1:6" ht="15.75" customHeight="1" x14ac:dyDescent="0.3">
      <c r="A1525" s="4" t="s">
        <v>31</v>
      </c>
      <c r="B1525" s="2" t="s">
        <v>30</v>
      </c>
      <c r="C1525" s="2" t="s">
        <v>8</v>
      </c>
      <c r="D1525" s="2" t="s">
        <v>14</v>
      </c>
      <c r="E1525" s="2" t="s">
        <v>24</v>
      </c>
      <c r="F1525" s="5">
        <v>3387.13</v>
      </c>
    </row>
    <row r="1526" spans="1:6" ht="15.75" customHeight="1" x14ac:dyDescent="0.3">
      <c r="A1526" s="4" t="s">
        <v>77</v>
      </c>
      <c r="B1526" s="2" t="s">
        <v>30</v>
      </c>
      <c r="C1526" s="2" t="s">
        <v>8</v>
      </c>
      <c r="D1526" s="2" t="s">
        <v>28</v>
      </c>
      <c r="E1526" s="2" t="s">
        <v>15</v>
      </c>
      <c r="F1526" s="5">
        <v>1014.2</v>
      </c>
    </row>
    <row r="1527" spans="1:6" ht="15.75" customHeight="1" x14ac:dyDescent="0.3">
      <c r="A1527" s="4" t="s">
        <v>89</v>
      </c>
      <c r="B1527" s="2" t="s">
        <v>17</v>
      </c>
      <c r="C1527" s="2" t="s">
        <v>13</v>
      </c>
      <c r="D1527" s="2" t="s">
        <v>28</v>
      </c>
      <c r="E1527" s="2" t="s">
        <v>10</v>
      </c>
      <c r="F1527" s="5">
        <v>269.87</v>
      </c>
    </row>
    <row r="1528" spans="1:6" ht="15.75" customHeight="1" x14ac:dyDescent="0.3">
      <c r="A1528" s="4" t="s">
        <v>161</v>
      </c>
      <c r="B1528" s="2" t="s">
        <v>7</v>
      </c>
      <c r="C1528" s="2" t="s">
        <v>13</v>
      </c>
      <c r="D1528" s="2" t="s">
        <v>14</v>
      </c>
      <c r="E1528" s="2" t="s">
        <v>10</v>
      </c>
      <c r="F1528" s="5">
        <v>2444.67</v>
      </c>
    </row>
    <row r="1529" spans="1:6" ht="15.75" customHeight="1" x14ac:dyDescent="0.3">
      <c r="A1529" s="4" t="s">
        <v>51</v>
      </c>
      <c r="B1529" s="2" t="s">
        <v>30</v>
      </c>
      <c r="C1529" s="2" t="s">
        <v>23</v>
      </c>
      <c r="D1529" s="2" t="s">
        <v>14</v>
      </c>
      <c r="E1529" s="2" t="s">
        <v>10</v>
      </c>
      <c r="F1529" s="5">
        <v>1734.64</v>
      </c>
    </row>
    <row r="1530" spans="1:6" ht="15.75" customHeight="1" x14ac:dyDescent="0.3">
      <c r="A1530" s="4" t="s">
        <v>73</v>
      </c>
      <c r="B1530" s="2" t="s">
        <v>30</v>
      </c>
      <c r="C1530" s="2" t="s">
        <v>34</v>
      </c>
      <c r="D1530" s="2" t="s">
        <v>14</v>
      </c>
      <c r="E1530" s="2" t="s">
        <v>10</v>
      </c>
      <c r="F1530" s="5">
        <v>4948.8500000000004</v>
      </c>
    </row>
    <row r="1531" spans="1:6" ht="15.75" customHeight="1" x14ac:dyDescent="0.3">
      <c r="A1531" s="4" t="s">
        <v>207</v>
      </c>
      <c r="B1531" s="2" t="s">
        <v>17</v>
      </c>
      <c r="C1531" s="2" t="s">
        <v>8</v>
      </c>
      <c r="D1531" s="2" t="s">
        <v>9</v>
      </c>
      <c r="E1531" s="2" t="s">
        <v>15</v>
      </c>
      <c r="F1531" s="5">
        <v>2924.7805617750009</v>
      </c>
    </row>
    <row r="1532" spans="1:6" ht="15.75" customHeight="1" x14ac:dyDescent="0.3">
      <c r="A1532" s="4" t="s">
        <v>147</v>
      </c>
      <c r="B1532" s="2" t="s">
        <v>17</v>
      </c>
      <c r="C1532" s="2" t="s">
        <v>8</v>
      </c>
      <c r="D1532" s="2" t="s">
        <v>14</v>
      </c>
      <c r="E1532" s="2" t="s">
        <v>10</v>
      </c>
      <c r="F1532" s="5">
        <v>1898.32</v>
      </c>
    </row>
    <row r="1533" spans="1:6" ht="15.75" customHeight="1" x14ac:dyDescent="0.3">
      <c r="A1533" s="4" t="s">
        <v>32</v>
      </c>
      <c r="B1533" s="2" t="s">
        <v>7</v>
      </c>
      <c r="C1533" s="2" t="s">
        <v>13</v>
      </c>
      <c r="D1533" s="2" t="s">
        <v>28</v>
      </c>
      <c r="E1533" s="2" t="s">
        <v>15</v>
      </c>
      <c r="F1533" s="5">
        <v>1296.76</v>
      </c>
    </row>
    <row r="1534" spans="1:6" ht="15.75" customHeight="1" x14ac:dyDescent="0.3">
      <c r="A1534" s="4" t="s">
        <v>75</v>
      </c>
      <c r="B1534" s="2" t="s">
        <v>19</v>
      </c>
      <c r="C1534" s="2" t="s">
        <v>23</v>
      </c>
      <c r="D1534" s="2" t="s">
        <v>14</v>
      </c>
      <c r="E1534" s="2" t="s">
        <v>24</v>
      </c>
      <c r="F1534" s="5">
        <v>1414.37</v>
      </c>
    </row>
    <row r="1535" spans="1:6" ht="15.75" customHeight="1" x14ac:dyDescent="0.3">
      <c r="A1535" s="4" t="s">
        <v>117</v>
      </c>
      <c r="B1535" s="2" t="s">
        <v>7</v>
      </c>
      <c r="C1535" s="2" t="s">
        <v>34</v>
      </c>
      <c r="D1535" s="2" t="s">
        <v>9</v>
      </c>
      <c r="E1535" s="2" t="s">
        <v>15</v>
      </c>
      <c r="F1535" s="5">
        <v>4136.0715997829793</v>
      </c>
    </row>
    <row r="1536" spans="1:6" ht="15.75" customHeight="1" x14ac:dyDescent="0.3">
      <c r="A1536" s="4" t="s">
        <v>88</v>
      </c>
      <c r="B1536" s="2" t="s">
        <v>7</v>
      </c>
      <c r="C1536" s="2" t="s">
        <v>23</v>
      </c>
      <c r="D1536" s="2" t="s">
        <v>28</v>
      </c>
      <c r="E1536" s="2" t="s">
        <v>24</v>
      </c>
      <c r="F1536" s="5">
        <v>3952.36</v>
      </c>
    </row>
    <row r="1537" spans="1:6" ht="15.75" customHeight="1" x14ac:dyDescent="0.3">
      <c r="A1537" s="4" t="s">
        <v>193</v>
      </c>
      <c r="B1537" s="2" t="s">
        <v>12</v>
      </c>
      <c r="C1537" s="2" t="s">
        <v>34</v>
      </c>
      <c r="D1537" s="2" t="s">
        <v>14</v>
      </c>
      <c r="E1537" s="2" t="s">
        <v>10</v>
      </c>
      <c r="F1537" s="5">
        <v>4563.3599999999997</v>
      </c>
    </row>
    <row r="1538" spans="1:6" ht="15.75" customHeight="1" x14ac:dyDescent="0.3">
      <c r="A1538" s="4" t="s">
        <v>37</v>
      </c>
      <c r="B1538" s="2" t="s">
        <v>17</v>
      </c>
      <c r="C1538" s="2" t="s">
        <v>23</v>
      </c>
      <c r="D1538" s="2" t="s">
        <v>9</v>
      </c>
      <c r="E1538" s="2" t="s">
        <v>15</v>
      </c>
      <c r="F1538" s="5">
        <v>2084.5673750905439</v>
      </c>
    </row>
    <row r="1539" spans="1:6" ht="15.75" customHeight="1" x14ac:dyDescent="0.3">
      <c r="A1539" s="4" t="s">
        <v>214</v>
      </c>
      <c r="B1539" s="2" t="s">
        <v>30</v>
      </c>
      <c r="C1539" s="2" t="s">
        <v>34</v>
      </c>
      <c r="D1539" s="2" t="s">
        <v>14</v>
      </c>
      <c r="E1539" s="2" t="s">
        <v>10</v>
      </c>
      <c r="F1539" s="5">
        <v>4081.51</v>
      </c>
    </row>
    <row r="1540" spans="1:6" ht="15.75" customHeight="1" x14ac:dyDescent="0.3">
      <c r="A1540" s="4" t="s">
        <v>196</v>
      </c>
      <c r="B1540" s="2" t="s">
        <v>30</v>
      </c>
      <c r="C1540" s="2" t="s">
        <v>13</v>
      </c>
      <c r="D1540" s="2" t="s">
        <v>28</v>
      </c>
      <c r="E1540" s="2" t="s">
        <v>15</v>
      </c>
      <c r="F1540" s="5">
        <v>4483.63</v>
      </c>
    </row>
    <row r="1541" spans="1:6" ht="15.75" customHeight="1" x14ac:dyDescent="0.3">
      <c r="A1541" s="4" t="s">
        <v>86</v>
      </c>
      <c r="B1541" s="2" t="s">
        <v>19</v>
      </c>
      <c r="C1541" s="2" t="s">
        <v>34</v>
      </c>
      <c r="D1541" s="2" t="s">
        <v>14</v>
      </c>
      <c r="E1541" s="2" t="s">
        <v>24</v>
      </c>
      <c r="F1541" s="5">
        <v>3368.54</v>
      </c>
    </row>
    <row r="1542" spans="1:6" ht="15.75" customHeight="1" x14ac:dyDescent="0.3">
      <c r="A1542" s="4" t="s">
        <v>202</v>
      </c>
      <c r="B1542" s="2" t="s">
        <v>12</v>
      </c>
      <c r="C1542" s="2" t="s">
        <v>13</v>
      </c>
      <c r="D1542" s="2" t="s">
        <v>14</v>
      </c>
      <c r="E1542" s="2" t="s">
        <v>24</v>
      </c>
      <c r="F1542" s="5">
        <v>82.35</v>
      </c>
    </row>
    <row r="1543" spans="1:6" ht="15.75" customHeight="1" x14ac:dyDescent="0.3">
      <c r="A1543" s="4" t="s">
        <v>171</v>
      </c>
      <c r="B1543" s="2" t="s">
        <v>17</v>
      </c>
      <c r="C1543" s="2" t="s">
        <v>34</v>
      </c>
      <c r="D1543" s="2" t="s">
        <v>28</v>
      </c>
      <c r="E1543" s="2" t="s">
        <v>15</v>
      </c>
      <c r="F1543" s="5">
        <v>4175.62</v>
      </c>
    </row>
    <row r="1544" spans="1:6" ht="15.75" customHeight="1" x14ac:dyDescent="0.3">
      <c r="A1544" s="4" t="s">
        <v>122</v>
      </c>
      <c r="B1544" s="2" t="s">
        <v>19</v>
      </c>
      <c r="C1544" s="2" t="s">
        <v>34</v>
      </c>
      <c r="D1544" s="2" t="s">
        <v>14</v>
      </c>
      <c r="E1544" s="2" t="s">
        <v>10</v>
      </c>
      <c r="F1544" s="5">
        <v>1796.14</v>
      </c>
    </row>
    <row r="1545" spans="1:6" ht="15.75" customHeight="1" x14ac:dyDescent="0.3">
      <c r="A1545" s="4" t="s">
        <v>80</v>
      </c>
      <c r="B1545" s="2" t="s">
        <v>17</v>
      </c>
      <c r="C1545" s="2" t="s">
        <v>34</v>
      </c>
      <c r="D1545" s="2" t="s">
        <v>28</v>
      </c>
      <c r="E1545" s="2" t="s">
        <v>15</v>
      </c>
      <c r="F1545" s="5">
        <v>3373.26</v>
      </c>
    </row>
    <row r="1546" spans="1:6" ht="15.75" customHeight="1" x14ac:dyDescent="0.3">
      <c r="A1546" s="4" t="s">
        <v>88</v>
      </c>
      <c r="B1546" s="2" t="s">
        <v>7</v>
      </c>
      <c r="C1546" s="2" t="s">
        <v>13</v>
      </c>
      <c r="D1546" s="2" t="s">
        <v>14</v>
      </c>
      <c r="E1546" s="2" t="s">
        <v>24</v>
      </c>
      <c r="F1546" s="5">
        <v>3051.55</v>
      </c>
    </row>
    <row r="1547" spans="1:6" ht="15.75" customHeight="1" x14ac:dyDescent="0.3">
      <c r="A1547" s="4" t="s">
        <v>115</v>
      </c>
      <c r="B1547" s="2" t="s">
        <v>19</v>
      </c>
      <c r="C1547" s="2" t="s">
        <v>8</v>
      </c>
      <c r="D1547" s="2" t="s">
        <v>28</v>
      </c>
      <c r="E1547" s="2" t="s">
        <v>15</v>
      </c>
      <c r="F1547" s="5">
        <v>3770.37</v>
      </c>
    </row>
    <row r="1548" spans="1:6" ht="15.75" customHeight="1" x14ac:dyDescent="0.3">
      <c r="A1548" s="4" t="s">
        <v>150</v>
      </c>
      <c r="B1548" s="2" t="s">
        <v>30</v>
      </c>
      <c r="C1548" s="2" t="s">
        <v>34</v>
      </c>
      <c r="D1548" s="2" t="s">
        <v>28</v>
      </c>
      <c r="E1548" s="2" t="s">
        <v>15</v>
      </c>
      <c r="F1548" s="5">
        <v>3887.64</v>
      </c>
    </row>
    <row r="1549" spans="1:6" ht="15.75" customHeight="1" x14ac:dyDescent="0.3">
      <c r="A1549" s="4" t="s">
        <v>182</v>
      </c>
      <c r="B1549" s="2" t="s">
        <v>12</v>
      </c>
      <c r="C1549" s="2" t="s">
        <v>8</v>
      </c>
      <c r="D1549" s="2" t="s">
        <v>14</v>
      </c>
      <c r="E1549" s="2" t="s">
        <v>10</v>
      </c>
      <c r="F1549" s="5">
        <v>4523.25</v>
      </c>
    </row>
    <row r="1550" spans="1:6" ht="15.75" customHeight="1" x14ac:dyDescent="0.3">
      <c r="A1550" s="4" t="s">
        <v>61</v>
      </c>
      <c r="B1550" s="2" t="s">
        <v>30</v>
      </c>
      <c r="C1550" s="2" t="s">
        <v>23</v>
      </c>
      <c r="D1550" s="2" t="s">
        <v>28</v>
      </c>
      <c r="E1550" s="2" t="s">
        <v>15</v>
      </c>
      <c r="F1550" s="5">
        <v>4229.33</v>
      </c>
    </row>
    <row r="1551" spans="1:6" ht="15.75" customHeight="1" x14ac:dyDescent="0.3">
      <c r="A1551" s="4" t="s">
        <v>211</v>
      </c>
      <c r="B1551" s="2" t="s">
        <v>7</v>
      </c>
      <c r="C1551" s="2" t="s">
        <v>23</v>
      </c>
      <c r="D1551" s="2" t="s">
        <v>14</v>
      </c>
      <c r="E1551" s="2" t="s">
        <v>24</v>
      </c>
      <c r="F1551" s="5">
        <v>1909.18</v>
      </c>
    </row>
    <row r="1552" spans="1:6" ht="15.75" customHeight="1" x14ac:dyDescent="0.3">
      <c r="A1552" s="4" t="s">
        <v>195</v>
      </c>
      <c r="B1552" s="2" t="s">
        <v>7</v>
      </c>
      <c r="C1552" s="2" t="s">
        <v>13</v>
      </c>
      <c r="D1552" s="2" t="s">
        <v>14</v>
      </c>
      <c r="E1552" s="2" t="s">
        <v>24</v>
      </c>
      <c r="F1552" s="5">
        <v>1689.24</v>
      </c>
    </row>
    <row r="1553" spans="1:6" ht="15.75" customHeight="1" x14ac:dyDescent="0.3">
      <c r="A1553" s="4" t="s">
        <v>90</v>
      </c>
      <c r="B1553" s="2" t="s">
        <v>19</v>
      </c>
      <c r="C1553" s="2" t="s">
        <v>13</v>
      </c>
      <c r="D1553" s="2" t="s">
        <v>14</v>
      </c>
      <c r="E1553" s="2" t="s">
        <v>24</v>
      </c>
      <c r="F1553" s="5">
        <v>1270.1199999999999</v>
      </c>
    </row>
    <row r="1554" spans="1:6" ht="15.75" customHeight="1" x14ac:dyDescent="0.3">
      <c r="A1554" s="4" t="s">
        <v>64</v>
      </c>
      <c r="B1554" s="2" t="s">
        <v>30</v>
      </c>
      <c r="C1554" s="2" t="s">
        <v>8</v>
      </c>
      <c r="D1554" s="2" t="s">
        <v>9</v>
      </c>
      <c r="E1554" s="2" t="s">
        <v>15</v>
      </c>
      <c r="F1554" s="5">
        <v>1816.03</v>
      </c>
    </row>
    <row r="1555" spans="1:6" ht="15.75" customHeight="1" x14ac:dyDescent="0.3">
      <c r="A1555" s="4" t="s">
        <v>148</v>
      </c>
      <c r="B1555" s="2" t="s">
        <v>17</v>
      </c>
      <c r="C1555" s="2" t="s">
        <v>34</v>
      </c>
      <c r="D1555" s="2" t="s">
        <v>14</v>
      </c>
      <c r="E1555" s="2" t="s">
        <v>15</v>
      </c>
      <c r="F1555" s="5">
        <v>1943.87</v>
      </c>
    </row>
    <row r="1556" spans="1:6" ht="15.75" customHeight="1" x14ac:dyDescent="0.3">
      <c r="A1556" s="4" t="s">
        <v>154</v>
      </c>
      <c r="B1556" s="2" t="s">
        <v>12</v>
      </c>
      <c r="C1556" s="2" t="s">
        <v>8</v>
      </c>
      <c r="D1556" s="2" t="s">
        <v>28</v>
      </c>
      <c r="E1556" s="2" t="s">
        <v>15</v>
      </c>
      <c r="F1556" s="5">
        <v>2832.16</v>
      </c>
    </row>
    <row r="1557" spans="1:6" ht="15.75" customHeight="1" x14ac:dyDescent="0.3">
      <c r="A1557" s="4" t="s">
        <v>219</v>
      </c>
      <c r="B1557" s="2" t="s">
        <v>12</v>
      </c>
      <c r="C1557" s="2" t="s">
        <v>13</v>
      </c>
      <c r="D1557" s="2" t="s">
        <v>28</v>
      </c>
      <c r="E1557" s="2" t="s">
        <v>10</v>
      </c>
      <c r="F1557" s="5">
        <v>4684.57</v>
      </c>
    </row>
    <row r="1558" spans="1:6" ht="15.75" customHeight="1" x14ac:dyDescent="0.3">
      <c r="A1558" s="4" t="s">
        <v>25</v>
      </c>
      <c r="B1558" s="2" t="s">
        <v>19</v>
      </c>
      <c r="C1558" s="2" t="s">
        <v>8</v>
      </c>
      <c r="D1558" s="2" t="s">
        <v>9</v>
      </c>
      <c r="E1558" s="2" t="s">
        <v>10</v>
      </c>
      <c r="F1558" s="5">
        <v>785.41659408119494</v>
      </c>
    </row>
    <row r="1559" spans="1:6" ht="15.75" customHeight="1" x14ac:dyDescent="0.3">
      <c r="A1559" s="4" t="s">
        <v>139</v>
      </c>
      <c r="B1559" s="2" t="s">
        <v>7</v>
      </c>
      <c r="C1559" s="2" t="s">
        <v>8</v>
      </c>
      <c r="D1559" s="2" t="s">
        <v>9</v>
      </c>
      <c r="E1559" s="2" t="s">
        <v>24</v>
      </c>
      <c r="F1559" s="5">
        <v>828.30804794150208</v>
      </c>
    </row>
    <row r="1560" spans="1:6" ht="15.75" customHeight="1" x14ac:dyDescent="0.3">
      <c r="A1560" s="4" t="s">
        <v>219</v>
      </c>
      <c r="B1560" s="2" t="s">
        <v>12</v>
      </c>
      <c r="C1560" s="2" t="s">
        <v>8</v>
      </c>
      <c r="D1560" s="2" t="s">
        <v>14</v>
      </c>
      <c r="E1560" s="2" t="s">
        <v>10</v>
      </c>
      <c r="F1560" s="5">
        <v>4960.6099999999997</v>
      </c>
    </row>
    <row r="1561" spans="1:6" ht="15.75" customHeight="1" x14ac:dyDescent="0.3">
      <c r="A1561" s="4" t="s">
        <v>190</v>
      </c>
      <c r="B1561" s="2" t="s">
        <v>17</v>
      </c>
      <c r="C1561" s="2" t="s">
        <v>13</v>
      </c>
      <c r="D1561" s="2" t="s">
        <v>28</v>
      </c>
      <c r="E1561" s="2" t="s">
        <v>10</v>
      </c>
      <c r="F1561" s="5">
        <v>4377.79</v>
      </c>
    </row>
    <row r="1562" spans="1:6" ht="15.75" customHeight="1" x14ac:dyDescent="0.3">
      <c r="A1562" s="4" t="s">
        <v>91</v>
      </c>
      <c r="B1562" s="2" t="s">
        <v>30</v>
      </c>
      <c r="C1562" s="2" t="s">
        <v>13</v>
      </c>
      <c r="D1562" s="2" t="s">
        <v>9</v>
      </c>
      <c r="E1562" s="2" t="s">
        <v>15</v>
      </c>
      <c r="F1562" s="5">
        <v>2535.3006160605019</v>
      </c>
    </row>
    <row r="1563" spans="1:6" ht="15.75" customHeight="1" x14ac:dyDescent="0.3">
      <c r="A1563" s="4" t="s">
        <v>85</v>
      </c>
      <c r="B1563" s="2" t="s">
        <v>30</v>
      </c>
      <c r="C1563" s="2" t="s">
        <v>23</v>
      </c>
      <c r="D1563" s="2" t="s">
        <v>14</v>
      </c>
      <c r="E1563" s="2" t="s">
        <v>10</v>
      </c>
      <c r="F1563" s="5">
        <v>2251.6</v>
      </c>
    </row>
    <row r="1564" spans="1:6" ht="15.75" customHeight="1" x14ac:dyDescent="0.3">
      <c r="A1564" s="4" t="s">
        <v>175</v>
      </c>
      <c r="B1564" s="2" t="s">
        <v>7</v>
      </c>
      <c r="C1564" s="2" t="s">
        <v>8</v>
      </c>
      <c r="D1564" s="2" t="s">
        <v>9</v>
      </c>
      <c r="E1564" s="2" t="s">
        <v>24</v>
      </c>
      <c r="F1564" s="5">
        <v>733.12507357527466</v>
      </c>
    </row>
    <row r="1565" spans="1:6" ht="15.75" customHeight="1" x14ac:dyDescent="0.3">
      <c r="A1565" s="4" t="s">
        <v>212</v>
      </c>
      <c r="B1565" s="2" t="s">
        <v>7</v>
      </c>
      <c r="C1565" s="2" t="s">
        <v>8</v>
      </c>
      <c r="D1565" s="2" t="s">
        <v>28</v>
      </c>
      <c r="E1565" s="2" t="s">
        <v>15</v>
      </c>
      <c r="F1565" s="5">
        <v>1054.48</v>
      </c>
    </row>
    <row r="1566" spans="1:6" ht="15.75" customHeight="1" x14ac:dyDescent="0.3">
      <c r="A1566" s="4" t="s">
        <v>52</v>
      </c>
      <c r="B1566" s="2" t="s">
        <v>19</v>
      </c>
      <c r="C1566" s="2" t="s">
        <v>13</v>
      </c>
      <c r="D1566" s="2" t="s">
        <v>14</v>
      </c>
      <c r="E1566" s="2" t="s">
        <v>15</v>
      </c>
      <c r="F1566" s="5">
        <v>4429.91</v>
      </c>
    </row>
    <row r="1567" spans="1:6" ht="15.75" customHeight="1" x14ac:dyDescent="0.3">
      <c r="A1567" s="4" t="s">
        <v>31</v>
      </c>
      <c r="B1567" s="2" t="s">
        <v>30</v>
      </c>
      <c r="C1567" s="2" t="s">
        <v>23</v>
      </c>
      <c r="D1567" s="2" t="s">
        <v>9</v>
      </c>
      <c r="E1567" s="2" t="s">
        <v>24</v>
      </c>
      <c r="F1567" s="5">
        <v>3923.147929760431</v>
      </c>
    </row>
    <row r="1568" spans="1:6" ht="15.75" customHeight="1" x14ac:dyDescent="0.3">
      <c r="A1568" s="4" t="s">
        <v>137</v>
      </c>
      <c r="B1568" s="2" t="s">
        <v>17</v>
      </c>
      <c r="C1568" s="2" t="s">
        <v>13</v>
      </c>
      <c r="D1568" s="2" t="s">
        <v>9</v>
      </c>
      <c r="E1568" s="2" t="s">
        <v>10</v>
      </c>
      <c r="F1568" s="5">
        <v>767.46223357152144</v>
      </c>
    </row>
    <row r="1569" spans="1:6" ht="15.75" customHeight="1" x14ac:dyDescent="0.3">
      <c r="A1569" s="4" t="s">
        <v>55</v>
      </c>
      <c r="B1569" s="2" t="s">
        <v>12</v>
      </c>
      <c r="C1569" s="2" t="s">
        <v>34</v>
      </c>
      <c r="D1569" s="2" t="s">
        <v>9</v>
      </c>
      <c r="E1569" s="2" t="s">
        <v>24</v>
      </c>
      <c r="F1569" s="5">
        <v>592.72258731790794</v>
      </c>
    </row>
    <row r="1570" spans="1:6" ht="15.75" customHeight="1" x14ac:dyDescent="0.3">
      <c r="A1570" s="4" t="s">
        <v>37</v>
      </c>
      <c r="B1570" s="2" t="s">
        <v>17</v>
      </c>
      <c r="C1570" s="2" t="s">
        <v>8</v>
      </c>
      <c r="D1570" s="2" t="s">
        <v>14</v>
      </c>
      <c r="E1570" s="2" t="s">
        <v>10</v>
      </c>
      <c r="F1570" s="5">
        <v>3539.99</v>
      </c>
    </row>
    <row r="1571" spans="1:6" ht="15.75" customHeight="1" x14ac:dyDescent="0.3">
      <c r="A1571" s="4" t="s">
        <v>61</v>
      </c>
      <c r="B1571" s="2" t="s">
        <v>30</v>
      </c>
      <c r="C1571" s="2" t="s">
        <v>8</v>
      </c>
      <c r="D1571" s="2" t="s">
        <v>9</v>
      </c>
      <c r="E1571" s="2" t="s">
        <v>24</v>
      </c>
      <c r="F1571" s="5">
        <v>2579.188856083706</v>
      </c>
    </row>
    <row r="1572" spans="1:6" ht="15.75" customHeight="1" x14ac:dyDescent="0.3">
      <c r="A1572" s="4" t="s">
        <v>204</v>
      </c>
      <c r="B1572" s="2" t="s">
        <v>30</v>
      </c>
      <c r="C1572" s="2" t="s">
        <v>34</v>
      </c>
      <c r="D1572" s="2" t="s">
        <v>28</v>
      </c>
      <c r="E1572" s="2" t="s">
        <v>24</v>
      </c>
      <c r="F1572" s="5">
        <v>4158.7700000000004</v>
      </c>
    </row>
    <row r="1573" spans="1:6" ht="15.75" customHeight="1" x14ac:dyDescent="0.3">
      <c r="A1573" s="4" t="s">
        <v>214</v>
      </c>
      <c r="B1573" s="2" t="s">
        <v>30</v>
      </c>
      <c r="C1573" s="2" t="s">
        <v>13</v>
      </c>
      <c r="D1573" s="2" t="s">
        <v>9</v>
      </c>
      <c r="E1573" s="2" t="s">
        <v>15</v>
      </c>
      <c r="F1573" s="5">
        <v>687.4605363011874</v>
      </c>
    </row>
    <row r="1574" spans="1:6" ht="15.75" customHeight="1" x14ac:dyDescent="0.3">
      <c r="A1574" s="4" t="s">
        <v>86</v>
      </c>
      <c r="B1574" s="2" t="s">
        <v>19</v>
      </c>
      <c r="C1574" s="2" t="s">
        <v>23</v>
      </c>
      <c r="D1574" s="2" t="s">
        <v>14</v>
      </c>
      <c r="E1574" s="2" t="s">
        <v>24</v>
      </c>
      <c r="F1574" s="5">
        <v>2922.31</v>
      </c>
    </row>
    <row r="1575" spans="1:6" ht="15.75" customHeight="1" x14ac:dyDescent="0.3">
      <c r="A1575" s="4" t="s">
        <v>32</v>
      </c>
      <c r="B1575" s="2" t="s">
        <v>7</v>
      </c>
      <c r="C1575" s="2" t="s">
        <v>34</v>
      </c>
      <c r="D1575" s="2" t="s">
        <v>14</v>
      </c>
      <c r="E1575" s="2" t="s">
        <v>15</v>
      </c>
      <c r="F1575" s="5">
        <v>584.58000000000004</v>
      </c>
    </row>
    <row r="1576" spans="1:6" ht="15.75" customHeight="1" x14ac:dyDescent="0.3">
      <c r="A1576" s="4" t="s">
        <v>170</v>
      </c>
      <c r="B1576" s="2" t="s">
        <v>12</v>
      </c>
      <c r="C1576" s="2" t="s">
        <v>13</v>
      </c>
      <c r="D1576" s="2" t="s">
        <v>14</v>
      </c>
      <c r="E1576" s="2" t="s">
        <v>15</v>
      </c>
      <c r="F1576" s="5">
        <v>87.51</v>
      </c>
    </row>
    <row r="1577" spans="1:6" ht="15.75" customHeight="1" x14ac:dyDescent="0.3">
      <c r="A1577" s="4" t="s">
        <v>132</v>
      </c>
      <c r="B1577" s="2" t="s">
        <v>19</v>
      </c>
      <c r="C1577" s="2" t="s">
        <v>23</v>
      </c>
      <c r="D1577" s="2" t="s">
        <v>14</v>
      </c>
      <c r="E1577" s="2" t="s">
        <v>24</v>
      </c>
      <c r="F1577" s="5">
        <v>3948.45</v>
      </c>
    </row>
    <row r="1578" spans="1:6" ht="15.75" customHeight="1" x14ac:dyDescent="0.3">
      <c r="A1578" s="4" t="s">
        <v>66</v>
      </c>
      <c r="B1578" s="2" t="s">
        <v>30</v>
      </c>
      <c r="C1578" s="2" t="s">
        <v>34</v>
      </c>
      <c r="D1578" s="2" t="s">
        <v>9</v>
      </c>
      <c r="E1578" s="2" t="s">
        <v>15</v>
      </c>
      <c r="F1578" s="5">
        <v>3846.6288560143148</v>
      </c>
    </row>
    <row r="1579" spans="1:6" ht="15.75" customHeight="1" x14ac:dyDescent="0.3">
      <c r="A1579" s="4" t="s">
        <v>213</v>
      </c>
      <c r="B1579" s="2" t="s">
        <v>12</v>
      </c>
      <c r="C1579" s="2" t="s">
        <v>8</v>
      </c>
      <c r="D1579" s="2" t="s">
        <v>9</v>
      </c>
      <c r="E1579" s="2" t="s">
        <v>24</v>
      </c>
      <c r="F1579" s="5">
        <v>4673.802641673461</v>
      </c>
    </row>
    <row r="1580" spans="1:6" ht="15.75" customHeight="1" x14ac:dyDescent="0.3">
      <c r="A1580" s="4" t="s">
        <v>171</v>
      </c>
      <c r="B1580" s="2" t="s">
        <v>17</v>
      </c>
      <c r="C1580" s="2" t="s">
        <v>34</v>
      </c>
      <c r="D1580" s="2" t="s">
        <v>28</v>
      </c>
      <c r="E1580" s="2" t="s">
        <v>24</v>
      </c>
      <c r="F1580" s="5">
        <v>4711.6899999999996</v>
      </c>
    </row>
    <row r="1581" spans="1:6" ht="15.75" customHeight="1" x14ac:dyDescent="0.3">
      <c r="A1581" s="4" t="s">
        <v>37</v>
      </c>
      <c r="B1581" s="2" t="s">
        <v>17</v>
      </c>
      <c r="C1581" s="2" t="s">
        <v>13</v>
      </c>
      <c r="D1581" s="2" t="s">
        <v>9</v>
      </c>
      <c r="E1581" s="2" t="s">
        <v>15</v>
      </c>
      <c r="F1581" s="5">
        <v>2670.5212796088731</v>
      </c>
    </row>
    <row r="1582" spans="1:6" ht="15.75" customHeight="1" x14ac:dyDescent="0.3">
      <c r="A1582" s="4" t="s">
        <v>40</v>
      </c>
      <c r="B1582" s="2" t="s">
        <v>19</v>
      </c>
      <c r="C1582" s="2" t="s">
        <v>34</v>
      </c>
      <c r="D1582" s="2" t="s">
        <v>9</v>
      </c>
      <c r="E1582" s="2" t="s">
        <v>15</v>
      </c>
      <c r="F1582" s="5">
        <v>919.40386919268167</v>
      </c>
    </row>
    <row r="1583" spans="1:6" ht="15.75" customHeight="1" x14ac:dyDescent="0.3">
      <c r="A1583" s="4" t="s">
        <v>25</v>
      </c>
      <c r="B1583" s="2" t="s">
        <v>19</v>
      </c>
      <c r="C1583" s="2" t="s">
        <v>23</v>
      </c>
      <c r="D1583" s="2" t="s">
        <v>14</v>
      </c>
      <c r="E1583" s="2" t="s">
        <v>24</v>
      </c>
      <c r="F1583" s="5">
        <v>4514.75</v>
      </c>
    </row>
    <row r="1584" spans="1:6" ht="15.75" customHeight="1" x14ac:dyDescent="0.3">
      <c r="A1584" s="4" t="s">
        <v>89</v>
      </c>
      <c r="B1584" s="2" t="s">
        <v>17</v>
      </c>
      <c r="C1584" s="2" t="s">
        <v>34</v>
      </c>
      <c r="D1584" s="2" t="s">
        <v>9</v>
      </c>
      <c r="E1584" s="2" t="s">
        <v>15</v>
      </c>
      <c r="F1584" s="5">
        <v>3766.6019050023579</v>
      </c>
    </row>
    <row r="1585" spans="1:6" ht="15.75" customHeight="1" x14ac:dyDescent="0.3">
      <c r="A1585" s="4" t="s">
        <v>192</v>
      </c>
      <c r="B1585" s="2" t="s">
        <v>19</v>
      </c>
      <c r="C1585" s="2" t="s">
        <v>23</v>
      </c>
      <c r="D1585" s="2" t="s">
        <v>28</v>
      </c>
      <c r="E1585" s="2" t="s">
        <v>10</v>
      </c>
      <c r="F1585" s="5">
        <v>730.13</v>
      </c>
    </row>
    <row r="1586" spans="1:6" ht="15.75" customHeight="1" x14ac:dyDescent="0.3">
      <c r="A1586" s="4" t="s">
        <v>213</v>
      </c>
      <c r="B1586" s="2" t="s">
        <v>12</v>
      </c>
      <c r="C1586" s="2" t="s">
        <v>13</v>
      </c>
      <c r="D1586" s="2" t="s">
        <v>14</v>
      </c>
      <c r="E1586" s="2" t="s">
        <v>24</v>
      </c>
      <c r="F1586" s="5">
        <v>2811.95</v>
      </c>
    </row>
    <row r="1587" spans="1:6" ht="15.75" customHeight="1" x14ac:dyDescent="0.3">
      <c r="A1587" s="4" t="s">
        <v>37</v>
      </c>
      <c r="B1587" s="2" t="s">
        <v>17</v>
      </c>
      <c r="C1587" s="2" t="s">
        <v>13</v>
      </c>
      <c r="D1587" s="2" t="s">
        <v>9</v>
      </c>
      <c r="E1587" s="2" t="s">
        <v>15</v>
      </c>
      <c r="F1587" s="5">
        <v>5044.2036192948008</v>
      </c>
    </row>
    <row r="1588" spans="1:6" ht="15.75" customHeight="1" x14ac:dyDescent="0.3">
      <c r="A1588" s="4" t="s">
        <v>67</v>
      </c>
      <c r="B1588" s="2" t="s">
        <v>7</v>
      </c>
      <c r="C1588" s="2" t="s">
        <v>8</v>
      </c>
      <c r="D1588" s="2" t="s">
        <v>28</v>
      </c>
      <c r="E1588" s="2" t="s">
        <v>15</v>
      </c>
      <c r="F1588" s="5">
        <v>4074.33</v>
      </c>
    </row>
    <row r="1589" spans="1:6" ht="15.75" customHeight="1" x14ac:dyDescent="0.3">
      <c r="A1589" s="4" t="s">
        <v>205</v>
      </c>
      <c r="B1589" s="2" t="s">
        <v>17</v>
      </c>
      <c r="C1589" s="2" t="s">
        <v>8</v>
      </c>
      <c r="D1589" s="2" t="s">
        <v>28</v>
      </c>
      <c r="E1589" s="2" t="s">
        <v>15</v>
      </c>
      <c r="F1589" s="5">
        <v>1048.08</v>
      </c>
    </row>
    <row r="1590" spans="1:6" ht="15.75" customHeight="1" x14ac:dyDescent="0.3">
      <c r="A1590" s="4" t="s">
        <v>160</v>
      </c>
      <c r="B1590" s="2" t="s">
        <v>30</v>
      </c>
      <c r="C1590" s="2" t="s">
        <v>34</v>
      </c>
      <c r="D1590" s="2" t="s">
        <v>9</v>
      </c>
      <c r="E1590" s="2" t="s">
        <v>15</v>
      </c>
      <c r="F1590" s="5">
        <v>3290.44</v>
      </c>
    </row>
    <row r="1591" spans="1:6" ht="15.75" customHeight="1" x14ac:dyDescent="0.3">
      <c r="A1591" s="4" t="s">
        <v>144</v>
      </c>
      <c r="B1591" s="2" t="s">
        <v>30</v>
      </c>
      <c r="C1591" s="2" t="s">
        <v>13</v>
      </c>
      <c r="D1591" s="2" t="s">
        <v>9</v>
      </c>
      <c r="E1591" s="2" t="s">
        <v>10</v>
      </c>
      <c r="F1591" s="5">
        <v>1966.43</v>
      </c>
    </row>
    <row r="1592" spans="1:6" ht="15.75" customHeight="1" x14ac:dyDescent="0.3">
      <c r="A1592" s="4" t="s">
        <v>97</v>
      </c>
      <c r="B1592" s="2" t="s">
        <v>7</v>
      </c>
      <c r="C1592" s="2" t="s">
        <v>8</v>
      </c>
      <c r="D1592" s="2" t="s">
        <v>28</v>
      </c>
      <c r="E1592" s="2" t="s">
        <v>15</v>
      </c>
      <c r="F1592" s="5">
        <v>2842.86</v>
      </c>
    </row>
    <row r="1593" spans="1:6" ht="15.75" customHeight="1" x14ac:dyDescent="0.3">
      <c r="A1593" s="4" t="s">
        <v>189</v>
      </c>
      <c r="B1593" s="2" t="s">
        <v>19</v>
      </c>
      <c r="C1593" s="2" t="s">
        <v>13</v>
      </c>
      <c r="D1593" s="2" t="s">
        <v>14</v>
      </c>
      <c r="E1593" s="2" t="s">
        <v>15</v>
      </c>
      <c r="F1593" s="5">
        <v>2556.0500000000002</v>
      </c>
    </row>
    <row r="1594" spans="1:6" ht="15.75" customHeight="1" x14ac:dyDescent="0.3">
      <c r="A1594" s="4" t="s">
        <v>146</v>
      </c>
      <c r="B1594" s="2" t="s">
        <v>7</v>
      </c>
      <c r="C1594" s="2" t="s">
        <v>23</v>
      </c>
      <c r="D1594" s="2" t="s">
        <v>28</v>
      </c>
      <c r="E1594" s="2" t="s">
        <v>15</v>
      </c>
      <c r="F1594" s="5">
        <v>3688.09</v>
      </c>
    </row>
    <row r="1595" spans="1:6" ht="15.75" customHeight="1" x14ac:dyDescent="0.3">
      <c r="A1595" s="4" t="s">
        <v>56</v>
      </c>
      <c r="B1595" s="2" t="s">
        <v>19</v>
      </c>
      <c r="C1595" s="2" t="s">
        <v>8</v>
      </c>
      <c r="D1595" s="2" t="s">
        <v>9</v>
      </c>
      <c r="E1595" s="2" t="s">
        <v>10</v>
      </c>
      <c r="F1595" s="5">
        <v>3222.3519345452742</v>
      </c>
    </row>
    <row r="1596" spans="1:6" ht="15.75" customHeight="1" x14ac:dyDescent="0.3">
      <c r="A1596" s="4" t="s">
        <v>85</v>
      </c>
      <c r="B1596" s="2" t="s">
        <v>30</v>
      </c>
      <c r="C1596" s="2" t="s">
        <v>23</v>
      </c>
      <c r="D1596" s="2" t="s">
        <v>14</v>
      </c>
      <c r="E1596" s="2" t="s">
        <v>24</v>
      </c>
      <c r="F1596" s="5">
        <v>475.84</v>
      </c>
    </row>
    <row r="1597" spans="1:6" ht="15.75" customHeight="1" x14ac:dyDescent="0.3">
      <c r="A1597" s="4" t="s">
        <v>200</v>
      </c>
      <c r="B1597" s="2" t="s">
        <v>30</v>
      </c>
      <c r="C1597" s="2" t="s">
        <v>8</v>
      </c>
      <c r="D1597" s="2" t="s">
        <v>14</v>
      </c>
      <c r="E1597" s="2" t="s">
        <v>15</v>
      </c>
      <c r="F1597" s="5">
        <v>258.93</v>
      </c>
    </row>
    <row r="1598" spans="1:6" ht="15.75" customHeight="1" x14ac:dyDescent="0.3">
      <c r="A1598" s="4" t="s">
        <v>123</v>
      </c>
      <c r="B1598" s="2" t="s">
        <v>30</v>
      </c>
      <c r="C1598" s="2" t="s">
        <v>8</v>
      </c>
      <c r="D1598" s="2" t="s">
        <v>9</v>
      </c>
      <c r="E1598" s="2" t="s">
        <v>24</v>
      </c>
      <c r="F1598" s="5">
        <v>850.45</v>
      </c>
    </row>
    <row r="1599" spans="1:6" ht="15.75" customHeight="1" x14ac:dyDescent="0.3">
      <c r="A1599" s="4" t="s">
        <v>150</v>
      </c>
      <c r="B1599" s="2" t="s">
        <v>30</v>
      </c>
      <c r="C1599" s="2" t="s">
        <v>34</v>
      </c>
      <c r="D1599" s="2" t="s">
        <v>14</v>
      </c>
      <c r="E1599" s="2" t="s">
        <v>24</v>
      </c>
      <c r="F1599" s="5">
        <v>1887.87</v>
      </c>
    </row>
    <row r="1600" spans="1:6" ht="15.75" customHeight="1" x14ac:dyDescent="0.3">
      <c r="A1600" s="4" t="s">
        <v>100</v>
      </c>
      <c r="B1600" s="2" t="s">
        <v>7</v>
      </c>
      <c r="C1600" s="2" t="s">
        <v>34</v>
      </c>
      <c r="D1600" s="2" t="s">
        <v>28</v>
      </c>
      <c r="E1600" s="2" t="s">
        <v>24</v>
      </c>
      <c r="F1600" s="5">
        <v>533.01</v>
      </c>
    </row>
    <row r="1601" spans="1:6" ht="15.75" customHeight="1" x14ac:dyDescent="0.3">
      <c r="A1601" s="4" t="s">
        <v>132</v>
      </c>
      <c r="B1601" s="2" t="s">
        <v>19</v>
      </c>
      <c r="C1601" s="2" t="s">
        <v>8</v>
      </c>
      <c r="D1601" s="2" t="s">
        <v>28</v>
      </c>
      <c r="E1601" s="2" t="s">
        <v>10</v>
      </c>
      <c r="F1601" s="5">
        <v>572.46</v>
      </c>
    </row>
    <row r="1602" spans="1:6" ht="15.75" customHeight="1" x14ac:dyDescent="0.3">
      <c r="A1602" s="4" t="s">
        <v>20</v>
      </c>
      <c r="B1602" s="2" t="s">
        <v>17</v>
      </c>
      <c r="C1602" s="2" t="s">
        <v>13</v>
      </c>
      <c r="D1602" s="2" t="s">
        <v>28</v>
      </c>
      <c r="E1602" s="2" t="s">
        <v>24</v>
      </c>
      <c r="F1602" s="5">
        <v>4635.99</v>
      </c>
    </row>
    <row r="1603" spans="1:6" ht="15.75" customHeight="1" x14ac:dyDescent="0.3">
      <c r="A1603" s="4" t="s">
        <v>112</v>
      </c>
      <c r="B1603" s="2" t="s">
        <v>30</v>
      </c>
      <c r="C1603" s="2" t="s">
        <v>34</v>
      </c>
      <c r="D1603" s="2" t="s">
        <v>14</v>
      </c>
      <c r="E1603" s="2" t="s">
        <v>24</v>
      </c>
      <c r="F1603" s="5">
        <v>4891.97</v>
      </c>
    </row>
    <row r="1604" spans="1:6" ht="15.75" customHeight="1" x14ac:dyDescent="0.3">
      <c r="A1604" s="4" t="s">
        <v>182</v>
      </c>
      <c r="B1604" s="2" t="s">
        <v>12</v>
      </c>
      <c r="C1604" s="2" t="s">
        <v>23</v>
      </c>
      <c r="D1604" s="2" t="s">
        <v>28</v>
      </c>
      <c r="E1604" s="2" t="s">
        <v>10</v>
      </c>
      <c r="F1604" s="5">
        <v>1184.1400000000001</v>
      </c>
    </row>
    <row r="1605" spans="1:6" ht="15.75" customHeight="1" x14ac:dyDescent="0.3">
      <c r="A1605" s="4" t="s">
        <v>123</v>
      </c>
      <c r="B1605" s="2" t="s">
        <v>30</v>
      </c>
      <c r="C1605" s="2" t="s">
        <v>13</v>
      </c>
      <c r="D1605" s="2" t="s">
        <v>14</v>
      </c>
      <c r="E1605" s="2" t="s">
        <v>15</v>
      </c>
      <c r="F1605" s="5">
        <v>802.03</v>
      </c>
    </row>
    <row r="1606" spans="1:6" ht="15.75" customHeight="1" x14ac:dyDescent="0.3">
      <c r="A1606" s="4" t="s">
        <v>54</v>
      </c>
      <c r="B1606" s="2" t="s">
        <v>12</v>
      </c>
      <c r="C1606" s="2" t="s">
        <v>13</v>
      </c>
      <c r="D1606" s="2" t="s">
        <v>9</v>
      </c>
      <c r="E1606" s="2" t="s">
        <v>10</v>
      </c>
      <c r="F1606" s="5">
        <v>2408.4791696667862</v>
      </c>
    </row>
    <row r="1607" spans="1:6" ht="15.75" customHeight="1" x14ac:dyDescent="0.3">
      <c r="A1607" s="4" t="s">
        <v>161</v>
      </c>
      <c r="B1607" s="2" t="s">
        <v>7</v>
      </c>
      <c r="C1607" s="2" t="s">
        <v>13</v>
      </c>
      <c r="D1607" s="2" t="s">
        <v>9</v>
      </c>
      <c r="E1607" s="2" t="s">
        <v>15</v>
      </c>
      <c r="F1607" s="5">
        <v>3733.1564818639031</v>
      </c>
    </row>
    <row r="1608" spans="1:6" ht="15.75" customHeight="1" x14ac:dyDescent="0.3">
      <c r="A1608" s="4" t="s">
        <v>165</v>
      </c>
      <c r="B1608" s="2" t="s">
        <v>7</v>
      </c>
      <c r="C1608" s="2" t="s">
        <v>23</v>
      </c>
      <c r="D1608" s="2" t="s">
        <v>9</v>
      </c>
      <c r="E1608" s="2" t="s">
        <v>24</v>
      </c>
      <c r="F1608" s="5">
        <v>163.45412294982989</v>
      </c>
    </row>
    <row r="1609" spans="1:6" ht="15.75" customHeight="1" x14ac:dyDescent="0.3">
      <c r="A1609" s="4" t="s">
        <v>125</v>
      </c>
      <c r="B1609" s="2" t="s">
        <v>7</v>
      </c>
      <c r="C1609" s="2" t="s">
        <v>23</v>
      </c>
      <c r="D1609" s="2" t="s">
        <v>14</v>
      </c>
      <c r="E1609" s="2" t="s">
        <v>15</v>
      </c>
      <c r="F1609" s="5">
        <v>106.8</v>
      </c>
    </row>
    <row r="1610" spans="1:6" ht="15.75" customHeight="1" x14ac:dyDescent="0.3">
      <c r="A1610" s="4" t="s">
        <v>122</v>
      </c>
      <c r="B1610" s="2" t="s">
        <v>19</v>
      </c>
      <c r="C1610" s="2" t="s">
        <v>34</v>
      </c>
      <c r="D1610" s="2" t="s">
        <v>14</v>
      </c>
      <c r="E1610" s="2" t="s">
        <v>15</v>
      </c>
      <c r="F1610" s="5">
        <v>2626.92</v>
      </c>
    </row>
    <row r="1611" spans="1:6" ht="15.75" customHeight="1" x14ac:dyDescent="0.3">
      <c r="A1611" s="4" t="s">
        <v>39</v>
      </c>
      <c r="B1611" s="2" t="s">
        <v>7</v>
      </c>
      <c r="C1611" s="2" t="s">
        <v>8</v>
      </c>
      <c r="D1611" s="2" t="s">
        <v>14</v>
      </c>
      <c r="E1611" s="2" t="s">
        <v>15</v>
      </c>
      <c r="F1611" s="5">
        <v>4932.7299999999996</v>
      </c>
    </row>
    <row r="1612" spans="1:6" ht="15.75" customHeight="1" x14ac:dyDescent="0.3">
      <c r="A1612" s="4" t="s">
        <v>198</v>
      </c>
      <c r="B1612" s="2" t="s">
        <v>12</v>
      </c>
      <c r="C1612" s="2" t="s">
        <v>8</v>
      </c>
      <c r="D1612" s="2" t="s">
        <v>28</v>
      </c>
      <c r="E1612" s="2" t="s">
        <v>24</v>
      </c>
      <c r="F1612" s="5">
        <v>2097.4</v>
      </c>
    </row>
    <row r="1613" spans="1:6" ht="15.75" customHeight="1" x14ac:dyDescent="0.3">
      <c r="A1613" s="4" t="s">
        <v>189</v>
      </c>
      <c r="B1613" s="2" t="s">
        <v>19</v>
      </c>
      <c r="C1613" s="2" t="s">
        <v>13</v>
      </c>
      <c r="D1613" s="2" t="s">
        <v>9</v>
      </c>
      <c r="E1613" s="2" t="s">
        <v>15</v>
      </c>
      <c r="F1613" s="5">
        <v>3185.28</v>
      </c>
    </row>
    <row r="1614" spans="1:6" ht="15.75" customHeight="1" x14ac:dyDescent="0.3">
      <c r="A1614" s="4" t="s">
        <v>124</v>
      </c>
      <c r="B1614" s="2" t="s">
        <v>12</v>
      </c>
      <c r="C1614" s="2" t="s">
        <v>34</v>
      </c>
      <c r="D1614" s="2" t="s">
        <v>14</v>
      </c>
      <c r="E1614" s="2" t="s">
        <v>10</v>
      </c>
      <c r="F1614" s="5">
        <v>3081.68</v>
      </c>
    </row>
    <row r="1615" spans="1:6" ht="15.75" customHeight="1" x14ac:dyDescent="0.3">
      <c r="A1615" s="4" t="s">
        <v>209</v>
      </c>
      <c r="B1615" s="2" t="s">
        <v>7</v>
      </c>
      <c r="C1615" s="2" t="s">
        <v>13</v>
      </c>
      <c r="D1615" s="2" t="s">
        <v>28</v>
      </c>
      <c r="E1615" s="2" t="s">
        <v>15</v>
      </c>
      <c r="F1615" s="5">
        <v>1531.36</v>
      </c>
    </row>
    <row r="1616" spans="1:6" ht="15.75" customHeight="1" x14ac:dyDescent="0.3">
      <c r="A1616" s="4" t="s">
        <v>202</v>
      </c>
      <c r="B1616" s="2" t="s">
        <v>12</v>
      </c>
      <c r="C1616" s="2" t="s">
        <v>34</v>
      </c>
      <c r="D1616" s="2" t="s">
        <v>14</v>
      </c>
      <c r="E1616" s="2" t="s">
        <v>10</v>
      </c>
      <c r="F1616" s="5">
        <v>1564.12</v>
      </c>
    </row>
    <row r="1617" spans="1:6" ht="15.75" customHeight="1" x14ac:dyDescent="0.3">
      <c r="A1617" s="4" t="s">
        <v>101</v>
      </c>
      <c r="B1617" s="2" t="s">
        <v>19</v>
      </c>
      <c r="C1617" s="2" t="s">
        <v>23</v>
      </c>
      <c r="D1617" s="2" t="s">
        <v>28</v>
      </c>
      <c r="E1617" s="2" t="s">
        <v>10</v>
      </c>
      <c r="F1617" s="5">
        <v>3016.94</v>
      </c>
    </row>
    <row r="1618" spans="1:6" ht="15.75" customHeight="1" x14ac:dyDescent="0.3">
      <c r="A1618" s="4" t="s">
        <v>56</v>
      </c>
      <c r="B1618" s="2" t="s">
        <v>19</v>
      </c>
      <c r="C1618" s="2" t="s">
        <v>34</v>
      </c>
      <c r="D1618" s="2" t="s">
        <v>9</v>
      </c>
      <c r="E1618" s="2" t="s">
        <v>15</v>
      </c>
      <c r="F1618" s="5">
        <v>3853.1870265044672</v>
      </c>
    </row>
    <row r="1619" spans="1:6" ht="15.75" customHeight="1" x14ac:dyDescent="0.3">
      <c r="A1619" s="4" t="s">
        <v>171</v>
      </c>
      <c r="B1619" s="2" t="s">
        <v>17</v>
      </c>
      <c r="C1619" s="2" t="s">
        <v>23</v>
      </c>
      <c r="D1619" s="2" t="s">
        <v>28</v>
      </c>
      <c r="E1619" s="2" t="s">
        <v>10</v>
      </c>
      <c r="F1619" s="5">
        <v>459.36</v>
      </c>
    </row>
    <row r="1620" spans="1:6" ht="15.75" customHeight="1" x14ac:dyDescent="0.3">
      <c r="A1620" s="4" t="s">
        <v>216</v>
      </c>
      <c r="B1620" s="2" t="s">
        <v>17</v>
      </c>
      <c r="C1620" s="2" t="s">
        <v>23</v>
      </c>
      <c r="D1620" s="2" t="s">
        <v>14</v>
      </c>
      <c r="E1620" s="2" t="s">
        <v>15</v>
      </c>
      <c r="F1620" s="5">
        <v>2792.22</v>
      </c>
    </row>
    <row r="1621" spans="1:6" ht="15.75" customHeight="1" x14ac:dyDescent="0.3">
      <c r="A1621" s="4" t="s">
        <v>53</v>
      </c>
      <c r="B1621" s="2" t="s">
        <v>7</v>
      </c>
      <c r="C1621" s="2" t="s">
        <v>34</v>
      </c>
      <c r="D1621" s="2" t="s">
        <v>28</v>
      </c>
      <c r="E1621" s="2" t="s">
        <v>15</v>
      </c>
      <c r="F1621" s="5">
        <v>4129.93</v>
      </c>
    </row>
    <row r="1622" spans="1:6" ht="15.75" customHeight="1" x14ac:dyDescent="0.3">
      <c r="A1622" s="4" t="s">
        <v>192</v>
      </c>
      <c r="B1622" s="2" t="s">
        <v>19</v>
      </c>
      <c r="C1622" s="2" t="s">
        <v>34</v>
      </c>
      <c r="D1622" s="2" t="s">
        <v>28</v>
      </c>
      <c r="E1622" s="2" t="s">
        <v>15</v>
      </c>
      <c r="F1622" s="5">
        <v>2515.67</v>
      </c>
    </row>
    <row r="1623" spans="1:6" ht="15.75" customHeight="1" x14ac:dyDescent="0.3">
      <c r="A1623" s="4" t="s">
        <v>37</v>
      </c>
      <c r="B1623" s="2" t="s">
        <v>17</v>
      </c>
      <c r="C1623" s="2" t="s">
        <v>13</v>
      </c>
      <c r="D1623" s="2" t="s">
        <v>9</v>
      </c>
      <c r="E1623" s="2" t="s">
        <v>10</v>
      </c>
      <c r="F1623" s="5">
        <v>1577.95205871657</v>
      </c>
    </row>
    <row r="1624" spans="1:6" ht="15.75" customHeight="1" x14ac:dyDescent="0.3">
      <c r="A1624" s="4" t="s">
        <v>102</v>
      </c>
      <c r="B1624" s="2" t="s">
        <v>19</v>
      </c>
      <c r="C1624" s="2" t="s">
        <v>13</v>
      </c>
      <c r="D1624" s="2" t="s">
        <v>9</v>
      </c>
      <c r="E1624" s="2" t="s">
        <v>24</v>
      </c>
      <c r="F1624" s="5">
        <v>4224.2000388664992</v>
      </c>
    </row>
    <row r="1625" spans="1:6" ht="15.75" customHeight="1" x14ac:dyDescent="0.3">
      <c r="A1625" s="4" t="s">
        <v>101</v>
      </c>
      <c r="B1625" s="2" t="s">
        <v>19</v>
      </c>
      <c r="C1625" s="2" t="s">
        <v>23</v>
      </c>
      <c r="D1625" s="2" t="s">
        <v>9</v>
      </c>
      <c r="E1625" s="2" t="s">
        <v>24</v>
      </c>
      <c r="F1625" s="5">
        <v>4932.4016641635462</v>
      </c>
    </row>
    <row r="1626" spans="1:6" ht="15.75" customHeight="1" x14ac:dyDescent="0.3">
      <c r="A1626" s="4" t="s">
        <v>212</v>
      </c>
      <c r="B1626" s="2" t="s">
        <v>7</v>
      </c>
      <c r="C1626" s="2" t="s">
        <v>13</v>
      </c>
      <c r="D1626" s="2" t="s">
        <v>28</v>
      </c>
      <c r="E1626" s="2" t="s">
        <v>10</v>
      </c>
      <c r="F1626" s="5">
        <v>1505.22</v>
      </c>
    </row>
    <row r="1627" spans="1:6" ht="15.75" customHeight="1" x14ac:dyDescent="0.3">
      <c r="A1627" s="4" t="s">
        <v>141</v>
      </c>
      <c r="B1627" s="2" t="s">
        <v>7</v>
      </c>
      <c r="C1627" s="2" t="s">
        <v>23</v>
      </c>
      <c r="D1627" s="2" t="s">
        <v>9</v>
      </c>
      <c r="E1627" s="2" t="s">
        <v>15</v>
      </c>
      <c r="F1627" s="5">
        <v>2186.8441340138479</v>
      </c>
    </row>
    <row r="1628" spans="1:6" ht="15.75" customHeight="1" x14ac:dyDescent="0.3">
      <c r="A1628" s="4" t="s">
        <v>165</v>
      </c>
      <c r="B1628" s="2" t="s">
        <v>7</v>
      </c>
      <c r="C1628" s="2" t="s">
        <v>13</v>
      </c>
      <c r="D1628" s="2" t="s">
        <v>14</v>
      </c>
      <c r="E1628" s="2" t="s">
        <v>10</v>
      </c>
      <c r="F1628" s="5">
        <v>1236.5999999999999</v>
      </c>
    </row>
    <row r="1629" spans="1:6" ht="15.75" customHeight="1" x14ac:dyDescent="0.3">
      <c r="A1629" s="4" t="s">
        <v>169</v>
      </c>
      <c r="B1629" s="2" t="s">
        <v>12</v>
      </c>
      <c r="C1629" s="2" t="s">
        <v>34</v>
      </c>
      <c r="D1629" s="2" t="s">
        <v>14</v>
      </c>
      <c r="E1629" s="2" t="s">
        <v>10</v>
      </c>
      <c r="F1629" s="5">
        <v>950.62</v>
      </c>
    </row>
    <row r="1630" spans="1:6" ht="15.75" customHeight="1" x14ac:dyDescent="0.3">
      <c r="A1630" s="4" t="s">
        <v>212</v>
      </c>
      <c r="B1630" s="2" t="s">
        <v>7</v>
      </c>
      <c r="C1630" s="2" t="s">
        <v>34</v>
      </c>
      <c r="D1630" s="2" t="s">
        <v>9</v>
      </c>
      <c r="E1630" s="2" t="s">
        <v>10</v>
      </c>
      <c r="F1630" s="5">
        <v>1417.732332199746</v>
      </c>
    </row>
    <row r="1631" spans="1:6" ht="15.75" customHeight="1" x14ac:dyDescent="0.3">
      <c r="A1631" s="4" t="s">
        <v>153</v>
      </c>
      <c r="B1631" s="2" t="s">
        <v>7</v>
      </c>
      <c r="C1631" s="2" t="s">
        <v>8</v>
      </c>
      <c r="D1631" s="2" t="s">
        <v>14</v>
      </c>
      <c r="E1631" s="2" t="s">
        <v>10</v>
      </c>
      <c r="F1631" s="5">
        <v>1840.6</v>
      </c>
    </row>
    <row r="1632" spans="1:6" ht="15.75" customHeight="1" x14ac:dyDescent="0.3">
      <c r="A1632" s="4" t="s">
        <v>91</v>
      </c>
      <c r="B1632" s="2" t="s">
        <v>30</v>
      </c>
      <c r="C1632" s="2" t="s">
        <v>34</v>
      </c>
      <c r="D1632" s="2" t="s">
        <v>28</v>
      </c>
      <c r="E1632" s="2" t="s">
        <v>15</v>
      </c>
      <c r="F1632" s="5">
        <v>136.41</v>
      </c>
    </row>
    <row r="1633" spans="1:6" ht="15.75" customHeight="1" x14ac:dyDescent="0.3">
      <c r="A1633" s="4" t="s">
        <v>39</v>
      </c>
      <c r="B1633" s="2" t="s">
        <v>7</v>
      </c>
      <c r="C1633" s="2" t="s">
        <v>23</v>
      </c>
      <c r="D1633" s="2" t="s">
        <v>14</v>
      </c>
      <c r="E1633" s="2" t="s">
        <v>24</v>
      </c>
      <c r="F1633" s="5">
        <v>2167.6999999999998</v>
      </c>
    </row>
    <row r="1634" spans="1:6" ht="15.75" customHeight="1" x14ac:dyDescent="0.3">
      <c r="A1634" s="4" t="s">
        <v>68</v>
      </c>
      <c r="B1634" s="2" t="s">
        <v>12</v>
      </c>
      <c r="C1634" s="2" t="s">
        <v>13</v>
      </c>
      <c r="D1634" s="2" t="s">
        <v>28</v>
      </c>
      <c r="E1634" s="2" t="s">
        <v>24</v>
      </c>
      <c r="F1634" s="5">
        <v>3755.45</v>
      </c>
    </row>
    <row r="1635" spans="1:6" ht="15.75" customHeight="1" x14ac:dyDescent="0.3">
      <c r="A1635" s="4" t="s">
        <v>110</v>
      </c>
      <c r="B1635" s="2" t="s">
        <v>12</v>
      </c>
      <c r="C1635" s="2" t="s">
        <v>13</v>
      </c>
      <c r="D1635" s="2" t="s">
        <v>28</v>
      </c>
      <c r="E1635" s="2" t="s">
        <v>10</v>
      </c>
      <c r="F1635" s="5">
        <v>1313.84</v>
      </c>
    </row>
    <row r="1636" spans="1:6" ht="15.75" customHeight="1" x14ac:dyDescent="0.3">
      <c r="A1636" s="4" t="s">
        <v>142</v>
      </c>
      <c r="B1636" s="2" t="s">
        <v>17</v>
      </c>
      <c r="C1636" s="2" t="s">
        <v>13</v>
      </c>
      <c r="D1636" s="2" t="s">
        <v>9</v>
      </c>
      <c r="E1636" s="2" t="s">
        <v>10</v>
      </c>
      <c r="F1636" s="5">
        <v>460.07946664854308</v>
      </c>
    </row>
    <row r="1637" spans="1:6" ht="15.75" customHeight="1" x14ac:dyDescent="0.3">
      <c r="A1637" s="4" t="s">
        <v>181</v>
      </c>
      <c r="B1637" s="2" t="s">
        <v>30</v>
      </c>
      <c r="C1637" s="2" t="s">
        <v>13</v>
      </c>
      <c r="D1637" s="2" t="s">
        <v>9</v>
      </c>
      <c r="E1637" s="2" t="s">
        <v>24</v>
      </c>
      <c r="F1637" s="5">
        <v>2230.0799235697232</v>
      </c>
    </row>
    <row r="1638" spans="1:6" ht="15.75" customHeight="1" x14ac:dyDescent="0.3">
      <c r="A1638" s="4" t="s">
        <v>21</v>
      </c>
      <c r="B1638" s="2" t="s">
        <v>19</v>
      </c>
      <c r="C1638" s="2" t="s">
        <v>8</v>
      </c>
      <c r="D1638" s="2" t="s">
        <v>14</v>
      </c>
      <c r="E1638" s="2" t="s">
        <v>24</v>
      </c>
      <c r="F1638" s="5">
        <v>324.83</v>
      </c>
    </row>
    <row r="1639" spans="1:6" ht="15.75" customHeight="1" x14ac:dyDescent="0.3">
      <c r="A1639" s="4" t="s">
        <v>218</v>
      </c>
      <c r="B1639" s="2" t="s">
        <v>17</v>
      </c>
      <c r="C1639" s="2" t="s">
        <v>23</v>
      </c>
      <c r="D1639" s="2" t="s">
        <v>9</v>
      </c>
      <c r="E1639" s="2" t="s">
        <v>10</v>
      </c>
      <c r="F1639" s="5">
        <v>621.2690253528915</v>
      </c>
    </row>
    <row r="1640" spans="1:6" ht="15.75" customHeight="1" x14ac:dyDescent="0.3">
      <c r="A1640" s="4" t="s">
        <v>187</v>
      </c>
      <c r="B1640" s="2" t="s">
        <v>19</v>
      </c>
      <c r="C1640" s="2" t="s">
        <v>23</v>
      </c>
      <c r="D1640" s="2" t="s">
        <v>28</v>
      </c>
      <c r="E1640" s="2" t="s">
        <v>10</v>
      </c>
      <c r="F1640" s="5">
        <v>1054.75</v>
      </c>
    </row>
    <row r="1641" spans="1:6" ht="15.75" customHeight="1" x14ac:dyDescent="0.3">
      <c r="A1641" s="4" t="s">
        <v>100</v>
      </c>
      <c r="B1641" s="2" t="s">
        <v>7</v>
      </c>
      <c r="C1641" s="2" t="s">
        <v>13</v>
      </c>
      <c r="D1641" s="2" t="s">
        <v>9</v>
      </c>
      <c r="E1641" s="2" t="s">
        <v>15</v>
      </c>
      <c r="F1641" s="5">
        <v>5086.7290375983321</v>
      </c>
    </row>
    <row r="1642" spans="1:6" ht="15.75" customHeight="1" x14ac:dyDescent="0.3">
      <c r="A1642" s="4" t="s">
        <v>206</v>
      </c>
      <c r="B1642" s="2" t="s">
        <v>19</v>
      </c>
      <c r="C1642" s="2" t="s">
        <v>23</v>
      </c>
      <c r="D1642" s="2" t="s">
        <v>28</v>
      </c>
      <c r="E1642" s="2" t="s">
        <v>24</v>
      </c>
      <c r="F1642" s="5">
        <v>733.07</v>
      </c>
    </row>
    <row r="1643" spans="1:6" ht="15.75" customHeight="1" x14ac:dyDescent="0.3">
      <c r="A1643" s="4" t="s">
        <v>108</v>
      </c>
      <c r="B1643" s="2" t="s">
        <v>7</v>
      </c>
      <c r="C1643" s="2" t="s">
        <v>13</v>
      </c>
      <c r="D1643" s="2" t="s">
        <v>14</v>
      </c>
      <c r="E1643" s="2" t="s">
        <v>24</v>
      </c>
      <c r="F1643" s="5">
        <v>4608.12</v>
      </c>
    </row>
    <row r="1644" spans="1:6" ht="15.75" customHeight="1" x14ac:dyDescent="0.3">
      <c r="A1644" s="4" t="s">
        <v>44</v>
      </c>
      <c r="B1644" s="2" t="s">
        <v>19</v>
      </c>
      <c r="C1644" s="2" t="s">
        <v>23</v>
      </c>
      <c r="D1644" s="2" t="s">
        <v>28</v>
      </c>
      <c r="E1644" s="2" t="s">
        <v>10</v>
      </c>
      <c r="F1644" s="5">
        <v>3092.45</v>
      </c>
    </row>
    <row r="1645" spans="1:6" ht="15.75" customHeight="1" x14ac:dyDescent="0.3">
      <c r="A1645" s="4" t="s">
        <v>61</v>
      </c>
      <c r="B1645" s="2" t="s">
        <v>30</v>
      </c>
      <c r="C1645" s="2" t="s">
        <v>34</v>
      </c>
      <c r="D1645" s="2" t="s">
        <v>14</v>
      </c>
      <c r="E1645" s="2" t="s">
        <v>15</v>
      </c>
      <c r="F1645" s="5">
        <v>824.2</v>
      </c>
    </row>
    <row r="1646" spans="1:6" ht="15.75" customHeight="1" x14ac:dyDescent="0.3">
      <c r="A1646" s="4" t="s">
        <v>58</v>
      </c>
      <c r="B1646" s="2" t="s">
        <v>17</v>
      </c>
      <c r="C1646" s="2" t="s">
        <v>8</v>
      </c>
      <c r="D1646" s="2" t="s">
        <v>28</v>
      </c>
      <c r="E1646" s="2" t="s">
        <v>10</v>
      </c>
      <c r="F1646" s="5">
        <v>1816.62</v>
      </c>
    </row>
    <row r="1647" spans="1:6" ht="15.75" customHeight="1" x14ac:dyDescent="0.3">
      <c r="A1647" s="4" t="s">
        <v>142</v>
      </c>
      <c r="B1647" s="2" t="s">
        <v>17</v>
      </c>
      <c r="C1647" s="2" t="s">
        <v>13</v>
      </c>
      <c r="D1647" s="2" t="s">
        <v>9</v>
      </c>
      <c r="E1647" s="2" t="s">
        <v>15</v>
      </c>
      <c r="F1647" s="5">
        <v>1750.3216249453001</v>
      </c>
    </row>
    <row r="1648" spans="1:6" ht="15.75" customHeight="1" x14ac:dyDescent="0.3">
      <c r="A1648" s="4" t="s">
        <v>183</v>
      </c>
      <c r="B1648" s="2" t="s">
        <v>7</v>
      </c>
      <c r="C1648" s="2" t="s">
        <v>13</v>
      </c>
      <c r="D1648" s="2" t="s">
        <v>9</v>
      </c>
      <c r="E1648" s="2" t="s">
        <v>10</v>
      </c>
      <c r="F1648" s="5">
        <v>4387.1743156584853</v>
      </c>
    </row>
    <row r="1649" spans="1:6" ht="15.75" customHeight="1" x14ac:dyDescent="0.3">
      <c r="A1649" s="4" t="s">
        <v>219</v>
      </c>
      <c r="B1649" s="2" t="s">
        <v>12</v>
      </c>
      <c r="C1649" s="2" t="s">
        <v>23</v>
      </c>
      <c r="D1649" s="2" t="s">
        <v>28</v>
      </c>
      <c r="E1649" s="2" t="s">
        <v>24</v>
      </c>
      <c r="F1649" s="5">
        <v>3959.46</v>
      </c>
    </row>
    <row r="1650" spans="1:6" ht="15.75" customHeight="1" x14ac:dyDescent="0.3">
      <c r="A1650" s="4" t="s">
        <v>38</v>
      </c>
      <c r="B1650" s="2" t="s">
        <v>30</v>
      </c>
      <c r="C1650" s="2" t="s">
        <v>23</v>
      </c>
      <c r="D1650" s="2" t="s">
        <v>28</v>
      </c>
      <c r="E1650" s="2" t="s">
        <v>24</v>
      </c>
      <c r="F1650" s="5">
        <v>976.87</v>
      </c>
    </row>
    <row r="1651" spans="1:6" ht="15.75" customHeight="1" x14ac:dyDescent="0.3">
      <c r="A1651" s="4" t="s">
        <v>90</v>
      </c>
      <c r="B1651" s="2" t="s">
        <v>19</v>
      </c>
      <c r="C1651" s="2" t="s">
        <v>8</v>
      </c>
      <c r="D1651" s="2" t="s">
        <v>14</v>
      </c>
      <c r="E1651" s="2" t="s">
        <v>24</v>
      </c>
      <c r="F1651" s="5">
        <v>836.5</v>
      </c>
    </row>
    <row r="1652" spans="1:6" ht="15.75" customHeight="1" x14ac:dyDescent="0.3">
      <c r="A1652" s="4" t="s">
        <v>184</v>
      </c>
      <c r="B1652" s="2" t="s">
        <v>30</v>
      </c>
      <c r="C1652" s="2" t="s">
        <v>34</v>
      </c>
      <c r="D1652" s="2" t="s">
        <v>14</v>
      </c>
      <c r="E1652" s="2" t="s">
        <v>15</v>
      </c>
      <c r="F1652" s="5">
        <v>4095.46</v>
      </c>
    </row>
    <row r="1653" spans="1:6" ht="15.75" customHeight="1" x14ac:dyDescent="0.3">
      <c r="A1653" s="4" t="s">
        <v>109</v>
      </c>
      <c r="B1653" s="2" t="s">
        <v>12</v>
      </c>
      <c r="C1653" s="2" t="s">
        <v>23</v>
      </c>
      <c r="D1653" s="2" t="s">
        <v>28</v>
      </c>
      <c r="E1653" s="2" t="s">
        <v>15</v>
      </c>
      <c r="F1653" s="5">
        <v>3574.84</v>
      </c>
    </row>
    <row r="1654" spans="1:6" ht="15.75" customHeight="1" x14ac:dyDescent="0.3">
      <c r="A1654" s="4" t="s">
        <v>186</v>
      </c>
      <c r="B1654" s="2" t="s">
        <v>30</v>
      </c>
      <c r="C1654" s="2" t="s">
        <v>34</v>
      </c>
      <c r="D1654" s="2" t="s">
        <v>28</v>
      </c>
      <c r="E1654" s="2" t="s">
        <v>24</v>
      </c>
      <c r="F1654" s="5">
        <v>4705.34</v>
      </c>
    </row>
    <row r="1655" spans="1:6" ht="15.75" customHeight="1" x14ac:dyDescent="0.3">
      <c r="A1655" s="4" t="s">
        <v>177</v>
      </c>
      <c r="B1655" s="2" t="s">
        <v>7</v>
      </c>
      <c r="C1655" s="2" t="s">
        <v>13</v>
      </c>
      <c r="D1655" s="2" t="s">
        <v>14</v>
      </c>
      <c r="E1655" s="2" t="s">
        <v>24</v>
      </c>
      <c r="F1655" s="5">
        <v>4617.59</v>
      </c>
    </row>
    <row r="1656" spans="1:6" ht="15.75" customHeight="1" x14ac:dyDescent="0.3">
      <c r="A1656" s="4" t="s">
        <v>205</v>
      </c>
      <c r="B1656" s="2" t="s">
        <v>17</v>
      </c>
      <c r="C1656" s="2" t="s">
        <v>8</v>
      </c>
      <c r="D1656" s="2" t="s">
        <v>14</v>
      </c>
      <c r="E1656" s="2" t="s">
        <v>10</v>
      </c>
      <c r="F1656" s="5">
        <v>3378.57</v>
      </c>
    </row>
    <row r="1657" spans="1:6" ht="15.75" customHeight="1" x14ac:dyDescent="0.3">
      <c r="A1657" s="4" t="s">
        <v>18</v>
      </c>
      <c r="B1657" s="2" t="s">
        <v>19</v>
      </c>
      <c r="C1657" s="2" t="s">
        <v>23</v>
      </c>
      <c r="D1657" s="2" t="s">
        <v>28</v>
      </c>
      <c r="E1657" s="2" t="s">
        <v>10</v>
      </c>
      <c r="F1657" s="5">
        <v>1071.83</v>
      </c>
    </row>
    <row r="1658" spans="1:6" ht="15.75" customHeight="1" x14ac:dyDescent="0.3">
      <c r="A1658" s="4" t="s">
        <v>162</v>
      </c>
      <c r="B1658" s="2" t="s">
        <v>30</v>
      </c>
      <c r="C1658" s="2" t="s">
        <v>13</v>
      </c>
      <c r="D1658" s="2" t="s">
        <v>9</v>
      </c>
      <c r="E1658" s="2" t="s">
        <v>24</v>
      </c>
      <c r="F1658" s="5">
        <v>958.65437716918689</v>
      </c>
    </row>
    <row r="1659" spans="1:6" ht="15.75" customHeight="1" x14ac:dyDescent="0.3">
      <c r="A1659" s="4" t="s">
        <v>37</v>
      </c>
      <c r="B1659" s="2" t="s">
        <v>17</v>
      </c>
      <c r="C1659" s="2" t="s">
        <v>23</v>
      </c>
      <c r="D1659" s="2" t="s">
        <v>9</v>
      </c>
      <c r="E1659" s="2" t="s">
        <v>24</v>
      </c>
      <c r="F1659" s="5">
        <v>1194.635671173168</v>
      </c>
    </row>
    <row r="1660" spans="1:6" ht="15.75" customHeight="1" x14ac:dyDescent="0.3">
      <c r="A1660" s="4" t="s">
        <v>156</v>
      </c>
      <c r="B1660" s="2" t="s">
        <v>17</v>
      </c>
      <c r="C1660" s="2" t="s">
        <v>34</v>
      </c>
      <c r="D1660" s="2" t="s">
        <v>9</v>
      </c>
      <c r="E1660" s="2" t="s">
        <v>24</v>
      </c>
      <c r="F1660" s="5">
        <v>1366.745650248869</v>
      </c>
    </row>
    <row r="1661" spans="1:6" ht="15.75" customHeight="1" x14ac:dyDescent="0.3">
      <c r="A1661" s="4" t="s">
        <v>65</v>
      </c>
      <c r="B1661" s="2" t="s">
        <v>30</v>
      </c>
      <c r="C1661" s="2" t="s">
        <v>23</v>
      </c>
      <c r="D1661" s="2" t="s">
        <v>14</v>
      </c>
      <c r="E1661" s="2" t="s">
        <v>15</v>
      </c>
      <c r="F1661" s="5">
        <v>1936.56</v>
      </c>
    </row>
    <row r="1662" spans="1:6" ht="15.75" customHeight="1" x14ac:dyDescent="0.3">
      <c r="A1662" s="4" t="s">
        <v>27</v>
      </c>
      <c r="B1662" s="2" t="s">
        <v>12</v>
      </c>
      <c r="C1662" s="2" t="s">
        <v>13</v>
      </c>
      <c r="D1662" s="2" t="s">
        <v>9</v>
      </c>
      <c r="E1662" s="2" t="s">
        <v>10</v>
      </c>
      <c r="F1662" s="5">
        <v>872.02317374654501</v>
      </c>
    </row>
    <row r="1663" spans="1:6" ht="15.75" customHeight="1" x14ac:dyDescent="0.3">
      <c r="A1663" s="4" t="s">
        <v>58</v>
      </c>
      <c r="B1663" s="2" t="s">
        <v>17</v>
      </c>
      <c r="C1663" s="2" t="s">
        <v>34</v>
      </c>
      <c r="D1663" s="2" t="s">
        <v>28</v>
      </c>
      <c r="E1663" s="2" t="s">
        <v>15</v>
      </c>
      <c r="F1663" s="5">
        <v>4730.6899999999996</v>
      </c>
    </row>
    <row r="1664" spans="1:6" ht="15.75" customHeight="1" x14ac:dyDescent="0.3">
      <c r="A1664" s="4" t="s">
        <v>96</v>
      </c>
      <c r="B1664" s="2" t="s">
        <v>19</v>
      </c>
      <c r="C1664" s="2" t="s">
        <v>13</v>
      </c>
      <c r="D1664" s="2" t="s">
        <v>9</v>
      </c>
      <c r="E1664" s="2" t="s">
        <v>10</v>
      </c>
      <c r="F1664" s="5">
        <v>3135.117118529542</v>
      </c>
    </row>
    <row r="1665" spans="1:6" ht="15.75" customHeight="1" x14ac:dyDescent="0.3">
      <c r="A1665" s="4" t="s">
        <v>190</v>
      </c>
      <c r="B1665" s="2" t="s">
        <v>17</v>
      </c>
      <c r="C1665" s="2" t="s">
        <v>23</v>
      </c>
      <c r="D1665" s="2" t="s">
        <v>9</v>
      </c>
      <c r="E1665" s="2" t="s">
        <v>15</v>
      </c>
      <c r="F1665" s="5">
        <v>1288.6939265300091</v>
      </c>
    </row>
    <row r="1666" spans="1:6" ht="15.75" customHeight="1" x14ac:dyDescent="0.3">
      <c r="A1666" s="4" t="s">
        <v>66</v>
      </c>
      <c r="B1666" s="2" t="s">
        <v>30</v>
      </c>
      <c r="C1666" s="2" t="s">
        <v>8</v>
      </c>
      <c r="D1666" s="2" t="s">
        <v>14</v>
      </c>
      <c r="E1666" s="2" t="s">
        <v>10</v>
      </c>
      <c r="F1666" s="5">
        <v>3302.89</v>
      </c>
    </row>
    <row r="1667" spans="1:6" ht="15.75" customHeight="1" x14ac:dyDescent="0.3">
      <c r="A1667" s="4" t="s">
        <v>191</v>
      </c>
      <c r="B1667" s="2" t="s">
        <v>12</v>
      </c>
      <c r="C1667" s="2" t="s">
        <v>13</v>
      </c>
      <c r="D1667" s="2" t="s">
        <v>28</v>
      </c>
      <c r="E1667" s="2" t="s">
        <v>15</v>
      </c>
      <c r="F1667" s="5">
        <v>1167.23</v>
      </c>
    </row>
    <row r="1668" spans="1:6" ht="15.75" customHeight="1" x14ac:dyDescent="0.3">
      <c r="A1668" s="4" t="s">
        <v>33</v>
      </c>
      <c r="B1668" s="2" t="s">
        <v>19</v>
      </c>
      <c r="C1668" s="2" t="s">
        <v>34</v>
      </c>
      <c r="D1668" s="2" t="s">
        <v>9</v>
      </c>
      <c r="E1668" s="2" t="s">
        <v>10</v>
      </c>
      <c r="F1668" s="5">
        <v>1716.9930868028821</v>
      </c>
    </row>
    <row r="1669" spans="1:6" ht="15.75" customHeight="1" x14ac:dyDescent="0.3">
      <c r="A1669" s="4" t="s">
        <v>43</v>
      </c>
      <c r="B1669" s="2" t="s">
        <v>17</v>
      </c>
      <c r="C1669" s="2" t="s">
        <v>13</v>
      </c>
      <c r="D1669" s="2" t="s">
        <v>28</v>
      </c>
      <c r="E1669" s="2" t="s">
        <v>24</v>
      </c>
      <c r="F1669" s="5">
        <v>2018.44</v>
      </c>
    </row>
    <row r="1670" spans="1:6" ht="15.75" customHeight="1" x14ac:dyDescent="0.3">
      <c r="A1670" s="4" t="s">
        <v>122</v>
      </c>
      <c r="B1670" s="2" t="s">
        <v>19</v>
      </c>
      <c r="C1670" s="2" t="s">
        <v>23</v>
      </c>
      <c r="D1670" s="2" t="s">
        <v>9</v>
      </c>
      <c r="E1670" s="2" t="s">
        <v>10</v>
      </c>
      <c r="F1670" s="5">
        <v>5025.5408007946016</v>
      </c>
    </row>
    <row r="1671" spans="1:6" ht="15.75" customHeight="1" x14ac:dyDescent="0.3">
      <c r="A1671" s="4" t="s">
        <v>137</v>
      </c>
      <c r="B1671" s="2" t="s">
        <v>17</v>
      </c>
      <c r="C1671" s="2" t="s">
        <v>34</v>
      </c>
      <c r="D1671" s="2" t="s">
        <v>9</v>
      </c>
      <c r="E1671" s="2" t="s">
        <v>15</v>
      </c>
      <c r="F1671" s="5">
        <v>2513.2965161189809</v>
      </c>
    </row>
    <row r="1672" spans="1:6" ht="15.75" customHeight="1" x14ac:dyDescent="0.3">
      <c r="A1672" s="4" t="s">
        <v>166</v>
      </c>
      <c r="B1672" s="2" t="s">
        <v>7</v>
      </c>
      <c r="C1672" s="2" t="s">
        <v>8</v>
      </c>
      <c r="D1672" s="2" t="s">
        <v>14</v>
      </c>
      <c r="E1672" s="2" t="s">
        <v>15</v>
      </c>
      <c r="F1672" s="5">
        <v>2145.48</v>
      </c>
    </row>
    <row r="1673" spans="1:6" ht="15.75" customHeight="1" x14ac:dyDescent="0.3">
      <c r="A1673" s="4" t="s">
        <v>29</v>
      </c>
      <c r="B1673" s="2" t="s">
        <v>30</v>
      </c>
      <c r="C1673" s="2" t="s">
        <v>13</v>
      </c>
      <c r="D1673" s="2" t="s">
        <v>14</v>
      </c>
      <c r="E1673" s="2" t="s">
        <v>10</v>
      </c>
      <c r="F1673" s="5">
        <v>1701.79</v>
      </c>
    </row>
    <row r="1674" spans="1:6" ht="15.75" customHeight="1" x14ac:dyDescent="0.3">
      <c r="A1674" s="4" t="s">
        <v>99</v>
      </c>
      <c r="B1674" s="2" t="s">
        <v>19</v>
      </c>
      <c r="C1674" s="2" t="s">
        <v>34</v>
      </c>
      <c r="D1674" s="2" t="s">
        <v>28</v>
      </c>
      <c r="E1674" s="2" t="s">
        <v>15</v>
      </c>
      <c r="F1674" s="5">
        <v>1017.33</v>
      </c>
    </row>
    <row r="1675" spans="1:6" ht="15.75" customHeight="1" x14ac:dyDescent="0.3">
      <c r="A1675" s="4" t="s">
        <v>137</v>
      </c>
      <c r="B1675" s="2" t="s">
        <v>17</v>
      </c>
      <c r="C1675" s="2" t="s">
        <v>8</v>
      </c>
      <c r="D1675" s="2" t="s">
        <v>28</v>
      </c>
      <c r="E1675" s="2" t="s">
        <v>15</v>
      </c>
      <c r="F1675" s="5">
        <v>4417.58</v>
      </c>
    </row>
    <row r="1676" spans="1:6" ht="15.75" customHeight="1" x14ac:dyDescent="0.3">
      <c r="A1676" s="4" t="s">
        <v>25</v>
      </c>
      <c r="B1676" s="2" t="s">
        <v>19</v>
      </c>
      <c r="C1676" s="2" t="s">
        <v>8</v>
      </c>
      <c r="D1676" s="2" t="s">
        <v>14</v>
      </c>
      <c r="E1676" s="2" t="s">
        <v>10</v>
      </c>
      <c r="F1676" s="5">
        <v>2948.39</v>
      </c>
    </row>
    <row r="1677" spans="1:6" ht="15.75" customHeight="1" x14ac:dyDescent="0.3">
      <c r="A1677" s="4" t="s">
        <v>196</v>
      </c>
      <c r="B1677" s="2" t="s">
        <v>30</v>
      </c>
      <c r="C1677" s="2" t="s">
        <v>23</v>
      </c>
      <c r="D1677" s="2" t="s">
        <v>28</v>
      </c>
      <c r="E1677" s="2" t="s">
        <v>24</v>
      </c>
      <c r="F1677" s="5">
        <v>2543.38</v>
      </c>
    </row>
    <row r="1678" spans="1:6" ht="15.75" customHeight="1" x14ac:dyDescent="0.3">
      <c r="A1678" s="4" t="s">
        <v>160</v>
      </c>
      <c r="B1678" s="2" t="s">
        <v>30</v>
      </c>
      <c r="C1678" s="2" t="s">
        <v>13</v>
      </c>
      <c r="D1678" s="2" t="s">
        <v>9</v>
      </c>
      <c r="E1678" s="2" t="s">
        <v>15</v>
      </c>
      <c r="F1678" s="5">
        <v>3031.49</v>
      </c>
    </row>
    <row r="1679" spans="1:6" ht="15.75" customHeight="1" x14ac:dyDescent="0.3">
      <c r="A1679" s="4" t="s">
        <v>116</v>
      </c>
      <c r="B1679" s="2" t="s">
        <v>17</v>
      </c>
      <c r="C1679" s="2" t="s">
        <v>34</v>
      </c>
      <c r="D1679" s="2" t="s">
        <v>9</v>
      </c>
      <c r="E1679" s="2" t="s">
        <v>15</v>
      </c>
      <c r="F1679" s="5">
        <v>4209.35143403034</v>
      </c>
    </row>
    <row r="1680" spans="1:6" ht="15.75" customHeight="1" x14ac:dyDescent="0.3">
      <c r="A1680" s="4" t="s">
        <v>119</v>
      </c>
      <c r="B1680" s="2" t="s">
        <v>30</v>
      </c>
      <c r="C1680" s="2" t="s">
        <v>8</v>
      </c>
      <c r="D1680" s="2" t="s">
        <v>14</v>
      </c>
      <c r="E1680" s="2" t="s">
        <v>24</v>
      </c>
      <c r="F1680" s="5">
        <v>3571.08</v>
      </c>
    </row>
    <row r="1681" spans="1:6" ht="15.75" customHeight="1" x14ac:dyDescent="0.3">
      <c r="A1681" s="4" t="s">
        <v>41</v>
      </c>
      <c r="B1681" s="2" t="s">
        <v>30</v>
      </c>
      <c r="C1681" s="2" t="s">
        <v>8</v>
      </c>
      <c r="D1681" s="2" t="s">
        <v>28</v>
      </c>
      <c r="E1681" s="2" t="s">
        <v>15</v>
      </c>
      <c r="F1681" s="5">
        <v>887.49</v>
      </c>
    </row>
    <row r="1682" spans="1:6" ht="15.75" customHeight="1" x14ac:dyDescent="0.3">
      <c r="A1682" s="4" t="s">
        <v>193</v>
      </c>
      <c r="B1682" s="2" t="s">
        <v>12</v>
      </c>
      <c r="C1682" s="2" t="s">
        <v>8</v>
      </c>
      <c r="D1682" s="2" t="s">
        <v>28</v>
      </c>
      <c r="E1682" s="2" t="s">
        <v>10</v>
      </c>
      <c r="F1682" s="5">
        <v>1618.49</v>
      </c>
    </row>
    <row r="1683" spans="1:6" ht="15.75" customHeight="1" x14ac:dyDescent="0.3">
      <c r="A1683" s="4" t="s">
        <v>152</v>
      </c>
      <c r="B1683" s="2" t="s">
        <v>30</v>
      </c>
      <c r="C1683" s="2" t="s">
        <v>8</v>
      </c>
      <c r="D1683" s="2" t="s">
        <v>9</v>
      </c>
      <c r="E1683" s="2" t="s">
        <v>10</v>
      </c>
      <c r="F1683" s="5">
        <v>4625.4638727656411</v>
      </c>
    </row>
    <row r="1684" spans="1:6" ht="15.75" customHeight="1" x14ac:dyDescent="0.3">
      <c r="A1684" s="4" t="s">
        <v>25</v>
      </c>
      <c r="B1684" s="2" t="s">
        <v>19</v>
      </c>
      <c r="C1684" s="2" t="s">
        <v>34</v>
      </c>
      <c r="D1684" s="2" t="s">
        <v>28</v>
      </c>
      <c r="E1684" s="2" t="s">
        <v>10</v>
      </c>
      <c r="F1684" s="5">
        <v>968.64</v>
      </c>
    </row>
    <row r="1685" spans="1:6" ht="15.75" customHeight="1" x14ac:dyDescent="0.3">
      <c r="A1685" s="4" t="s">
        <v>149</v>
      </c>
      <c r="B1685" s="2" t="s">
        <v>17</v>
      </c>
      <c r="C1685" s="2" t="s">
        <v>23</v>
      </c>
      <c r="D1685" s="2" t="s">
        <v>9</v>
      </c>
      <c r="E1685" s="2" t="s">
        <v>15</v>
      </c>
      <c r="F1685" s="5">
        <v>2182.0643802806871</v>
      </c>
    </row>
    <row r="1686" spans="1:6" ht="15.75" customHeight="1" x14ac:dyDescent="0.3">
      <c r="A1686" s="4" t="s">
        <v>103</v>
      </c>
      <c r="B1686" s="2" t="s">
        <v>19</v>
      </c>
      <c r="C1686" s="2" t="s">
        <v>23</v>
      </c>
      <c r="D1686" s="2" t="s">
        <v>9</v>
      </c>
      <c r="E1686" s="2" t="s">
        <v>24</v>
      </c>
      <c r="F1686" s="5">
        <v>2401.3391251891599</v>
      </c>
    </row>
    <row r="1687" spans="1:6" ht="15.75" customHeight="1" x14ac:dyDescent="0.3">
      <c r="A1687" s="4" t="s">
        <v>69</v>
      </c>
      <c r="B1687" s="2" t="s">
        <v>7</v>
      </c>
      <c r="C1687" s="2" t="s">
        <v>34</v>
      </c>
      <c r="D1687" s="2" t="s">
        <v>9</v>
      </c>
      <c r="E1687" s="2" t="s">
        <v>10</v>
      </c>
      <c r="F1687" s="5">
        <v>1887.974900049295</v>
      </c>
    </row>
    <row r="1688" spans="1:6" ht="15.75" customHeight="1" x14ac:dyDescent="0.3">
      <c r="A1688" s="4" t="s">
        <v>105</v>
      </c>
      <c r="B1688" s="2" t="s">
        <v>30</v>
      </c>
      <c r="C1688" s="2" t="s">
        <v>34</v>
      </c>
      <c r="D1688" s="2" t="s">
        <v>14</v>
      </c>
      <c r="E1688" s="2" t="s">
        <v>15</v>
      </c>
      <c r="F1688" s="5">
        <v>1740.85</v>
      </c>
    </row>
    <row r="1689" spans="1:6" ht="15.75" customHeight="1" x14ac:dyDescent="0.3">
      <c r="A1689" s="4" t="s">
        <v>92</v>
      </c>
      <c r="B1689" s="2" t="s">
        <v>30</v>
      </c>
      <c r="C1689" s="2" t="s">
        <v>8</v>
      </c>
      <c r="D1689" s="2" t="s">
        <v>9</v>
      </c>
      <c r="E1689" s="2" t="s">
        <v>24</v>
      </c>
      <c r="F1689" s="5">
        <v>4524.0168548788188</v>
      </c>
    </row>
    <row r="1690" spans="1:6" ht="15.75" customHeight="1" x14ac:dyDescent="0.3">
      <c r="A1690" s="4" t="s">
        <v>52</v>
      </c>
      <c r="B1690" s="2" t="s">
        <v>19</v>
      </c>
      <c r="C1690" s="2" t="s">
        <v>34</v>
      </c>
      <c r="D1690" s="2" t="s">
        <v>9</v>
      </c>
      <c r="E1690" s="2" t="s">
        <v>10</v>
      </c>
      <c r="F1690" s="5">
        <v>4975.5383911900599</v>
      </c>
    </row>
    <row r="1691" spans="1:6" ht="15.75" customHeight="1" x14ac:dyDescent="0.3">
      <c r="A1691" s="4" t="s">
        <v>147</v>
      </c>
      <c r="B1691" s="2" t="s">
        <v>17</v>
      </c>
      <c r="C1691" s="2" t="s">
        <v>13</v>
      </c>
      <c r="D1691" s="2" t="s">
        <v>28</v>
      </c>
      <c r="E1691" s="2" t="s">
        <v>10</v>
      </c>
      <c r="F1691" s="5">
        <v>1573</v>
      </c>
    </row>
    <row r="1692" spans="1:6" ht="15.75" customHeight="1" x14ac:dyDescent="0.3">
      <c r="A1692" s="4" t="s">
        <v>213</v>
      </c>
      <c r="B1692" s="2" t="s">
        <v>12</v>
      </c>
      <c r="C1692" s="2" t="s">
        <v>34</v>
      </c>
      <c r="D1692" s="2" t="s">
        <v>28</v>
      </c>
      <c r="E1692" s="2" t="s">
        <v>10</v>
      </c>
      <c r="F1692" s="5">
        <v>1578.72</v>
      </c>
    </row>
    <row r="1693" spans="1:6" ht="15.75" customHeight="1" x14ac:dyDescent="0.3">
      <c r="A1693" s="4" t="s">
        <v>84</v>
      </c>
      <c r="B1693" s="2" t="s">
        <v>30</v>
      </c>
      <c r="C1693" s="2" t="s">
        <v>34</v>
      </c>
      <c r="D1693" s="2" t="s">
        <v>9</v>
      </c>
      <c r="E1693" s="2" t="s">
        <v>24</v>
      </c>
      <c r="F1693" s="5">
        <v>3818.4985235852419</v>
      </c>
    </row>
    <row r="1694" spans="1:6" ht="15.75" customHeight="1" x14ac:dyDescent="0.3">
      <c r="A1694" s="4" t="s">
        <v>76</v>
      </c>
      <c r="B1694" s="2" t="s">
        <v>17</v>
      </c>
      <c r="C1694" s="2" t="s">
        <v>23</v>
      </c>
      <c r="D1694" s="2" t="s">
        <v>28</v>
      </c>
      <c r="E1694" s="2" t="s">
        <v>24</v>
      </c>
      <c r="F1694" s="5">
        <v>2731.54</v>
      </c>
    </row>
    <row r="1695" spans="1:6" ht="15.75" customHeight="1" x14ac:dyDescent="0.3">
      <c r="A1695" s="4" t="s">
        <v>140</v>
      </c>
      <c r="B1695" s="2" t="s">
        <v>17</v>
      </c>
      <c r="C1695" s="2" t="s">
        <v>8</v>
      </c>
      <c r="D1695" s="2" t="s">
        <v>14</v>
      </c>
      <c r="E1695" s="2" t="s">
        <v>24</v>
      </c>
      <c r="F1695" s="5">
        <v>156.84</v>
      </c>
    </row>
    <row r="1696" spans="1:6" ht="15.75" customHeight="1" x14ac:dyDescent="0.3">
      <c r="A1696" s="4" t="s">
        <v>85</v>
      </c>
      <c r="B1696" s="2" t="s">
        <v>30</v>
      </c>
      <c r="C1696" s="2" t="s">
        <v>23</v>
      </c>
      <c r="D1696" s="2" t="s">
        <v>28</v>
      </c>
      <c r="E1696" s="2" t="s">
        <v>10</v>
      </c>
      <c r="F1696" s="5">
        <v>300.70999999999998</v>
      </c>
    </row>
    <row r="1697" spans="1:6" ht="15.75" customHeight="1" x14ac:dyDescent="0.3">
      <c r="A1697" s="4" t="s">
        <v>74</v>
      </c>
      <c r="B1697" s="2" t="s">
        <v>19</v>
      </c>
      <c r="C1697" s="2" t="s">
        <v>34</v>
      </c>
      <c r="D1697" s="2" t="s">
        <v>28</v>
      </c>
      <c r="E1697" s="2" t="s">
        <v>10</v>
      </c>
      <c r="F1697" s="5">
        <v>4929.3599999999997</v>
      </c>
    </row>
    <row r="1698" spans="1:6" ht="15.75" customHeight="1" x14ac:dyDescent="0.3">
      <c r="A1698" s="4" t="s">
        <v>108</v>
      </c>
      <c r="B1698" s="2" t="s">
        <v>7</v>
      </c>
      <c r="C1698" s="2" t="s">
        <v>13</v>
      </c>
      <c r="D1698" s="2" t="s">
        <v>9</v>
      </c>
      <c r="E1698" s="2" t="s">
        <v>10</v>
      </c>
      <c r="F1698" s="5">
        <v>2623.4664125264321</v>
      </c>
    </row>
    <row r="1699" spans="1:6" ht="15.75" customHeight="1" x14ac:dyDescent="0.3">
      <c r="A1699" s="4" t="s">
        <v>104</v>
      </c>
      <c r="B1699" s="2" t="s">
        <v>17</v>
      </c>
      <c r="C1699" s="2" t="s">
        <v>23</v>
      </c>
      <c r="D1699" s="2" t="s">
        <v>9</v>
      </c>
      <c r="E1699" s="2" t="s">
        <v>10</v>
      </c>
      <c r="F1699" s="5">
        <v>3247.07</v>
      </c>
    </row>
    <row r="1700" spans="1:6" ht="15.75" customHeight="1" x14ac:dyDescent="0.3">
      <c r="A1700" s="4" t="s">
        <v>156</v>
      </c>
      <c r="B1700" s="2" t="s">
        <v>17</v>
      </c>
      <c r="C1700" s="2" t="s">
        <v>23</v>
      </c>
      <c r="D1700" s="2" t="s">
        <v>28</v>
      </c>
      <c r="E1700" s="2" t="s">
        <v>24</v>
      </c>
      <c r="F1700" s="5">
        <v>1917.71</v>
      </c>
    </row>
    <row r="1701" spans="1:6" ht="15.75" customHeight="1" x14ac:dyDescent="0.3">
      <c r="A1701" s="4" t="s">
        <v>155</v>
      </c>
      <c r="B1701" s="2" t="s">
        <v>7</v>
      </c>
      <c r="C1701" s="2" t="s">
        <v>13</v>
      </c>
      <c r="D1701" s="2" t="s">
        <v>28</v>
      </c>
      <c r="E1701" s="2" t="s">
        <v>24</v>
      </c>
      <c r="F1701" s="5">
        <v>3841.45</v>
      </c>
    </row>
    <row r="1702" spans="1:6" ht="15.75" customHeight="1" x14ac:dyDescent="0.3">
      <c r="A1702" s="4" t="s">
        <v>121</v>
      </c>
      <c r="B1702" s="2" t="s">
        <v>30</v>
      </c>
      <c r="C1702" s="2" t="s">
        <v>34</v>
      </c>
      <c r="D1702" s="2" t="s">
        <v>28</v>
      </c>
      <c r="E1702" s="2" t="s">
        <v>10</v>
      </c>
      <c r="F1702" s="5">
        <v>4035.07</v>
      </c>
    </row>
    <row r="1703" spans="1:6" ht="15.75" customHeight="1" x14ac:dyDescent="0.3">
      <c r="A1703" s="4" t="s">
        <v>175</v>
      </c>
      <c r="B1703" s="2" t="s">
        <v>7</v>
      </c>
      <c r="C1703" s="2" t="s">
        <v>34</v>
      </c>
      <c r="D1703" s="2" t="s">
        <v>14</v>
      </c>
      <c r="E1703" s="2" t="s">
        <v>15</v>
      </c>
      <c r="F1703" s="5">
        <v>3477.6</v>
      </c>
    </row>
    <row r="1704" spans="1:6" ht="15.75" customHeight="1" x14ac:dyDescent="0.3">
      <c r="A1704" s="4" t="s">
        <v>186</v>
      </c>
      <c r="B1704" s="2" t="s">
        <v>30</v>
      </c>
      <c r="C1704" s="2" t="s">
        <v>8</v>
      </c>
      <c r="D1704" s="2" t="s">
        <v>14</v>
      </c>
      <c r="E1704" s="2" t="s">
        <v>24</v>
      </c>
      <c r="F1704" s="5">
        <v>1743.67</v>
      </c>
    </row>
    <row r="1705" spans="1:6" ht="15.75" customHeight="1" x14ac:dyDescent="0.3">
      <c r="A1705" s="4" t="s">
        <v>111</v>
      </c>
      <c r="B1705" s="2" t="s">
        <v>19</v>
      </c>
      <c r="C1705" s="2" t="s">
        <v>8</v>
      </c>
      <c r="D1705" s="2" t="s">
        <v>9</v>
      </c>
      <c r="E1705" s="2" t="s">
        <v>24</v>
      </c>
      <c r="F1705" s="5">
        <v>2351.4377826252971</v>
      </c>
    </row>
    <row r="1706" spans="1:6" ht="15.75" customHeight="1" x14ac:dyDescent="0.3">
      <c r="A1706" s="4" t="s">
        <v>211</v>
      </c>
      <c r="B1706" s="2" t="s">
        <v>7</v>
      </c>
      <c r="C1706" s="2" t="s">
        <v>8</v>
      </c>
      <c r="D1706" s="2" t="s">
        <v>14</v>
      </c>
      <c r="E1706" s="2" t="s">
        <v>10</v>
      </c>
      <c r="F1706" s="5">
        <v>4335.1400000000003</v>
      </c>
    </row>
    <row r="1707" spans="1:6" ht="15.75" customHeight="1" x14ac:dyDescent="0.3">
      <c r="A1707" s="4" t="s">
        <v>76</v>
      </c>
      <c r="B1707" s="2" t="s">
        <v>17</v>
      </c>
      <c r="C1707" s="2" t="s">
        <v>8</v>
      </c>
      <c r="D1707" s="2" t="s">
        <v>28</v>
      </c>
      <c r="E1707" s="2" t="s">
        <v>15</v>
      </c>
      <c r="F1707" s="5">
        <v>4697.66</v>
      </c>
    </row>
    <row r="1708" spans="1:6" ht="15.75" customHeight="1" x14ac:dyDescent="0.3">
      <c r="A1708" s="4" t="s">
        <v>114</v>
      </c>
      <c r="B1708" s="2" t="s">
        <v>30</v>
      </c>
      <c r="C1708" s="2" t="s">
        <v>23</v>
      </c>
      <c r="D1708" s="2" t="s">
        <v>28</v>
      </c>
      <c r="E1708" s="2" t="s">
        <v>15</v>
      </c>
      <c r="F1708" s="5">
        <v>3378.49</v>
      </c>
    </row>
    <row r="1709" spans="1:6" ht="15.75" customHeight="1" x14ac:dyDescent="0.3">
      <c r="A1709" s="4" t="s">
        <v>78</v>
      </c>
      <c r="B1709" s="2" t="s">
        <v>7</v>
      </c>
      <c r="C1709" s="2" t="s">
        <v>34</v>
      </c>
      <c r="D1709" s="2" t="s">
        <v>14</v>
      </c>
      <c r="E1709" s="2" t="s">
        <v>10</v>
      </c>
      <c r="F1709" s="5">
        <v>4068.86</v>
      </c>
    </row>
    <row r="1710" spans="1:6" ht="15.75" customHeight="1" x14ac:dyDescent="0.3">
      <c r="A1710" s="4" t="s">
        <v>44</v>
      </c>
      <c r="B1710" s="2" t="s">
        <v>19</v>
      </c>
      <c r="C1710" s="2" t="s">
        <v>34</v>
      </c>
      <c r="D1710" s="2" t="s">
        <v>9</v>
      </c>
      <c r="E1710" s="2" t="s">
        <v>10</v>
      </c>
      <c r="F1710" s="5">
        <v>4658.5376133505088</v>
      </c>
    </row>
    <row r="1711" spans="1:6" ht="15.75" customHeight="1" x14ac:dyDescent="0.3">
      <c r="A1711" s="4" t="s">
        <v>80</v>
      </c>
      <c r="B1711" s="2" t="s">
        <v>17</v>
      </c>
      <c r="C1711" s="2" t="s">
        <v>8</v>
      </c>
      <c r="D1711" s="2" t="s">
        <v>9</v>
      </c>
      <c r="E1711" s="2" t="s">
        <v>10</v>
      </c>
      <c r="F1711" s="5">
        <v>3516.4541057071301</v>
      </c>
    </row>
    <row r="1712" spans="1:6" ht="15.75" customHeight="1" x14ac:dyDescent="0.3">
      <c r="A1712" s="4" t="s">
        <v>81</v>
      </c>
      <c r="B1712" s="2" t="s">
        <v>12</v>
      </c>
      <c r="C1712" s="2" t="s">
        <v>34</v>
      </c>
      <c r="D1712" s="2" t="s">
        <v>9</v>
      </c>
      <c r="E1712" s="2" t="s">
        <v>15</v>
      </c>
      <c r="F1712" s="5">
        <v>3133.8255673707122</v>
      </c>
    </row>
    <row r="1713" spans="1:6" ht="15.75" customHeight="1" x14ac:dyDescent="0.3">
      <c r="A1713" s="4" t="s">
        <v>29</v>
      </c>
      <c r="B1713" s="2" t="s">
        <v>30</v>
      </c>
      <c r="C1713" s="2" t="s">
        <v>13</v>
      </c>
      <c r="D1713" s="2" t="s">
        <v>28</v>
      </c>
      <c r="E1713" s="2" t="s">
        <v>15</v>
      </c>
      <c r="F1713" s="5">
        <v>1951.82</v>
      </c>
    </row>
    <row r="1714" spans="1:6" ht="15.75" customHeight="1" x14ac:dyDescent="0.3">
      <c r="A1714" s="4" t="s">
        <v>123</v>
      </c>
      <c r="B1714" s="2" t="s">
        <v>30</v>
      </c>
      <c r="C1714" s="2" t="s">
        <v>34</v>
      </c>
      <c r="D1714" s="2" t="s">
        <v>9</v>
      </c>
      <c r="E1714" s="2" t="s">
        <v>10</v>
      </c>
      <c r="F1714" s="5">
        <v>2056.02</v>
      </c>
    </row>
    <row r="1715" spans="1:6" ht="15.75" customHeight="1" x14ac:dyDescent="0.3">
      <c r="A1715" s="4" t="s">
        <v>62</v>
      </c>
      <c r="B1715" s="2" t="s">
        <v>30</v>
      </c>
      <c r="C1715" s="2" t="s">
        <v>23</v>
      </c>
      <c r="D1715" s="2" t="s">
        <v>14</v>
      </c>
      <c r="E1715" s="2" t="s">
        <v>10</v>
      </c>
      <c r="F1715" s="5">
        <v>377.76</v>
      </c>
    </row>
    <row r="1716" spans="1:6" ht="15.75" customHeight="1" x14ac:dyDescent="0.3">
      <c r="A1716" s="4" t="s">
        <v>183</v>
      </c>
      <c r="B1716" s="2" t="s">
        <v>7</v>
      </c>
      <c r="C1716" s="2" t="s">
        <v>8</v>
      </c>
      <c r="D1716" s="2" t="s">
        <v>14</v>
      </c>
      <c r="E1716" s="2" t="s">
        <v>24</v>
      </c>
      <c r="F1716" s="5">
        <v>4676.8</v>
      </c>
    </row>
    <row r="1717" spans="1:6" ht="15.75" customHeight="1" x14ac:dyDescent="0.3">
      <c r="A1717" s="4" t="s">
        <v>198</v>
      </c>
      <c r="B1717" s="2" t="s">
        <v>12</v>
      </c>
      <c r="C1717" s="2" t="s">
        <v>23</v>
      </c>
      <c r="D1717" s="2" t="s">
        <v>9</v>
      </c>
      <c r="E1717" s="2" t="s">
        <v>15</v>
      </c>
      <c r="F1717" s="5">
        <v>3984.4592124683122</v>
      </c>
    </row>
    <row r="1718" spans="1:6" ht="15.75" customHeight="1" x14ac:dyDescent="0.3">
      <c r="A1718" s="4" t="s">
        <v>205</v>
      </c>
      <c r="B1718" s="2" t="s">
        <v>17</v>
      </c>
      <c r="C1718" s="2" t="s">
        <v>13</v>
      </c>
      <c r="D1718" s="2" t="s">
        <v>9</v>
      </c>
      <c r="E1718" s="2" t="s">
        <v>15</v>
      </c>
      <c r="F1718" s="5">
        <v>1346.6818987185011</v>
      </c>
    </row>
    <row r="1719" spans="1:6" ht="15.75" customHeight="1" x14ac:dyDescent="0.3">
      <c r="A1719" s="4" t="s">
        <v>126</v>
      </c>
      <c r="B1719" s="2" t="s">
        <v>30</v>
      </c>
      <c r="C1719" s="2" t="s">
        <v>13</v>
      </c>
      <c r="D1719" s="2" t="s">
        <v>9</v>
      </c>
      <c r="E1719" s="2" t="s">
        <v>24</v>
      </c>
      <c r="F1719" s="5">
        <v>4869.82</v>
      </c>
    </row>
    <row r="1720" spans="1:6" ht="15.75" customHeight="1" x14ac:dyDescent="0.3">
      <c r="A1720" s="4" t="s">
        <v>183</v>
      </c>
      <c r="B1720" s="2" t="s">
        <v>7</v>
      </c>
      <c r="C1720" s="2" t="s">
        <v>34</v>
      </c>
      <c r="D1720" s="2" t="s">
        <v>9</v>
      </c>
      <c r="E1720" s="2" t="s">
        <v>15</v>
      </c>
      <c r="F1720" s="5">
        <v>2329.085365828967</v>
      </c>
    </row>
    <row r="1721" spans="1:6" ht="15.75" customHeight="1" x14ac:dyDescent="0.3">
      <c r="A1721" s="4" t="s">
        <v>217</v>
      </c>
      <c r="B1721" s="2" t="s">
        <v>19</v>
      </c>
      <c r="C1721" s="2" t="s">
        <v>8</v>
      </c>
      <c r="D1721" s="2" t="s">
        <v>9</v>
      </c>
      <c r="E1721" s="2" t="s">
        <v>15</v>
      </c>
      <c r="F1721" s="5">
        <v>4828.6000524431611</v>
      </c>
    </row>
    <row r="1722" spans="1:6" ht="15.75" customHeight="1" x14ac:dyDescent="0.3">
      <c r="A1722" s="4" t="s">
        <v>130</v>
      </c>
      <c r="B1722" s="2" t="s">
        <v>12</v>
      </c>
      <c r="C1722" s="2" t="s">
        <v>8</v>
      </c>
      <c r="D1722" s="2" t="s">
        <v>28</v>
      </c>
      <c r="E1722" s="2" t="s">
        <v>10</v>
      </c>
      <c r="F1722" s="5">
        <v>3423.67</v>
      </c>
    </row>
    <row r="1723" spans="1:6" ht="15.75" customHeight="1" x14ac:dyDescent="0.3">
      <c r="A1723" s="4" t="s">
        <v>198</v>
      </c>
      <c r="B1723" s="2" t="s">
        <v>12</v>
      </c>
      <c r="C1723" s="2" t="s">
        <v>34</v>
      </c>
      <c r="D1723" s="2" t="s">
        <v>14</v>
      </c>
      <c r="E1723" s="2" t="s">
        <v>10</v>
      </c>
      <c r="F1723" s="5">
        <v>2957.49</v>
      </c>
    </row>
    <row r="1724" spans="1:6" ht="15.75" customHeight="1" x14ac:dyDescent="0.3">
      <c r="A1724" s="4" t="s">
        <v>197</v>
      </c>
      <c r="B1724" s="2" t="s">
        <v>30</v>
      </c>
      <c r="C1724" s="2" t="s">
        <v>13</v>
      </c>
      <c r="D1724" s="2" t="s">
        <v>14</v>
      </c>
      <c r="E1724" s="2" t="s">
        <v>15</v>
      </c>
      <c r="F1724" s="5">
        <v>3128.34</v>
      </c>
    </row>
    <row r="1725" spans="1:6" ht="15.75" customHeight="1" x14ac:dyDescent="0.3">
      <c r="A1725" s="4" t="s">
        <v>122</v>
      </c>
      <c r="B1725" s="2" t="s">
        <v>19</v>
      </c>
      <c r="C1725" s="2" t="s">
        <v>34</v>
      </c>
      <c r="D1725" s="2" t="s">
        <v>9</v>
      </c>
      <c r="E1725" s="2" t="s">
        <v>24</v>
      </c>
      <c r="F1725" s="5">
        <v>4548.0730678920781</v>
      </c>
    </row>
    <row r="1726" spans="1:6" ht="15.75" customHeight="1" x14ac:dyDescent="0.3">
      <c r="A1726" s="4" t="s">
        <v>165</v>
      </c>
      <c r="B1726" s="2" t="s">
        <v>7</v>
      </c>
      <c r="C1726" s="2" t="s">
        <v>23</v>
      </c>
      <c r="D1726" s="2" t="s">
        <v>14</v>
      </c>
      <c r="E1726" s="2" t="s">
        <v>15</v>
      </c>
      <c r="F1726" s="5">
        <v>3929.66</v>
      </c>
    </row>
    <row r="1727" spans="1:6" ht="15.75" customHeight="1" x14ac:dyDescent="0.3">
      <c r="A1727" s="4" t="s">
        <v>123</v>
      </c>
      <c r="B1727" s="2" t="s">
        <v>30</v>
      </c>
      <c r="C1727" s="2" t="s">
        <v>13</v>
      </c>
      <c r="D1727" s="2" t="s">
        <v>9</v>
      </c>
      <c r="E1727" s="2" t="s">
        <v>10</v>
      </c>
      <c r="F1727" s="5">
        <v>3790.62</v>
      </c>
    </row>
    <row r="1728" spans="1:6" ht="15.75" customHeight="1" x14ac:dyDescent="0.3">
      <c r="A1728" s="4" t="s">
        <v>142</v>
      </c>
      <c r="B1728" s="2" t="s">
        <v>17</v>
      </c>
      <c r="C1728" s="2" t="s">
        <v>13</v>
      </c>
      <c r="D1728" s="2" t="s">
        <v>28</v>
      </c>
      <c r="E1728" s="2" t="s">
        <v>24</v>
      </c>
      <c r="F1728" s="5">
        <v>4480.07</v>
      </c>
    </row>
    <row r="1729" spans="1:6" ht="15.75" customHeight="1" x14ac:dyDescent="0.3">
      <c r="A1729" s="4" t="s">
        <v>62</v>
      </c>
      <c r="B1729" s="2" t="s">
        <v>30</v>
      </c>
      <c r="C1729" s="2" t="s">
        <v>23</v>
      </c>
      <c r="D1729" s="2" t="s">
        <v>28</v>
      </c>
      <c r="E1729" s="2" t="s">
        <v>10</v>
      </c>
      <c r="F1729" s="5">
        <v>4123.79</v>
      </c>
    </row>
    <row r="1730" spans="1:6" ht="15.75" customHeight="1" x14ac:dyDescent="0.3">
      <c r="A1730" s="4" t="s">
        <v>90</v>
      </c>
      <c r="B1730" s="2" t="s">
        <v>19</v>
      </c>
      <c r="C1730" s="2" t="s">
        <v>13</v>
      </c>
      <c r="D1730" s="2" t="s">
        <v>14</v>
      </c>
      <c r="E1730" s="2" t="s">
        <v>10</v>
      </c>
      <c r="F1730" s="5">
        <v>100.8</v>
      </c>
    </row>
    <row r="1731" spans="1:6" ht="15.75" customHeight="1" x14ac:dyDescent="0.3">
      <c r="A1731" s="4" t="s">
        <v>100</v>
      </c>
      <c r="B1731" s="2" t="s">
        <v>7</v>
      </c>
      <c r="C1731" s="2" t="s">
        <v>23</v>
      </c>
      <c r="D1731" s="2" t="s">
        <v>28</v>
      </c>
      <c r="E1731" s="2" t="s">
        <v>10</v>
      </c>
      <c r="F1731" s="5">
        <v>4783.3999999999996</v>
      </c>
    </row>
    <row r="1732" spans="1:6" ht="15.75" customHeight="1" x14ac:dyDescent="0.3">
      <c r="A1732" s="4" t="s">
        <v>131</v>
      </c>
      <c r="B1732" s="2" t="s">
        <v>17</v>
      </c>
      <c r="C1732" s="2" t="s">
        <v>23</v>
      </c>
      <c r="D1732" s="2" t="s">
        <v>9</v>
      </c>
      <c r="E1732" s="2" t="s">
        <v>10</v>
      </c>
      <c r="F1732" s="5">
        <v>2568.5214703677661</v>
      </c>
    </row>
    <row r="1733" spans="1:6" ht="15.75" customHeight="1" x14ac:dyDescent="0.3">
      <c r="A1733" s="4" t="s">
        <v>49</v>
      </c>
      <c r="B1733" s="2" t="s">
        <v>19</v>
      </c>
      <c r="C1733" s="2" t="s">
        <v>13</v>
      </c>
      <c r="D1733" s="2" t="s">
        <v>28</v>
      </c>
      <c r="E1733" s="2" t="s">
        <v>15</v>
      </c>
      <c r="F1733" s="5">
        <v>246.64</v>
      </c>
    </row>
    <row r="1734" spans="1:6" ht="15.75" customHeight="1" x14ac:dyDescent="0.3">
      <c r="A1734" s="4" t="s">
        <v>71</v>
      </c>
      <c r="B1734" s="2" t="s">
        <v>7</v>
      </c>
      <c r="C1734" s="2" t="s">
        <v>8</v>
      </c>
      <c r="D1734" s="2" t="s">
        <v>14</v>
      </c>
      <c r="E1734" s="2" t="s">
        <v>15</v>
      </c>
      <c r="F1734" s="5">
        <v>498.61</v>
      </c>
    </row>
    <row r="1735" spans="1:6" ht="15.75" customHeight="1" x14ac:dyDescent="0.3">
      <c r="A1735" s="4" t="s">
        <v>139</v>
      </c>
      <c r="B1735" s="2" t="s">
        <v>7</v>
      </c>
      <c r="C1735" s="2" t="s">
        <v>8</v>
      </c>
      <c r="D1735" s="2" t="s">
        <v>14</v>
      </c>
      <c r="E1735" s="2" t="s">
        <v>10</v>
      </c>
      <c r="F1735" s="5">
        <v>3705.73</v>
      </c>
    </row>
    <row r="1736" spans="1:6" ht="15.75" customHeight="1" x14ac:dyDescent="0.3">
      <c r="A1736" s="4" t="s">
        <v>170</v>
      </c>
      <c r="B1736" s="2" t="s">
        <v>12</v>
      </c>
      <c r="C1736" s="2" t="s">
        <v>23</v>
      </c>
      <c r="D1736" s="2" t="s">
        <v>28</v>
      </c>
      <c r="E1736" s="2" t="s">
        <v>24</v>
      </c>
      <c r="F1736" s="5">
        <v>470.38</v>
      </c>
    </row>
    <row r="1737" spans="1:6" ht="15.75" customHeight="1" x14ac:dyDescent="0.3">
      <c r="A1737" s="4" t="s">
        <v>157</v>
      </c>
      <c r="B1737" s="2" t="s">
        <v>30</v>
      </c>
      <c r="C1737" s="2" t="s">
        <v>23</v>
      </c>
      <c r="D1737" s="2" t="s">
        <v>28</v>
      </c>
      <c r="E1737" s="2" t="s">
        <v>10</v>
      </c>
      <c r="F1737" s="5">
        <v>2355.87</v>
      </c>
    </row>
    <row r="1738" spans="1:6" ht="15.75" customHeight="1" x14ac:dyDescent="0.3">
      <c r="A1738" s="4" t="s">
        <v>179</v>
      </c>
      <c r="B1738" s="2" t="s">
        <v>7</v>
      </c>
      <c r="C1738" s="2" t="s">
        <v>13</v>
      </c>
      <c r="D1738" s="2" t="s">
        <v>14</v>
      </c>
      <c r="E1738" s="2" t="s">
        <v>10</v>
      </c>
      <c r="F1738" s="5">
        <v>484.51</v>
      </c>
    </row>
    <row r="1739" spans="1:6" ht="15.75" customHeight="1" x14ac:dyDescent="0.3">
      <c r="A1739" s="4" t="s">
        <v>18</v>
      </c>
      <c r="B1739" s="2" t="s">
        <v>19</v>
      </c>
      <c r="C1739" s="2" t="s">
        <v>23</v>
      </c>
      <c r="D1739" s="2" t="s">
        <v>14</v>
      </c>
      <c r="E1739" s="2" t="s">
        <v>15</v>
      </c>
      <c r="F1739" s="5">
        <v>3299.33</v>
      </c>
    </row>
    <row r="1740" spans="1:6" ht="15.75" customHeight="1" x14ac:dyDescent="0.3">
      <c r="A1740" s="4" t="s">
        <v>110</v>
      </c>
      <c r="B1740" s="2" t="s">
        <v>12</v>
      </c>
      <c r="C1740" s="2" t="s">
        <v>34</v>
      </c>
      <c r="D1740" s="2" t="s">
        <v>28</v>
      </c>
      <c r="E1740" s="2" t="s">
        <v>10</v>
      </c>
      <c r="F1740" s="5">
        <v>3312.29</v>
      </c>
    </row>
    <row r="1741" spans="1:6" ht="15.75" customHeight="1" x14ac:dyDescent="0.3">
      <c r="A1741" s="4" t="s">
        <v>93</v>
      </c>
      <c r="B1741" s="2" t="s">
        <v>30</v>
      </c>
      <c r="C1741" s="2" t="s">
        <v>8</v>
      </c>
      <c r="D1741" s="2" t="s">
        <v>28</v>
      </c>
      <c r="E1741" s="2" t="s">
        <v>15</v>
      </c>
      <c r="F1741" s="5">
        <v>2017.59</v>
      </c>
    </row>
    <row r="1742" spans="1:6" ht="15.75" customHeight="1" x14ac:dyDescent="0.3">
      <c r="A1742" s="4" t="s">
        <v>95</v>
      </c>
      <c r="B1742" s="2" t="s">
        <v>30</v>
      </c>
      <c r="C1742" s="2" t="s">
        <v>34</v>
      </c>
      <c r="D1742" s="2" t="s">
        <v>9</v>
      </c>
      <c r="E1742" s="2" t="s">
        <v>10</v>
      </c>
      <c r="F1742" s="5">
        <v>3564.2129301239602</v>
      </c>
    </row>
    <row r="1743" spans="1:6" ht="15.75" customHeight="1" x14ac:dyDescent="0.3">
      <c r="A1743" s="4" t="s">
        <v>122</v>
      </c>
      <c r="B1743" s="2" t="s">
        <v>19</v>
      </c>
      <c r="C1743" s="2" t="s">
        <v>13</v>
      </c>
      <c r="D1743" s="2" t="s">
        <v>9</v>
      </c>
      <c r="E1743" s="2" t="s">
        <v>24</v>
      </c>
      <c r="F1743" s="5">
        <v>4913.5371306010411</v>
      </c>
    </row>
    <row r="1744" spans="1:6" ht="15.75" customHeight="1" x14ac:dyDescent="0.3">
      <c r="A1744" s="4" t="s">
        <v>184</v>
      </c>
      <c r="B1744" s="2" t="s">
        <v>30</v>
      </c>
      <c r="C1744" s="2" t="s">
        <v>34</v>
      </c>
      <c r="D1744" s="2" t="s">
        <v>9</v>
      </c>
      <c r="E1744" s="2" t="s">
        <v>10</v>
      </c>
      <c r="F1744" s="5">
        <v>1184.8584398259161</v>
      </c>
    </row>
    <row r="1745" spans="1:6" ht="15.75" customHeight="1" x14ac:dyDescent="0.3">
      <c r="A1745" s="4" t="s">
        <v>6</v>
      </c>
      <c r="B1745" s="2" t="s">
        <v>7</v>
      </c>
      <c r="C1745" s="2" t="s">
        <v>34</v>
      </c>
      <c r="D1745" s="2" t="s">
        <v>14</v>
      </c>
      <c r="E1745" s="2" t="s">
        <v>24</v>
      </c>
      <c r="F1745" s="5">
        <v>3845.16</v>
      </c>
    </row>
    <row r="1746" spans="1:6" ht="15.75" customHeight="1" x14ac:dyDescent="0.3">
      <c r="A1746" s="4" t="s">
        <v>55</v>
      </c>
      <c r="B1746" s="2" t="s">
        <v>12</v>
      </c>
      <c r="C1746" s="2" t="s">
        <v>34</v>
      </c>
      <c r="D1746" s="2" t="s">
        <v>28</v>
      </c>
      <c r="E1746" s="2" t="s">
        <v>10</v>
      </c>
      <c r="F1746" s="5">
        <v>2288.2800000000002</v>
      </c>
    </row>
    <row r="1747" spans="1:6" ht="15.75" customHeight="1" x14ac:dyDescent="0.3">
      <c r="A1747" s="4" t="s">
        <v>57</v>
      </c>
      <c r="B1747" s="2" t="s">
        <v>19</v>
      </c>
      <c r="C1747" s="2" t="s">
        <v>34</v>
      </c>
      <c r="D1747" s="2" t="s">
        <v>28</v>
      </c>
      <c r="E1747" s="2" t="s">
        <v>15</v>
      </c>
      <c r="F1747" s="5">
        <v>751.28</v>
      </c>
    </row>
    <row r="1748" spans="1:6" ht="15.75" customHeight="1" x14ac:dyDescent="0.3">
      <c r="A1748" s="4" t="s">
        <v>133</v>
      </c>
      <c r="B1748" s="2" t="s">
        <v>17</v>
      </c>
      <c r="C1748" s="2" t="s">
        <v>34</v>
      </c>
      <c r="D1748" s="2" t="s">
        <v>28</v>
      </c>
      <c r="E1748" s="2" t="s">
        <v>24</v>
      </c>
      <c r="F1748" s="5">
        <v>2159.65</v>
      </c>
    </row>
    <row r="1749" spans="1:6" ht="15.75" customHeight="1" x14ac:dyDescent="0.3">
      <c r="A1749" s="4" t="s">
        <v>115</v>
      </c>
      <c r="B1749" s="2" t="s">
        <v>19</v>
      </c>
      <c r="C1749" s="2" t="s">
        <v>34</v>
      </c>
      <c r="D1749" s="2" t="s">
        <v>28</v>
      </c>
      <c r="E1749" s="2" t="s">
        <v>15</v>
      </c>
      <c r="F1749" s="5">
        <v>3251.65</v>
      </c>
    </row>
    <row r="1750" spans="1:6" ht="15.75" customHeight="1" x14ac:dyDescent="0.3">
      <c r="A1750" s="4" t="s">
        <v>140</v>
      </c>
      <c r="B1750" s="2" t="s">
        <v>17</v>
      </c>
      <c r="C1750" s="2" t="s">
        <v>23</v>
      </c>
      <c r="D1750" s="2" t="s">
        <v>9</v>
      </c>
      <c r="E1750" s="2" t="s">
        <v>24</v>
      </c>
      <c r="F1750" s="5">
        <v>4889.7534068338027</v>
      </c>
    </row>
    <row r="1751" spans="1:6" ht="15.75" customHeight="1" x14ac:dyDescent="0.3">
      <c r="A1751" s="4" t="s">
        <v>174</v>
      </c>
      <c r="B1751" s="2" t="s">
        <v>19</v>
      </c>
      <c r="C1751" s="2" t="s">
        <v>23</v>
      </c>
      <c r="D1751" s="2" t="s">
        <v>28</v>
      </c>
      <c r="E1751" s="2" t="s">
        <v>10</v>
      </c>
      <c r="F1751" s="5">
        <v>608.37</v>
      </c>
    </row>
    <row r="1752" spans="1:6" ht="15.75" customHeight="1" x14ac:dyDescent="0.3">
      <c r="A1752" s="4" t="s">
        <v>55</v>
      </c>
      <c r="B1752" s="2" t="s">
        <v>12</v>
      </c>
      <c r="C1752" s="2" t="s">
        <v>13</v>
      </c>
      <c r="D1752" s="2" t="s">
        <v>9</v>
      </c>
      <c r="E1752" s="2" t="s">
        <v>10</v>
      </c>
      <c r="F1752" s="5">
        <v>3246.9869783492072</v>
      </c>
    </row>
    <row r="1753" spans="1:6" ht="15.75" customHeight="1" x14ac:dyDescent="0.3">
      <c r="A1753" s="4" t="s">
        <v>37</v>
      </c>
      <c r="B1753" s="2" t="s">
        <v>17</v>
      </c>
      <c r="C1753" s="2" t="s">
        <v>34</v>
      </c>
      <c r="D1753" s="2" t="s">
        <v>14</v>
      </c>
      <c r="E1753" s="2" t="s">
        <v>10</v>
      </c>
      <c r="F1753" s="5">
        <v>4214.38</v>
      </c>
    </row>
    <row r="1754" spans="1:6" ht="15.75" customHeight="1" x14ac:dyDescent="0.3">
      <c r="A1754" s="4" t="s">
        <v>27</v>
      </c>
      <c r="B1754" s="2" t="s">
        <v>12</v>
      </c>
      <c r="C1754" s="2" t="s">
        <v>13</v>
      </c>
      <c r="D1754" s="2" t="s">
        <v>28</v>
      </c>
      <c r="E1754" s="2" t="s">
        <v>10</v>
      </c>
      <c r="F1754" s="5">
        <v>2178.11</v>
      </c>
    </row>
    <row r="1755" spans="1:6" ht="15.75" customHeight="1" x14ac:dyDescent="0.3">
      <c r="A1755" s="4" t="s">
        <v>58</v>
      </c>
      <c r="B1755" s="2" t="s">
        <v>17</v>
      </c>
      <c r="C1755" s="2" t="s">
        <v>23</v>
      </c>
      <c r="D1755" s="2" t="s">
        <v>28</v>
      </c>
      <c r="E1755" s="2" t="s">
        <v>10</v>
      </c>
      <c r="F1755" s="5">
        <v>4250.24</v>
      </c>
    </row>
    <row r="1756" spans="1:6" ht="15.75" customHeight="1" x14ac:dyDescent="0.3">
      <c r="A1756" s="4" t="s">
        <v>157</v>
      </c>
      <c r="B1756" s="2" t="s">
        <v>30</v>
      </c>
      <c r="C1756" s="2" t="s">
        <v>34</v>
      </c>
      <c r="D1756" s="2" t="s">
        <v>14</v>
      </c>
      <c r="E1756" s="2" t="s">
        <v>10</v>
      </c>
      <c r="F1756" s="5">
        <v>1294.92</v>
      </c>
    </row>
    <row r="1757" spans="1:6" ht="15.75" customHeight="1" x14ac:dyDescent="0.3">
      <c r="A1757" s="4" t="s">
        <v>140</v>
      </c>
      <c r="B1757" s="2" t="s">
        <v>17</v>
      </c>
      <c r="C1757" s="2" t="s">
        <v>13</v>
      </c>
      <c r="D1757" s="2" t="s">
        <v>14</v>
      </c>
      <c r="E1757" s="2" t="s">
        <v>24</v>
      </c>
      <c r="F1757" s="5">
        <v>498.85</v>
      </c>
    </row>
    <row r="1758" spans="1:6" ht="15.75" customHeight="1" x14ac:dyDescent="0.3">
      <c r="A1758" s="4" t="s">
        <v>63</v>
      </c>
      <c r="B1758" s="2" t="s">
        <v>12</v>
      </c>
      <c r="C1758" s="2" t="s">
        <v>23</v>
      </c>
      <c r="D1758" s="2" t="s">
        <v>28</v>
      </c>
      <c r="E1758" s="2" t="s">
        <v>15</v>
      </c>
      <c r="F1758" s="5">
        <v>4605.3599999999997</v>
      </c>
    </row>
    <row r="1759" spans="1:6" ht="15.75" customHeight="1" x14ac:dyDescent="0.3">
      <c r="A1759" s="4" t="s">
        <v>142</v>
      </c>
      <c r="B1759" s="2" t="s">
        <v>17</v>
      </c>
      <c r="C1759" s="2" t="s">
        <v>23</v>
      </c>
      <c r="D1759" s="2" t="s">
        <v>14</v>
      </c>
      <c r="E1759" s="2" t="s">
        <v>24</v>
      </c>
      <c r="F1759" s="5">
        <v>4590.9799999999996</v>
      </c>
    </row>
    <row r="1760" spans="1:6" ht="15.75" customHeight="1" x14ac:dyDescent="0.3">
      <c r="A1760" s="4" t="s">
        <v>170</v>
      </c>
      <c r="B1760" s="2" t="s">
        <v>12</v>
      </c>
      <c r="C1760" s="2" t="s">
        <v>13</v>
      </c>
      <c r="D1760" s="2" t="s">
        <v>28</v>
      </c>
      <c r="E1760" s="2" t="s">
        <v>15</v>
      </c>
      <c r="F1760" s="5">
        <v>2454.27</v>
      </c>
    </row>
    <row r="1761" spans="1:6" ht="15.75" customHeight="1" x14ac:dyDescent="0.3">
      <c r="A1761" s="4" t="s">
        <v>99</v>
      </c>
      <c r="B1761" s="2" t="s">
        <v>19</v>
      </c>
      <c r="C1761" s="2" t="s">
        <v>13</v>
      </c>
      <c r="D1761" s="2" t="s">
        <v>9</v>
      </c>
      <c r="E1761" s="2" t="s">
        <v>24</v>
      </c>
      <c r="F1761" s="5">
        <v>2083</v>
      </c>
    </row>
    <row r="1762" spans="1:6" ht="15.75" customHeight="1" x14ac:dyDescent="0.3">
      <c r="A1762" s="4" t="s">
        <v>185</v>
      </c>
      <c r="B1762" s="2" t="s">
        <v>30</v>
      </c>
      <c r="C1762" s="2" t="s">
        <v>8</v>
      </c>
      <c r="D1762" s="2" t="s">
        <v>9</v>
      </c>
      <c r="E1762" s="2" t="s">
        <v>24</v>
      </c>
      <c r="F1762" s="5">
        <v>3207.76</v>
      </c>
    </row>
    <row r="1763" spans="1:6" ht="15.75" customHeight="1" x14ac:dyDescent="0.3">
      <c r="A1763" s="4" t="s">
        <v>168</v>
      </c>
      <c r="B1763" s="2" t="s">
        <v>17</v>
      </c>
      <c r="C1763" s="2" t="s">
        <v>8</v>
      </c>
      <c r="D1763" s="2" t="s">
        <v>9</v>
      </c>
      <c r="E1763" s="2" t="s">
        <v>10</v>
      </c>
      <c r="F1763" s="5">
        <v>4200.4249921028641</v>
      </c>
    </row>
    <row r="1764" spans="1:6" ht="15.75" customHeight="1" x14ac:dyDescent="0.3">
      <c r="A1764" s="4" t="s">
        <v>68</v>
      </c>
      <c r="B1764" s="2" t="s">
        <v>12</v>
      </c>
      <c r="C1764" s="2" t="s">
        <v>23</v>
      </c>
      <c r="D1764" s="2" t="s">
        <v>9</v>
      </c>
      <c r="E1764" s="2" t="s">
        <v>10</v>
      </c>
      <c r="F1764" s="5">
        <v>4705.2145978254048</v>
      </c>
    </row>
    <row r="1765" spans="1:6" ht="15.75" customHeight="1" x14ac:dyDescent="0.3">
      <c r="A1765" s="4" t="s">
        <v>35</v>
      </c>
      <c r="B1765" s="2" t="s">
        <v>19</v>
      </c>
      <c r="C1765" s="2" t="s">
        <v>13</v>
      </c>
      <c r="D1765" s="2" t="s">
        <v>14</v>
      </c>
      <c r="E1765" s="2" t="s">
        <v>24</v>
      </c>
      <c r="F1765" s="5">
        <v>171.51</v>
      </c>
    </row>
    <row r="1766" spans="1:6" ht="15.75" customHeight="1" x14ac:dyDescent="0.3">
      <c r="A1766" s="4" t="s">
        <v>170</v>
      </c>
      <c r="B1766" s="2" t="s">
        <v>12</v>
      </c>
      <c r="C1766" s="2" t="s">
        <v>34</v>
      </c>
      <c r="D1766" s="2" t="s">
        <v>9</v>
      </c>
      <c r="E1766" s="2" t="s">
        <v>24</v>
      </c>
      <c r="F1766" s="5">
        <v>2210.630854474281</v>
      </c>
    </row>
    <row r="1767" spans="1:6" ht="15.75" customHeight="1" x14ac:dyDescent="0.3">
      <c r="A1767" s="4" t="s">
        <v>11</v>
      </c>
      <c r="B1767" s="2" t="s">
        <v>12</v>
      </c>
      <c r="C1767" s="2" t="s">
        <v>23</v>
      </c>
      <c r="D1767" s="2" t="s">
        <v>9</v>
      </c>
      <c r="E1767" s="2" t="s">
        <v>24</v>
      </c>
      <c r="F1767" s="5">
        <v>4978.9324693450708</v>
      </c>
    </row>
    <row r="1768" spans="1:6" ht="15.75" customHeight="1" x14ac:dyDescent="0.3">
      <c r="A1768" s="4" t="s">
        <v>117</v>
      </c>
      <c r="B1768" s="2" t="s">
        <v>7</v>
      </c>
      <c r="C1768" s="2" t="s">
        <v>8</v>
      </c>
      <c r="D1768" s="2" t="s">
        <v>28</v>
      </c>
      <c r="E1768" s="2" t="s">
        <v>15</v>
      </c>
      <c r="F1768" s="5">
        <v>3657.98</v>
      </c>
    </row>
    <row r="1769" spans="1:6" ht="15.75" customHeight="1" x14ac:dyDescent="0.3">
      <c r="A1769" s="4" t="s">
        <v>20</v>
      </c>
      <c r="B1769" s="2" t="s">
        <v>17</v>
      </c>
      <c r="C1769" s="2" t="s">
        <v>23</v>
      </c>
      <c r="D1769" s="2" t="s">
        <v>28</v>
      </c>
      <c r="E1769" s="2" t="s">
        <v>24</v>
      </c>
      <c r="F1769" s="5">
        <v>1516.4</v>
      </c>
    </row>
    <row r="1770" spans="1:6" ht="15.75" customHeight="1" x14ac:dyDescent="0.3">
      <c r="A1770" s="4" t="s">
        <v>49</v>
      </c>
      <c r="B1770" s="2" t="s">
        <v>19</v>
      </c>
      <c r="C1770" s="2" t="s">
        <v>23</v>
      </c>
      <c r="D1770" s="2" t="s">
        <v>28</v>
      </c>
      <c r="E1770" s="2" t="s">
        <v>10</v>
      </c>
      <c r="F1770" s="5">
        <v>1707.15</v>
      </c>
    </row>
    <row r="1771" spans="1:6" ht="15.75" customHeight="1" x14ac:dyDescent="0.3">
      <c r="A1771" s="4" t="s">
        <v>98</v>
      </c>
      <c r="B1771" s="2" t="s">
        <v>19</v>
      </c>
      <c r="C1771" s="2" t="s">
        <v>34</v>
      </c>
      <c r="D1771" s="2" t="s">
        <v>14</v>
      </c>
      <c r="E1771" s="2" t="s">
        <v>24</v>
      </c>
      <c r="F1771" s="5">
        <v>526.19000000000005</v>
      </c>
    </row>
    <row r="1772" spans="1:6" ht="15.75" customHeight="1" x14ac:dyDescent="0.3">
      <c r="A1772" s="4" t="s">
        <v>218</v>
      </c>
      <c r="B1772" s="2" t="s">
        <v>17</v>
      </c>
      <c r="C1772" s="2" t="s">
        <v>8</v>
      </c>
      <c r="D1772" s="2" t="s">
        <v>9</v>
      </c>
      <c r="E1772" s="2" t="s">
        <v>24</v>
      </c>
      <c r="F1772" s="5">
        <v>5253.4060952980981</v>
      </c>
    </row>
    <row r="1773" spans="1:6" ht="15.75" customHeight="1" x14ac:dyDescent="0.3">
      <c r="A1773" s="4" t="s">
        <v>123</v>
      </c>
      <c r="B1773" s="2" t="s">
        <v>30</v>
      </c>
      <c r="C1773" s="2" t="s">
        <v>8</v>
      </c>
      <c r="D1773" s="2" t="s">
        <v>9</v>
      </c>
      <c r="E1773" s="2" t="s">
        <v>15</v>
      </c>
      <c r="F1773" s="5">
        <v>3617.9</v>
      </c>
    </row>
    <row r="1774" spans="1:6" ht="15.75" customHeight="1" x14ac:dyDescent="0.3">
      <c r="A1774" s="4" t="s">
        <v>175</v>
      </c>
      <c r="B1774" s="2" t="s">
        <v>7</v>
      </c>
      <c r="C1774" s="2" t="s">
        <v>13</v>
      </c>
      <c r="D1774" s="2" t="s">
        <v>28</v>
      </c>
      <c r="E1774" s="2" t="s">
        <v>10</v>
      </c>
      <c r="F1774" s="5">
        <v>698.65</v>
      </c>
    </row>
    <row r="1775" spans="1:6" ht="15.75" customHeight="1" x14ac:dyDescent="0.3">
      <c r="A1775" s="4" t="s">
        <v>11</v>
      </c>
      <c r="B1775" s="2" t="s">
        <v>12</v>
      </c>
      <c r="C1775" s="2" t="s">
        <v>23</v>
      </c>
      <c r="D1775" s="2" t="s">
        <v>9</v>
      </c>
      <c r="E1775" s="2" t="s">
        <v>24</v>
      </c>
      <c r="F1775" s="5">
        <v>4671.9711860990992</v>
      </c>
    </row>
    <row r="1776" spans="1:6" ht="15.75" customHeight="1" x14ac:dyDescent="0.3">
      <c r="A1776" s="4" t="s">
        <v>173</v>
      </c>
      <c r="B1776" s="2" t="s">
        <v>30</v>
      </c>
      <c r="C1776" s="2" t="s">
        <v>23</v>
      </c>
      <c r="D1776" s="2" t="s">
        <v>14</v>
      </c>
      <c r="E1776" s="2" t="s">
        <v>15</v>
      </c>
      <c r="F1776" s="5">
        <v>4339.82</v>
      </c>
    </row>
    <row r="1777" spans="1:6" ht="15.75" customHeight="1" x14ac:dyDescent="0.3">
      <c r="A1777" s="4" t="s">
        <v>99</v>
      </c>
      <c r="B1777" s="2" t="s">
        <v>19</v>
      </c>
      <c r="C1777" s="2" t="s">
        <v>13</v>
      </c>
      <c r="D1777" s="2" t="s">
        <v>9</v>
      </c>
      <c r="E1777" s="2" t="s">
        <v>24</v>
      </c>
      <c r="F1777" s="5">
        <v>132.41999999999999</v>
      </c>
    </row>
    <row r="1778" spans="1:6" ht="15.75" customHeight="1" x14ac:dyDescent="0.3">
      <c r="A1778" s="4" t="s">
        <v>33</v>
      </c>
      <c r="B1778" s="2" t="s">
        <v>19</v>
      </c>
      <c r="C1778" s="2" t="s">
        <v>34</v>
      </c>
      <c r="D1778" s="2" t="s">
        <v>14</v>
      </c>
      <c r="E1778" s="2" t="s">
        <v>10</v>
      </c>
      <c r="F1778" s="5">
        <v>1388.99</v>
      </c>
    </row>
    <row r="1779" spans="1:6" ht="15.75" customHeight="1" x14ac:dyDescent="0.3">
      <c r="A1779" s="4" t="s">
        <v>163</v>
      </c>
      <c r="B1779" s="2" t="s">
        <v>19</v>
      </c>
      <c r="C1779" s="2" t="s">
        <v>23</v>
      </c>
      <c r="D1779" s="2" t="s">
        <v>14</v>
      </c>
      <c r="E1779" s="2" t="s">
        <v>10</v>
      </c>
      <c r="F1779" s="5">
        <v>3966.31</v>
      </c>
    </row>
    <row r="1780" spans="1:6" ht="15.75" customHeight="1" x14ac:dyDescent="0.3">
      <c r="A1780" s="4" t="s">
        <v>79</v>
      </c>
      <c r="B1780" s="2" t="s">
        <v>17</v>
      </c>
      <c r="C1780" s="2" t="s">
        <v>13</v>
      </c>
      <c r="D1780" s="2" t="s">
        <v>28</v>
      </c>
      <c r="E1780" s="2" t="s">
        <v>15</v>
      </c>
      <c r="F1780" s="5">
        <v>2647.7</v>
      </c>
    </row>
    <row r="1781" spans="1:6" ht="15.75" customHeight="1" x14ac:dyDescent="0.3">
      <c r="A1781" s="4" t="s">
        <v>175</v>
      </c>
      <c r="B1781" s="2" t="s">
        <v>7</v>
      </c>
      <c r="C1781" s="2" t="s">
        <v>13</v>
      </c>
      <c r="D1781" s="2" t="s">
        <v>28</v>
      </c>
      <c r="E1781" s="2" t="s">
        <v>24</v>
      </c>
      <c r="F1781" s="5">
        <v>3541.47</v>
      </c>
    </row>
    <row r="1782" spans="1:6" ht="15.75" customHeight="1" x14ac:dyDescent="0.3">
      <c r="A1782" s="4" t="s">
        <v>40</v>
      </c>
      <c r="B1782" s="2" t="s">
        <v>19</v>
      </c>
      <c r="C1782" s="2" t="s">
        <v>23</v>
      </c>
      <c r="D1782" s="2" t="s">
        <v>28</v>
      </c>
      <c r="E1782" s="2" t="s">
        <v>10</v>
      </c>
      <c r="F1782" s="5">
        <v>2083.98</v>
      </c>
    </row>
    <row r="1783" spans="1:6" ht="15.75" customHeight="1" x14ac:dyDescent="0.3">
      <c r="A1783" s="4" t="s">
        <v>102</v>
      </c>
      <c r="B1783" s="2" t="s">
        <v>19</v>
      </c>
      <c r="C1783" s="2" t="s">
        <v>23</v>
      </c>
      <c r="D1783" s="2" t="s">
        <v>9</v>
      </c>
      <c r="E1783" s="2" t="s">
        <v>15</v>
      </c>
      <c r="F1783" s="5">
        <v>3597.2222860627021</v>
      </c>
    </row>
    <row r="1784" spans="1:6" ht="15.75" customHeight="1" x14ac:dyDescent="0.3">
      <c r="A1784" s="4" t="s">
        <v>188</v>
      </c>
      <c r="B1784" s="2" t="s">
        <v>19</v>
      </c>
      <c r="C1784" s="2" t="s">
        <v>8</v>
      </c>
      <c r="D1784" s="2" t="s">
        <v>28</v>
      </c>
      <c r="E1784" s="2" t="s">
        <v>24</v>
      </c>
      <c r="F1784" s="5">
        <v>3828.14</v>
      </c>
    </row>
    <row r="1785" spans="1:6" ht="15.75" customHeight="1" x14ac:dyDescent="0.3">
      <c r="A1785" s="4" t="s">
        <v>72</v>
      </c>
      <c r="B1785" s="2" t="s">
        <v>19</v>
      </c>
      <c r="C1785" s="2" t="s">
        <v>23</v>
      </c>
      <c r="D1785" s="2" t="s">
        <v>9</v>
      </c>
      <c r="E1785" s="2" t="s">
        <v>10</v>
      </c>
      <c r="F1785" s="5">
        <v>3705.6195334108488</v>
      </c>
    </row>
    <row r="1786" spans="1:6" ht="15.75" customHeight="1" x14ac:dyDescent="0.3">
      <c r="A1786" s="4" t="s">
        <v>167</v>
      </c>
      <c r="B1786" s="2" t="s">
        <v>30</v>
      </c>
      <c r="C1786" s="2" t="s">
        <v>8</v>
      </c>
      <c r="D1786" s="2" t="s">
        <v>9</v>
      </c>
      <c r="E1786" s="2" t="s">
        <v>15</v>
      </c>
      <c r="F1786" s="5">
        <v>2912.25026796272</v>
      </c>
    </row>
    <row r="1787" spans="1:6" ht="15.75" customHeight="1" x14ac:dyDescent="0.3">
      <c r="A1787" s="4" t="s">
        <v>52</v>
      </c>
      <c r="B1787" s="2" t="s">
        <v>19</v>
      </c>
      <c r="C1787" s="2" t="s">
        <v>34</v>
      </c>
      <c r="D1787" s="2" t="s">
        <v>28</v>
      </c>
      <c r="E1787" s="2" t="s">
        <v>24</v>
      </c>
      <c r="F1787" s="5">
        <v>1004.91</v>
      </c>
    </row>
    <row r="1788" spans="1:6" ht="15.75" customHeight="1" x14ac:dyDescent="0.3">
      <c r="A1788" s="4" t="s">
        <v>100</v>
      </c>
      <c r="B1788" s="2" t="s">
        <v>7</v>
      </c>
      <c r="C1788" s="2" t="s">
        <v>34</v>
      </c>
      <c r="D1788" s="2" t="s">
        <v>14</v>
      </c>
      <c r="E1788" s="2" t="s">
        <v>10</v>
      </c>
      <c r="F1788" s="5">
        <v>4429.63</v>
      </c>
    </row>
    <row r="1789" spans="1:6" ht="15.75" customHeight="1" x14ac:dyDescent="0.3">
      <c r="A1789" s="4" t="s">
        <v>108</v>
      </c>
      <c r="B1789" s="2" t="s">
        <v>7</v>
      </c>
      <c r="C1789" s="2" t="s">
        <v>13</v>
      </c>
      <c r="D1789" s="2" t="s">
        <v>9</v>
      </c>
      <c r="E1789" s="2" t="s">
        <v>10</v>
      </c>
      <c r="F1789" s="5">
        <v>4951.9238468683379</v>
      </c>
    </row>
    <row r="1790" spans="1:6" ht="15.75" customHeight="1" x14ac:dyDescent="0.3">
      <c r="A1790" s="4" t="s">
        <v>16</v>
      </c>
      <c r="B1790" s="2" t="s">
        <v>17</v>
      </c>
      <c r="C1790" s="2" t="s">
        <v>8</v>
      </c>
      <c r="D1790" s="2" t="s">
        <v>9</v>
      </c>
      <c r="E1790" s="2" t="s">
        <v>24</v>
      </c>
      <c r="F1790" s="5">
        <v>2036.074694882569</v>
      </c>
    </row>
    <row r="1791" spans="1:6" ht="15.75" customHeight="1" x14ac:dyDescent="0.3">
      <c r="A1791" s="4" t="s">
        <v>161</v>
      </c>
      <c r="B1791" s="2" t="s">
        <v>7</v>
      </c>
      <c r="C1791" s="2" t="s">
        <v>8</v>
      </c>
      <c r="D1791" s="2" t="s">
        <v>28</v>
      </c>
      <c r="E1791" s="2" t="s">
        <v>10</v>
      </c>
      <c r="F1791" s="5">
        <v>4936.1400000000003</v>
      </c>
    </row>
    <row r="1792" spans="1:6" ht="15.75" customHeight="1" x14ac:dyDescent="0.3">
      <c r="A1792" s="4" t="s">
        <v>6</v>
      </c>
      <c r="B1792" s="2" t="s">
        <v>7</v>
      </c>
      <c r="C1792" s="2" t="s">
        <v>34</v>
      </c>
      <c r="D1792" s="2" t="s">
        <v>28</v>
      </c>
      <c r="E1792" s="2" t="s">
        <v>15</v>
      </c>
      <c r="F1792" s="5">
        <v>2419.77</v>
      </c>
    </row>
    <row r="1793" spans="1:6" ht="15.75" customHeight="1" x14ac:dyDescent="0.3">
      <c r="A1793" s="4" t="s">
        <v>119</v>
      </c>
      <c r="B1793" s="2" t="s">
        <v>30</v>
      </c>
      <c r="C1793" s="2" t="s">
        <v>34</v>
      </c>
      <c r="D1793" s="2" t="s">
        <v>9</v>
      </c>
      <c r="E1793" s="2" t="s">
        <v>15</v>
      </c>
      <c r="F1793" s="5">
        <v>574.95542596704956</v>
      </c>
    </row>
    <row r="1794" spans="1:6" ht="15.75" customHeight="1" x14ac:dyDescent="0.3">
      <c r="A1794" s="4" t="s">
        <v>191</v>
      </c>
      <c r="B1794" s="2" t="s">
        <v>12</v>
      </c>
      <c r="C1794" s="2" t="s">
        <v>13</v>
      </c>
      <c r="D1794" s="2" t="s">
        <v>28</v>
      </c>
      <c r="E1794" s="2" t="s">
        <v>10</v>
      </c>
      <c r="F1794" s="5">
        <v>2530.5</v>
      </c>
    </row>
    <row r="1795" spans="1:6" ht="15.75" customHeight="1" x14ac:dyDescent="0.3">
      <c r="A1795" s="4" t="s">
        <v>138</v>
      </c>
      <c r="B1795" s="2" t="s">
        <v>12</v>
      </c>
      <c r="C1795" s="2" t="s">
        <v>34</v>
      </c>
      <c r="D1795" s="2" t="s">
        <v>28</v>
      </c>
      <c r="E1795" s="2" t="s">
        <v>10</v>
      </c>
      <c r="F1795" s="5">
        <v>4691.6499999999996</v>
      </c>
    </row>
    <row r="1796" spans="1:6" ht="15.75" customHeight="1" x14ac:dyDescent="0.3">
      <c r="A1796" s="4" t="s">
        <v>161</v>
      </c>
      <c r="B1796" s="2" t="s">
        <v>7</v>
      </c>
      <c r="C1796" s="2" t="s">
        <v>23</v>
      </c>
      <c r="D1796" s="2" t="s">
        <v>28</v>
      </c>
      <c r="E1796" s="2" t="s">
        <v>15</v>
      </c>
      <c r="F1796" s="5">
        <v>3798.92</v>
      </c>
    </row>
    <row r="1797" spans="1:6" ht="15.75" customHeight="1" x14ac:dyDescent="0.3">
      <c r="A1797" s="4" t="s">
        <v>144</v>
      </c>
      <c r="B1797" s="2" t="s">
        <v>30</v>
      </c>
      <c r="C1797" s="2" t="s">
        <v>8</v>
      </c>
      <c r="D1797" s="2" t="s">
        <v>14</v>
      </c>
      <c r="E1797" s="2" t="s">
        <v>24</v>
      </c>
      <c r="F1797" s="5">
        <v>473.15</v>
      </c>
    </row>
    <row r="1798" spans="1:6" ht="15.75" customHeight="1" x14ac:dyDescent="0.3">
      <c r="A1798" s="4" t="s">
        <v>74</v>
      </c>
      <c r="B1798" s="2" t="s">
        <v>19</v>
      </c>
      <c r="C1798" s="2" t="s">
        <v>34</v>
      </c>
      <c r="D1798" s="2" t="s">
        <v>28</v>
      </c>
      <c r="E1798" s="2" t="s">
        <v>15</v>
      </c>
      <c r="F1798" s="5">
        <v>2684.5</v>
      </c>
    </row>
    <row r="1799" spans="1:6" ht="15.75" customHeight="1" x14ac:dyDescent="0.3">
      <c r="A1799" s="4" t="s">
        <v>147</v>
      </c>
      <c r="B1799" s="2" t="s">
        <v>17</v>
      </c>
      <c r="C1799" s="2" t="s">
        <v>34</v>
      </c>
      <c r="D1799" s="2" t="s">
        <v>9</v>
      </c>
      <c r="E1799" s="2" t="s">
        <v>10</v>
      </c>
      <c r="F1799" s="5">
        <v>3207.9661553994829</v>
      </c>
    </row>
    <row r="1800" spans="1:6" ht="15.75" customHeight="1" x14ac:dyDescent="0.3">
      <c r="A1800" s="4" t="s">
        <v>175</v>
      </c>
      <c r="B1800" s="2" t="s">
        <v>7</v>
      </c>
      <c r="C1800" s="2" t="s">
        <v>23</v>
      </c>
      <c r="D1800" s="2" t="s">
        <v>9</v>
      </c>
      <c r="E1800" s="2" t="s">
        <v>15</v>
      </c>
      <c r="F1800" s="5">
        <v>2986.0217025111292</v>
      </c>
    </row>
    <row r="1801" spans="1:6" ht="15.75" customHeight="1" x14ac:dyDescent="0.3">
      <c r="A1801" s="4" t="s">
        <v>157</v>
      </c>
      <c r="B1801" s="2" t="s">
        <v>30</v>
      </c>
      <c r="C1801" s="2" t="s">
        <v>8</v>
      </c>
      <c r="D1801" s="2" t="s">
        <v>28</v>
      </c>
      <c r="E1801" s="2" t="s">
        <v>10</v>
      </c>
      <c r="F1801" s="5">
        <v>862.55</v>
      </c>
    </row>
    <row r="1802" spans="1:6" ht="15.75" customHeight="1" x14ac:dyDescent="0.3">
      <c r="A1802" s="4" t="s">
        <v>11</v>
      </c>
      <c r="B1802" s="2" t="s">
        <v>12</v>
      </c>
      <c r="C1802" s="2" t="s">
        <v>34</v>
      </c>
      <c r="D1802" s="2" t="s">
        <v>14</v>
      </c>
      <c r="E1802" s="2" t="s">
        <v>15</v>
      </c>
      <c r="F1802" s="5">
        <v>827.65</v>
      </c>
    </row>
    <row r="1803" spans="1:6" ht="15.75" customHeight="1" x14ac:dyDescent="0.3">
      <c r="A1803" s="4" t="s">
        <v>130</v>
      </c>
      <c r="B1803" s="2" t="s">
        <v>12</v>
      </c>
      <c r="C1803" s="2" t="s">
        <v>8</v>
      </c>
      <c r="D1803" s="2" t="s">
        <v>28</v>
      </c>
      <c r="E1803" s="2" t="s">
        <v>10</v>
      </c>
      <c r="F1803" s="5">
        <v>1683.73</v>
      </c>
    </row>
    <row r="1804" spans="1:6" ht="15.75" customHeight="1" x14ac:dyDescent="0.3">
      <c r="A1804" s="4" t="s">
        <v>95</v>
      </c>
      <c r="B1804" s="2" t="s">
        <v>30</v>
      </c>
      <c r="C1804" s="2" t="s">
        <v>13</v>
      </c>
      <c r="D1804" s="2" t="s">
        <v>14</v>
      </c>
      <c r="E1804" s="2" t="s">
        <v>24</v>
      </c>
      <c r="F1804" s="5">
        <v>1942.34</v>
      </c>
    </row>
    <row r="1805" spans="1:6" ht="15.75" customHeight="1" x14ac:dyDescent="0.3">
      <c r="A1805" s="4" t="s">
        <v>170</v>
      </c>
      <c r="B1805" s="2" t="s">
        <v>12</v>
      </c>
      <c r="C1805" s="2" t="s">
        <v>34</v>
      </c>
      <c r="D1805" s="2" t="s">
        <v>14</v>
      </c>
      <c r="E1805" s="2" t="s">
        <v>10</v>
      </c>
      <c r="F1805" s="5">
        <v>4550.1099999999997</v>
      </c>
    </row>
    <row r="1806" spans="1:6" ht="15.75" customHeight="1" x14ac:dyDescent="0.3">
      <c r="A1806" s="4" t="s">
        <v>208</v>
      </c>
      <c r="B1806" s="2" t="s">
        <v>19</v>
      </c>
      <c r="C1806" s="2" t="s">
        <v>8</v>
      </c>
      <c r="D1806" s="2" t="s">
        <v>9</v>
      </c>
      <c r="E1806" s="2" t="s">
        <v>15</v>
      </c>
      <c r="F1806" s="5">
        <v>3667.9851924479549</v>
      </c>
    </row>
    <row r="1807" spans="1:6" ht="15.75" customHeight="1" x14ac:dyDescent="0.3">
      <c r="A1807" s="4" t="s">
        <v>167</v>
      </c>
      <c r="B1807" s="2" t="s">
        <v>30</v>
      </c>
      <c r="C1807" s="2" t="s">
        <v>23</v>
      </c>
      <c r="D1807" s="2" t="s">
        <v>14</v>
      </c>
      <c r="E1807" s="2" t="s">
        <v>24</v>
      </c>
      <c r="F1807" s="5">
        <v>4318.42</v>
      </c>
    </row>
    <row r="1808" spans="1:6" ht="15.75" customHeight="1" x14ac:dyDescent="0.3">
      <c r="A1808" s="4" t="s">
        <v>52</v>
      </c>
      <c r="B1808" s="2" t="s">
        <v>19</v>
      </c>
      <c r="C1808" s="2" t="s">
        <v>23</v>
      </c>
      <c r="D1808" s="2" t="s">
        <v>14</v>
      </c>
      <c r="E1808" s="2" t="s">
        <v>10</v>
      </c>
      <c r="F1808" s="5">
        <v>3660.75</v>
      </c>
    </row>
    <row r="1809" spans="1:6" ht="15.75" customHeight="1" x14ac:dyDescent="0.3">
      <c r="A1809" s="4" t="s">
        <v>154</v>
      </c>
      <c r="B1809" s="2" t="s">
        <v>12</v>
      </c>
      <c r="C1809" s="2" t="s">
        <v>13</v>
      </c>
      <c r="D1809" s="2" t="s">
        <v>14</v>
      </c>
      <c r="E1809" s="2" t="s">
        <v>15</v>
      </c>
      <c r="F1809" s="5">
        <v>1074.46</v>
      </c>
    </row>
    <row r="1810" spans="1:6" ht="15.75" customHeight="1" x14ac:dyDescent="0.3">
      <c r="A1810" s="4" t="s">
        <v>113</v>
      </c>
      <c r="B1810" s="2" t="s">
        <v>30</v>
      </c>
      <c r="C1810" s="2" t="s">
        <v>23</v>
      </c>
      <c r="D1810" s="2" t="s">
        <v>14</v>
      </c>
      <c r="E1810" s="2" t="s">
        <v>24</v>
      </c>
      <c r="F1810" s="5">
        <v>4228.88</v>
      </c>
    </row>
    <row r="1811" spans="1:6" ht="15.75" customHeight="1" x14ac:dyDescent="0.3">
      <c r="A1811" s="4" t="s">
        <v>111</v>
      </c>
      <c r="B1811" s="2" t="s">
        <v>19</v>
      </c>
      <c r="C1811" s="2" t="s">
        <v>34</v>
      </c>
      <c r="D1811" s="2" t="s">
        <v>14</v>
      </c>
      <c r="E1811" s="2" t="s">
        <v>24</v>
      </c>
      <c r="F1811" s="5">
        <v>2827.96</v>
      </c>
    </row>
    <row r="1812" spans="1:6" ht="15.75" customHeight="1" x14ac:dyDescent="0.3">
      <c r="A1812" s="4" t="s">
        <v>70</v>
      </c>
      <c r="B1812" s="2" t="s">
        <v>19</v>
      </c>
      <c r="C1812" s="2" t="s">
        <v>8</v>
      </c>
      <c r="D1812" s="2" t="s">
        <v>9</v>
      </c>
      <c r="E1812" s="2" t="s">
        <v>10</v>
      </c>
      <c r="F1812" s="5">
        <v>1375.5189586855199</v>
      </c>
    </row>
    <row r="1813" spans="1:6" ht="15.75" customHeight="1" x14ac:dyDescent="0.3">
      <c r="A1813" s="4" t="s">
        <v>76</v>
      </c>
      <c r="B1813" s="2" t="s">
        <v>17</v>
      </c>
      <c r="C1813" s="2" t="s">
        <v>13</v>
      </c>
      <c r="D1813" s="2" t="s">
        <v>9</v>
      </c>
      <c r="E1813" s="2" t="s">
        <v>15</v>
      </c>
      <c r="F1813" s="5">
        <v>3501.598643631135</v>
      </c>
    </row>
    <row r="1814" spans="1:6" ht="15.75" customHeight="1" x14ac:dyDescent="0.3">
      <c r="A1814" s="4" t="s">
        <v>40</v>
      </c>
      <c r="B1814" s="2" t="s">
        <v>19</v>
      </c>
      <c r="C1814" s="2" t="s">
        <v>23</v>
      </c>
      <c r="D1814" s="2" t="s">
        <v>9</v>
      </c>
      <c r="E1814" s="2" t="s">
        <v>15</v>
      </c>
      <c r="F1814" s="5">
        <v>3492.97721515683</v>
      </c>
    </row>
    <row r="1815" spans="1:6" ht="15.75" customHeight="1" x14ac:dyDescent="0.3">
      <c r="A1815" s="4" t="s">
        <v>204</v>
      </c>
      <c r="B1815" s="2" t="s">
        <v>30</v>
      </c>
      <c r="C1815" s="2" t="s">
        <v>13</v>
      </c>
      <c r="D1815" s="2" t="s">
        <v>9</v>
      </c>
      <c r="E1815" s="2" t="s">
        <v>24</v>
      </c>
      <c r="F1815" s="5">
        <v>1594.776310183139</v>
      </c>
    </row>
    <row r="1816" spans="1:6" ht="15.75" customHeight="1" x14ac:dyDescent="0.3">
      <c r="A1816" s="4" t="s">
        <v>53</v>
      </c>
      <c r="B1816" s="2" t="s">
        <v>7</v>
      </c>
      <c r="C1816" s="2" t="s">
        <v>8</v>
      </c>
      <c r="D1816" s="2" t="s">
        <v>9</v>
      </c>
      <c r="E1816" s="2" t="s">
        <v>15</v>
      </c>
      <c r="F1816" s="5">
        <v>4328.8292812972722</v>
      </c>
    </row>
    <row r="1817" spans="1:6" ht="15.75" customHeight="1" x14ac:dyDescent="0.3">
      <c r="A1817" s="4" t="s">
        <v>88</v>
      </c>
      <c r="B1817" s="2" t="s">
        <v>7</v>
      </c>
      <c r="C1817" s="2" t="s">
        <v>34</v>
      </c>
      <c r="D1817" s="2" t="s">
        <v>9</v>
      </c>
      <c r="E1817" s="2" t="s">
        <v>10</v>
      </c>
      <c r="F1817" s="5">
        <v>3820.7628739533752</v>
      </c>
    </row>
    <row r="1818" spans="1:6" ht="15.75" customHeight="1" x14ac:dyDescent="0.3">
      <c r="A1818" s="4" t="s">
        <v>210</v>
      </c>
      <c r="B1818" s="2" t="s">
        <v>7</v>
      </c>
      <c r="C1818" s="2" t="s">
        <v>8</v>
      </c>
      <c r="D1818" s="2" t="s">
        <v>14</v>
      </c>
      <c r="E1818" s="2" t="s">
        <v>10</v>
      </c>
      <c r="F1818" s="5">
        <v>2495.33</v>
      </c>
    </row>
    <row r="1819" spans="1:6" ht="15.75" customHeight="1" x14ac:dyDescent="0.3">
      <c r="A1819" s="4" t="s">
        <v>197</v>
      </c>
      <c r="B1819" s="2" t="s">
        <v>30</v>
      </c>
      <c r="C1819" s="2" t="s">
        <v>23</v>
      </c>
      <c r="D1819" s="2" t="s">
        <v>28</v>
      </c>
      <c r="E1819" s="2" t="s">
        <v>10</v>
      </c>
      <c r="F1819" s="5">
        <v>286.39</v>
      </c>
    </row>
    <row r="1820" spans="1:6" ht="15.75" customHeight="1" x14ac:dyDescent="0.3">
      <c r="A1820" s="4" t="s">
        <v>65</v>
      </c>
      <c r="B1820" s="2" t="s">
        <v>30</v>
      </c>
      <c r="C1820" s="2" t="s">
        <v>34</v>
      </c>
      <c r="D1820" s="2" t="s">
        <v>14</v>
      </c>
      <c r="E1820" s="2" t="s">
        <v>10</v>
      </c>
      <c r="F1820" s="5">
        <v>1994.05</v>
      </c>
    </row>
    <row r="1821" spans="1:6" ht="15.75" customHeight="1" x14ac:dyDescent="0.3">
      <c r="A1821" s="4" t="s">
        <v>213</v>
      </c>
      <c r="B1821" s="2" t="s">
        <v>12</v>
      </c>
      <c r="C1821" s="2" t="s">
        <v>13</v>
      </c>
      <c r="D1821" s="2" t="s">
        <v>14</v>
      </c>
      <c r="E1821" s="2" t="s">
        <v>10</v>
      </c>
      <c r="F1821" s="5">
        <v>2165.4299999999998</v>
      </c>
    </row>
    <row r="1822" spans="1:6" ht="15.75" customHeight="1" x14ac:dyDescent="0.3">
      <c r="A1822" s="4" t="s">
        <v>16</v>
      </c>
      <c r="B1822" s="2" t="s">
        <v>17</v>
      </c>
      <c r="C1822" s="2" t="s">
        <v>23</v>
      </c>
      <c r="D1822" s="2" t="s">
        <v>28</v>
      </c>
      <c r="E1822" s="2" t="s">
        <v>15</v>
      </c>
      <c r="F1822" s="5">
        <v>4197.01</v>
      </c>
    </row>
    <row r="1823" spans="1:6" ht="15.75" customHeight="1" x14ac:dyDescent="0.3">
      <c r="A1823" s="4" t="s">
        <v>78</v>
      </c>
      <c r="B1823" s="2" t="s">
        <v>7</v>
      </c>
      <c r="C1823" s="2" t="s">
        <v>34</v>
      </c>
      <c r="D1823" s="2" t="s">
        <v>9</v>
      </c>
      <c r="E1823" s="2" t="s">
        <v>10</v>
      </c>
      <c r="F1823" s="5">
        <v>1921.28</v>
      </c>
    </row>
    <row r="1824" spans="1:6" ht="15.75" customHeight="1" x14ac:dyDescent="0.3">
      <c r="A1824" s="4" t="s">
        <v>89</v>
      </c>
      <c r="B1824" s="2" t="s">
        <v>17</v>
      </c>
      <c r="C1824" s="2" t="s">
        <v>13</v>
      </c>
      <c r="D1824" s="2" t="s">
        <v>28</v>
      </c>
      <c r="E1824" s="2" t="s">
        <v>24</v>
      </c>
      <c r="F1824" s="5">
        <v>3491.72</v>
      </c>
    </row>
    <row r="1825" spans="1:6" ht="15.75" customHeight="1" x14ac:dyDescent="0.3">
      <c r="A1825" s="4" t="s">
        <v>81</v>
      </c>
      <c r="B1825" s="2" t="s">
        <v>12</v>
      </c>
      <c r="C1825" s="2" t="s">
        <v>34</v>
      </c>
      <c r="D1825" s="2" t="s">
        <v>9</v>
      </c>
      <c r="E1825" s="2" t="s">
        <v>10</v>
      </c>
      <c r="F1825" s="5">
        <v>2500.0664515858498</v>
      </c>
    </row>
    <row r="1826" spans="1:6" ht="15.75" customHeight="1" x14ac:dyDescent="0.3">
      <c r="A1826" s="4" t="s">
        <v>212</v>
      </c>
      <c r="B1826" s="2" t="s">
        <v>7</v>
      </c>
      <c r="C1826" s="2" t="s">
        <v>13</v>
      </c>
      <c r="D1826" s="2" t="s">
        <v>28</v>
      </c>
      <c r="E1826" s="2" t="s">
        <v>10</v>
      </c>
      <c r="F1826" s="5">
        <v>818.77</v>
      </c>
    </row>
    <row r="1827" spans="1:6" ht="15.75" customHeight="1" x14ac:dyDescent="0.3">
      <c r="A1827" s="4" t="s">
        <v>185</v>
      </c>
      <c r="B1827" s="2" t="s">
        <v>30</v>
      </c>
      <c r="C1827" s="2" t="s">
        <v>8</v>
      </c>
      <c r="D1827" s="2" t="s">
        <v>28</v>
      </c>
      <c r="E1827" s="2" t="s">
        <v>15</v>
      </c>
      <c r="F1827" s="5">
        <v>316.76</v>
      </c>
    </row>
    <row r="1828" spans="1:6" ht="15.75" customHeight="1" x14ac:dyDescent="0.3">
      <c r="A1828" s="4" t="s">
        <v>202</v>
      </c>
      <c r="B1828" s="2" t="s">
        <v>12</v>
      </c>
      <c r="C1828" s="2" t="s">
        <v>13</v>
      </c>
      <c r="D1828" s="2" t="s">
        <v>28</v>
      </c>
      <c r="E1828" s="2" t="s">
        <v>15</v>
      </c>
      <c r="F1828" s="5">
        <v>2524.56</v>
      </c>
    </row>
    <row r="1829" spans="1:6" ht="15.75" customHeight="1" x14ac:dyDescent="0.3">
      <c r="A1829" s="4" t="s">
        <v>207</v>
      </c>
      <c r="B1829" s="2" t="s">
        <v>17</v>
      </c>
      <c r="C1829" s="2" t="s">
        <v>34</v>
      </c>
      <c r="D1829" s="2" t="s">
        <v>9</v>
      </c>
      <c r="E1829" s="2" t="s">
        <v>15</v>
      </c>
      <c r="F1829" s="5">
        <v>1374.2160945656981</v>
      </c>
    </row>
    <row r="1830" spans="1:6" ht="15.75" customHeight="1" x14ac:dyDescent="0.3">
      <c r="A1830" s="4" t="s">
        <v>161</v>
      </c>
      <c r="B1830" s="2" t="s">
        <v>7</v>
      </c>
      <c r="C1830" s="2" t="s">
        <v>13</v>
      </c>
      <c r="D1830" s="2" t="s">
        <v>28</v>
      </c>
      <c r="E1830" s="2" t="s">
        <v>10</v>
      </c>
      <c r="F1830" s="5">
        <v>3494.63</v>
      </c>
    </row>
    <row r="1831" spans="1:6" ht="15.75" customHeight="1" x14ac:dyDescent="0.3">
      <c r="A1831" s="4" t="s">
        <v>119</v>
      </c>
      <c r="B1831" s="2" t="s">
        <v>30</v>
      </c>
      <c r="C1831" s="2" t="s">
        <v>13</v>
      </c>
      <c r="D1831" s="2" t="s">
        <v>9</v>
      </c>
      <c r="E1831" s="2" t="s">
        <v>24</v>
      </c>
      <c r="F1831" s="5">
        <v>1436.9353593339081</v>
      </c>
    </row>
    <row r="1832" spans="1:6" ht="15.75" customHeight="1" x14ac:dyDescent="0.3">
      <c r="A1832" s="4" t="s">
        <v>217</v>
      </c>
      <c r="B1832" s="2" t="s">
        <v>19</v>
      </c>
      <c r="C1832" s="2" t="s">
        <v>13</v>
      </c>
      <c r="D1832" s="2" t="s">
        <v>28</v>
      </c>
      <c r="E1832" s="2" t="s">
        <v>10</v>
      </c>
      <c r="F1832" s="5">
        <v>1993.57</v>
      </c>
    </row>
    <row r="1833" spans="1:6" ht="15.75" customHeight="1" x14ac:dyDescent="0.3">
      <c r="A1833" s="4" t="s">
        <v>95</v>
      </c>
      <c r="B1833" s="2" t="s">
        <v>30</v>
      </c>
      <c r="C1833" s="2" t="s">
        <v>8</v>
      </c>
      <c r="D1833" s="2" t="s">
        <v>14</v>
      </c>
      <c r="E1833" s="2" t="s">
        <v>15</v>
      </c>
      <c r="F1833" s="5">
        <v>2563.0100000000002</v>
      </c>
    </row>
    <row r="1834" spans="1:6" ht="15.75" customHeight="1" x14ac:dyDescent="0.3">
      <c r="A1834" s="4" t="s">
        <v>118</v>
      </c>
      <c r="B1834" s="2" t="s">
        <v>30</v>
      </c>
      <c r="C1834" s="2" t="s">
        <v>13</v>
      </c>
      <c r="D1834" s="2" t="s">
        <v>28</v>
      </c>
      <c r="E1834" s="2" t="s">
        <v>10</v>
      </c>
      <c r="F1834" s="5">
        <v>3772.31</v>
      </c>
    </row>
    <row r="1835" spans="1:6" ht="15.75" customHeight="1" x14ac:dyDescent="0.3">
      <c r="A1835" s="4" t="s">
        <v>197</v>
      </c>
      <c r="B1835" s="2" t="s">
        <v>30</v>
      </c>
      <c r="C1835" s="2" t="s">
        <v>8</v>
      </c>
      <c r="D1835" s="2" t="s">
        <v>28</v>
      </c>
      <c r="E1835" s="2" t="s">
        <v>15</v>
      </c>
      <c r="F1835" s="5">
        <v>1624.65</v>
      </c>
    </row>
    <row r="1836" spans="1:6" ht="15.75" customHeight="1" x14ac:dyDescent="0.3">
      <c r="A1836" s="4" t="s">
        <v>179</v>
      </c>
      <c r="B1836" s="2" t="s">
        <v>7</v>
      </c>
      <c r="C1836" s="2" t="s">
        <v>13</v>
      </c>
      <c r="D1836" s="2" t="s">
        <v>28</v>
      </c>
      <c r="E1836" s="2" t="s">
        <v>10</v>
      </c>
      <c r="F1836" s="5">
        <v>4535.0200000000004</v>
      </c>
    </row>
    <row r="1837" spans="1:6" ht="15.75" customHeight="1" x14ac:dyDescent="0.3">
      <c r="A1837" s="4" t="s">
        <v>175</v>
      </c>
      <c r="B1837" s="2" t="s">
        <v>7</v>
      </c>
      <c r="C1837" s="2" t="s">
        <v>13</v>
      </c>
      <c r="D1837" s="2" t="s">
        <v>9</v>
      </c>
      <c r="E1837" s="2" t="s">
        <v>24</v>
      </c>
      <c r="F1837" s="5">
        <v>3532.2748671099862</v>
      </c>
    </row>
    <row r="1838" spans="1:6" ht="15.75" customHeight="1" x14ac:dyDescent="0.3">
      <c r="A1838" s="4" t="s">
        <v>153</v>
      </c>
      <c r="B1838" s="2" t="s">
        <v>7</v>
      </c>
      <c r="C1838" s="2" t="s">
        <v>13</v>
      </c>
      <c r="D1838" s="2" t="s">
        <v>14</v>
      </c>
      <c r="E1838" s="2" t="s">
        <v>15</v>
      </c>
      <c r="F1838" s="5">
        <v>2581.0300000000002</v>
      </c>
    </row>
    <row r="1839" spans="1:6" ht="15.75" customHeight="1" x14ac:dyDescent="0.3">
      <c r="A1839" s="4" t="s">
        <v>194</v>
      </c>
      <c r="B1839" s="2" t="s">
        <v>17</v>
      </c>
      <c r="C1839" s="2" t="s">
        <v>34</v>
      </c>
      <c r="D1839" s="2" t="s">
        <v>9</v>
      </c>
      <c r="E1839" s="2" t="s">
        <v>15</v>
      </c>
      <c r="F1839" s="5">
        <v>4518.3755817829278</v>
      </c>
    </row>
    <row r="1840" spans="1:6" ht="15.75" customHeight="1" x14ac:dyDescent="0.3">
      <c r="A1840" s="4" t="s">
        <v>168</v>
      </c>
      <c r="B1840" s="2" t="s">
        <v>17</v>
      </c>
      <c r="C1840" s="2" t="s">
        <v>13</v>
      </c>
      <c r="D1840" s="2" t="s">
        <v>28</v>
      </c>
      <c r="E1840" s="2" t="s">
        <v>24</v>
      </c>
      <c r="F1840" s="5">
        <v>4506.08</v>
      </c>
    </row>
    <row r="1841" spans="1:6" ht="15.75" customHeight="1" x14ac:dyDescent="0.3">
      <c r="A1841" s="4" t="s">
        <v>164</v>
      </c>
      <c r="B1841" s="2" t="s">
        <v>19</v>
      </c>
      <c r="C1841" s="2" t="s">
        <v>8</v>
      </c>
      <c r="D1841" s="2" t="s">
        <v>9</v>
      </c>
      <c r="E1841" s="2" t="s">
        <v>15</v>
      </c>
      <c r="F1841" s="5">
        <v>3055.5135623816668</v>
      </c>
    </row>
    <row r="1842" spans="1:6" ht="15.75" customHeight="1" x14ac:dyDescent="0.3">
      <c r="A1842" s="4" t="s">
        <v>85</v>
      </c>
      <c r="B1842" s="2" t="s">
        <v>30</v>
      </c>
      <c r="C1842" s="2" t="s">
        <v>8</v>
      </c>
      <c r="D1842" s="2" t="s">
        <v>14</v>
      </c>
      <c r="E1842" s="2" t="s">
        <v>15</v>
      </c>
      <c r="F1842" s="5">
        <v>1376.96</v>
      </c>
    </row>
    <row r="1843" spans="1:6" ht="15.75" customHeight="1" x14ac:dyDescent="0.3">
      <c r="A1843" s="4" t="s">
        <v>103</v>
      </c>
      <c r="B1843" s="2" t="s">
        <v>19</v>
      </c>
      <c r="C1843" s="2" t="s">
        <v>8</v>
      </c>
      <c r="D1843" s="2" t="s">
        <v>9</v>
      </c>
      <c r="E1843" s="2" t="s">
        <v>15</v>
      </c>
      <c r="F1843" s="5">
        <v>3798.946269046005</v>
      </c>
    </row>
    <row r="1844" spans="1:6" ht="15.75" customHeight="1" x14ac:dyDescent="0.3">
      <c r="A1844" s="4" t="s">
        <v>159</v>
      </c>
      <c r="B1844" s="2" t="s">
        <v>7</v>
      </c>
      <c r="C1844" s="2" t="s">
        <v>8</v>
      </c>
      <c r="D1844" s="2" t="s">
        <v>28</v>
      </c>
      <c r="E1844" s="2" t="s">
        <v>15</v>
      </c>
      <c r="F1844" s="5">
        <v>1881.41</v>
      </c>
    </row>
    <row r="1845" spans="1:6" ht="15.75" customHeight="1" x14ac:dyDescent="0.3">
      <c r="A1845" s="4" t="s">
        <v>118</v>
      </c>
      <c r="B1845" s="2" t="s">
        <v>30</v>
      </c>
      <c r="C1845" s="2" t="s">
        <v>34</v>
      </c>
      <c r="D1845" s="2" t="s">
        <v>14</v>
      </c>
      <c r="E1845" s="2" t="s">
        <v>24</v>
      </c>
      <c r="F1845" s="5">
        <v>1308.54</v>
      </c>
    </row>
    <row r="1846" spans="1:6" ht="15.75" customHeight="1" x14ac:dyDescent="0.3">
      <c r="A1846" s="4" t="s">
        <v>65</v>
      </c>
      <c r="B1846" s="2" t="s">
        <v>30</v>
      </c>
      <c r="C1846" s="2" t="s">
        <v>13</v>
      </c>
      <c r="D1846" s="2" t="s">
        <v>28</v>
      </c>
      <c r="E1846" s="2" t="s">
        <v>15</v>
      </c>
      <c r="F1846" s="5">
        <v>706.73</v>
      </c>
    </row>
    <row r="1847" spans="1:6" ht="15.75" customHeight="1" x14ac:dyDescent="0.3">
      <c r="A1847" s="4" t="s">
        <v>197</v>
      </c>
      <c r="B1847" s="2" t="s">
        <v>30</v>
      </c>
      <c r="C1847" s="2" t="s">
        <v>23</v>
      </c>
      <c r="D1847" s="2" t="s">
        <v>9</v>
      </c>
      <c r="E1847" s="2" t="s">
        <v>24</v>
      </c>
      <c r="F1847" s="5">
        <v>3595.4041007677511</v>
      </c>
    </row>
    <row r="1848" spans="1:6" ht="15.75" customHeight="1" x14ac:dyDescent="0.3">
      <c r="A1848" s="4" t="s">
        <v>131</v>
      </c>
      <c r="B1848" s="2" t="s">
        <v>17</v>
      </c>
      <c r="C1848" s="2" t="s">
        <v>23</v>
      </c>
      <c r="D1848" s="2" t="s">
        <v>14</v>
      </c>
      <c r="E1848" s="2" t="s">
        <v>10</v>
      </c>
      <c r="F1848" s="5">
        <v>1990.59</v>
      </c>
    </row>
    <row r="1849" spans="1:6" ht="15.75" customHeight="1" x14ac:dyDescent="0.3">
      <c r="A1849" s="4" t="s">
        <v>178</v>
      </c>
      <c r="B1849" s="2" t="s">
        <v>30</v>
      </c>
      <c r="C1849" s="2" t="s">
        <v>8</v>
      </c>
      <c r="D1849" s="2" t="s">
        <v>9</v>
      </c>
      <c r="E1849" s="2" t="s">
        <v>24</v>
      </c>
      <c r="F1849" s="5">
        <v>4212.5026313701646</v>
      </c>
    </row>
    <row r="1850" spans="1:6" ht="15.75" customHeight="1" x14ac:dyDescent="0.3">
      <c r="A1850" s="4" t="s">
        <v>45</v>
      </c>
      <c r="B1850" s="2" t="s">
        <v>7</v>
      </c>
      <c r="C1850" s="2" t="s">
        <v>8</v>
      </c>
      <c r="D1850" s="2" t="s">
        <v>9</v>
      </c>
      <c r="E1850" s="2" t="s">
        <v>15</v>
      </c>
      <c r="F1850" s="5">
        <v>2388.2432189834822</v>
      </c>
    </row>
    <row r="1851" spans="1:6" ht="15.75" customHeight="1" x14ac:dyDescent="0.3">
      <c r="A1851" s="4" t="s">
        <v>70</v>
      </c>
      <c r="B1851" s="2" t="s">
        <v>19</v>
      </c>
      <c r="C1851" s="2" t="s">
        <v>34</v>
      </c>
      <c r="D1851" s="2" t="s">
        <v>9</v>
      </c>
      <c r="E1851" s="2" t="s">
        <v>24</v>
      </c>
      <c r="F1851" s="5">
        <v>318.91989988470311</v>
      </c>
    </row>
    <row r="1852" spans="1:6" ht="15.75" customHeight="1" x14ac:dyDescent="0.3">
      <c r="A1852" s="4" t="s">
        <v>16</v>
      </c>
      <c r="B1852" s="2" t="s">
        <v>17</v>
      </c>
      <c r="C1852" s="2" t="s">
        <v>13</v>
      </c>
      <c r="D1852" s="2" t="s">
        <v>14</v>
      </c>
      <c r="E1852" s="2" t="s">
        <v>10</v>
      </c>
      <c r="F1852" s="5">
        <v>365.96</v>
      </c>
    </row>
    <row r="1853" spans="1:6" ht="15.75" customHeight="1" x14ac:dyDescent="0.3">
      <c r="A1853" s="4" t="s">
        <v>211</v>
      </c>
      <c r="B1853" s="2" t="s">
        <v>7</v>
      </c>
      <c r="C1853" s="2" t="s">
        <v>34</v>
      </c>
      <c r="D1853" s="2" t="s">
        <v>28</v>
      </c>
      <c r="E1853" s="2" t="s">
        <v>10</v>
      </c>
      <c r="F1853" s="5">
        <v>1353.72</v>
      </c>
    </row>
    <row r="1854" spans="1:6" ht="15.75" customHeight="1" x14ac:dyDescent="0.3">
      <c r="A1854" s="4" t="s">
        <v>213</v>
      </c>
      <c r="B1854" s="2" t="s">
        <v>12</v>
      </c>
      <c r="C1854" s="2" t="s">
        <v>34</v>
      </c>
      <c r="D1854" s="2" t="s">
        <v>14</v>
      </c>
      <c r="E1854" s="2" t="s">
        <v>24</v>
      </c>
      <c r="F1854" s="5">
        <v>3026.73</v>
      </c>
    </row>
    <row r="1855" spans="1:6" ht="15.75" customHeight="1" x14ac:dyDescent="0.3">
      <c r="A1855" s="4" t="s">
        <v>179</v>
      </c>
      <c r="B1855" s="2" t="s">
        <v>7</v>
      </c>
      <c r="C1855" s="2" t="s">
        <v>13</v>
      </c>
      <c r="D1855" s="2" t="s">
        <v>14</v>
      </c>
      <c r="E1855" s="2" t="s">
        <v>10</v>
      </c>
      <c r="F1855" s="5">
        <v>4344.96</v>
      </c>
    </row>
    <row r="1856" spans="1:6" ht="15.75" customHeight="1" x14ac:dyDescent="0.3">
      <c r="A1856" s="4" t="s">
        <v>95</v>
      </c>
      <c r="B1856" s="2" t="s">
        <v>30</v>
      </c>
      <c r="C1856" s="2" t="s">
        <v>8</v>
      </c>
      <c r="D1856" s="2" t="s">
        <v>9</v>
      </c>
      <c r="E1856" s="2" t="s">
        <v>10</v>
      </c>
      <c r="F1856" s="5">
        <v>2412.9017548796892</v>
      </c>
    </row>
    <row r="1857" spans="1:6" ht="15.75" customHeight="1" x14ac:dyDescent="0.3">
      <c r="A1857" s="4" t="s">
        <v>110</v>
      </c>
      <c r="B1857" s="2" t="s">
        <v>12</v>
      </c>
      <c r="C1857" s="2" t="s">
        <v>13</v>
      </c>
      <c r="D1857" s="2" t="s">
        <v>28</v>
      </c>
      <c r="E1857" s="2" t="s">
        <v>24</v>
      </c>
      <c r="F1857" s="5">
        <v>4239.84</v>
      </c>
    </row>
    <row r="1858" spans="1:6" ht="15.75" customHeight="1" x14ac:dyDescent="0.3">
      <c r="A1858" s="4" t="s">
        <v>161</v>
      </c>
      <c r="B1858" s="2" t="s">
        <v>7</v>
      </c>
      <c r="C1858" s="2" t="s">
        <v>13</v>
      </c>
      <c r="D1858" s="2" t="s">
        <v>9</v>
      </c>
      <c r="E1858" s="2" t="s">
        <v>15</v>
      </c>
      <c r="F1858" s="5">
        <v>3759.0107958349281</v>
      </c>
    </row>
    <row r="1859" spans="1:6" ht="15.75" customHeight="1" x14ac:dyDescent="0.3">
      <c r="A1859" s="4" t="s">
        <v>137</v>
      </c>
      <c r="B1859" s="2" t="s">
        <v>17</v>
      </c>
      <c r="C1859" s="2" t="s">
        <v>23</v>
      </c>
      <c r="D1859" s="2" t="s">
        <v>14</v>
      </c>
      <c r="E1859" s="2" t="s">
        <v>10</v>
      </c>
      <c r="F1859" s="5">
        <v>3558.82</v>
      </c>
    </row>
    <row r="1860" spans="1:6" ht="15.75" customHeight="1" x14ac:dyDescent="0.3">
      <c r="A1860" s="4" t="s">
        <v>143</v>
      </c>
      <c r="B1860" s="2" t="s">
        <v>17</v>
      </c>
      <c r="C1860" s="2" t="s">
        <v>13</v>
      </c>
      <c r="D1860" s="2" t="s">
        <v>28</v>
      </c>
      <c r="E1860" s="2" t="s">
        <v>15</v>
      </c>
      <c r="F1860" s="5">
        <v>2610.12</v>
      </c>
    </row>
    <row r="1861" spans="1:6" ht="15.75" customHeight="1" x14ac:dyDescent="0.3">
      <c r="A1861" s="4" t="s">
        <v>180</v>
      </c>
      <c r="B1861" s="2" t="s">
        <v>30</v>
      </c>
      <c r="C1861" s="2" t="s">
        <v>34</v>
      </c>
      <c r="D1861" s="2" t="s">
        <v>28</v>
      </c>
      <c r="E1861" s="2" t="s">
        <v>10</v>
      </c>
      <c r="F1861" s="5">
        <v>2651.33</v>
      </c>
    </row>
    <row r="1862" spans="1:6" ht="15.75" customHeight="1" x14ac:dyDescent="0.3">
      <c r="A1862" s="4" t="s">
        <v>93</v>
      </c>
      <c r="B1862" s="2" t="s">
        <v>30</v>
      </c>
      <c r="C1862" s="2" t="s">
        <v>23</v>
      </c>
      <c r="D1862" s="2" t="s">
        <v>28</v>
      </c>
      <c r="E1862" s="2" t="s">
        <v>24</v>
      </c>
      <c r="F1862" s="5">
        <v>1018.53</v>
      </c>
    </row>
    <row r="1863" spans="1:6" ht="15.75" customHeight="1" x14ac:dyDescent="0.3">
      <c r="A1863" s="4" t="s">
        <v>110</v>
      </c>
      <c r="B1863" s="2" t="s">
        <v>12</v>
      </c>
      <c r="C1863" s="2" t="s">
        <v>23</v>
      </c>
      <c r="D1863" s="2" t="s">
        <v>9</v>
      </c>
      <c r="E1863" s="2" t="s">
        <v>15</v>
      </c>
      <c r="F1863" s="5">
        <v>503.93</v>
      </c>
    </row>
    <row r="1864" spans="1:6" ht="15.75" customHeight="1" x14ac:dyDescent="0.3">
      <c r="A1864" s="4" t="s">
        <v>38</v>
      </c>
      <c r="B1864" s="2" t="s">
        <v>30</v>
      </c>
      <c r="C1864" s="2" t="s">
        <v>13</v>
      </c>
      <c r="D1864" s="2" t="s">
        <v>9</v>
      </c>
      <c r="E1864" s="2" t="s">
        <v>10</v>
      </c>
      <c r="F1864" s="5">
        <v>3013.4457641809481</v>
      </c>
    </row>
    <row r="1865" spans="1:6" ht="15.75" customHeight="1" x14ac:dyDescent="0.3">
      <c r="A1865" s="4" t="s">
        <v>81</v>
      </c>
      <c r="B1865" s="2" t="s">
        <v>12</v>
      </c>
      <c r="C1865" s="2" t="s">
        <v>13</v>
      </c>
      <c r="D1865" s="2" t="s">
        <v>28</v>
      </c>
      <c r="E1865" s="2" t="s">
        <v>10</v>
      </c>
      <c r="F1865" s="5">
        <v>1639.95</v>
      </c>
    </row>
    <row r="1866" spans="1:6" ht="15.75" customHeight="1" x14ac:dyDescent="0.3">
      <c r="A1866" s="4" t="s">
        <v>125</v>
      </c>
      <c r="B1866" s="2" t="s">
        <v>7</v>
      </c>
      <c r="C1866" s="2" t="s">
        <v>23</v>
      </c>
      <c r="D1866" s="2" t="s">
        <v>14</v>
      </c>
      <c r="E1866" s="2" t="s">
        <v>24</v>
      </c>
      <c r="F1866" s="5">
        <v>4092.48</v>
      </c>
    </row>
    <row r="1867" spans="1:6" ht="15.75" customHeight="1" x14ac:dyDescent="0.3">
      <c r="A1867" s="4" t="s">
        <v>185</v>
      </c>
      <c r="B1867" s="2" t="s">
        <v>30</v>
      </c>
      <c r="C1867" s="2" t="s">
        <v>13</v>
      </c>
      <c r="D1867" s="2" t="s">
        <v>14</v>
      </c>
      <c r="E1867" s="2" t="s">
        <v>15</v>
      </c>
      <c r="F1867" s="5">
        <v>730.62</v>
      </c>
    </row>
    <row r="1868" spans="1:6" ht="15.75" customHeight="1" x14ac:dyDescent="0.3">
      <c r="A1868" s="4" t="s">
        <v>128</v>
      </c>
      <c r="B1868" s="2" t="s">
        <v>12</v>
      </c>
      <c r="C1868" s="2" t="s">
        <v>8</v>
      </c>
      <c r="D1868" s="2" t="s">
        <v>9</v>
      </c>
      <c r="E1868" s="2" t="s">
        <v>24</v>
      </c>
      <c r="F1868" s="5">
        <v>5247.8932146787301</v>
      </c>
    </row>
    <row r="1869" spans="1:6" ht="15.75" customHeight="1" x14ac:dyDescent="0.3">
      <c r="A1869" s="4" t="s">
        <v>201</v>
      </c>
      <c r="B1869" s="2" t="s">
        <v>12</v>
      </c>
      <c r="C1869" s="2" t="s">
        <v>34</v>
      </c>
      <c r="D1869" s="2" t="s">
        <v>14</v>
      </c>
      <c r="E1869" s="2" t="s">
        <v>24</v>
      </c>
      <c r="F1869" s="5">
        <v>2947.53</v>
      </c>
    </row>
    <row r="1870" spans="1:6" ht="15.75" customHeight="1" x14ac:dyDescent="0.3">
      <c r="A1870" s="4" t="s">
        <v>129</v>
      </c>
      <c r="B1870" s="2" t="s">
        <v>17</v>
      </c>
      <c r="C1870" s="2" t="s">
        <v>8</v>
      </c>
      <c r="D1870" s="2" t="s">
        <v>28</v>
      </c>
      <c r="E1870" s="2" t="s">
        <v>24</v>
      </c>
      <c r="F1870" s="5">
        <v>571.92999999999995</v>
      </c>
    </row>
    <row r="1871" spans="1:6" ht="15.75" customHeight="1" x14ac:dyDescent="0.3">
      <c r="A1871" s="4" t="s">
        <v>102</v>
      </c>
      <c r="B1871" s="2" t="s">
        <v>19</v>
      </c>
      <c r="C1871" s="2" t="s">
        <v>8</v>
      </c>
      <c r="D1871" s="2" t="s">
        <v>9</v>
      </c>
      <c r="E1871" s="2" t="s">
        <v>15</v>
      </c>
      <c r="F1871" s="5">
        <v>4065.737664597465</v>
      </c>
    </row>
    <row r="1872" spans="1:6" ht="15.75" customHeight="1" x14ac:dyDescent="0.3">
      <c r="A1872" s="4" t="s">
        <v>39</v>
      </c>
      <c r="B1872" s="2" t="s">
        <v>7</v>
      </c>
      <c r="C1872" s="2" t="s">
        <v>8</v>
      </c>
      <c r="D1872" s="2" t="s">
        <v>9</v>
      </c>
      <c r="E1872" s="2" t="s">
        <v>10</v>
      </c>
      <c r="F1872" s="5">
        <v>1983.303760058842</v>
      </c>
    </row>
    <row r="1873" spans="1:6" ht="15.75" customHeight="1" x14ac:dyDescent="0.3">
      <c r="A1873" s="4" t="s">
        <v>134</v>
      </c>
      <c r="B1873" s="2" t="s">
        <v>7</v>
      </c>
      <c r="C1873" s="2" t="s">
        <v>34</v>
      </c>
      <c r="D1873" s="2" t="s">
        <v>14</v>
      </c>
      <c r="E1873" s="2" t="s">
        <v>24</v>
      </c>
      <c r="F1873" s="5">
        <v>3226.08</v>
      </c>
    </row>
    <row r="1874" spans="1:6" ht="15.75" customHeight="1" x14ac:dyDescent="0.3">
      <c r="A1874" s="4" t="s">
        <v>95</v>
      </c>
      <c r="B1874" s="2" t="s">
        <v>30</v>
      </c>
      <c r="C1874" s="2" t="s">
        <v>8</v>
      </c>
      <c r="D1874" s="2" t="s">
        <v>9</v>
      </c>
      <c r="E1874" s="2" t="s">
        <v>15</v>
      </c>
      <c r="F1874" s="5">
        <v>885.44218950254435</v>
      </c>
    </row>
    <row r="1875" spans="1:6" ht="15.75" customHeight="1" x14ac:dyDescent="0.3">
      <c r="A1875" s="4" t="s">
        <v>196</v>
      </c>
      <c r="B1875" s="2" t="s">
        <v>30</v>
      </c>
      <c r="C1875" s="2" t="s">
        <v>13</v>
      </c>
      <c r="D1875" s="2" t="s">
        <v>14</v>
      </c>
      <c r="E1875" s="2" t="s">
        <v>15</v>
      </c>
      <c r="F1875" s="5">
        <v>3998.24</v>
      </c>
    </row>
    <row r="1876" spans="1:6" ht="15.75" customHeight="1" x14ac:dyDescent="0.3">
      <c r="A1876" s="4" t="s">
        <v>164</v>
      </c>
      <c r="B1876" s="2" t="s">
        <v>19</v>
      </c>
      <c r="C1876" s="2" t="s">
        <v>23</v>
      </c>
      <c r="D1876" s="2" t="s">
        <v>14</v>
      </c>
      <c r="E1876" s="2" t="s">
        <v>15</v>
      </c>
      <c r="F1876" s="5">
        <v>2639.81</v>
      </c>
    </row>
    <row r="1877" spans="1:6" ht="15.75" customHeight="1" x14ac:dyDescent="0.3">
      <c r="A1877" s="4" t="s">
        <v>199</v>
      </c>
      <c r="B1877" s="2" t="s">
        <v>17</v>
      </c>
      <c r="C1877" s="2" t="s">
        <v>34</v>
      </c>
      <c r="D1877" s="2" t="s">
        <v>14</v>
      </c>
      <c r="E1877" s="2" t="s">
        <v>10</v>
      </c>
      <c r="F1877" s="5">
        <v>2835.04</v>
      </c>
    </row>
    <row r="1878" spans="1:6" ht="15.75" customHeight="1" x14ac:dyDescent="0.3">
      <c r="A1878" s="4" t="s">
        <v>21</v>
      </c>
      <c r="B1878" s="2" t="s">
        <v>19</v>
      </c>
      <c r="C1878" s="2" t="s">
        <v>23</v>
      </c>
      <c r="D1878" s="2" t="s">
        <v>14</v>
      </c>
      <c r="E1878" s="2" t="s">
        <v>10</v>
      </c>
      <c r="F1878" s="5">
        <v>2182.6999999999998</v>
      </c>
    </row>
    <row r="1879" spans="1:6" ht="15.75" customHeight="1" x14ac:dyDescent="0.3">
      <c r="A1879" s="4" t="s">
        <v>55</v>
      </c>
      <c r="B1879" s="2" t="s">
        <v>12</v>
      </c>
      <c r="C1879" s="2" t="s">
        <v>13</v>
      </c>
      <c r="D1879" s="2" t="s">
        <v>28</v>
      </c>
      <c r="E1879" s="2" t="s">
        <v>10</v>
      </c>
      <c r="F1879" s="5">
        <v>3507.39</v>
      </c>
    </row>
    <row r="1880" spans="1:6" ht="15.75" customHeight="1" x14ac:dyDescent="0.3">
      <c r="A1880" s="4" t="s">
        <v>209</v>
      </c>
      <c r="B1880" s="2" t="s">
        <v>7</v>
      </c>
      <c r="C1880" s="2" t="s">
        <v>13</v>
      </c>
      <c r="D1880" s="2" t="s">
        <v>14</v>
      </c>
      <c r="E1880" s="2" t="s">
        <v>24</v>
      </c>
      <c r="F1880" s="5">
        <v>4743.79</v>
      </c>
    </row>
    <row r="1881" spans="1:6" ht="15.75" customHeight="1" x14ac:dyDescent="0.3">
      <c r="A1881" s="4" t="s">
        <v>194</v>
      </c>
      <c r="B1881" s="2" t="s">
        <v>17</v>
      </c>
      <c r="C1881" s="2" t="s">
        <v>13</v>
      </c>
      <c r="D1881" s="2" t="s">
        <v>28</v>
      </c>
      <c r="E1881" s="2" t="s">
        <v>10</v>
      </c>
      <c r="F1881" s="5">
        <v>2798.51</v>
      </c>
    </row>
    <row r="1882" spans="1:6" ht="15.75" customHeight="1" x14ac:dyDescent="0.3">
      <c r="A1882" s="4" t="s">
        <v>179</v>
      </c>
      <c r="B1882" s="2" t="s">
        <v>7</v>
      </c>
      <c r="C1882" s="2" t="s">
        <v>8</v>
      </c>
      <c r="D1882" s="2" t="s">
        <v>14</v>
      </c>
      <c r="E1882" s="2" t="s">
        <v>15</v>
      </c>
      <c r="F1882" s="5">
        <v>2111.5100000000002</v>
      </c>
    </row>
    <row r="1883" spans="1:6" ht="15.75" customHeight="1" x14ac:dyDescent="0.3">
      <c r="A1883" s="4" t="s">
        <v>107</v>
      </c>
      <c r="B1883" s="2" t="s">
        <v>30</v>
      </c>
      <c r="C1883" s="2" t="s">
        <v>8</v>
      </c>
      <c r="D1883" s="2" t="s">
        <v>28</v>
      </c>
      <c r="E1883" s="2" t="s">
        <v>15</v>
      </c>
      <c r="F1883" s="5">
        <v>440.45</v>
      </c>
    </row>
    <row r="1884" spans="1:6" ht="15.75" customHeight="1" x14ac:dyDescent="0.3">
      <c r="A1884" s="4" t="s">
        <v>75</v>
      </c>
      <c r="B1884" s="2" t="s">
        <v>19</v>
      </c>
      <c r="C1884" s="2" t="s">
        <v>13</v>
      </c>
      <c r="D1884" s="2" t="s">
        <v>14</v>
      </c>
      <c r="E1884" s="2" t="s">
        <v>15</v>
      </c>
      <c r="F1884" s="5">
        <v>2532.06</v>
      </c>
    </row>
    <row r="1885" spans="1:6" ht="15.75" customHeight="1" x14ac:dyDescent="0.3">
      <c r="A1885" s="4" t="s">
        <v>133</v>
      </c>
      <c r="B1885" s="2" t="s">
        <v>17</v>
      </c>
      <c r="C1885" s="2" t="s">
        <v>13</v>
      </c>
      <c r="D1885" s="2" t="s">
        <v>9</v>
      </c>
      <c r="E1885" s="2" t="s">
        <v>15</v>
      </c>
      <c r="F1885" s="5">
        <v>3682.33</v>
      </c>
    </row>
    <row r="1886" spans="1:6" ht="15.75" customHeight="1" x14ac:dyDescent="0.3">
      <c r="A1886" s="4" t="s">
        <v>189</v>
      </c>
      <c r="B1886" s="2" t="s">
        <v>19</v>
      </c>
      <c r="C1886" s="2" t="s">
        <v>23</v>
      </c>
      <c r="D1886" s="2" t="s">
        <v>28</v>
      </c>
      <c r="E1886" s="2" t="s">
        <v>15</v>
      </c>
      <c r="F1886" s="5">
        <v>1546.78</v>
      </c>
    </row>
    <row r="1887" spans="1:6" ht="15.75" customHeight="1" x14ac:dyDescent="0.3">
      <c r="A1887" s="4" t="s">
        <v>125</v>
      </c>
      <c r="B1887" s="2" t="s">
        <v>7</v>
      </c>
      <c r="C1887" s="2" t="s">
        <v>23</v>
      </c>
      <c r="D1887" s="2" t="s">
        <v>28</v>
      </c>
      <c r="E1887" s="2" t="s">
        <v>15</v>
      </c>
      <c r="F1887" s="5">
        <v>2135.9699999999998</v>
      </c>
    </row>
    <row r="1888" spans="1:6" ht="15.75" customHeight="1" x14ac:dyDescent="0.3">
      <c r="A1888" s="4" t="s">
        <v>180</v>
      </c>
      <c r="B1888" s="2" t="s">
        <v>30</v>
      </c>
      <c r="C1888" s="2" t="s">
        <v>13</v>
      </c>
      <c r="D1888" s="2" t="s">
        <v>28</v>
      </c>
      <c r="E1888" s="2" t="s">
        <v>10</v>
      </c>
      <c r="F1888" s="5">
        <v>1344</v>
      </c>
    </row>
    <row r="1889" spans="1:6" ht="15.75" customHeight="1" x14ac:dyDescent="0.3">
      <c r="A1889" s="4" t="s">
        <v>143</v>
      </c>
      <c r="B1889" s="2" t="s">
        <v>17</v>
      </c>
      <c r="C1889" s="2" t="s">
        <v>23</v>
      </c>
      <c r="D1889" s="2" t="s">
        <v>28</v>
      </c>
      <c r="E1889" s="2" t="s">
        <v>10</v>
      </c>
      <c r="F1889" s="5">
        <v>1009.35</v>
      </c>
    </row>
    <row r="1890" spans="1:6" ht="15.75" customHeight="1" x14ac:dyDescent="0.3">
      <c r="A1890" s="4" t="s">
        <v>38</v>
      </c>
      <c r="B1890" s="2" t="s">
        <v>30</v>
      </c>
      <c r="C1890" s="2" t="s">
        <v>8</v>
      </c>
      <c r="D1890" s="2" t="s">
        <v>28</v>
      </c>
      <c r="E1890" s="2" t="s">
        <v>24</v>
      </c>
      <c r="F1890" s="5">
        <v>1620.64</v>
      </c>
    </row>
    <row r="1891" spans="1:6" ht="15.75" customHeight="1" x14ac:dyDescent="0.3">
      <c r="A1891" s="4" t="s">
        <v>85</v>
      </c>
      <c r="B1891" s="2" t="s">
        <v>30</v>
      </c>
      <c r="C1891" s="2" t="s">
        <v>34</v>
      </c>
      <c r="D1891" s="2" t="s">
        <v>14</v>
      </c>
      <c r="E1891" s="2" t="s">
        <v>10</v>
      </c>
      <c r="F1891" s="5">
        <v>3874.19</v>
      </c>
    </row>
    <row r="1892" spans="1:6" ht="15.75" customHeight="1" x14ac:dyDescent="0.3">
      <c r="A1892" s="4" t="s">
        <v>92</v>
      </c>
      <c r="B1892" s="2" t="s">
        <v>30</v>
      </c>
      <c r="C1892" s="2" t="s">
        <v>8</v>
      </c>
      <c r="D1892" s="2" t="s">
        <v>28</v>
      </c>
      <c r="E1892" s="2" t="s">
        <v>15</v>
      </c>
      <c r="F1892" s="5">
        <v>3045.93</v>
      </c>
    </row>
    <row r="1893" spans="1:6" ht="15.75" customHeight="1" x14ac:dyDescent="0.3">
      <c r="A1893" s="4" t="s">
        <v>60</v>
      </c>
      <c r="B1893" s="2" t="s">
        <v>12</v>
      </c>
      <c r="C1893" s="2" t="s">
        <v>8</v>
      </c>
      <c r="D1893" s="2" t="s">
        <v>28</v>
      </c>
      <c r="E1893" s="2" t="s">
        <v>24</v>
      </c>
      <c r="F1893" s="5">
        <v>1476.28</v>
      </c>
    </row>
    <row r="1894" spans="1:6" ht="15.75" customHeight="1" x14ac:dyDescent="0.3">
      <c r="A1894" s="4" t="s">
        <v>117</v>
      </c>
      <c r="B1894" s="2" t="s">
        <v>7</v>
      </c>
      <c r="C1894" s="2" t="s">
        <v>23</v>
      </c>
      <c r="D1894" s="2" t="s">
        <v>9</v>
      </c>
      <c r="E1894" s="2" t="s">
        <v>15</v>
      </c>
      <c r="F1894" s="5">
        <v>3862.2531781463158</v>
      </c>
    </row>
    <row r="1895" spans="1:6" ht="15.75" customHeight="1" x14ac:dyDescent="0.3">
      <c r="A1895" s="4" t="s">
        <v>133</v>
      </c>
      <c r="B1895" s="2" t="s">
        <v>17</v>
      </c>
      <c r="C1895" s="2" t="s">
        <v>13</v>
      </c>
      <c r="D1895" s="2" t="s">
        <v>14</v>
      </c>
      <c r="E1895" s="2" t="s">
        <v>24</v>
      </c>
      <c r="F1895" s="5">
        <v>2517.98</v>
      </c>
    </row>
    <row r="1896" spans="1:6" ht="15.75" customHeight="1" x14ac:dyDescent="0.3">
      <c r="A1896" s="4" t="s">
        <v>158</v>
      </c>
      <c r="B1896" s="2" t="s">
        <v>30</v>
      </c>
      <c r="C1896" s="2" t="s">
        <v>23</v>
      </c>
      <c r="D1896" s="2" t="s">
        <v>14</v>
      </c>
      <c r="E1896" s="2" t="s">
        <v>10</v>
      </c>
      <c r="F1896" s="5">
        <v>3737.89</v>
      </c>
    </row>
    <row r="1897" spans="1:6" ht="15.75" customHeight="1" x14ac:dyDescent="0.3">
      <c r="A1897" s="4" t="s">
        <v>141</v>
      </c>
      <c r="B1897" s="2" t="s">
        <v>7</v>
      </c>
      <c r="C1897" s="2" t="s">
        <v>13</v>
      </c>
      <c r="D1897" s="2" t="s">
        <v>14</v>
      </c>
      <c r="E1897" s="2" t="s">
        <v>10</v>
      </c>
      <c r="F1897" s="5">
        <v>1111.82</v>
      </c>
    </row>
    <row r="1898" spans="1:6" ht="15.75" customHeight="1" x14ac:dyDescent="0.3">
      <c r="A1898" s="4" t="s">
        <v>103</v>
      </c>
      <c r="B1898" s="2" t="s">
        <v>19</v>
      </c>
      <c r="C1898" s="2" t="s">
        <v>23</v>
      </c>
      <c r="D1898" s="2" t="s">
        <v>14</v>
      </c>
      <c r="E1898" s="2" t="s">
        <v>24</v>
      </c>
      <c r="F1898" s="5">
        <v>4547.9799999999996</v>
      </c>
    </row>
    <row r="1899" spans="1:6" ht="15.75" customHeight="1" x14ac:dyDescent="0.3">
      <c r="A1899" s="4" t="s">
        <v>216</v>
      </c>
      <c r="B1899" s="2" t="s">
        <v>17</v>
      </c>
      <c r="C1899" s="2" t="s">
        <v>13</v>
      </c>
      <c r="D1899" s="2" t="s">
        <v>9</v>
      </c>
      <c r="E1899" s="2" t="s">
        <v>24</v>
      </c>
      <c r="F1899" s="5">
        <v>5035.8731602895041</v>
      </c>
    </row>
    <row r="1900" spans="1:6" ht="15.75" customHeight="1" x14ac:dyDescent="0.3">
      <c r="A1900" s="4" t="s">
        <v>106</v>
      </c>
      <c r="B1900" s="2" t="s">
        <v>12</v>
      </c>
      <c r="C1900" s="2" t="s">
        <v>8</v>
      </c>
      <c r="D1900" s="2" t="s">
        <v>14</v>
      </c>
      <c r="E1900" s="2" t="s">
        <v>15</v>
      </c>
      <c r="F1900" s="5">
        <v>666.62</v>
      </c>
    </row>
    <row r="1901" spans="1:6" ht="15.75" customHeight="1" x14ac:dyDescent="0.3">
      <c r="A1901" s="4" t="s">
        <v>104</v>
      </c>
      <c r="B1901" s="2" t="s">
        <v>17</v>
      </c>
      <c r="C1901" s="2" t="s">
        <v>8</v>
      </c>
      <c r="D1901" s="2" t="s">
        <v>28</v>
      </c>
      <c r="E1901" s="2" t="s">
        <v>24</v>
      </c>
      <c r="F1901" s="5">
        <v>4848.67</v>
      </c>
    </row>
    <row r="1902" spans="1:6" ht="15.75" customHeight="1" x14ac:dyDescent="0.3">
      <c r="A1902" s="4" t="s">
        <v>181</v>
      </c>
      <c r="B1902" s="2" t="s">
        <v>30</v>
      </c>
      <c r="C1902" s="2" t="s">
        <v>13</v>
      </c>
      <c r="D1902" s="2" t="s">
        <v>28</v>
      </c>
      <c r="E1902" s="2" t="s">
        <v>24</v>
      </c>
      <c r="F1902" s="5">
        <v>965.26</v>
      </c>
    </row>
    <row r="1903" spans="1:6" ht="15.75" customHeight="1" x14ac:dyDescent="0.3">
      <c r="A1903" s="4" t="s">
        <v>102</v>
      </c>
      <c r="B1903" s="2" t="s">
        <v>19</v>
      </c>
      <c r="C1903" s="2" t="s">
        <v>34</v>
      </c>
      <c r="D1903" s="2" t="s">
        <v>9</v>
      </c>
      <c r="E1903" s="2" t="s">
        <v>24</v>
      </c>
      <c r="F1903" s="5">
        <v>3352.880614395699</v>
      </c>
    </row>
    <row r="1904" spans="1:6" ht="15.75" customHeight="1" x14ac:dyDescent="0.3">
      <c r="A1904" s="4" t="s">
        <v>220</v>
      </c>
      <c r="B1904" s="2" t="s">
        <v>12</v>
      </c>
      <c r="C1904" s="2" t="s">
        <v>23</v>
      </c>
      <c r="D1904" s="2" t="s">
        <v>9</v>
      </c>
      <c r="E1904" s="2" t="s">
        <v>24</v>
      </c>
      <c r="F1904" s="5">
        <v>3960.689579780842</v>
      </c>
    </row>
    <row r="1905" spans="1:6" ht="15.75" customHeight="1" x14ac:dyDescent="0.3">
      <c r="A1905" s="4" t="s">
        <v>185</v>
      </c>
      <c r="B1905" s="2" t="s">
        <v>30</v>
      </c>
      <c r="C1905" s="2" t="s">
        <v>8</v>
      </c>
      <c r="D1905" s="2" t="s">
        <v>28</v>
      </c>
      <c r="E1905" s="2" t="s">
        <v>24</v>
      </c>
      <c r="F1905" s="5">
        <v>4162.58</v>
      </c>
    </row>
    <row r="1906" spans="1:6" ht="15.75" customHeight="1" x14ac:dyDescent="0.3">
      <c r="A1906" s="4" t="s">
        <v>132</v>
      </c>
      <c r="B1906" s="2" t="s">
        <v>19</v>
      </c>
      <c r="C1906" s="2" t="s">
        <v>13</v>
      </c>
      <c r="D1906" s="2" t="s">
        <v>28</v>
      </c>
      <c r="E1906" s="2" t="s">
        <v>24</v>
      </c>
      <c r="F1906" s="5">
        <v>3555.25</v>
      </c>
    </row>
    <row r="1907" spans="1:6" ht="15.75" customHeight="1" x14ac:dyDescent="0.3">
      <c r="A1907" s="4" t="s">
        <v>55</v>
      </c>
      <c r="B1907" s="2" t="s">
        <v>12</v>
      </c>
      <c r="C1907" s="2" t="s">
        <v>34</v>
      </c>
      <c r="D1907" s="2" t="s">
        <v>9</v>
      </c>
      <c r="E1907" s="2" t="s">
        <v>24</v>
      </c>
      <c r="F1907" s="5">
        <v>4585.8885038272083</v>
      </c>
    </row>
    <row r="1908" spans="1:6" ht="15.75" customHeight="1" x14ac:dyDescent="0.3">
      <c r="A1908" s="4" t="s">
        <v>116</v>
      </c>
      <c r="B1908" s="2" t="s">
        <v>17</v>
      </c>
      <c r="C1908" s="2" t="s">
        <v>8</v>
      </c>
      <c r="D1908" s="2" t="s">
        <v>9</v>
      </c>
      <c r="E1908" s="2" t="s">
        <v>24</v>
      </c>
      <c r="F1908" s="5">
        <v>875.52542779609473</v>
      </c>
    </row>
    <row r="1909" spans="1:6" ht="15.75" customHeight="1" x14ac:dyDescent="0.3">
      <c r="A1909" s="4" t="s">
        <v>198</v>
      </c>
      <c r="B1909" s="2" t="s">
        <v>12</v>
      </c>
      <c r="C1909" s="2" t="s">
        <v>8</v>
      </c>
      <c r="D1909" s="2" t="s">
        <v>9</v>
      </c>
      <c r="E1909" s="2" t="s">
        <v>24</v>
      </c>
      <c r="F1909" s="5">
        <v>3686.6816825784972</v>
      </c>
    </row>
    <row r="1910" spans="1:6" ht="15.75" customHeight="1" x14ac:dyDescent="0.3">
      <c r="A1910" s="4" t="s">
        <v>173</v>
      </c>
      <c r="B1910" s="2" t="s">
        <v>30</v>
      </c>
      <c r="C1910" s="2" t="s">
        <v>8</v>
      </c>
      <c r="D1910" s="2" t="s">
        <v>14</v>
      </c>
      <c r="E1910" s="2" t="s">
        <v>24</v>
      </c>
      <c r="F1910" s="5">
        <v>2899.46</v>
      </c>
    </row>
    <row r="1911" spans="1:6" ht="15.75" customHeight="1" x14ac:dyDescent="0.3">
      <c r="A1911" s="4" t="s">
        <v>29</v>
      </c>
      <c r="B1911" s="2" t="s">
        <v>30</v>
      </c>
      <c r="C1911" s="2" t="s">
        <v>23</v>
      </c>
      <c r="D1911" s="2" t="s">
        <v>28</v>
      </c>
      <c r="E1911" s="2" t="s">
        <v>15</v>
      </c>
      <c r="F1911" s="5">
        <v>429.01</v>
      </c>
    </row>
    <row r="1912" spans="1:6" ht="15.75" customHeight="1" x14ac:dyDescent="0.3">
      <c r="A1912" s="4" t="s">
        <v>116</v>
      </c>
      <c r="B1912" s="2" t="s">
        <v>17</v>
      </c>
      <c r="C1912" s="2" t="s">
        <v>13</v>
      </c>
      <c r="D1912" s="2" t="s">
        <v>9</v>
      </c>
      <c r="E1912" s="2" t="s">
        <v>10</v>
      </c>
      <c r="F1912" s="5">
        <v>1770.185252638373</v>
      </c>
    </row>
    <row r="1913" spans="1:6" ht="15.75" customHeight="1" x14ac:dyDescent="0.3">
      <c r="A1913" s="4" t="s">
        <v>71</v>
      </c>
      <c r="B1913" s="2" t="s">
        <v>7</v>
      </c>
      <c r="C1913" s="2" t="s">
        <v>23</v>
      </c>
      <c r="D1913" s="2" t="s">
        <v>28</v>
      </c>
      <c r="E1913" s="2" t="s">
        <v>15</v>
      </c>
      <c r="F1913" s="5">
        <v>2143.0300000000002</v>
      </c>
    </row>
    <row r="1914" spans="1:6" ht="15.75" customHeight="1" x14ac:dyDescent="0.3">
      <c r="A1914" s="4" t="s">
        <v>40</v>
      </c>
      <c r="B1914" s="2" t="s">
        <v>19</v>
      </c>
      <c r="C1914" s="2" t="s">
        <v>8</v>
      </c>
      <c r="D1914" s="2" t="s">
        <v>14</v>
      </c>
      <c r="E1914" s="2" t="s">
        <v>15</v>
      </c>
      <c r="F1914" s="5">
        <v>81.83</v>
      </c>
    </row>
    <row r="1915" spans="1:6" ht="15.75" customHeight="1" x14ac:dyDescent="0.3">
      <c r="A1915" s="4" t="s">
        <v>133</v>
      </c>
      <c r="B1915" s="2" t="s">
        <v>17</v>
      </c>
      <c r="C1915" s="2" t="s">
        <v>23</v>
      </c>
      <c r="D1915" s="2" t="s">
        <v>9</v>
      </c>
      <c r="E1915" s="2" t="s">
        <v>24</v>
      </c>
      <c r="F1915" s="5">
        <v>2577.6</v>
      </c>
    </row>
    <row r="1916" spans="1:6" ht="15.75" customHeight="1" x14ac:dyDescent="0.3">
      <c r="A1916" s="4" t="s">
        <v>60</v>
      </c>
      <c r="B1916" s="2" t="s">
        <v>12</v>
      </c>
      <c r="C1916" s="2" t="s">
        <v>8</v>
      </c>
      <c r="D1916" s="2" t="s">
        <v>9</v>
      </c>
      <c r="E1916" s="2" t="s">
        <v>15</v>
      </c>
      <c r="F1916" s="5">
        <v>5027.8617040687259</v>
      </c>
    </row>
    <row r="1917" spans="1:6" ht="15.75" customHeight="1" x14ac:dyDescent="0.3">
      <c r="A1917" s="4" t="s">
        <v>124</v>
      </c>
      <c r="B1917" s="2" t="s">
        <v>12</v>
      </c>
      <c r="C1917" s="2" t="s">
        <v>23</v>
      </c>
      <c r="D1917" s="2" t="s">
        <v>28</v>
      </c>
      <c r="E1917" s="2" t="s">
        <v>15</v>
      </c>
      <c r="F1917" s="5">
        <v>3269.61</v>
      </c>
    </row>
    <row r="1918" spans="1:6" ht="15.75" customHeight="1" x14ac:dyDescent="0.3">
      <c r="A1918" s="4" t="s">
        <v>198</v>
      </c>
      <c r="B1918" s="2" t="s">
        <v>12</v>
      </c>
      <c r="C1918" s="2" t="s">
        <v>13</v>
      </c>
      <c r="D1918" s="2" t="s">
        <v>9</v>
      </c>
      <c r="E1918" s="2" t="s">
        <v>10</v>
      </c>
      <c r="F1918" s="5">
        <v>3769.6593712481358</v>
      </c>
    </row>
    <row r="1919" spans="1:6" ht="15.75" customHeight="1" x14ac:dyDescent="0.3">
      <c r="A1919" s="4" t="s">
        <v>180</v>
      </c>
      <c r="B1919" s="2" t="s">
        <v>30</v>
      </c>
      <c r="C1919" s="2" t="s">
        <v>23</v>
      </c>
      <c r="D1919" s="2" t="s">
        <v>14</v>
      </c>
      <c r="E1919" s="2" t="s">
        <v>10</v>
      </c>
      <c r="F1919" s="5">
        <v>3970.3</v>
      </c>
    </row>
    <row r="1920" spans="1:6" ht="15.75" customHeight="1" x14ac:dyDescent="0.3">
      <c r="A1920" s="4" t="s">
        <v>131</v>
      </c>
      <c r="B1920" s="2" t="s">
        <v>17</v>
      </c>
      <c r="C1920" s="2" t="s">
        <v>23</v>
      </c>
      <c r="D1920" s="2" t="s">
        <v>14</v>
      </c>
      <c r="E1920" s="2" t="s">
        <v>10</v>
      </c>
      <c r="F1920" s="5">
        <v>2665.16</v>
      </c>
    </row>
    <row r="1921" spans="1:6" ht="15.75" customHeight="1" x14ac:dyDescent="0.3">
      <c r="A1921" s="4" t="s">
        <v>182</v>
      </c>
      <c r="B1921" s="2" t="s">
        <v>12</v>
      </c>
      <c r="C1921" s="2" t="s">
        <v>23</v>
      </c>
      <c r="D1921" s="2" t="s">
        <v>14</v>
      </c>
      <c r="E1921" s="2" t="s">
        <v>24</v>
      </c>
      <c r="F1921" s="5">
        <v>374.88</v>
      </c>
    </row>
    <row r="1922" spans="1:6" ht="15.75" customHeight="1" x14ac:dyDescent="0.3">
      <c r="A1922" s="4" t="s">
        <v>214</v>
      </c>
      <c r="B1922" s="2" t="s">
        <v>30</v>
      </c>
      <c r="C1922" s="2" t="s">
        <v>13</v>
      </c>
      <c r="D1922" s="2" t="s">
        <v>9</v>
      </c>
      <c r="E1922" s="2" t="s">
        <v>10</v>
      </c>
      <c r="F1922" s="5">
        <v>1106.076893849538</v>
      </c>
    </row>
    <row r="1923" spans="1:6" ht="15.75" customHeight="1" x14ac:dyDescent="0.3">
      <c r="A1923" s="4" t="s">
        <v>207</v>
      </c>
      <c r="B1923" s="2" t="s">
        <v>17</v>
      </c>
      <c r="C1923" s="2" t="s">
        <v>8</v>
      </c>
      <c r="D1923" s="2" t="s">
        <v>9</v>
      </c>
      <c r="E1923" s="2" t="s">
        <v>15</v>
      </c>
      <c r="F1923" s="5">
        <v>2876.478117192406</v>
      </c>
    </row>
    <row r="1924" spans="1:6" ht="15.75" customHeight="1" x14ac:dyDescent="0.3">
      <c r="A1924" s="4" t="s">
        <v>67</v>
      </c>
      <c r="B1924" s="2" t="s">
        <v>7</v>
      </c>
      <c r="C1924" s="2" t="s">
        <v>34</v>
      </c>
      <c r="D1924" s="2" t="s">
        <v>14</v>
      </c>
      <c r="E1924" s="2" t="s">
        <v>24</v>
      </c>
      <c r="F1924" s="5">
        <v>4394.3599999999997</v>
      </c>
    </row>
    <row r="1925" spans="1:6" ht="15.75" customHeight="1" x14ac:dyDescent="0.3">
      <c r="A1925" s="4" t="s">
        <v>191</v>
      </c>
      <c r="B1925" s="2" t="s">
        <v>12</v>
      </c>
      <c r="C1925" s="2" t="s">
        <v>34</v>
      </c>
      <c r="D1925" s="2" t="s">
        <v>28</v>
      </c>
      <c r="E1925" s="2" t="s">
        <v>10</v>
      </c>
      <c r="F1925" s="5">
        <v>3682.56</v>
      </c>
    </row>
    <row r="1926" spans="1:6" ht="15.75" customHeight="1" x14ac:dyDescent="0.3">
      <c r="A1926" s="4" t="s">
        <v>179</v>
      </c>
      <c r="B1926" s="2" t="s">
        <v>7</v>
      </c>
      <c r="C1926" s="2" t="s">
        <v>23</v>
      </c>
      <c r="D1926" s="2" t="s">
        <v>14</v>
      </c>
      <c r="E1926" s="2" t="s">
        <v>24</v>
      </c>
      <c r="F1926" s="5">
        <v>2576.87</v>
      </c>
    </row>
    <row r="1927" spans="1:6" ht="15.75" customHeight="1" x14ac:dyDescent="0.3">
      <c r="A1927" s="4" t="s">
        <v>217</v>
      </c>
      <c r="B1927" s="2" t="s">
        <v>19</v>
      </c>
      <c r="C1927" s="2" t="s">
        <v>23</v>
      </c>
      <c r="D1927" s="2" t="s">
        <v>14</v>
      </c>
      <c r="E1927" s="2" t="s">
        <v>15</v>
      </c>
      <c r="F1927" s="5">
        <v>4625.6000000000004</v>
      </c>
    </row>
    <row r="1928" spans="1:6" ht="15.75" customHeight="1" x14ac:dyDescent="0.3">
      <c r="A1928" s="4" t="s">
        <v>161</v>
      </c>
      <c r="B1928" s="2" t="s">
        <v>7</v>
      </c>
      <c r="C1928" s="2" t="s">
        <v>23</v>
      </c>
      <c r="D1928" s="2" t="s">
        <v>14</v>
      </c>
      <c r="E1928" s="2" t="s">
        <v>24</v>
      </c>
      <c r="F1928" s="5">
        <v>3554.21</v>
      </c>
    </row>
    <row r="1929" spans="1:6" ht="15.75" customHeight="1" x14ac:dyDescent="0.3">
      <c r="A1929" s="4" t="s">
        <v>209</v>
      </c>
      <c r="B1929" s="2" t="s">
        <v>7</v>
      </c>
      <c r="C1929" s="2" t="s">
        <v>34</v>
      </c>
      <c r="D1929" s="2" t="s">
        <v>14</v>
      </c>
      <c r="E1929" s="2" t="s">
        <v>24</v>
      </c>
      <c r="F1929" s="5">
        <v>2525.88</v>
      </c>
    </row>
    <row r="1930" spans="1:6" ht="15.75" customHeight="1" x14ac:dyDescent="0.3">
      <c r="A1930" s="4" t="s">
        <v>76</v>
      </c>
      <c r="B1930" s="2" t="s">
        <v>17</v>
      </c>
      <c r="C1930" s="2" t="s">
        <v>8</v>
      </c>
      <c r="D1930" s="2" t="s">
        <v>9</v>
      </c>
      <c r="E1930" s="2" t="s">
        <v>15</v>
      </c>
      <c r="F1930" s="5">
        <v>2134.795554622061</v>
      </c>
    </row>
    <row r="1931" spans="1:6" ht="15.75" customHeight="1" x14ac:dyDescent="0.3">
      <c r="A1931" s="4" t="s">
        <v>80</v>
      </c>
      <c r="B1931" s="2" t="s">
        <v>17</v>
      </c>
      <c r="C1931" s="2" t="s">
        <v>34</v>
      </c>
      <c r="D1931" s="2" t="s">
        <v>28</v>
      </c>
      <c r="E1931" s="2" t="s">
        <v>10</v>
      </c>
      <c r="F1931" s="5">
        <v>798.55</v>
      </c>
    </row>
    <row r="1932" spans="1:6" ht="15.75" customHeight="1" x14ac:dyDescent="0.3">
      <c r="A1932" s="4" t="s">
        <v>207</v>
      </c>
      <c r="B1932" s="2" t="s">
        <v>17</v>
      </c>
      <c r="C1932" s="2" t="s">
        <v>8</v>
      </c>
      <c r="D1932" s="2" t="s">
        <v>28</v>
      </c>
      <c r="E1932" s="2" t="s">
        <v>24</v>
      </c>
      <c r="F1932" s="5">
        <v>4426.58</v>
      </c>
    </row>
    <row r="1933" spans="1:6" ht="15.75" customHeight="1" x14ac:dyDescent="0.3">
      <c r="A1933" s="4" t="s">
        <v>84</v>
      </c>
      <c r="B1933" s="2" t="s">
        <v>30</v>
      </c>
      <c r="C1933" s="2" t="s">
        <v>34</v>
      </c>
      <c r="D1933" s="2" t="s">
        <v>14</v>
      </c>
      <c r="E1933" s="2" t="s">
        <v>15</v>
      </c>
      <c r="F1933" s="5">
        <v>2921.55</v>
      </c>
    </row>
    <row r="1934" spans="1:6" ht="15.75" customHeight="1" x14ac:dyDescent="0.3">
      <c r="A1934" s="4" t="s">
        <v>176</v>
      </c>
      <c r="B1934" s="2" t="s">
        <v>19</v>
      </c>
      <c r="C1934" s="2" t="s">
        <v>34</v>
      </c>
      <c r="D1934" s="2" t="s">
        <v>14</v>
      </c>
      <c r="E1934" s="2" t="s">
        <v>24</v>
      </c>
      <c r="F1934" s="5">
        <v>1534.55</v>
      </c>
    </row>
    <row r="1935" spans="1:6" ht="15.75" customHeight="1" x14ac:dyDescent="0.3">
      <c r="A1935" s="4" t="s">
        <v>11</v>
      </c>
      <c r="B1935" s="2" t="s">
        <v>12</v>
      </c>
      <c r="C1935" s="2" t="s">
        <v>13</v>
      </c>
      <c r="D1935" s="2" t="s">
        <v>9</v>
      </c>
      <c r="E1935" s="2" t="s">
        <v>15</v>
      </c>
      <c r="F1935" s="5">
        <v>3062.3459632906179</v>
      </c>
    </row>
    <row r="1936" spans="1:6" ht="15.75" customHeight="1" x14ac:dyDescent="0.3">
      <c r="A1936" s="4" t="s">
        <v>185</v>
      </c>
      <c r="B1936" s="2" t="s">
        <v>30</v>
      </c>
      <c r="C1936" s="2" t="s">
        <v>8</v>
      </c>
      <c r="D1936" s="2" t="s">
        <v>9</v>
      </c>
      <c r="E1936" s="2" t="s">
        <v>15</v>
      </c>
      <c r="F1936" s="5">
        <v>1828.37</v>
      </c>
    </row>
    <row r="1937" spans="1:6" ht="15.75" customHeight="1" x14ac:dyDescent="0.3">
      <c r="A1937" s="4" t="s">
        <v>181</v>
      </c>
      <c r="B1937" s="2" t="s">
        <v>30</v>
      </c>
      <c r="C1937" s="2" t="s">
        <v>8</v>
      </c>
      <c r="D1937" s="2" t="s">
        <v>9</v>
      </c>
      <c r="E1937" s="2" t="s">
        <v>15</v>
      </c>
      <c r="F1937" s="5">
        <v>2945.0437751789682</v>
      </c>
    </row>
    <row r="1938" spans="1:6" ht="15.75" customHeight="1" x14ac:dyDescent="0.3">
      <c r="A1938" s="4" t="s">
        <v>29</v>
      </c>
      <c r="B1938" s="2" t="s">
        <v>30</v>
      </c>
      <c r="C1938" s="2" t="s">
        <v>34</v>
      </c>
      <c r="D1938" s="2" t="s">
        <v>28</v>
      </c>
      <c r="E1938" s="2" t="s">
        <v>10</v>
      </c>
      <c r="F1938" s="5">
        <v>2905.61</v>
      </c>
    </row>
    <row r="1939" spans="1:6" ht="15.75" customHeight="1" x14ac:dyDescent="0.3">
      <c r="A1939" s="4" t="s">
        <v>199</v>
      </c>
      <c r="B1939" s="2" t="s">
        <v>17</v>
      </c>
      <c r="C1939" s="2" t="s">
        <v>23</v>
      </c>
      <c r="D1939" s="2" t="s">
        <v>28</v>
      </c>
      <c r="E1939" s="2" t="s">
        <v>24</v>
      </c>
      <c r="F1939" s="5">
        <v>3354.34</v>
      </c>
    </row>
    <row r="1940" spans="1:6" ht="15.75" customHeight="1" x14ac:dyDescent="0.3">
      <c r="A1940" s="4" t="s">
        <v>168</v>
      </c>
      <c r="B1940" s="2" t="s">
        <v>17</v>
      </c>
      <c r="C1940" s="2" t="s">
        <v>23</v>
      </c>
      <c r="D1940" s="2" t="s">
        <v>14</v>
      </c>
      <c r="E1940" s="2" t="s">
        <v>10</v>
      </c>
      <c r="F1940" s="5">
        <v>4622.8599999999997</v>
      </c>
    </row>
    <row r="1941" spans="1:6" ht="15.75" customHeight="1" x14ac:dyDescent="0.3">
      <c r="A1941" s="4" t="s">
        <v>97</v>
      </c>
      <c r="B1941" s="2" t="s">
        <v>7</v>
      </c>
      <c r="C1941" s="2" t="s">
        <v>13</v>
      </c>
      <c r="D1941" s="2" t="s">
        <v>9</v>
      </c>
      <c r="E1941" s="2" t="s">
        <v>24</v>
      </c>
      <c r="F1941" s="5">
        <v>4374</v>
      </c>
    </row>
    <row r="1942" spans="1:6" ht="15.75" customHeight="1" x14ac:dyDescent="0.3">
      <c r="A1942" s="4" t="s">
        <v>95</v>
      </c>
      <c r="B1942" s="2" t="s">
        <v>30</v>
      </c>
      <c r="C1942" s="2" t="s">
        <v>34</v>
      </c>
      <c r="D1942" s="2" t="s">
        <v>28</v>
      </c>
      <c r="E1942" s="2" t="s">
        <v>10</v>
      </c>
      <c r="F1942" s="5">
        <v>1375.43</v>
      </c>
    </row>
    <row r="1943" spans="1:6" ht="15.75" customHeight="1" x14ac:dyDescent="0.3">
      <c r="A1943" s="4" t="s">
        <v>129</v>
      </c>
      <c r="B1943" s="2" t="s">
        <v>17</v>
      </c>
      <c r="C1943" s="2" t="s">
        <v>8</v>
      </c>
      <c r="D1943" s="2" t="s">
        <v>9</v>
      </c>
      <c r="E1943" s="2" t="s">
        <v>24</v>
      </c>
      <c r="F1943" s="5">
        <v>4136.8180980639563</v>
      </c>
    </row>
    <row r="1944" spans="1:6" ht="15.75" customHeight="1" x14ac:dyDescent="0.3">
      <c r="A1944" s="4" t="s">
        <v>100</v>
      </c>
      <c r="B1944" s="2" t="s">
        <v>7</v>
      </c>
      <c r="C1944" s="2" t="s">
        <v>13</v>
      </c>
      <c r="D1944" s="2" t="s">
        <v>9</v>
      </c>
      <c r="E1944" s="2" t="s">
        <v>10</v>
      </c>
      <c r="F1944" s="5">
        <v>2988.460647360931</v>
      </c>
    </row>
    <row r="1945" spans="1:6" ht="15.75" customHeight="1" x14ac:dyDescent="0.3">
      <c r="A1945" s="4" t="s">
        <v>119</v>
      </c>
      <c r="B1945" s="2" t="s">
        <v>30</v>
      </c>
      <c r="C1945" s="2" t="s">
        <v>23</v>
      </c>
      <c r="D1945" s="2" t="s">
        <v>9</v>
      </c>
      <c r="E1945" s="2" t="s">
        <v>15</v>
      </c>
      <c r="F1945" s="5">
        <v>724.73842971560396</v>
      </c>
    </row>
    <row r="1946" spans="1:6" ht="15.75" customHeight="1" x14ac:dyDescent="0.3">
      <c r="A1946" s="4" t="s">
        <v>86</v>
      </c>
      <c r="B1946" s="2" t="s">
        <v>19</v>
      </c>
      <c r="C1946" s="2" t="s">
        <v>8</v>
      </c>
      <c r="D1946" s="2" t="s">
        <v>28</v>
      </c>
      <c r="E1946" s="2" t="s">
        <v>15</v>
      </c>
      <c r="F1946" s="5">
        <v>4727.37</v>
      </c>
    </row>
    <row r="1947" spans="1:6" ht="15.75" customHeight="1" x14ac:dyDescent="0.3">
      <c r="A1947" s="4" t="s">
        <v>202</v>
      </c>
      <c r="B1947" s="2" t="s">
        <v>12</v>
      </c>
      <c r="C1947" s="2" t="s">
        <v>13</v>
      </c>
      <c r="D1947" s="2" t="s">
        <v>28</v>
      </c>
      <c r="E1947" s="2" t="s">
        <v>24</v>
      </c>
      <c r="F1947" s="5">
        <v>78.44</v>
      </c>
    </row>
    <row r="1948" spans="1:6" ht="15.75" customHeight="1" x14ac:dyDescent="0.3">
      <c r="A1948" s="4" t="s">
        <v>213</v>
      </c>
      <c r="B1948" s="2" t="s">
        <v>12</v>
      </c>
      <c r="C1948" s="2" t="s">
        <v>8</v>
      </c>
      <c r="D1948" s="2" t="s">
        <v>14</v>
      </c>
      <c r="E1948" s="2" t="s">
        <v>24</v>
      </c>
      <c r="F1948" s="5">
        <v>4289.21</v>
      </c>
    </row>
    <row r="1949" spans="1:6" ht="15.75" customHeight="1" x14ac:dyDescent="0.3">
      <c r="A1949" s="4" t="s">
        <v>220</v>
      </c>
      <c r="B1949" s="2" t="s">
        <v>12</v>
      </c>
      <c r="C1949" s="2" t="s">
        <v>34</v>
      </c>
      <c r="D1949" s="2" t="s">
        <v>14</v>
      </c>
      <c r="E1949" s="2" t="s">
        <v>15</v>
      </c>
      <c r="F1949" s="5">
        <v>1666.98</v>
      </c>
    </row>
    <row r="1950" spans="1:6" ht="15.75" customHeight="1" x14ac:dyDescent="0.3">
      <c r="A1950" s="4" t="s">
        <v>35</v>
      </c>
      <c r="B1950" s="2" t="s">
        <v>19</v>
      </c>
      <c r="C1950" s="2" t="s">
        <v>13</v>
      </c>
      <c r="D1950" s="2" t="s">
        <v>14</v>
      </c>
      <c r="E1950" s="2" t="s">
        <v>15</v>
      </c>
      <c r="F1950" s="5">
        <v>1277.3399999999999</v>
      </c>
    </row>
    <row r="1951" spans="1:6" ht="15.75" customHeight="1" x14ac:dyDescent="0.3">
      <c r="A1951" s="4" t="s">
        <v>118</v>
      </c>
      <c r="B1951" s="2" t="s">
        <v>30</v>
      </c>
      <c r="C1951" s="2" t="s">
        <v>13</v>
      </c>
      <c r="D1951" s="2" t="s">
        <v>28</v>
      </c>
      <c r="E1951" s="2" t="s">
        <v>24</v>
      </c>
      <c r="F1951" s="5">
        <v>371.36</v>
      </c>
    </row>
    <row r="1952" spans="1:6" ht="15.75" customHeight="1" x14ac:dyDescent="0.3">
      <c r="A1952" s="4" t="s">
        <v>143</v>
      </c>
      <c r="B1952" s="2" t="s">
        <v>17</v>
      </c>
      <c r="C1952" s="2" t="s">
        <v>13</v>
      </c>
      <c r="D1952" s="2" t="s">
        <v>9</v>
      </c>
      <c r="E1952" s="2" t="s">
        <v>15</v>
      </c>
      <c r="F1952" s="5">
        <v>4247.1697487037527</v>
      </c>
    </row>
    <row r="1953" spans="1:6" ht="15.75" customHeight="1" x14ac:dyDescent="0.3">
      <c r="A1953" s="4" t="s">
        <v>125</v>
      </c>
      <c r="B1953" s="2" t="s">
        <v>7</v>
      </c>
      <c r="C1953" s="2" t="s">
        <v>13</v>
      </c>
      <c r="D1953" s="2" t="s">
        <v>14</v>
      </c>
      <c r="E1953" s="2" t="s">
        <v>15</v>
      </c>
      <c r="F1953" s="5">
        <v>3150.39</v>
      </c>
    </row>
    <row r="1954" spans="1:6" ht="15.75" customHeight="1" x14ac:dyDescent="0.3">
      <c r="A1954" s="4" t="s">
        <v>127</v>
      </c>
      <c r="B1954" s="2" t="s">
        <v>17</v>
      </c>
      <c r="C1954" s="2" t="s">
        <v>13</v>
      </c>
      <c r="D1954" s="2" t="s">
        <v>9</v>
      </c>
      <c r="E1954" s="2" t="s">
        <v>15</v>
      </c>
      <c r="F1954" s="5">
        <v>3071.4404568923078</v>
      </c>
    </row>
    <row r="1955" spans="1:6" ht="15.75" customHeight="1" x14ac:dyDescent="0.3">
      <c r="A1955" s="4" t="s">
        <v>58</v>
      </c>
      <c r="B1955" s="2" t="s">
        <v>17</v>
      </c>
      <c r="C1955" s="2" t="s">
        <v>13</v>
      </c>
      <c r="D1955" s="2" t="s">
        <v>14</v>
      </c>
      <c r="E1955" s="2" t="s">
        <v>15</v>
      </c>
      <c r="F1955" s="5">
        <v>341.64</v>
      </c>
    </row>
    <row r="1956" spans="1:6" ht="15.75" customHeight="1" x14ac:dyDescent="0.3">
      <c r="A1956" s="4" t="s">
        <v>69</v>
      </c>
      <c r="B1956" s="2" t="s">
        <v>7</v>
      </c>
      <c r="C1956" s="2" t="s">
        <v>13</v>
      </c>
      <c r="D1956" s="2" t="s">
        <v>28</v>
      </c>
      <c r="E1956" s="2" t="s">
        <v>24</v>
      </c>
      <c r="F1956" s="5">
        <v>4075.39</v>
      </c>
    </row>
    <row r="1957" spans="1:6" ht="15.75" customHeight="1" x14ac:dyDescent="0.3">
      <c r="A1957" s="4" t="s">
        <v>142</v>
      </c>
      <c r="B1957" s="2" t="s">
        <v>17</v>
      </c>
      <c r="C1957" s="2" t="s">
        <v>8</v>
      </c>
      <c r="D1957" s="2" t="s">
        <v>28</v>
      </c>
      <c r="E1957" s="2" t="s">
        <v>24</v>
      </c>
      <c r="F1957" s="5">
        <v>4062.72</v>
      </c>
    </row>
    <row r="1958" spans="1:6" ht="15.75" customHeight="1" x14ac:dyDescent="0.3">
      <c r="A1958" s="4" t="s">
        <v>64</v>
      </c>
      <c r="B1958" s="2" t="s">
        <v>30</v>
      </c>
      <c r="C1958" s="2" t="s">
        <v>13</v>
      </c>
      <c r="D1958" s="2" t="s">
        <v>28</v>
      </c>
      <c r="E1958" s="2" t="s">
        <v>15</v>
      </c>
      <c r="F1958" s="5">
        <v>3930.54</v>
      </c>
    </row>
    <row r="1959" spans="1:6" ht="15.75" customHeight="1" x14ac:dyDescent="0.3">
      <c r="A1959" s="4" t="s">
        <v>201</v>
      </c>
      <c r="B1959" s="2" t="s">
        <v>12</v>
      </c>
      <c r="C1959" s="2" t="s">
        <v>23</v>
      </c>
      <c r="D1959" s="2" t="s">
        <v>14</v>
      </c>
      <c r="E1959" s="2" t="s">
        <v>10</v>
      </c>
      <c r="F1959" s="5">
        <v>1919.26</v>
      </c>
    </row>
    <row r="1960" spans="1:6" ht="15.75" customHeight="1" x14ac:dyDescent="0.3">
      <c r="A1960" s="4" t="s">
        <v>210</v>
      </c>
      <c r="B1960" s="2" t="s">
        <v>7</v>
      </c>
      <c r="C1960" s="2" t="s">
        <v>13</v>
      </c>
      <c r="D1960" s="2" t="s">
        <v>14</v>
      </c>
      <c r="E1960" s="2" t="s">
        <v>10</v>
      </c>
      <c r="F1960" s="5">
        <v>3554.23</v>
      </c>
    </row>
    <row r="1961" spans="1:6" ht="15.75" customHeight="1" x14ac:dyDescent="0.3">
      <c r="A1961" s="4" t="s">
        <v>169</v>
      </c>
      <c r="B1961" s="2" t="s">
        <v>12</v>
      </c>
      <c r="C1961" s="2" t="s">
        <v>13</v>
      </c>
      <c r="D1961" s="2" t="s">
        <v>9</v>
      </c>
      <c r="E1961" s="2" t="s">
        <v>24</v>
      </c>
      <c r="F1961" s="5">
        <v>493.58</v>
      </c>
    </row>
    <row r="1962" spans="1:6" ht="15.75" customHeight="1" x14ac:dyDescent="0.3">
      <c r="A1962" s="4" t="s">
        <v>87</v>
      </c>
      <c r="B1962" s="2" t="s">
        <v>12</v>
      </c>
      <c r="C1962" s="2" t="s">
        <v>23</v>
      </c>
      <c r="D1962" s="2" t="s">
        <v>9</v>
      </c>
      <c r="E1962" s="2" t="s">
        <v>10</v>
      </c>
      <c r="F1962" s="5">
        <v>2362.1602799724528</v>
      </c>
    </row>
    <row r="1963" spans="1:6" ht="15.75" customHeight="1" x14ac:dyDescent="0.3">
      <c r="A1963" s="4" t="s">
        <v>203</v>
      </c>
      <c r="B1963" s="2" t="s">
        <v>12</v>
      </c>
      <c r="C1963" s="2" t="s">
        <v>13</v>
      </c>
      <c r="D1963" s="2" t="s">
        <v>14</v>
      </c>
      <c r="E1963" s="2" t="s">
        <v>15</v>
      </c>
      <c r="F1963" s="5">
        <v>984.26</v>
      </c>
    </row>
    <row r="1964" spans="1:6" ht="15.75" customHeight="1" x14ac:dyDescent="0.3">
      <c r="A1964" s="4" t="s">
        <v>163</v>
      </c>
      <c r="B1964" s="2" t="s">
        <v>19</v>
      </c>
      <c r="C1964" s="2" t="s">
        <v>23</v>
      </c>
      <c r="D1964" s="2" t="s">
        <v>28</v>
      </c>
      <c r="E1964" s="2" t="s">
        <v>24</v>
      </c>
      <c r="F1964" s="5">
        <v>2223.0500000000002</v>
      </c>
    </row>
    <row r="1965" spans="1:6" ht="15.75" customHeight="1" x14ac:dyDescent="0.3">
      <c r="A1965" s="4" t="s">
        <v>54</v>
      </c>
      <c r="B1965" s="2" t="s">
        <v>12</v>
      </c>
      <c r="C1965" s="2" t="s">
        <v>34</v>
      </c>
      <c r="D1965" s="2" t="s">
        <v>9</v>
      </c>
      <c r="E1965" s="2" t="s">
        <v>24</v>
      </c>
      <c r="F1965" s="5">
        <v>2498.8473055444779</v>
      </c>
    </row>
    <row r="1966" spans="1:6" ht="15.75" customHeight="1" x14ac:dyDescent="0.3">
      <c r="A1966" s="4" t="s">
        <v>21</v>
      </c>
      <c r="B1966" s="2" t="s">
        <v>19</v>
      </c>
      <c r="C1966" s="2" t="s">
        <v>8</v>
      </c>
      <c r="D1966" s="2" t="s">
        <v>9</v>
      </c>
      <c r="E1966" s="2" t="s">
        <v>10</v>
      </c>
      <c r="F1966" s="5">
        <v>857.66462848426818</v>
      </c>
    </row>
    <row r="1967" spans="1:6" ht="15.75" customHeight="1" x14ac:dyDescent="0.3">
      <c r="A1967" s="4" t="s">
        <v>53</v>
      </c>
      <c r="B1967" s="2" t="s">
        <v>7</v>
      </c>
      <c r="C1967" s="2" t="s">
        <v>8</v>
      </c>
      <c r="D1967" s="2" t="s">
        <v>14</v>
      </c>
      <c r="E1967" s="2" t="s">
        <v>15</v>
      </c>
      <c r="F1967" s="5">
        <v>2079.4</v>
      </c>
    </row>
    <row r="1968" spans="1:6" ht="15.75" customHeight="1" x14ac:dyDescent="0.3">
      <c r="A1968" s="4" t="s">
        <v>36</v>
      </c>
      <c r="B1968" s="2" t="s">
        <v>12</v>
      </c>
      <c r="C1968" s="2" t="s">
        <v>13</v>
      </c>
      <c r="D1968" s="2" t="s">
        <v>28</v>
      </c>
      <c r="E1968" s="2" t="s">
        <v>15</v>
      </c>
      <c r="F1968" s="5">
        <v>2644.71</v>
      </c>
    </row>
    <row r="1969" spans="1:6" ht="15.75" customHeight="1" x14ac:dyDescent="0.3">
      <c r="A1969" s="4" t="s">
        <v>110</v>
      </c>
      <c r="B1969" s="2" t="s">
        <v>12</v>
      </c>
      <c r="C1969" s="2" t="s">
        <v>8</v>
      </c>
      <c r="D1969" s="2" t="s">
        <v>14</v>
      </c>
      <c r="E1969" s="2" t="s">
        <v>15</v>
      </c>
      <c r="F1969" s="5">
        <v>813.42</v>
      </c>
    </row>
    <row r="1970" spans="1:6" ht="15.75" customHeight="1" x14ac:dyDescent="0.3">
      <c r="A1970" s="4" t="s">
        <v>77</v>
      </c>
      <c r="B1970" s="2" t="s">
        <v>30</v>
      </c>
      <c r="C1970" s="2" t="s">
        <v>23</v>
      </c>
      <c r="D1970" s="2" t="s">
        <v>9</v>
      </c>
      <c r="E1970" s="2" t="s">
        <v>15</v>
      </c>
      <c r="F1970" s="5">
        <v>1500.7413107163691</v>
      </c>
    </row>
    <row r="1971" spans="1:6" ht="15.75" customHeight="1" x14ac:dyDescent="0.3">
      <c r="A1971" s="4" t="s">
        <v>117</v>
      </c>
      <c r="B1971" s="2" t="s">
        <v>7</v>
      </c>
      <c r="C1971" s="2" t="s">
        <v>34</v>
      </c>
      <c r="D1971" s="2" t="s">
        <v>14</v>
      </c>
      <c r="E1971" s="2" t="s">
        <v>24</v>
      </c>
      <c r="F1971" s="5">
        <v>2099.7800000000002</v>
      </c>
    </row>
    <row r="1972" spans="1:6" ht="15.75" customHeight="1" x14ac:dyDescent="0.3">
      <c r="A1972" s="4" t="s">
        <v>125</v>
      </c>
      <c r="B1972" s="2" t="s">
        <v>7</v>
      </c>
      <c r="C1972" s="2" t="s">
        <v>13</v>
      </c>
      <c r="D1972" s="2" t="s">
        <v>9</v>
      </c>
      <c r="E1972" s="2" t="s">
        <v>10</v>
      </c>
      <c r="F1972" s="5">
        <v>3573.1842132607412</v>
      </c>
    </row>
    <row r="1973" spans="1:6" ht="15.75" customHeight="1" x14ac:dyDescent="0.3">
      <c r="A1973" s="4" t="s">
        <v>136</v>
      </c>
      <c r="B1973" s="2" t="s">
        <v>17</v>
      </c>
      <c r="C1973" s="2" t="s">
        <v>23</v>
      </c>
      <c r="D1973" s="2" t="s">
        <v>9</v>
      </c>
      <c r="E1973" s="2" t="s">
        <v>15</v>
      </c>
      <c r="F1973" s="5">
        <v>3666.976435047628</v>
      </c>
    </row>
    <row r="1974" spans="1:6" ht="15.75" customHeight="1" x14ac:dyDescent="0.3">
      <c r="A1974" s="4" t="s">
        <v>40</v>
      </c>
      <c r="B1974" s="2" t="s">
        <v>19</v>
      </c>
      <c r="C1974" s="2" t="s">
        <v>13</v>
      </c>
      <c r="D1974" s="2" t="s">
        <v>28</v>
      </c>
      <c r="E1974" s="2" t="s">
        <v>15</v>
      </c>
      <c r="F1974" s="5">
        <v>4772.12</v>
      </c>
    </row>
    <row r="1975" spans="1:6" ht="15.75" customHeight="1" x14ac:dyDescent="0.3">
      <c r="A1975" s="4" t="s">
        <v>98</v>
      </c>
      <c r="B1975" s="2" t="s">
        <v>19</v>
      </c>
      <c r="C1975" s="2" t="s">
        <v>23</v>
      </c>
      <c r="D1975" s="2" t="s">
        <v>9</v>
      </c>
      <c r="E1975" s="2" t="s">
        <v>24</v>
      </c>
      <c r="F1975" s="5">
        <v>4691.37</v>
      </c>
    </row>
    <row r="1976" spans="1:6" ht="15.75" customHeight="1" x14ac:dyDescent="0.3">
      <c r="A1976" s="4" t="s">
        <v>160</v>
      </c>
      <c r="B1976" s="2" t="s">
        <v>30</v>
      </c>
      <c r="C1976" s="2" t="s">
        <v>23</v>
      </c>
      <c r="D1976" s="2" t="s">
        <v>14</v>
      </c>
      <c r="E1976" s="2" t="s">
        <v>15</v>
      </c>
      <c r="F1976" s="5">
        <v>2731.04</v>
      </c>
    </row>
    <row r="1977" spans="1:6" ht="15.75" customHeight="1" x14ac:dyDescent="0.3">
      <c r="A1977" s="4" t="s">
        <v>42</v>
      </c>
      <c r="B1977" s="2" t="s">
        <v>30</v>
      </c>
      <c r="C1977" s="2" t="s">
        <v>8</v>
      </c>
      <c r="D1977" s="2" t="s">
        <v>14</v>
      </c>
      <c r="E1977" s="2" t="s">
        <v>24</v>
      </c>
      <c r="F1977" s="5">
        <v>3020.79</v>
      </c>
    </row>
    <row r="1978" spans="1:6" ht="15.75" customHeight="1" x14ac:dyDescent="0.3">
      <c r="A1978" s="4" t="s">
        <v>112</v>
      </c>
      <c r="B1978" s="2" t="s">
        <v>30</v>
      </c>
      <c r="C1978" s="2" t="s">
        <v>34</v>
      </c>
      <c r="D1978" s="2" t="s">
        <v>28</v>
      </c>
      <c r="E1978" s="2" t="s">
        <v>24</v>
      </c>
      <c r="F1978" s="5">
        <v>1086.79</v>
      </c>
    </row>
    <row r="1979" spans="1:6" ht="15.75" customHeight="1" x14ac:dyDescent="0.3">
      <c r="A1979" s="4" t="s">
        <v>130</v>
      </c>
      <c r="B1979" s="2" t="s">
        <v>12</v>
      </c>
      <c r="C1979" s="2" t="s">
        <v>23</v>
      </c>
      <c r="D1979" s="2" t="s">
        <v>9</v>
      </c>
      <c r="E1979" s="2" t="s">
        <v>24</v>
      </c>
      <c r="F1979" s="5">
        <v>5115.1311140724256</v>
      </c>
    </row>
    <row r="1980" spans="1:6" ht="15.75" customHeight="1" x14ac:dyDescent="0.3">
      <c r="A1980" s="4" t="s">
        <v>116</v>
      </c>
      <c r="B1980" s="2" t="s">
        <v>17</v>
      </c>
      <c r="C1980" s="2" t="s">
        <v>23</v>
      </c>
      <c r="D1980" s="2" t="s">
        <v>14</v>
      </c>
      <c r="E1980" s="2" t="s">
        <v>10</v>
      </c>
      <c r="F1980" s="5">
        <v>2958.7</v>
      </c>
    </row>
    <row r="1981" spans="1:6" ht="15.75" customHeight="1" x14ac:dyDescent="0.3">
      <c r="A1981" s="4" t="s">
        <v>93</v>
      </c>
      <c r="B1981" s="2" t="s">
        <v>30</v>
      </c>
      <c r="C1981" s="2" t="s">
        <v>23</v>
      </c>
      <c r="D1981" s="2" t="s">
        <v>9</v>
      </c>
      <c r="E1981" s="2" t="s">
        <v>10</v>
      </c>
      <c r="F1981" s="5">
        <v>1571.969406872616</v>
      </c>
    </row>
    <row r="1982" spans="1:6" ht="15.75" customHeight="1" x14ac:dyDescent="0.3">
      <c r="A1982" s="4" t="s">
        <v>141</v>
      </c>
      <c r="B1982" s="2" t="s">
        <v>7</v>
      </c>
      <c r="C1982" s="2" t="s">
        <v>13</v>
      </c>
      <c r="D1982" s="2" t="s">
        <v>28</v>
      </c>
      <c r="E1982" s="2" t="s">
        <v>15</v>
      </c>
      <c r="F1982" s="5">
        <v>2745.85</v>
      </c>
    </row>
    <row r="1983" spans="1:6" ht="15.75" customHeight="1" x14ac:dyDescent="0.3">
      <c r="A1983" s="4" t="s">
        <v>156</v>
      </c>
      <c r="B1983" s="2" t="s">
        <v>17</v>
      </c>
      <c r="C1983" s="2" t="s">
        <v>23</v>
      </c>
      <c r="D1983" s="2" t="s">
        <v>28</v>
      </c>
      <c r="E1983" s="2" t="s">
        <v>24</v>
      </c>
      <c r="F1983" s="5">
        <v>1531</v>
      </c>
    </row>
    <row r="1984" spans="1:6" ht="15.75" customHeight="1" x14ac:dyDescent="0.3">
      <c r="A1984" s="4" t="s">
        <v>207</v>
      </c>
      <c r="B1984" s="2" t="s">
        <v>17</v>
      </c>
      <c r="C1984" s="2" t="s">
        <v>8</v>
      </c>
      <c r="D1984" s="2" t="s">
        <v>9</v>
      </c>
      <c r="E1984" s="2" t="s">
        <v>10</v>
      </c>
      <c r="F1984" s="5">
        <v>4709.8048409259827</v>
      </c>
    </row>
    <row r="1985" spans="1:6" ht="15.75" customHeight="1" x14ac:dyDescent="0.3">
      <c r="A1985" s="4" t="s">
        <v>171</v>
      </c>
      <c r="B1985" s="2" t="s">
        <v>17</v>
      </c>
      <c r="C1985" s="2" t="s">
        <v>34</v>
      </c>
      <c r="D1985" s="2" t="s">
        <v>28</v>
      </c>
      <c r="E1985" s="2" t="s">
        <v>24</v>
      </c>
      <c r="F1985" s="5">
        <v>830.08</v>
      </c>
    </row>
    <row r="1986" spans="1:6" ht="15.75" customHeight="1" x14ac:dyDescent="0.3">
      <c r="A1986" s="4" t="s">
        <v>203</v>
      </c>
      <c r="B1986" s="2" t="s">
        <v>12</v>
      </c>
      <c r="C1986" s="2" t="s">
        <v>8</v>
      </c>
      <c r="D1986" s="2" t="s">
        <v>28</v>
      </c>
      <c r="E1986" s="2" t="s">
        <v>15</v>
      </c>
      <c r="F1986" s="5">
        <v>4453.8999999999996</v>
      </c>
    </row>
    <row r="1987" spans="1:6" ht="15.75" customHeight="1" x14ac:dyDescent="0.3">
      <c r="A1987" s="4" t="s">
        <v>70</v>
      </c>
      <c r="B1987" s="2" t="s">
        <v>19</v>
      </c>
      <c r="C1987" s="2" t="s">
        <v>13</v>
      </c>
      <c r="D1987" s="2" t="s">
        <v>28</v>
      </c>
      <c r="E1987" s="2" t="s">
        <v>24</v>
      </c>
      <c r="F1987" s="5">
        <v>4791.93</v>
      </c>
    </row>
    <row r="1988" spans="1:6" ht="15.75" customHeight="1" x14ac:dyDescent="0.3">
      <c r="A1988" s="4" t="s">
        <v>137</v>
      </c>
      <c r="B1988" s="2" t="s">
        <v>17</v>
      </c>
      <c r="C1988" s="2" t="s">
        <v>13</v>
      </c>
      <c r="D1988" s="2" t="s">
        <v>9</v>
      </c>
      <c r="E1988" s="2" t="s">
        <v>10</v>
      </c>
      <c r="F1988" s="5">
        <v>2280.1096019417132</v>
      </c>
    </row>
    <row r="1989" spans="1:6" ht="15.75" customHeight="1" x14ac:dyDescent="0.3">
      <c r="A1989" s="4" t="s">
        <v>101</v>
      </c>
      <c r="B1989" s="2" t="s">
        <v>19</v>
      </c>
      <c r="C1989" s="2" t="s">
        <v>34</v>
      </c>
      <c r="D1989" s="2" t="s">
        <v>9</v>
      </c>
      <c r="E1989" s="2" t="s">
        <v>24</v>
      </c>
      <c r="F1989" s="5">
        <v>4839.8084961409968</v>
      </c>
    </row>
    <row r="1990" spans="1:6" ht="15.75" customHeight="1" x14ac:dyDescent="0.3">
      <c r="A1990" s="4" t="s">
        <v>84</v>
      </c>
      <c r="B1990" s="2" t="s">
        <v>30</v>
      </c>
      <c r="C1990" s="2" t="s">
        <v>13</v>
      </c>
      <c r="D1990" s="2" t="s">
        <v>14</v>
      </c>
      <c r="E1990" s="2" t="s">
        <v>24</v>
      </c>
      <c r="F1990" s="5">
        <v>506.81</v>
      </c>
    </row>
    <row r="1991" spans="1:6" ht="15.75" customHeight="1" x14ac:dyDescent="0.3">
      <c r="A1991" s="4" t="s">
        <v>35</v>
      </c>
      <c r="B1991" s="2" t="s">
        <v>19</v>
      </c>
      <c r="C1991" s="2" t="s">
        <v>13</v>
      </c>
      <c r="D1991" s="2" t="s">
        <v>9</v>
      </c>
      <c r="E1991" s="2" t="s">
        <v>15</v>
      </c>
      <c r="F1991" s="5">
        <v>3907.2413281034828</v>
      </c>
    </row>
    <row r="1992" spans="1:6" ht="15.75" customHeight="1" x14ac:dyDescent="0.3">
      <c r="A1992" s="4" t="s">
        <v>216</v>
      </c>
      <c r="B1992" s="2" t="s">
        <v>17</v>
      </c>
      <c r="C1992" s="2" t="s">
        <v>13</v>
      </c>
      <c r="D1992" s="2" t="s">
        <v>9</v>
      </c>
      <c r="E1992" s="2" t="s">
        <v>15</v>
      </c>
      <c r="F1992" s="5">
        <v>2483.8206122296601</v>
      </c>
    </row>
    <row r="1993" spans="1:6" ht="15.75" customHeight="1" x14ac:dyDescent="0.3">
      <c r="A1993" s="4" t="s">
        <v>133</v>
      </c>
      <c r="B1993" s="2" t="s">
        <v>17</v>
      </c>
      <c r="C1993" s="2" t="s">
        <v>23</v>
      </c>
      <c r="D1993" s="2" t="s">
        <v>28</v>
      </c>
      <c r="E1993" s="2" t="s">
        <v>10</v>
      </c>
      <c r="F1993" s="5">
        <v>139.57</v>
      </c>
    </row>
    <row r="1994" spans="1:6" ht="15.75" customHeight="1" x14ac:dyDescent="0.3">
      <c r="A1994" s="4" t="s">
        <v>184</v>
      </c>
      <c r="B1994" s="2" t="s">
        <v>30</v>
      </c>
      <c r="C1994" s="2" t="s">
        <v>13</v>
      </c>
      <c r="D1994" s="2" t="s">
        <v>9</v>
      </c>
      <c r="E1994" s="2" t="s">
        <v>15</v>
      </c>
      <c r="F1994" s="5">
        <v>2912.6626665081649</v>
      </c>
    </row>
    <row r="1995" spans="1:6" ht="15.75" customHeight="1" x14ac:dyDescent="0.3">
      <c r="A1995" s="4" t="s">
        <v>106</v>
      </c>
      <c r="B1995" s="2" t="s">
        <v>12</v>
      </c>
      <c r="C1995" s="2" t="s">
        <v>34</v>
      </c>
      <c r="D1995" s="2" t="s">
        <v>14</v>
      </c>
      <c r="E1995" s="2" t="s">
        <v>15</v>
      </c>
      <c r="F1995" s="5">
        <v>479.83</v>
      </c>
    </row>
    <row r="1996" spans="1:6" ht="15.75" customHeight="1" x14ac:dyDescent="0.3">
      <c r="A1996" s="4" t="s">
        <v>118</v>
      </c>
      <c r="B1996" s="2" t="s">
        <v>30</v>
      </c>
      <c r="C1996" s="2" t="s">
        <v>34</v>
      </c>
      <c r="D1996" s="2" t="s">
        <v>9</v>
      </c>
      <c r="E1996" s="2" t="s">
        <v>15</v>
      </c>
      <c r="F1996" s="5">
        <v>5275.2422536283621</v>
      </c>
    </row>
    <row r="1997" spans="1:6" ht="15.75" customHeight="1" x14ac:dyDescent="0.3">
      <c r="A1997" s="4" t="s">
        <v>116</v>
      </c>
      <c r="B1997" s="2" t="s">
        <v>17</v>
      </c>
      <c r="C1997" s="2" t="s">
        <v>8</v>
      </c>
      <c r="D1997" s="2" t="s">
        <v>14</v>
      </c>
      <c r="E1997" s="2" t="s">
        <v>15</v>
      </c>
      <c r="F1997" s="5">
        <v>3515.66</v>
      </c>
    </row>
    <row r="1998" spans="1:6" ht="15.75" customHeight="1" x14ac:dyDescent="0.3">
      <c r="A1998" s="4" t="s">
        <v>110</v>
      </c>
      <c r="B1998" s="2" t="s">
        <v>12</v>
      </c>
      <c r="C1998" s="2" t="s">
        <v>34</v>
      </c>
      <c r="D1998" s="2" t="s">
        <v>9</v>
      </c>
      <c r="E1998" s="2" t="s">
        <v>15</v>
      </c>
      <c r="F1998" s="5">
        <v>771.45</v>
      </c>
    </row>
    <row r="1999" spans="1:6" ht="15.75" customHeight="1" x14ac:dyDescent="0.3">
      <c r="A1999" s="4" t="s">
        <v>172</v>
      </c>
      <c r="B1999" s="2" t="s">
        <v>7</v>
      </c>
      <c r="C1999" s="2" t="s">
        <v>34</v>
      </c>
      <c r="D1999" s="2" t="s">
        <v>28</v>
      </c>
      <c r="E1999" s="2" t="s">
        <v>15</v>
      </c>
      <c r="F1999" s="5">
        <v>705.84</v>
      </c>
    </row>
    <row r="2000" spans="1:6" ht="15.75" customHeight="1" x14ac:dyDescent="0.3">
      <c r="A2000" s="4" t="s">
        <v>126</v>
      </c>
      <c r="B2000" s="2" t="s">
        <v>30</v>
      </c>
      <c r="C2000" s="2" t="s">
        <v>23</v>
      </c>
      <c r="D2000" s="2" t="s">
        <v>9</v>
      </c>
      <c r="E2000" s="2" t="s">
        <v>10</v>
      </c>
      <c r="F2000" s="5">
        <v>3398.71</v>
      </c>
    </row>
    <row r="2001" spans="1:6" ht="15.75" customHeight="1" x14ac:dyDescent="0.3">
      <c r="A2001" s="9" t="s">
        <v>107</v>
      </c>
      <c r="B2001" s="10" t="s">
        <v>30</v>
      </c>
      <c r="C2001" s="10" t="s">
        <v>34</v>
      </c>
      <c r="D2001" s="10" t="s">
        <v>28</v>
      </c>
      <c r="E2001" s="10" t="s">
        <v>24</v>
      </c>
      <c r="F2001" s="11">
        <v>2433.04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00"/>
  <sheetViews>
    <sheetView workbookViewId="0">
      <selection activeCell="E7" sqref="E7"/>
    </sheetView>
  </sheetViews>
  <sheetFormatPr defaultColWidth="14.4140625" defaultRowHeight="15" customHeight="1" x14ac:dyDescent="0.3"/>
  <cols>
    <col min="1" max="1" width="13.4140625" customWidth="1"/>
    <col min="2" max="2" width="21.25" customWidth="1"/>
    <col min="3" max="4" width="27.4140625" customWidth="1"/>
    <col min="5" max="5" width="19.4140625" customWidth="1"/>
    <col min="6" max="6" width="8.6640625" customWidth="1"/>
    <col min="7" max="26" width="8" customWidth="1"/>
  </cols>
  <sheetData>
    <row r="1" spans="1:5" ht="14" x14ac:dyDescent="0.3">
      <c r="A1" s="6" t="s">
        <v>0</v>
      </c>
      <c r="B1" s="7" t="s">
        <v>1</v>
      </c>
      <c r="C1" s="7" t="s">
        <v>221</v>
      </c>
      <c r="D1" s="7" t="s">
        <v>222</v>
      </c>
      <c r="E1" s="8" t="s">
        <v>223</v>
      </c>
    </row>
    <row r="2" spans="1:5" ht="14" x14ac:dyDescent="0.3">
      <c r="A2" s="4" t="s">
        <v>170</v>
      </c>
      <c r="B2" s="2" t="s">
        <v>12</v>
      </c>
      <c r="C2" s="2">
        <v>54133</v>
      </c>
      <c r="D2" s="2">
        <v>8543.68</v>
      </c>
      <c r="E2" s="5">
        <v>24</v>
      </c>
    </row>
    <row r="3" spans="1:5" ht="14" x14ac:dyDescent="0.3">
      <c r="A3" s="4" t="s">
        <v>47</v>
      </c>
      <c r="B3" s="2" t="s">
        <v>30</v>
      </c>
      <c r="C3" s="2">
        <v>53661</v>
      </c>
      <c r="D3" s="2">
        <v>6965.81</v>
      </c>
      <c r="E3" s="5">
        <v>69.400000000000006</v>
      </c>
    </row>
    <row r="4" spans="1:5" ht="14" x14ac:dyDescent="0.3">
      <c r="A4" s="4" t="s">
        <v>189</v>
      </c>
      <c r="B4" s="2" t="s">
        <v>19</v>
      </c>
      <c r="C4" s="2">
        <v>27681</v>
      </c>
      <c r="D4" s="2">
        <v>928.26</v>
      </c>
      <c r="E4" s="5">
        <v>44.97</v>
      </c>
    </row>
    <row r="5" spans="1:5" ht="14" x14ac:dyDescent="0.3">
      <c r="A5" s="4" t="s">
        <v>175</v>
      </c>
      <c r="B5" s="2" t="s">
        <v>7</v>
      </c>
      <c r="C5" s="2">
        <v>83923</v>
      </c>
      <c r="D5" s="2">
        <v>8768.7999999999993</v>
      </c>
      <c r="E5" s="5">
        <v>65.290000000000006</v>
      </c>
    </row>
    <row r="6" spans="1:5" ht="14" x14ac:dyDescent="0.3">
      <c r="A6" s="4" t="s">
        <v>41</v>
      </c>
      <c r="B6" s="2" t="s">
        <v>30</v>
      </c>
      <c r="C6" s="2">
        <v>61743</v>
      </c>
      <c r="D6" s="2">
        <v>7426.75</v>
      </c>
      <c r="E6" s="5">
        <v>26.39</v>
      </c>
    </row>
    <row r="7" spans="1:5" ht="14" x14ac:dyDescent="0.3">
      <c r="A7" s="4" t="s">
        <v>144</v>
      </c>
      <c r="B7" s="2" t="s">
        <v>30</v>
      </c>
      <c r="C7" s="2">
        <v>11426</v>
      </c>
      <c r="D7" s="2">
        <v>4439.5600000000004</v>
      </c>
      <c r="E7" s="5">
        <v>52.71</v>
      </c>
    </row>
    <row r="8" spans="1:5" ht="14" x14ac:dyDescent="0.3">
      <c r="A8" s="4" t="s">
        <v>126</v>
      </c>
      <c r="B8" s="2" t="s">
        <v>30</v>
      </c>
      <c r="C8" s="2">
        <v>35506</v>
      </c>
      <c r="D8" s="2">
        <v>1892.04</v>
      </c>
      <c r="E8" s="5">
        <v>61.53</v>
      </c>
    </row>
    <row r="9" spans="1:5" ht="14" x14ac:dyDescent="0.3">
      <c r="A9" s="4" t="s">
        <v>49</v>
      </c>
      <c r="B9" s="2" t="s">
        <v>19</v>
      </c>
      <c r="C9" s="2">
        <v>50306</v>
      </c>
      <c r="D9" s="2">
        <v>7031.37</v>
      </c>
      <c r="E9" s="5">
        <v>13.27</v>
      </c>
    </row>
    <row r="10" spans="1:5" ht="14" x14ac:dyDescent="0.3">
      <c r="A10" s="4" t="s">
        <v>141</v>
      </c>
      <c r="B10" s="2" t="s">
        <v>7</v>
      </c>
      <c r="C10" s="2">
        <v>45644</v>
      </c>
      <c r="D10" s="2">
        <v>7724.73</v>
      </c>
      <c r="E10" s="5">
        <v>31</v>
      </c>
    </row>
    <row r="11" spans="1:5" ht="14" x14ac:dyDescent="0.3">
      <c r="A11" s="4" t="s">
        <v>165</v>
      </c>
      <c r="B11" s="2" t="s">
        <v>7</v>
      </c>
      <c r="C11" s="2">
        <v>32991</v>
      </c>
      <c r="D11" s="2">
        <v>8540.14</v>
      </c>
      <c r="E11" s="5">
        <v>37.75</v>
      </c>
    </row>
    <row r="12" spans="1:5" ht="14" x14ac:dyDescent="0.3">
      <c r="A12" s="4" t="s">
        <v>180</v>
      </c>
      <c r="B12" s="2" t="s">
        <v>30</v>
      </c>
      <c r="C12" s="2">
        <v>72846</v>
      </c>
      <c r="D12" s="2">
        <v>5169.53</v>
      </c>
      <c r="E12" s="5">
        <v>76.709999999999994</v>
      </c>
    </row>
    <row r="13" spans="1:5" ht="14" x14ac:dyDescent="0.3">
      <c r="A13" s="4" t="s">
        <v>56</v>
      </c>
      <c r="B13" s="2" t="s">
        <v>19</v>
      </c>
      <c r="C13" s="2">
        <v>43747</v>
      </c>
      <c r="D13" s="2">
        <v>3453.48</v>
      </c>
      <c r="E13" s="5">
        <v>98.78</v>
      </c>
    </row>
    <row r="14" spans="1:5" ht="14" x14ac:dyDescent="0.3">
      <c r="A14" s="4" t="s">
        <v>215</v>
      </c>
      <c r="B14" s="2" t="s">
        <v>17</v>
      </c>
      <c r="C14" s="2">
        <v>72813</v>
      </c>
      <c r="D14" s="2">
        <v>8818.16</v>
      </c>
      <c r="E14" s="5">
        <v>54.12</v>
      </c>
    </row>
    <row r="15" spans="1:5" ht="14" x14ac:dyDescent="0.3">
      <c r="A15" s="4" t="s">
        <v>127</v>
      </c>
      <c r="B15" s="2" t="s">
        <v>17</v>
      </c>
      <c r="C15" s="2">
        <v>17416</v>
      </c>
      <c r="D15" s="2">
        <v>812.06</v>
      </c>
      <c r="E15" s="5">
        <v>5.7</v>
      </c>
    </row>
    <row r="16" spans="1:5" ht="14" x14ac:dyDescent="0.3">
      <c r="A16" s="4" t="s">
        <v>119</v>
      </c>
      <c r="B16" s="2" t="s">
        <v>30</v>
      </c>
      <c r="C16" s="2">
        <v>80488</v>
      </c>
      <c r="D16" s="2">
        <v>7629.95</v>
      </c>
      <c r="E16" s="5">
        <v>63.83</v>
      </c>
    </row>
    <row r="17" spans="1:5" ht="14" x14ac:dyDescent="0.3">
      <c r="A17" s="4" t="s">
        <v>82</v>
      </c>
      <c r="B17" s="2" t="s">
        <v>17</v>
      </c>
      <c r="C17" s="2">
        <v>93409</v>
      </c>
      <c r="D17" s="2">
        <v>2375.83</v>
      </c>
      <c r="E17" s="5">
        <v>5.83</v>
      </c>
    </row>
    <row r="18" spans="1:5" ht="14" x14ac:dyDescent="0.3">
      <c r="A18" s="4" t="s">
        <v>37</v>
      </c>
      <c r="B18" s="2" t="s">
        <v>17</v>
      </c>
      <c r="C18" s="2">
        <v>71747</v>
      </c>
      <c r="D18" s="2">
        <v>9838.66</v>
      </c>
      <c r="E18" s="5">
        <v>7.25</v>
      </c>
    </row>
    <row r="19" spans="1:5" ht="14" x14ac:dyDescent="0.3">
      <c r="A19" s="4" t="s">
        <v>107</v>
      </c>
      <c r="B19" s="2" t="s">
        <v>30</v>
      </c>
      <c r="C19" s="2">
        <v>69305</v>
      </c>
      <c r="D19" s="2">
        <v>3203.67</v>
      </c>
      <c r="E19" s="5">
        <v>83.65</v>
      </c>
    </row>
    <row r="20" spans="1:5" ht="14" x14ac:dyDescent="0.3">
      <c r="A20" s="4" t="s">
        <v>71</v>
      </c>
      <c r="B20" s="2" t="s">
        <v>7</v>
      </c>
      <c r="C20" s="2">
        <v>68018</v>
      </c>
      <c r="D20" s="2">
        <v>3523.4</v>
      </c>
      <c r="E20" s="5">
        <v>92.26</v>
      </c>
    </row>
    <row r="21" spans="1:5" ht="15.75" customHeight="1" x14ac:dyDescent="0.3">
      <c r="A21" s="4" t="s">
        <v>194</v>
      </c>
      <c r="B21" s="2" t="s">
        <v>17</v>
      </c>
      <c r="C21" s="2">
        <v>95165</v>
      </c>
      <c r="D21" s="2">
        <v>8562.76</v>
      </c>
      <c r="E21" s="5">
        <v>37.54</v>
      </c>
    </row>
    <row r="22" spans="1:5" ht="15.75" customHeight="1" x14ac:dyDescent="0.3">
      <c r="A22" s="4" t="s">
        <v>11</v>
      </c>
      <c r="B22" s="2" t="s">
        <v>12</v>
      </c>
      <c r="C22" s="2">
        <v>44657</v>
      </c>
      <c r="D22" s="2">
        <v>7867.98</v>
      </c>
      <c r="E22" s="5">
        <v>96.01</v>
      </c>
    </row>
    <row r="23" spans="1:5" ht="15.75" customHeight="1" x14ac:dyDescent="0.3">
      <c r="A23" s="4" t="s">
        <v>91</v>
      </c>
      <c r="B23" s="2" t="s">
        <v>30</v>
      </c>
      <c r="C23" s="2">
        <v>20207</v>
      </c>
      <c r="D23" s="2">
        <v>5369.46</v>
      </c>
      <c r="E23" s="5">
        <v>57.51</v>
      </c>
    </row>
    <row r="24" spans="1:5" ht="15.75" customHeight="1" x14ac:dyDescent="0.3">
      <c r="A24" s="4" t="s">
        <v>22</v>
      </c>
      <c r="B24" s="2" t="s">
        <v>12</v>
      </c>
      <c r="C24" s="2">
        <v>47484</v>
      </c>
      <c r="D24" s="2">
        <v>3396.39</v>
      </c>
      <c r="E24" s="5">
        <v>19.510000000000002</v>
      </c>
    </row>
    <row r="25" spans="1:5" ht="15.75" customHeight="1" x14ac:dyDescent="0.3">
      <c r="A25" s="4" t="s">
        <v>61</v>
      </c>
      <c r="B25" s="2" t="s">
        <v>30</v>
      </c>
      <c r="C25" s="2">
        <v>95718</v>
      </c>
      <c r="D25" s="2">
        <v>2443.12</v>
      </c>
      <c r="E25" s="5">
        <v>35.49</v>
      </c>
    </row>
    <row r="26" spans="1:5" ht="15.75" customHeight="1" x14ac:dyDescent="0.3">
      <c r="A26" s="4" t="s">
        <v>29</v>
      </c>
      <c r="B26" s="2" t="s">
        <v>30</v>
      </c>
      <c r="C26" s="2">
        <v>32131</v>
      </c>
      <c r="D26" s="2">
        <v>1474.23</v>
      </c>
      <c r="E26" s="5">
        <v>45.47</v>
      </c>
    </row>
    <row r="27" spans="1:5" ht="15.75" customHeight="1" x14ac:dyDescent="0.3">
      <c r="A27" s="4" t="s">
        <v>58</v>
      </c>
      <c r="B27" s="2" t="s">
        <v>17</v>
      </c>
      <c r="C27" s="2">
        <v>32246</v>
      </c>
      <c r="D27" s="2">
        <v>7903.93</v>
      </c>
      <c r="E27" s="5">
        <v>42.12</v>
      </c>
    </row>
    <row r="28" spans="1:5" ht="15.75" customHeight="1" x14ac:dyDescent="0.3">
      <c r="A28" s="4" t="s">
        <v>95</v>
      </c>
      <c r="B28" s="2" t="s">
        <v>30</v>
      </c>
      <c r="C28" s="2">
        <v>51800</v>
      </c>
      <c r="D28" s="2">
        <v>3042.95</v>
      </c>
      <c r="E28" s="5">
        <v>71.87</v>
      </c>
    </row>
    <row r="29" spans="1:5" ht="15.75" customHeight="1" x14ac:dyDescent="0.3">
      <c r="A29" s="4" t="s">
        <v>123</v>
      </c>
      <c r="B29" s="2" t="s">
        <v>30</v>
      </c>
      <c r="C29" s="2">
        <v>73977</v>
      </c>
      <c r="D29" s="2">
        <v>1646.75</v>
      </c>
      <c r="E29" s="5">
        <v>43.77</v>
      </c>
    </row>
    <row r="30" spans="1:5" ht="15.75" customHeight="1" x14ac:dyDescent="0.3">
      <c r="A30" s="4" t="s">
        <v>196</v>
      </c>
      <c r="B30" s="2" t="s">
        <v>30</v>
      </c>
      <c r="C30" s="2">
        <v>12262</v>
      </c>
      <c r="D30" s="2">
        <v>7106.18</v>
      </c>
      <c r="E30" s="5">
        <v>45.69</v>
      </c>
    </row>
    <row r="31" spans="1:5" ht="15.75" customHeight="1" x14ac:dyDescent="0.3">
      <c r="A31" s="4" t="s">
        <v>45</v>
      </c>
      <c r="B31" s="2" t="s">
        <v>7</v>
      </c>
      <c r="C31" s="2">
        <v>49924</v>
      </c>
      <c r="D31" s="2">
        <v>2199.16</v>
      </c>
      <c r="E31" s="5">
        <v>75.48</v>
      </c>
    </row>
    <row r="32" spans="1:5" ht="15.75" customHeight="1" x14ac:dyDescent="0.3">
      <c r="A32" s="4" t="s">
        <v>102</v>
      </c>
      <c r="B32" s="2" t="s">
        <v>19</v>
      </c>
      <c r="C32" s="2">
        <v>86263</v>
      </c>
      <c r="D32" s="2">
        <v>3213.71</v>
      </c>
      <c r="E32" s="5">
        <v>98.39</v>
      </c>
    </row>
    <row r="33" spans="1:5" ht="15.75" customHeight="1" x14ac:dyDescent="0.3">
      <c r="A33" s="4" t="s">
        <v>63</v>
      </c>
      <c r="B33" s="2" t="s">
        <v>12</v>
      </c>
      <c r="C33" s="2">
        <v>33688</v>
      </c>
      <c r="D33" s="2">
        <v>9495.48</v>
      </c>
      <c r="E33" s="5">
        <v>55.55</v>
      </c>
    </row>
    <row r="34" spans="1:5" ht="15.75" customHeight="1" x14ac:dyDescent="0.3">
      <c r="A34" s="4" t="s">
        <v>159</v>
      </c>
      <c r="B34" s="2" t="s">
        <v>7</v>
      </c>
      <c r="C34" s="2">
        <v>47727</v>
      </c>
      <c r="D34" s="2">
        <v>8907.33</v>
      </c>
      <c r="E34" s="5">
        <v>47.4</v>
      </c>
    </row>
    <row r="35" spans="1:5" ht="15.75" customHeight="1" x14ac:dyDescent="0.3">
      <c r="A35" s="4" t="s">
        <v>167</v>
      </c>
      <c r="B35" s="2" t="s">
        <v>30</v>
      </c>
      <c r="C35" s="2">
        <v>67213</v>
      </c>
      <c r="D35" s="2">
        <v>5533.81</v>
      </c>
      <c r="E35" s="5">
        <v>90.88</v>
      </c>
    </row>
    <row r="36" spans="1:5" ht="15.75" customHeight="1" x14ac:dyDescent="0.3">
      <c r="A36" s="4" t="s">
        <v>185</v>
      </c>
      <c r="B36" s="2" t="s">
        <v>30</v>
      </c>
      <c r="C36" s="2">
        <v>24913</v>
      </c>
      <c r="D36" s="2">
        <v>5727.27</v>
      </c>
      <c r="E36" s="5">
        <v>78.849999999999994</v>
      </c>
    </row>
    <row r="37" spans="1:5" ht="15.75" customHeight="1" x14ac:dyDescent="0.3">
      <c r="A37" s="4" t="s">
        <v>96</v>
      </c>
      <c r="B37" s="2" t="s">
        <v>19</v>
      </c>
      <c r="C37" s="2">
        <v>53942</v>
      </c>
      <c r="D37" s="2">
        <v>5904.31</v>
      </c>
      <c r="E37" s="5">
        <v>32.78</v>
      </c>
    </row>
    <row r="38" spans="1:5" ht="15.75" customHeight="1" x14ac:dyDescent="0.3">
      <c r="A38" s="4" t="s">
        <v>90</v>
      </c>
      <c r="B38" s="2" t="s">
        <v>19</v>
      </c>
      <c r="C38" s="2">
        <v>97337</v>
      </c>
      <c r="D38" s="2">
        <v>3362.06</v>
      </c>
      <c r="E38" s="5">
        <v>55.46</v>
      </c>
    </row>
    <row r="39" spans="1:5" ht="15.75" customHeight="1" x14ac:dyDescent="0.3">
      <c r="A39" s="4" t="s">
        <v>160</v>
      </c>
      <c r="B39" s="2" t="s">
        <v>30</v>
      </c>
      <c r="C39" s="2">
        <v>18341</v>
      </c>
      <c r="D39" s="2">
        <v>8465.57</v>
      </c>
      <c r="E39" s="5">
        <v>38.39</v>
      </c>
    </row>
    <row r="40" spans="1:5" ht="15.75" customHeight="1" x14ac:dyDescent="0.3">
      <c r="A40" s="4" t="s">
        <v>79</v>
      </c>
      <c r="B40" s="2" t="s">
        <v>17</v>
      </c>
      <c r="C40" s="2">
        <v>40503</v>
      </c>
      <c r="D40" s="2">
        <v>7447.46</v>
      </c>
      <c r="E40" s="5">
        <v>98.27</v>
      </c>
    </row>
    <row r="41" spans="1:5" ht="15.75" customHeight="1" x14ac:dyDescent="0.3">
      <c r="A41" s="4" t="s">
        <v>209</v>
      </c>
      <c r="B41" s="2" t="s">
        <v>7</v>
      </c>
      <c r="C41" s="2">
        <v>52357</v>
      </c>
      <c r="D41" s="2">
        <v>5643.16</v>
      </c>
      <c r="E41" s="5">
        <v>37.130000000000003</v>
      </c>
    </row>
    <row r="42" spans="1:5" ht="15.75" customHeight="1" x14ac:dyDescent="0.3">
      <c r="A42" s="4" t="s">
        <v>109</v>
      </c>
      <c r="B42" s="2" t="s">
        <v>12</v>
      </c>
      <c r="C42" s="2">
        <v>84721</v>
      </c>
      <c r="D42" s="2">
        <v>2278.9699999999998</v>
      </c>
      <c r="E42" s="5">
        <v>68.53</v>
      </c>
    </row>
    <row r="43" spans="1:5" ht="15.75" customHeight="1" x14ac:dyDescent="0.3">
      <c r="A43" s="4" t="s">
        <v>54</v>
      </c>
      <c r="B43" s="2" t="s">
        <v>12</v>
      </c>
      <c r="C43" s="2">
        <v>58111</v>
      </c>
      <c r="D43" s="2">
        <v>4610.8999999999996</v>
      </c>
      <c r="E43" s="5">
        <v>21.53</v>
      </c>
    </row>
    <row r="44" spans="1:5" ht="15.75" customHeight="1" x14ac:dyDescent="0.3">
      <c r="A44" s="4" t="s">
        <v>183</v>
      </c>
      <c r="B44" s="2" t="s">
        <v>7</v>
      </c>
      <c r="C44" s="2">
        <v>14009</v>
      </c>
      <c r="D44" s="2">
        <v>7528.98</v>
      </c>
      <c r="E44" s="5">
        <v>77.62</v>
      </c>
    </row>
    <row r="45" spans="1:5" ht="15.75" customHeight="1" x14ac:dyDescent="0.3">
      <c r="A45" s="4" t="s">
        <v>81</v>
      </c>
      <c r="B45" s="2" t="s">
        <v>12</v>
      </c>
      <c r="C45" s="2">
        <v>93661</v>
      </c>
      <c r="D45" s="2">
        <v>7324.58</v>
      </c>
      <c r="E45" s="5">
        <v>23.55</v>
      </c>
    </row>
    <row r="46" spans="1:5" ht="15.75" customHeight="1" x14ac:dyDescent="0.3">
      <c r="A46" s="4" t="s">
        <v>69</v>
      </c>
      <c r="B46" s="2" t="s">
        <v>7</v>
      </c>
      <c r="C46" s="2">
        <v>34725</v>
      </c>
      <c r="D46" s="2">
        <v>3269.89</v>
      </c>
      <c r="E46" s="5">
        <v>78.86</v>
      </c>
    </row>
    <row r="47" spans="1:5" ht="15.75" customHeight="1" x14ac:dyDescent="0.3">
      <c r="A47" s="4" t="s">
        <v>105</v>
      </c>
      <c r="B47" s="2" t="s">
        <v>30</v>
      </c>
      <c r="C47" s="2">
        <v>87337</v>
      </c>
      <c r="D47" s="2">
        <v>3603.06</v>
      </c>
      <c r="E47" s="5">
        <v>67.13</v>
      </c>
    </row>
    <row r="48" spans="1:5" ht="15.75" customHeight="1" x14ac:dyDescent="0.3">
      <c r="A48" s="4" t="s">
        <v>134</v>
      </c>
      <c r="B48" s="2" t="s">
        <v>7</v>
      </c>
      <c r="C48" s="2">
        <v>39568</v>
      </c>
      <c r="D48" s="2">
        <v>3580.54</v>
      </c>
      <c r="E48" s="5">
        <v>78.08</v>
      </c>
    </row>
    <row r="49" spans="1:5" ht="15.75" customHeight="1" x14ac:dyDescent="0.3">
      <c r="A49" s="4" t="s">
        <v>94</v>
      </c>
      <c r="B49" s="2" t="s">
        <v>7</v>
      </c>
      <c r="C49" s="2">
        <v>26338</v>
      </c>
      <c r="D49" s="2">
        <v>578.73</v>
      </c>
      <c r="E49" s="5">
        <v>72.52</v>
      </c>
    </row>
    <row r="50" spans="1:5" ht="15.75" customHeight="1" x14ac:dyDescent="0.3">
      <c r="A50" s="4" t="s">
        <v>210</v>
      </c>
      <c r="B50" s="2" t="s">
        <v>7</v>
      </c>
      <c r="C50" s="2">
        <v>65666</v>
      </c>
      <c r="D50" s="2">
        <v>7269.98</v>
      </c>
      <c r="E50" s="5">
        <v>75.62</v>
      </c>
    </row>
    <row r="51" spans="1:5" ht="15.75" customHeight="1" x14ac:dyDescent="0.3">
      <c r="A51" s="4" t="s">
        <v>139</v>
      </c>
      <c r="B51" s="2" t="s">
        <v>7</v>
      </c>
      <c r="C51" s="2">
        <v>10067</v>
      </c>
      <c r="D51" s="2">
        <v>1953.33</v>
      </c>
      <c r="E51" s="5">
        <v>25.15</v>
      </c>
    </row>
    <row r="52" spans="1:5" ht="15.75" customHeight="1" x14ac:dyDescent="0.3">
      <c r="A52" s="4" t="s">
        <v>197</v>
      </c>
      <c r="B52" s="2" t="s">
        <v>30</v>
      </c>
      <c r="C52" s="2">
        <v>56752</v>
      </c>
      <c r="D52" s="2">
        <v>4177.68</v>
      </c>
      <c r="E52" s="5">
        <v>10.96</v>
      </c>
    </row>
    <row r="53" spans="1:5" ht="15.75" customHeight="1" x14ac:dyDescent="0.3">
      <c r="A53" s="4" t="s">
        <v>174</v>
      </c>
      <c r="B53" s="2" t="s">
        <v>19</v>
      </c>
      <c r="C53" s="2">
        <v>66163</v>
      </c>
      <c r="D53" s="2">
        <v>1416.57</v>
      </c>
      <c r="E53" s="5">
        <v>68.73</v>
      </c>
    </row>
    <row r="54" spans="1:5" ht="15.75" customHeight="1" x14ac:dyDescent="0.3">
      <c r="A54" s="4" t="s">
        <v>125</v>
      </c>
      <c r="B54" s="2" t="s">
        <v>7</v>
      </c>
      <c r="C54" s="2">
        <v>56392</v>
      </c>
      <c r="D54" s="2">
        <v>5703.76</v>
      </c>
      <c r="E54" s="5">
        <v>23.04</v>
      </c>
    </row>
    <row r="55" spans="1:5" ht="15.75" customHeight="1" x14ac:dyDescent="0.3">
      <c r="A55" s="4" t="s">
        <v>103</v>
      </c>
      <c r="B55" s="2" t="s">
        <v>19</v>
      </c>
      <c r="C55" s="2">
        <v>38869</v>
      </c>
      <c r="D55" s="2">
        <v>5109.76</v>
      </c>
      <c r="E55" s="5">
        <v>35.270000000000003</v>
      </c>
    </row>
    <row r="56" spans="1:5" ht="15.75" customHeight="1" x14ac:dyDescent="0.3">
      <c r="A56" s="4" t="s">
        <v>168</v>
      </c>
      <c r="B56" s="2" t="s">
        <v>17</v>
      </c>
      <c r="C56" s="2">
        <v>41050</v>
      </c>
      <c r="D56" s="2">
        <v>6025.84</v>
      </c>
      <c r="E56" s="5">
        <v>53.53</v>
      </c>
    </row>
    <row r="57" spans="1:5" ht="15.75" customHeight="1" x14ac:dyDescent="0.3">
      <c r="A57" s="4" t="s">
        <v>65</v>
      </c>
      <c r="B57" s="2" t="s">
        <v>30</v>
      </c>
      <c r="C57" s="2">
        <v>99026</v>
      </c>
      <c r="D57" s="2">
        <v>5453.2</v>
      </c>
      <c r="E57" s="5">
        <v>57.49</v>
      </c>
    </row>
    <row r="58" spans="1:5" ht="15.75" customHeight="1" x14ac:dyDescent="0.3">
      <c r="A58" s="4" t="s">
        <v>36</v>
      </c>
      <c r="B58" s="2" t="s">
        <v>12</v>
      </c>
      <c r="C58" s="2">
        <v>40226</v>
      </c>
      <c r="D58" s="2">
        <v>7868.86</v>
      </c>
      <c r="E58" s="5">
        <v>80.53</v>
      </c>
    </row>
    <row r="59" spans="1:5" ht="15.75" customHeight="1" x14ac:dyDescent="0.3">
      <c r="A59" s="4" t="s">
        <v>203</v>
      </c>
      <c r="B59" s="2" t="s">
        <v>12</v>
      </c>
      <c r="C59" s="2">
        <v>66398</v>
      </c>
      <c r="D59" s="2">
        <v>8713.61</v>
      </c>
      <c r="E59" s="5">
        <v>83.44</v>
      </c>
    </row>
    <row r="60" spans="1:5" ht="15.75" customHeight="1" x14ac:dyDescent="0.3">
      <c r="A60" s="4" t="s">
        <v>83</v>
      </c>
      <c r="B60" s="2" t="s">
        <v>17</v>
      </c>
      <c r="C60" s="2">
        <v>30934</v>
      </c>
      <c r="D60" s="2">
        <v>4175.6499999999996</v>
      </c>
      <c r="E60" s="5">
        <v>77.290000000000006</v>
      </c>
    </row>
    <row r="61" spans="1:5" ht="15.75" customHeight="1" x14ac:dyDescent="0.3">
      <c r="A61" s="4" t="s">
        <v>42</v>
      </c>
      <c r="B61" s="2" t="s">
        <v>30</v>
      </c>
      <c r="C61" s="2">
        <v>41539</v>
      </c>
      <c r="D61" s="2">
        <v>982.8</v>
      </c>
      <c r="E61" s="5">
        <v>79.7</v>
      </c>
    </row>
    <row r="62" spans="1:5" ht="15.75" customHeight="1" x14ac:dyDescent="0.3">
      <c r="A62" s="4" t="s">
        <v>106</v>
      </c>
      <c r="B62" s="2" t="s">
        <v>12</v>
      </c>
      <c r="C62" s="2">
        <v>21386</v>
      </c>
      <c r="D62" s="2">
        <v>2271.92</v>
      </c>
      <c r="E62" s="5">
        <v>49.67</v>
      </c>
    </row>
    <row r="63" spans="1:5" ht="15.75" customHeight="1" x14ac:dyDescent="0.3">
      <c r="A63" s="4" t="s">
        <v>137</v>
      </c>
      <c r="B63" s="2" t="s">
        <v>17</v>
      </c>
      <c r="C63" s="2">
        <v>19265</v>
      </c>
      <c r="D63" s="2">
        <v>776.6</v>
      </c>
      <c r="E63" s="5">
        <v>39.75</v>
      </c>
    </row>
    <row r="64" spans="1:5" ht="15.75" customHeight="1" x14ac:dyDescent="0.3">
      <c r="A64" s="4" t="s">
        <v>85</v>
      </c>
      <c r="B64" s="2" t="s">
        <v>30</v>
      </c>
      <c r="C64" s="2">
        <v>45519</v>
      </c>
      <c r="D64" s="2">
        <v>7987.69</v>
      </c>
      <c r="E64" s="5">
        <v>10.86</v>
      </c>
    </row>
    <row r="65" spans="1:5" ht="15.75" customHeight="1" x14ac:dyDescent="0.3">
      <c r="A65" s="4" t="s">
        <v>110</v>
      </c>
      <c r="B65" s="2" t="s">
        <v>12</v>
      </c>
      <c r="C65" s="2">
        <v>70481</v>
      </c>
      <c r="D65" s="2">
        <v>4452.83</v>
      </c>
      <c r="E65" s="5">
        <v>91.26</v>
      </c>
    </row>
    <row r="66" spans="1:5" ht="15.75" customHeight="1" x14ac:dyDescent="0.3">
      <c r="A66" s="4" t="s">
        <v>27</v>
      </c>
      <c r="B66" s="2" t="s">
        <v>12</v>
      </c>
      <c r="C66" s="2">
        <v>91031</v>
      </c>
      <c r="D66" s="2">
        <v>1783.57</v>
      </c>
      <c r="E66" s="5">
        <v>32.049999999999997</v>
      </c>
    </row>
    <row r="67" spans="1:5" ht="15.75" customHeight="1" x14ac:dyDescent="0.3">
      <c r="A67" s="4" t="s">
        <v>184</v>
      </c>
      <c r="B67" s="2" t="s">
        <v>30</v>
      </c>
      <c r="C67" s="2">
        <v>13543</v>
      </c>
      <c r="D67" s="2">
        <v>7854.96</v>
      </c>
      <c r="E67" s="5">
        <v>85.57</v>
      </c>
    </row>
    <row r="68" spans="1:5" ht="15.75" customHeight="1" x14ac:dyDescent="0.3">
      <c r="A68" s="4" t="s">
        <v>202</v>
      </c>
      <c r="B68" s="2" t="s">
        <v>12</v>
      </c>
      <c r="C68" s="2">
        <v>28400</v>
      </c>
      <c r="D68" s="2">
        <v>3056.67</v>
      </c>
      <c r="E68" s="5">
        <v>52.68</v>
      </c>
    </row>
    <row r="69" spans="1:5" ht="15.75" customHeight="1" x14ac:dyDescent="0.3">
      <c r="A69" s="4" t="s">
        <v>88</v>
      </c>
      <c r="B69" s="2" t="s">
        <v>7</v>
      </c>
      <c r="C69" s="2">
        <v>44825</v>
      </c>
      <c r="D69" s="2">
        <v>6023.03</v>
      </c>
      <c r="E69" s="5">
        <v>27.2</v>
      </c>
    </row>
    <row r="70" spans="1:5" ht="15.75" customHeight="1" x14ac:dyDescent="0.3">
      <c r="A70" s="4" t="s">
        <v>158</v>
      </c>
      <c r="B70" s="2" t="s">
        <v>30</v>
      </c>
      <c r="C70" s="2">
        <v>85488</v>
      </c>
      <c r="D70" s="2">
        <v>9691.57</v>
      </c>
      <c r="E70" s="5">
        <v>96.98</v>
      </c>
    </row>
    <row r="71" spans="1:5" ht="15.75" customHeight="1" x14ac:dyDescent="0.3">
      <c r="A71" s="4" t="s">
        <v>136</v>
      </c>
      <c r="B71" s="2" t="s">
        <v>17</v>
      </c>
      <c r="C71" s="2">
        <v>15128</v>
      </c>
      <c r="D71" s="2">
        <v>8847.09</v>
      </c>
      <c r="E71" s="5">
        <v>5.25</v>
      </c>
    </row>
    <row r="72" spans="1:5" ht="15.75" customHeight="1" x14ac:dyDescent="0.3">
      <c r="A72" s="4" t="s">
        <v>93</v>
      </c>
      <c r="B72" s="2" t="s">
        <v>30</v>
      </c>
      <c r="C72" s="2">
        <v>26378</v>
      </c>
      <c r="D72" s="2">
        <v>2915.44</v>
      </c>
      <c r="E72" s="5">
        <v>29.84</v>
      </c>
    </row>
    <row r="73" spans="1:5" ht="15.75" customHeight="1" x14ac:dyDescent="0.3">
      <c r="A73" s="4" t="s">
        <v>129</v>
      </c>
      <c r="B73" s="2" t="s">
        <v>17</v>
      </c>
      <c r="C73" s="2">
        <v>95292</v>
      </c>
      <c r="D73" s="2">
        <v>697.47</v>
      </c>
      <c r="E73" s="5">
        <v>88.35</v>
      </c>
    </row>
    <row r="74" spans="1:5" ht="15.75" customHeight="1" x14ac:dyDescent="0.3">
      <c r="A74" s="4" t="s">
        <v>98</v>
      </c>
      <c r="B74" s="2" t="s">
        <v>19</v>
      </c>
      <c r="C74" s="2">
        <v>26170</v>
      </c>
      <c r="D74" s="2">
        <v>8057.54</v>
      </c>
      <c r="E74" s="5">
        <v>63.71</v>
      </c>
    </row>
    <row r="75" spans="1:5" ht="15.75" customHeight="1" x14ac:dyDescent="0.3">
      <c r="A75" s="4" t="s">
        <v>60</v>
      </c>
      <c r="B75" s="2" t="s">
        <v>12</v>
      </c>
      <c r="C75" s="2">
        <v>25148</v>
      </c>
      <c r="D75" s="2">
        <v>9604.5499999999993</v>
      </c>
      <c r="E75" s="5">
        <v>63.47</v>
      </c>
    </row>
    <row r="76" spans="1:5" ht="15.75" customHeight="1" x14ac:dyDescent="0.3">
      <c r="A76" s="4" t="s">
        <v>188</v>
      </c>
      <c r="B76" s="2" t="s">
        <v>19</v>
      </c>
      <c r="C76" s="2">
        <v>60513</v>
      </c>
      <c r="D76" s="2">
        <v>4578.16</v>
      </c>
      <c r="E76" s="5">
        <v>65.53</v>
      </c>
    </row>
    <row r="77" spans="1:5" ht="15.75" customHeight="1" x14ac:dyDescent="0.3">
      <c r="A77" s="4" t="s">
        <v>190</v>
      </c>
      <c r="B77" s="2" t="s">
        <v>17</v>
      </c>
      <c r="C77" s="2">
        <v>41953</v>
      </c>
      <c r="D77" s="2">
        <v>2379.14</v>
      </c>
      <c r="E77" s="5">
        <v>65.67</v>
      </c>
    </row>
    <row r="78" spans="1:5" ht="15.75" customHeight="1" x14ac:dyDescent="0.3">
      <c r="A78" s="4" t="s">
        <v>64</v>
      </c>
      <c r="B78" s="2" t="s">
        <v>30</v>
      </c>
      <c r="C78" s="2">
        <v>52836</v>
      </c>
      <c r="D78" s="2">
        <v>9330.2999999999993</v>
      </c>
      <c r="E78" s="5">
        <v>87.27</v>
      </c>
    </row>
    <row r="79" spans="1:5" ht="15.75" customHeight="1" x14ac:dyDescent="0.3">
      <c r="A79" s="4" t="s">
        <v>97</v>
      </c>
      <c r="B79" s="2" t="s">
        <v>7</v>
      </c>
      <c r="C79" s="2">
        <v>78624</v>
      </c>
      <c r="D79" s="2">
        <v>2373.27</v>
      </c>
      <c r="E79" s="5">
        <v>25.07</v>
      </c>
    </row>
    <row r="80" spans="1:5" ht="15.75" customHeight="1" x14ac:dyDescent="0.3">
      <c r="A80" s="4" t="s">
        <v>26</v>
      </c>
      <c r="B80" s="2" t="s">
        <v>17</v>
      </c>
      <c r="C80" s="2">
        <v>17311</v>
      </c>
      <c r="D80" s="2">
        <v>2257.38</v>
      </c>
      <c r="E80" s="5">
        <v>91.07</v>
      </c>
    </row>
    <row r="81" spans="1:5" ht="15.75" customHeight="1" x14ac:dyDescent="0.3">
      <c r="A81" s="4" t="s">
        <v>206</v>
      </c>
      <c r="B81" s="2" t="s">
        <v>19</v>
      </c>
      <c r="C81" s="2">
        <v>10250</v>
      </c>
      <c r="D81" s="2">
        <v>4717</v>
      </c>
      <c r="E81" s="5">
        <v>16.600000000000001</v>
      </c>
    </row>
    <row r="82" spans="1:5" ht="15.75" customHeight="1" x14ac:dyDescent="0.3">
      <c r="A82" s="4" t="s">
        <v>135</v>
      </c>
      <c r="B82" s="2" t="s">
        <v>12</v>
      </c>
      <c r="C82" s="2">
        <v>39560</v>
      </c>
      <c r="D82" s="2">
        <v>8380.77</v>
      </c>
      <c r="E82" s="5">
        <v>94.01</v>
      </c>
    </row>
    <row r="83" spans="1:5" ht="15.75" customHeight="1" x14ac:dyDescent="0.3">
      <c r="A83" s="4" t="s">
        <v>100</v>
      </c>
      <c r="B83" s="2" t="s">
        <v>7</v>
      </c>
      <c r="C83" s="2">
        <v>17468</v>
      </c>
      <c r="D83" s="2">
        <v>6359.73</v>
      </c>
      <c r="E83" s="5">
        <v>5.22</v>
      </c>
    </row>
    <row r="84" spans="1:5" ht="15.75" customHeight="1" x14ac:dyDescent="0.3">
      <c r="A84" s="4" t="s">
        <v>143</v>
      </c>
      <c r="B84" s="2" t="s">
        <v>17</v>
      </c>
      <c r="C84" s="2">
        <v>94704</v>
      </c>
      <c r="D84" s="2">
        <v>6632.95</v>
      </c>
      <c r="E84" s="5">
        <v>14.76</v>
      </c>
    </row>
    <row r="85" spans="1:5" ht="15.75" customHeight="1" x14ac:dyDescent="0.3">
      <c r="A85" s="4" t="s">
        <v>75</v>
      </c>
      <c r="B85" s="2" t="s">
        <v>19</v>
      </c>
      <c r="C85" s="2">
        <v>54136</v>
      </c>
      <c r="D85" s="2">
        <v>2775.38</v>
      </c>
      <c r="E85" s="5">
        <v>75.459999999999994</v>
      </c>
    </row>
    <row r="86" spans="1:5" ht="15.75" customHeight="1" x14ac:dyDescent="0.3">
      <c r="A86" s="4" t="s">
        <v>114</v>
      </c>
      <c r="B86" s="2" t="s">
        <v>30</v>
      </c>
      <c r="C86" s="2">
        <v>29264</v>
      </c>
      <c r="D86" s="2">
        <v>8362.7199999999993</v>
      </c>
      <c r="E86" s="5">
        <v>61.93</v>
      </c>
    </row>
    <row r="87" spans="1:5" ht="15.75" customHeight="1" x14ac:dyDescent="0.3">
      <c r="A87" s="4" t="s">
        <v>73</v>
      </c>
      <c r="B87" s="2" t="s">
        <v>30</v>
      </c>
      <c r="C87" s="2">
        <v>55974</v>
      </c>
      <c r="D87" s="2">
        <v>7542.28</v>
      </c>
      <c r="E87" s="5">
        <v>72.430000000000007</v>
      </c>
    </row>
    <row r="88" spans="1:5" ht="15.75" customHeight="1" x14ac:dyDescent="0.3">
      <c r="A88" s="4" t="s">
        <v>51</v>
      </c>
      <c r="B88" s="2" t="s">
        <v>30</v>
      </c>
      <c r="C88" s="2">
        <v>44164</v>
      </c>
      <c r="D88" s="2">
        <v>3869.32</v>
      </c>
      <c r="E88" s="5">
        <v>13.81</v>
      </c>
    </row>
    <row r="89" spans="1:5" ht="15.75" customHeight="1" x14ac:dyDescent="0.3">
      <c r="A89" s="4" t="s">
        <v>6</v>
      </c>
      <c r="B89" s="2" t="s">
        <v>7</v>
      </c>
      <c r="C89" s="2">
        <v>77330</v>
      </c>
      <c r="D89" s="2">
        <v>6936.58</v>
      </c>
      <c r="E89" s="5">
        <v>82.3</v>
      </c>
    </row>
    <row r="90" spans="1:5" ht="15.75" customHeight="1" x14ac:dyDescent="0.3">
      <c r="A90" s="4" t="s">
        <v>121</v>
      </c>
      <c r="B90" s="2" t="s">
        <v>30</v>
      </c>
      <c r="C90" s="2">
        <v>58895</v>
      </c>
      <c r="D90" s="2">
        <v>3039.17</v>
      </c>
      <c r="E90" s="5">
        <v>59.82</v>
      </c>
    </row>
    <row r="91" spans="1:5" ht="15.75" customHeight="1" x14ac:dyDescent="0.3">
      <c r="A91" s="4" t="s">
        <v>20</v>
      </c>
      <c r="B91" s="2" t="s">
        <v>17</v>
      </c>
      <c r="C91" s="2">
        <v>29895</v>
      </c>
      <c r="D91" s="2">
        <v>1631.08</v>
      </c>
      <c r="E91" s="5">
        <v>39.93</v>
      </c>
    </row>
    <row r="92" spans="1:5" ht="15.75" customHeight="1" x14ac:dyDescent="0.3">
      <c r="A92" s="4" t="s">
        <v>46</v>
      </c>
      <c r="B92" s="2" t="s">
        <v>30</v>
      </c>
      <c r="C92" s="2">
        <v>43490</v>
      </c>
      <c r="D92" s="2">
        <v>9300.8799999999992</v>
      </c>
      <c r="E92" s="5">
        <v>58.43</v>
      </c>
    </row>
    <row r="93" spans="1:5" ht="15.75" customHeight="1" x14ac:dyDescent="0.3">
      <c r="A93" s="4" t="s">
        <v>120</v>
      </c>
      <c r="B93" s="2" t="s">
        <v>30</v>
      </c>
      <c r="C93" s="2">
        <v>79495</v>
      </c>
      <c r="D93" s="2">
        <v>7157.48</v>
      </c>
      <c r="E93" s="5">
        <v>26.84</v>
      </c>
    </row>
    <row r="94" spans="1:5" ht="15.75" customHeight="1" x14ac:dyDescent="0.3">
      <c r="A94" s="4" t="s">
        <v>59</v>
      </c>
      <c r="B94" s="2" t="s">
        <v>17</v>
      </c>
      <c r="C94" s="2">
        <v>15553</v>
      </c>
      <c r="D94" s="2">
        <v>3909.51</v>
      </c>
      <c r="E94" s="5">
        <v>46.44</v>
      </c>
    </row>
    <row r="95" spans="1:5" ht="15.75" customHeight="1" x14ac:dyDescent="0.3">
      <c r="A95" s="4" t="s">
        <v>208</v>
      </c>
      <c r="B95" s="2" t="s">
        <v>19</v>
      </c>
      <c r="C95" s="2">
        <v>40553</v>
      </c>
      <c r="D95" s="2">
        <v>4875.2299999999996</v>
      </c>
      <c r="E95" s="5">
        <v>23.33</v>
      </c>
    </row>
    <row r="96" spans="1:5" ht="15.75" customHeight="1" x14ac:dyDescent="0.3">
      <c r="A96" s="4" t="s">
        <v>149</v>
      </c>
      <c r="B96" s="2" t="s">
        <v>17</v>
      </c>
      <c r="C96" s="2">
        <v>49885</v>
      </c>
      <c r="D96" s="2">
        <v>6845.46</v>
      </c>
      <c r="E96" s="5">
        <v>58.4</v>
      </c>
    </row>
    <row r="97" spans="1:5" ht="15.75" customHeight="1" x14ac:dyDescent="0.3">
      <c r="A97" s="4" t="s">
        <v>153</v>
      </c>
      <c r="B97" s="2" t="s">
        <v>7</v>
      </c>
      <c r="C97" s="2">
        <v>21388</v>
      </c>
      <c r="D97" s="2">
        <v>5249.39</v>
      </c>
      <c r="E97" s="5">
        <v>64.2</v>
      </c>
    </row>
    <row r="98" spans="1:5" ht="15.75" customHeight="1" x14ac:dyDescent="0.3">
      <c r="A98" s="4" t="s">
        <v>68</v>
      </c>
      <c r="B98" s="2" t="s">
        <v>12</v>
      </c>
      <c r="C98" s="2">
        <v>69100</v>
      </c>
      <c r="D98" s="2">
        <v>9356.02</v>
      </c>
      <c r="E98" s="5">
        <v>16.5</v>
      </c>
    </row>
    <row r="99" spans="1:5" ht="15.75" customHeight="1" x14ac:dyDescent="0.3">
      <c r="A99" s="4" t="s">
        <v>181</v>
      </c>
      <c r="B99" s="2" t="s">
        <v>30</v>
      </c>
      <c r="C99" s="2">
        <v>28704</v>
      </c>
      <c r="D99" s="2">
        <v>6009.24</v>
      </c>
      <c r="E99" s="5">
        <v>39.31</v>
      </c>
    </row>
    <row r="100" spans="1:5" ht="15.75" customHeight="1" x14ac:dyDescent="0.3">
      <c r="A100" s="4" t="s">
        <v>115</v>
      </c>
      <c r="B100" s="2" t="s">
        <v>19</v>
      </c>
      <c r="C100" s="2">
        <v>17162</v>
      </c>
      <c r="D100" s="2">
        <v>5079.95</v>
      </c>
      <c r="E100" s="5">
        <v>19.239999999999998</v>
      </c>
    </row>
    <row r="101" spans="1:5" ht="15.75" customHeight="1" x14ac:dyDescent="0.3">
      <c r="A101" s="4" t="s">
        <v>53</v>
      </c>
      <c r="B101" s="2" t="s">
        <v>7</v>
      </c>
      <c r="C101" s="2">
        <v>90632</v>
      </c>
      <c r="D101" s="2">
        <v>5292.17</v>
      </c>
      <c r="E101" s="5">
        <v>78.45</v>
      </c>
    </row>
    <row r="102" spans="1:5" ht="15.75" customHeight="1" x14ac:dyDescent="0.3">
      <c r="A102" s="4" t="s">
        <v>33</v>
      </c>
      <c r="B102" s="2" t="s">
        <v>19</v>
      </c>
      <c r="C102" s="2">
        <v>65719</v>
      </c>
      <c r="D102" s="2">
        <v>9362.41</v>
      </c>
      <c r="E102" s="5">
        <v>86.55</v>
      </c>
    </row>
    <row r="103" spans="1:5" ht="15.75" customHeight="1" x14ac:dyDescent="0.3">
      <c r="A103" s="4" t="s">
        <v>169</v>
      </c>
      <c r="B103" s="2" t="s">
        <v>12</v>
      </c>
      <c r="C103" s="2">
        <v>82377</v>
      </c>
      <c r="D103" s="2">
        <v>7974.74</v>
      </c>
      <c r="E103" s="5">
        <v>9.17</v>
      </c>
    </row>
    <row r="104" spans="1:5" ht="15.75" customHeight="1" x14ac:dyDescent="0.3">
      <c r="A104" s="4" t="s">
        <v>62</v>
      </c>
      <c r="B104" s="2" t="s">
        <v>30</v>
      </c>
      <c r="C104" s="2">
        <v>22309</v>
      </c>
      <c r="D104" s="2">
        <v>3656.29</v>
      </c>
      <c r="E104" s="5">
        <v>75.25</v>
      </c>
    </row>
    <row r="105" spans="1:5" ht="15.75" customHeight="1" x14ac:dyDescent="0.3">
      <c r="A105" s="4" t="s">
        <v>31</v>
      </c>
      <c r="B105" s="2" t="s">
        <v>30</v>
      </c>
      <c r="C105" s="2">
        <v>84851</v>
      </c>
      <c r="D105" s="2">
        <v>560.75</v>
      </c>
      <c r="E105" s="5">
        <v>80.23</v>
      </c>
    </row>
    <row r="106" spans="1:5" ht="15.75" customHeight="1" x14ac:dyDescent="0.3">
      <c r="A106" s="4" t="s">
        <v>211</v>
      </c>
      <c r="B106" s="2" t="s">
        <v>7</v>
      </c>
      <c r="C106" s="2">
        <v>27028</v>
      </c>
      <c r="D106" s="2">
        <v>4617.92</v>
      </c>
      <c r="E106" s="5">
        <v>57.62</v>
      </c>
    </row>
    <row r="107" spans="1:5" ht="15.75" customHeight="1" x14ac:dyDescent="0.3">
      <c r="A107" s="4" t="s">
        <v>18</v>
      </c>
      <c r="B107" s="2" t="s">
        <v>19</v>
      </c>
      <c r="C107" s="2">
        <v>98682</v>
      </c>
      <c r="D107" s="2">
        <v>6220.56</v>
      </c>
      <c r="E107" s="5">
        <v>70.099999999999994</v>
      </c>
    </row>
    <row r="108" spans="1:5" ht="15.75" customHeight="1" x14ac:dyDescent="0.3">
      <c r="A108" s="4" t="s">
        <v>16</v>
      </c>
      <c r="B108" s="2" t="s">
        <v>17</v>
      </c>
      <c r="C108" s="2">
        <v>43512</v>
      </c>
      <c r="D108" s="2">
        <v>5352.18</v>
      </c>
      <c r="E108" s="5">
        <v>6.17</v>
      </c>
    </row>
    <row r="109" spans="1:5" ht="15.75" customHeight="1" x14ac:dyDescent="0.3">
      <c r="A109" s="4" t="s">
        <v>101</v>
      </c>
      <c r="B109" s="2" t="s">
        <v>19</v>
      </c>
      <c r="C109" s="2">
        <v>39050</v>
      </c>
      <c r="D109" s="2">
        <v>5885.73</v>
      </c>
      <c r="E109" s="5">
        <v>93.04</v>
      </c>
    </row>
    <row r="110" spans="1:5" ht="15.75" customHeight="1" x14ac:dyDescent="0.3">
      <c r="A110" s="4" t="s">
        <v>166</v>
      </c>
      <c r="B110" s="2" t="s">
        <v>7</v>
      </c>
      <c r="C110" s="2">
        <v>34318</v>
      </c>
      <c r="D110" s="2">
        <v>675.67</v>
      </c>
      <c r="E110" s="5">
        <v>41.05</v>
      </c>
    </row>
    <row r="111" spans="1:5" ht="15.75" customHeight="1" x14ac:dyDescent="0.3">
      <c r="A111" s="4" t="s">
        <v>186</v>
      </c>
      <c r="B111" s="2" t="s">
        <v>30</v>
      </c>
      <c r="C111" s="2">
        <v>85868</v>
      </c>
      <c r="D111" s="2">
        <v>907.72</v>
      </c>
      <c r="E111" s="5">
        <v>90.36</v>
      </c>
    </row>
    <row r="112" spans="1:5" ht="15.75" customHeight="1" x14ac:dyDescent="0.3">
      <c r="A112" s="4" t="s">
        <v>176</v>
      </c>
      <c r="B112" s="2" t="s">
        <v>19</v>
      </c>
      <c r="C112" s="2">
        <v>10907</v>
      </c>
      <c r="D112" s="2">
        <v>4748.66</v>
      </c>
      <c r="E112" s="5">
        <v>39.36</v>
      </c>
    </row>
    <row r="113" spans="1:5" ht="15.75" customHeight="1" x14ac:dyDescent="0.3">
      <c r="A113" s="4" t="s">
        <v>178</v>
      </c>
      <c r="B113" s="2" t="s">
        <v>30</v>
      </c>
      <c r="C113" s="2">
        <v>88188</v>
      </c>
      <c r="D113" s="2">
        <v>815.86</v>
      </c>
      <c r="E113" s="5">
        <v>57.53</v>
      </c>
    </row>
    <row r="114" spans="1:5" ht="15.75" customHeight="1" x14ac:dyDescent="0.3">
      <c r="A114" s="4" t="s">
        <v>164</v>
      </c>
      <c r="B114" s="2" t="s">
        <v>19</v>
      </c>
      <c r="C114" s="2">
        <v>69636</v>
      </c>
      <c r="D114" s="2">
        <v>4246.55</v>
      </c>
      <c r="E114" s="5">
        <v>69.290000000000006</v>
      </c>
    </row>
    <row r="115" spans="1:5" ht="15.75" customHeight="1" x14ac:dyDescent="0.3">
      <c r="A115" s="4" t="s">
        <v>138</v>
      </c>
      <c r="B115" s="2" t="s">
        <v>12</v>
      </c>
      <c r="C115" s="2">
        <v>57353</v>
      </c>
      <c r="D115" s="2">
        <v>2274.71</v>
      </c>
      <c r="E115" s="5">
        <v>65.34</v>
      </c>
    </row>
    <row r="116" spans="1:5" ht="15.75" customHeight="1" x14ac:dyDescent="0.3">
      <c r="A116" s="4" t="s">
        <v>72</v>
      </c>
      <c r="B116" s="2" t="s">
        <v>19</v>
      </c>
      <c r="C116" s="2">
        <v>29318</v>
      </c>
      <c r="D116" s="2">
        <v>9860.6200000000008</v>
      </c>
      <c r="E116" s="5">
        <v>14.58</v>
      </c>
    </row>
    <row r="117" spans="1:5" ht="15.75" customHeight="1" x14ac:dyDescent="0.3">
      <c r="A117" s="4" t="s">
        <v>133</v>
      </c>
      <c r="B117" s="2" t="s">
        <v>17</v>
      </c>
      <c r="C117" s="2">
        <v>48501</v>
      </c>
      <c r="D117" s="2">
        <v>7209.77</v>
      </c>
      <c r="E117" s="5">
        <v>92.51</v>
      </c>
    </row>
    <row r="118" spans="1:5" ht="15.75" customHeight="1" x14ac:dyDescent="0.3">
      <c r="A118" s="4" t="s">
        <v>205</v>
      </c>
      <c r="B118" s="2" t="s">
        <v>17</v>
      </c>
      <c r="C118" s="2">
        <v>52594</v>
      </c>
      <c r="D118" s="2">
        <v>8715.0400000000009</v>
      </c>
      <c r="E118" s="5">
        <v>90.54</v>
      </c>
    </row>
    <row r="119" spans="1:5" ht="15.75" customHeight="1" x14ac:dyDescent="0.3">
      <c r="A119" s="4" t="s">
        <v>146</v>
      </c>
      <c r="B119" s="2" t="s">
        <v>7</v>
      </c>
      <c r="C119" s="2">
        <v>14170</v>
      </c>
      <c r="D119" s="2">
        <v>5455.23</v>
      </c>
      <c r="E119" s="5">
        <v>25.46</v>
      </c>
    </row>
    <row r="120" spans="1:5" ht="15.75" customHeight="1" x14ac:dyDescent="0.3">
      <c r="A120" s="4" t="s">
        <v>218</v>
      </c>
      <c r="B120" s="2" t="s">
        <v>17</v>
      </c>
      <c r="C120" s="2">
        <v>22525</v>
      </c>
      <c r="D120" s="2">
        <v>9465.65</v>
      </c>
      <c r="E120" s="5">
        <v>37.79</v>
      </c>
    </row>
    <row r="121" spans="1:5" ht="15.75" customHeight="1" x14ac:dyDescent="0.3">
      <c r="A121" s="4" t="s">
        <v>38</v>
      </c>
      <c r="B121" s="2" t="s">
        <v>30</v>
      </c>
      <c r="C121" s="2">
        <v>57215</v>
      </c>
      <c r="D121" s="2">
        <v>3227.1</v>
      </c>
      <c r="E121" s="5">
        <v>32.909999999999997</v>
      </c>
    </row>
    <row r="122" spans="1:5" ht="15.75" customHeight="1" x14ac:dyDescent="0.3">
      <c r="A122" s="4" t="s">
        <v>48</v>
      </c>
      <c r="B122" s="2" t="s">
        <v>19</v>
      </c>
      <c r="C122" s="2">
        <v>11952</v>
      </c>
      <c r="D122" s="2">
        <v>4637.74</v>
      </c>
      <c r="E122" s="5">
        <v>63.78</v>
      </c>
    </row>
    <row r="123" spans="1:5" ht="15.75" customHeight="1" x14ac:dyDescent="0.3">
      <c r="A123" s="4" t="s">
        <v>173</v>
      </c>
      <c r="B123" s="2" t="s">
        <v>30</v>
      </c>
      <c r="C123" s="2">
        <v>49620</v>
      </c>
      <c r="D123" s="2">
        <v>2424.31</v>
      </c>
      <c r="E123" s="5">
        <v>62.09</v>
      </c>
    </row>
    <row r="124" spans="1:5" ht="15.75" customHeight="1" x14ac:dyDescent="0.3">
      <c r="A124" s="4" t="s">
        <v>198</v>
      </c>
      <c r="B124" s="2" t="s">
        <v>12</v>
      </c>
      <c r="C124" s="2">
        <v>58113</v>
      </c>
      <c r="D124" s="2">
        <v>6382.12</v>
      </c>
      <c r="E124" s="5">
        <v>56.66</v>
      </c>
    </row>
    <row r="125" spans="1:5" ht="15.75" customHeight="1" x14ac:dyDescent="0.3">
      <c r="A125" s="4" t="s">
        <v>111</v>
      </c>
      <c r="B125" s="2" t="s">
        <v>19</v>
      </c>
      <c r="C125" s="2">
        <v>37309</v>
      </c>
      <c r="D125" s="2">
        <v>4508.54</v>
      </c>
      <c r="E125" s="5">
        <v>47.15</v>
      </c>
    </row>
    <row r="126" spans="1:5" ht="15.75" customHeight="1" x14ac:dyDescent="0.3">
      <c r="A126" s="4" t="s">
        <v>130</v>
      </c>
      <c r="B126" s="2" t="s">
        <v>12</v>
      </c>
      <c r="C126" s="2">
        <v>82332</v>
      </c>
      <c r="D126" s="2">
        <v>7134.86</v>
      </c>
      <c r="E126" s="5">
        <v>22.44</v>
      </c>
    </row>
    <row r="127" spans="1:5" ht="15.75" customHeight="1" x14ac:dyDescent="0.3">
      <c r="A127" s="4" t="s">
        <v>80</v>
      </c>
      <c r="B127" s="2" t="s">
        <v>17</v>
      </c>
      <c r="C127" s="2">
        <v>75508</v>
      </c>
      <c r="D127" s="2">
        <v>6856.22</v>
      </c>
      <c r="E127" s="5">
        <v>18.2</v>
      </c>
    </row>
    <row r="128" spans="1:5" ht="15.75" customHeight="1" x14ac:dyDescent="0.3">
      <c r="A128" s="4" t="s">
        <v>99</v>
      </c>
      <c r="B128" s="2" t="s">
        <v>19</v>
      </c>
      <c r="C128" s="2">
        <v>77400</v>
      </c>
      <c r="D128" s="2">
        <v>7504.8</v>
      </c>
      <c r="E128" s="5">
        <v>68.819999999999993</v>
      </c>
    </row>
    <row r="129" spans="1:5" ht="15.75" customHeight="1" x14ac:dyDescent="0.3">
      <c r="A129" s="4" t="s">
        <v>116</v>
      </c>
      <c r="B129" s="2" t="s">
        <v>17</v>
      </c>
      <c r="C129" s="2">
        <v>68216</v>
      </c>
      <c r="D129" s="2">
        <v>9562.33</v>
      </c>
      <c r="E129" s="5">
        <v>63.59</v>
      </c>
    </row>
    <row r="130" spans="1:5" ht="15.75" customHeight="1" x14ac:dyDescent="0.3">
      <c r="A130" s="4" t="s">
        <v>201</v>
      </c>
      <c r="B130" s="2" t="s">
        <v>12</v>
      </c>
      <c r="C130" s="2">
        <v>58439</v>
      </c>
      <c r="D130" s="2">
        <v>5817.93</v>
      </c>
      <c r="E130" s="5">
        <v>63.77</v>
      </c>
    </row>
    <row r="131" spans="1:5" ht="15.75" customHeight="1" x14ac:dyDescent="0.3">
      <c r="A131" s="4" t="s">
        <v>192</v>
      </c>
      <c r="B131" s="2" t="s">
        <v>19</v>
      </c>
      <c r="C131" s="2">
        <v>43227</v>
      </c>
      <c r="D131" s="2">
        <v>5199.53</v>
      </c>
      <c r="E131" s="5">
        <v>44.09</v>
      </c>
    </row>
    <row r="132" spans="1:5" ht="15.75" customHeight="1" x14ac:dyDescent="0.3">
      <c r="A132" s="4" t="s">
        <v>112</v>
      </c>
      <c r="B132" s="2" t="s">
        <v>30</v>
      </c>
      <c r="C132" s="2">
        <v>43294</v>
      </c>
      <c r="D132" s="2">
        <v>3802.13</v>
      </c>
      <c r="E132" s="5">
        <v>45.84</v>
      </c>
    </row>
    <row r="133" spans="1:5" ht="15.75" customHeight="1" x14ac:dyDescent="0.3">
      <c r="A133" s="4" t="s">
        <v>157</v>
      </c>
      <c r="B133" s="2" t="s">
        <v>30</v>
      </c>
      <c r="C133" s="2">
        <v>76544</v>
      </c>
      <c r="D133" s="2">
        <v>8632.77</v>
      </c>
      <c r="E133" s="5">
        <v>12.87</v>
      </c>
    </row>
    <row r="134" spans="1:5" ht="15.75" customHeight="1" x14ac:dyDescent="0.3">
      <c r="A134" s="4" t="s">
        <v>43</v>
      </c>
      <c r="B134" s="2" t="s">
        <v>17</v>
      </c>
      <c r="C134" s="2">
        <v>41168</v>
      </c>
      <c r="D134" s="2">
        <v>8226.77</v>
      </c>
      <c r="E134" s="5">
        <v>42.55</v>
      </c>
    </row>
    <row r="135" spans="1:5" ht="15.75" customHeight="1" x14ac:dyDescent="0.3">
      <c r="A135" s="4" t="s">
        <v>44</v>
      </c>
      <c r="B135" s="2" t="s">
        <v>19</v>
      </c>
      <c r="C135" s="2">
        <v>16256</v>
      </c>
      <c r="D135" s="2">
        <v>2127.1799999999998</v>
      </c>
      <c r="E135" s="5">
        <v>38.94</v>
      </c>
    </row>
    <row r="136" spans="1:5" ht="15.75" customHeight="1" x14ac:dyDescent="0.3">
      <c r="A136" s="4" t="s">
        <v>86</v>
      </c>
      <c r="B136" s="2" t="s">
        <v>19</v>
      </c>
      <c r="C136" s="2">
        <v>56531</v>
      </c>
      <c r="D136" s="2">
        <v>8958.07</v>
      </c>
      <c r="E136" s="5">
        <v>83.44</v>
      </c>
    </row>
    <row r="137" spans="1:5" ht="15.75" customHeight="1" x14ac:dyDescent="0.3">
      <c r="A137" s="4" t="s">
        <v>191</v>
      </c>
      <c r="B137" s="2" t="s">
        <v>12</v>
      </c>
      <c r="C137" s="2">
        <v>43346</v>
      </c>
      <c r="D137" s="2">
        <v>5559.12</v>
      </c>
      <c r="E137" s="5">
        <v>39.4</v>
      </c>
    </row>
    <row r="138" spans="1:5" ht="15.75" customHeight="1" x14ac:dyDescent="0.3">
      <c r="A138" s="4" t="s">
        <v>32</v>
      </c>
      <c r="B138" s="2" t="s">
        <v>7</v>
      </c>
      <c r="C138" s="2">
        <v>10933</v>
      </c>
      <c r="D138" s="2">
        <v>9004.3700000000008</v>
      </c>
      <c r="E138" s="5">
        <v>26.84</v>
      </c>
    </row>
    <row r="139" spans="1:5" ht="15.75" customHeight="1" x14ac:dyDescent="0.3">
      <c r="A139" s="4" t="s">
        <v>179</v>
      </c>
      <c r="B139" s="2" t="s">
        <v>7</v>
      </c>
      <c r="C139" s="2">
        <v>94393</v>
      </c>
      <c r="D139" s="2">
        <v>6691.7</v>
      </c>
      <c r="E139" s="5">
        <v>74.790000000000006</v>
      </c>
    </row>
    <row r="140" spans="1:5" ht="15.75" customHeight="1" x14ac:dyDescent="0.3">
      <c r="A140" s="4" t="s">
        <v>39</v>
      </c>
      <c r="B140" s="2" t="s">
        <v>7</v>
      </c>
      <c r="C140" s="2">
        <v>80904</v>
      </c>
      <c r="D140" s="2">
        <v>3263.09</v>
      </c>
      <c r="E140" s="5">
        <v>58.37</v>
      </c>
    </row>
    <row r="141" spans="1:5" ht="15.75" customHeight="1" x14ac:dyDescent="0.3">
      <c r="A141" s="4" t="s">
        <v>162</v>
      </c>
      <c r="B141" s="2" t="s">
        <v>30</v>
      </c>
      <c r="C141" s="2">
        <v>94347</v>
      </c>
      <c r="D141" s="2">
        <v>2272.58</v>
      </c>
      <c r="E141" s="5">
        <v>34.75</v>
      </c>
    </row>
    <row r="142" spans="1:5" ht="15.75" customHeight="1" x14ac:dyDescent="0.3">
      <c r="A142" s="4" t="s">
        <v>213</v>
      </c>
      <c r="B142" s="2" t="s">
        <v>12</v>
      </c>
      <c r="C142" s="2">
        <v>58622</v>
      </c>
      <c r="D142" s="2">
        <v>7795.36</v>
      </c>
      <c r="E142" s="5">
        <v>59.81</v>
      </c>
    </row>
    <row r="143" spans="1:5" ht="15.75" customHeight="1" x14ac:dyDescent="0.3">
      <c r="A143" s="4" t="s">
        <v>195</v>
      </c>
      <c r="B143" s="2" t="s">
        <v>7</v>
      </c>
      <c r="C143" s="2">
        <v>68278</v>
      </c>
      <c r="D143" s="2">
        <v>3272.65</v>
      </c>
      <c r="E143" s="5">
        <v>30.47</v>
      </c>
    </row>
    <row r="144" spans="1:5" ht="15.75" customHeight="1" x14ac:dyDescent="0.3">
      <c r="A144" s="4" t="s">
        <v>128</v>
      </c>
      <c r="B144" s="2" t="s">
        <v>12</v>
      </c>
      <c r="C144" s="2">
        <v>29406</v>
      </c>
      <c r="D144" s="2">
        <v>5281.69</v>
      </c>
      <c r="E144" s="5">
        <v>27.01</v>
      </c>
    </row>
    <row r="145" spans="1:5" ht="15.75" customHeight="1" x14ac:dyDescent="0.3">
      <c r="A145" s="4" t="s">
        <v>104</v>
      </c>
      <c r="B145" s="2" t="s">
        <v>17</v>
      </c>
      <c r="C145" s="2">
        <v>16868</v>
      </c>
      <c r="D145" s="2">
        <v>1378.01</v>
      </c>
      <c r="E145" s="5">
        <v>47.52</v>
      </c>
    </row>
    <row r="146" spans="1:5" ht="15.75" customHeight="1" x14ac:dyDescent="0.3">
      <c r="A146" s="4" t="s">
        <v>118</v>
      </c>
      <c r="B146" s="2" t="s">
        <v>30</v>
      </c>
      <c r="C146" s="2">
        <v>68492</v>
      </c>
      <c r="D146" s="2">
        <v>3533.88</v>
      </c>
      <c r="E146" s="5">
        <v>52.99</v>
      </c>
    </row>
    <row r="147" spans="1:5" ht="15.75" customHeight="1" x14ac:dyDescent="0.3">
      <c r="A147" s="4" t="s">
        <v>207</v>
      </c>
      <c r="B147" s="2" t="s">
        <v>17</v>
      </c>
      <c r="C147" s="2">
        <v>99115</v>
      </c>
      <c r="D147" s="2">
        <v>827.26</v>
      </c>
      <c r="E147" s="5">
        <v>28.88</v>
      </c>
    </row>
    <row r="148" spans="1:5" ht="15.75" customHeight="1" x14ac:dyDescent="0.3">
      <c r="A148" s="4" t="s">
        <v>193</v>
      </c>
      <c r="B148" s="2" t="s">
        <v>12</v>
      </c>
      <c r="C148" s="2">
        <v>13333</v>
      </c>
      <c r="D148" s="2">
        <v>6102.15</v>
      </c>
      <c r="E148" s="5">
        <v>17.670000000000002</v>
      </c>
    </row>
    <row r="149" spans="1:5" ht="15.75" customHeight="1" x14ac:dyDescent="0.3">
      <c r="A149" s="4" t="s">
        <v>124</v>
      </c>
      <c r="B149" s="2" t="s">
        <v>12</v>
      </c>
      <c r="C149" s="2">
        <v>47491</v>
      </c>
      <c r="D149" s="2">
        <v>5781.05</v>
      </c>
      <c r="E149" s="5">
        <v>92.18</v>
      </c>
    </row>
    <row r="150" spans="1:5" ht="15.75" customHeight="1" x14ac:dyDescent="0.3">
      <c r="A150" s="4" t="s">
        <v>151</v>
      </c>
      <c r="B150" s="2" t="s">
        <v>12</v>
      </c>
      <c r="C150" s="2">
        <v>61207</v>
      </c>
      <c r="D150" s="2">
        <v>6922.33</v>
      </c>
      <c r="E150" s="5">
        <v>9.1999999999999993</v>
      </c>
    </row>
    <row r="151" spans="1:5" ht="15.75" customHeight="1" x14ac:dyDescent="0.3">
      <c r="A151" s="4" t="s">
        <v>200</v>
      </c>
      <c r="B151" s="2" t="s">
        <v>30</v>
      </c>
      <c r="C151" s="2">
        <v>46863</v>
      </c>
      <c r="D151" s="2">
        <v>6762.98</v>
      </c>
      <c r="E151" s="5">
        <v>23.45</v>
      </c>
    </row>
    <row r="152" spans="1:5" ht="15.75" customHeight="1" x14ac:dyDescent="0.3">
      <c r="A152" s="4" t="s">
        <v>156</v>
      </c>
      <c r="B152" s="2" t="s">
        <v>17</v>
      </c>
      <c r="C152" s="2">
        <v>81057</v>
      </c>
      <c r="D152" s="2">
        <v>675.41</v>
      </c>
      <c r="E152" s="5">
        <v>55.44</v>
      </c>
    </row>
    <row r="153" spans="1:5" ht="15.75" customHeight="1" x14ac:dyDescent="0.3">
      <c r="A153" s="4" t="s">
        <v>113</v>
      </c>
      <c r="B153" s="2" t="s">
        <v>30</v>
      </c>
      <c r="C153" s="2">
        <v>90679</v>
      </c>
      <c r="D153" s="2">
        <v>7266.82</v>
      </c>
      <c r="E153" s="5">
        <v>23.3</v>
      </c>
    </row>
    <row r="154" spans="1:5" ht="15.75" customHeight="1" x14ac:dyDescent="0.3">
      <c r="A154" s="4" t="s">
        <v>25</v>
      </c>
      <c r="B154" s="2" t="s">
        <v>19</v>
      </c>
      <c r="C154" s="2">
        <v>95306</v>
      </c>
      <c r="D154" s="2">
        <v>9037.76</v>
      </c>
      <c r="E154" s="5">
        <v>13.35</v>
      </c>
    </row>
    <row r="155" spans="1:5" ht="15.75" customHeight="1" x14ac:dyDescent="0.3">
      <c r="A155" s="4" t="s">
        <v>177</v>
      </c>
      <c r="B155" s="2" t="s">
        <v>7</v>
      </c>
      <c r="C155" s="2">
        <v>17097</v>
      </c>
      <c r="D155" s="2">
        <v>9061.7800000000007</v>
      </c>
      <c r="E155" s="5">
        <v>95.92</v>
      </c>
    </row>
    <row r="156" spans="1:5" ht="15.75" customHeight="1" x14ac:dyDescent="0.3">
      <c r="A156" s="4" t="s">
        <v>142</v>
      </c>
      <c r="B156" s="2" t="s">
        <v>17</v>
      </c>
      <c r="C156" s="2">
        <v>75736</v>
      </c>
      <c r="D156" s="2">
        <v>6287.07</v>
      </c>
      <c r="E156" s="5">
        <v>63.11</v>
      </c>
    </row>
    <row r="157" spans="1:5" ht="15.75" customHeight="1" x14ac:dyDescent="0.3">
      <c r="A157" s="4" t="s">
        <v>140</v>
      </c>
      <c r="B157" s="2" t="s">
        <v>17</v>
      </c>
      <c r="C157" s="2">
        <v>88308</v>
      </c>
      <c r="D157" s="2">
        <v>7802.07</v>
      </c>
      <c r="E157" s="5">
        <v>36.130000000000003</v>
      </c>
    </row>
    <row r="158" spans="1:5" ht="15.75" customHeight="1" x14ac:dyDescent="0.3">
      <c r="A158" s="4" t="s">
        <v>161</v>
      </c>
      <c r="B158" s="2" t="s">
        <v>7</v>
      </c>
      <c r="C158" s="2">
        <v>15788</v>
      </c>
      <c r="D158" s="2">
        <v>1824.14</v>
      </c>
      <c r="E158" s="5">
        <v>52.78</v>
      </c>
    </row>
    <row r="159" spans="1:5" ht="15.75" customHeight="1" x14ac:dyDescent="0.3">
      <c r="A159" s="4" t="s">
        <v>21</v>
      </c>
      <c r="B159" s="2" t="s">
        <v>19</v>
      </c>
      <c r="C159" s="2">
        <v>61157</v>
      </c>
      <c r="D159" s="2">
        <v>7331.54</v>
      </c>
      <c r="E159" s="5">
        <v>55.52</v>
      </c>
    </row>
    <row r="160" spans="1:5" ht="15.75" customHeight="1" x14ac:dyDescent="0.3">
      <c r="A160" s="4" t="s">
        <v>155</v>
      </c>
      <c r="B160" s="2" t="s">
        <v>7</v>
      </c>
      <c r="C160" s="2">
        <v>72224</v>
      </c>
      <c r="D160" s="2">
        <v>1613.32</v>
      </c>
      <c r="E160" s="5">
        <v>39.21</v>
      </c>
    </row>
    <row r="161" spans="1:5" ht="15.75" customHeight="1" x14ac:dyDescent="0.3">
      <c r="A161" s="4" t="s">
        <v>204</v>
      </c>
      <c r="B161" s="2" t="s">
        <v>30</v>
      </c>
      <c r="C161" s="2">
        <v>36423</v>
      </c>
      <c r="D161" s="2">
        <v>589.96</v>
      </c>
      <c r="E161" s="5">
        <v>30.9</v>
      </c>
    </row>
    <row r="162" spans="1:5" ht="15.75" customHeight="1" x14ac:dyDescent="0.3">
      <c r="A162" s="4" t="s">
        <v>89</v>
      </c>
      <c r="B162" s="2" t="s">
        <v>17</v>
      </c>
      <c r="C162" s="2">
        <v>36171</v>
      </c>
      <c r="D162" s="2">
        <v>6864.38</v>
      </c>
      <c r="E162" s="5">
        <v>37.03</v>
      </c>
    </row>
    <row r="163" spans="1:5" ht="15.75" customHeight="1" x14ac:dyDescent="0.3">
      <c r="A163" s="4" t="s">
        <v>74</v>
      </c>
      <c r="B163" s="2" t="s">
        <v>19</v>
      </c>
      <c r="C163" s="2">
        <v>18175</v>
      </c>
      <c r="D163" s="2">
        <v>8349.49</v>
      </c>
      <c r="E163" s="5">
        <v>39.97</v>
      </c>
    </row>
    <row r="164" spans="1:5" ht="15.75" customHeight="1" x14ac:dyDescent="0.3">
      <c r="A164" s="4" t="s">
        <v>220</v>
      </c>
      <c r="B164" s="2" t="s">
        <v>12</v>
      </c>
      <c r="C164" s="2">
        <v>97040</v>
      </c>
      <c r="D164" s="2">
        <v>5727.14</v>
      </c>
      <c r="E164" s="5">
        <v>38.19</v>
      </c>
    </row>
    <row r="165" spans="1:5" ht="15.75" customHeight="1" x14ac:dyDescent="0.3">
      <c r="A165" s="4" t="s">
        <v>145</v>
      </c>
      <c r="B165" s="2" t="s">
        <v>7</v>
      </c>
      <c r="C165" s="2">
        <v>60710</v>
      </c>
      <c r="D165" s="2">
        <v>2726.26</v>
      </c>
      <c r="E165" s="5">
        <v>83.02</v>
      </c>
    </row>
    <row r="166" spans="1:5" ht="15.75" customHeight="1" x14ac:dyDescent="0.3">
      <c r="A166" s="4" t="s">
        <v>214</v>
      </c>
      <c r="B166" s="2" t="s">
        <v>30</v>
      </c>
      <c r="C166" s="2">
        <v>79330</v>
      </c>
      <c r="D166" s="2">
        <v>6075.23</v>
      </c>
      <c r="E166" s="5">
        <v>83.97</v>
      </c>
    </row>
    <row r="167" spans="1:5" ht="15.75" customHeight="1" x14ac:dyDescent="0.3">
      <c r="A167" s="4" t="s">
        <v>40</v>
      </c>
      <c r="B167" s="2" t="s">
        <v>19</v>
      </c>
      <c r="C167" s="2">
        <v>96474</v>
      </c>
      <c r="D167" s="2">
        <v>7574.39</v>
      </c>
      <c r="E167" s="5">
        <v>95.54</v>
      </c>
    </row>
    <row r="168" spans="1:5" ht="15.75" customHeight="1" x14ac:dyDescent="0.3">
      <c r="A168" s="4" t="s">
        <v>131</v>
      </c>
      <c r="B168" s="2" t="s">
        <v>17</v>
      </c>
      <c r="C168" s="2">
        <v>94128</v>
      </c>
      <c r="D168" s="2">
        <v>8117.82</v>
      </c>
      <c r="E168" s="5">
        <v>73.83</v>
      </c>
    </row>
    <row r="169" spans="1:5" ht="15.75" customHeight="1" x14ac:dyDescent="0.3">
      <c r="A169" s="4" t="s">
        <v>147</v>
      </c>
      <c r="B169" s="2" t="s">
        <v>17</v>
      </c>
      <c r="C169" s="2">
        <v>24095</v>
      </c>
      <c r="D169" s="2">
        <v>3167.52</v>
      </c>
      <c r="E169" s="5">
        <v>31.02</v>
      </c>
    </row>
    <row r="170" spans="1:5" ht="15.75" customHeight="1" x14ac:dyDescent="0.3">
      <c r="A170" s="4" t="s">
        <v>148</v>
      </c>
      <c r="B170" s="2" t="s">
        <v>17</v>
      </c>
      <c r="C170" s="2">
        <v>44994</v>
      </c>
      <c r="D170" s="2">
        <v>7305.59</v>
      </c>
      <c r="E170" s="5">
        <v>91.53</v>
      </c>
    </row>
    <row r="171" spans="1:5" ht="15.75" customHeight="1" x14ac:dyDescent="0.3">
      <c r="A171" s="4" t="s">
        <v>171</v>
      </c>
      <c r="B171" s="2" t="s">
        <v>17</v>
      </c>
      <c r="C171" s="2">
        <v>24502</v>
      </c>
      <c r="D171" s="2">
        <v>7466.86</v>
      </c>
      <c r="E171" s="5">
        <v>88.83</v>
      </c>
    </row>
    <row r="172" spans="1:5" ht="15.75" customHeight="1" x14ac:dyDescent="0.3">
      <c r="A172" s="4" t="s">
        <v>150</v>
      </c>
      <c r="B172" s="2" t="s">
        <v>30</v>
      </c>
      <c r="C172" s="2">
        <v>98356</v>
      </c>
      <c r="D172" s="2">
        <v>6968.69</v>
      </c>
      <c r="E172" s="5">
        <v>81.72</v>
      </c>
    </row>
    <row r="173" spans="1:5" ht="15.75" customHeight="1" x14ac:dyDescent="0.3">
      <c r="A173" s="4" t="s">
        <v>66</v>
      </c>
      <c r="B173" s="2" t="s">
        <v>30</v>
      </c>
      <c r="C173" s="2">
        <v>98396</v>
      </c>
      <c r="D173" s="2">
        <v>5174.07</v>
      </c>
      <c r="E173" s="5">
        <v>63.38</v>
      </c>
    </row>
    <row r="174" spans="1:5" ht="15.75" customHeight="1" x14ac:dyDescent="0.3">
      <c r="A174" s="4" t="s">
        <v>55</v>
      </c>
      <c r="B174" s="2" t="s">
        <v>12</v>
      </c>
      <c r="C174" s="2">
        <v>38181</v>
      </c>
      <c r="D174" s="2">
        <v>691.84</v>
      </c>
      <c r="E174" s="5">
        <v>33.53</v>
      </c>
    </row>
    <row r="175" spans="1:5" ht="15.75" customHeight="1" x14ac:dyDescent="0.3">
      <c r="A175" s="4" t="s">
        <v>122</v>
      </c>
      <c r="B175" s="2" t="s">
        <v>19</v>
      </c>
      <c r="C175" s="2">
        <v>95962</v>
      </c>
      <c r="D175" s="2">
        <v>524.72</v>
      </c>
      <c r="E175" s="5">
        <v>49.55</v>
      </c>
    </row>
    <row r="176" spans="1:5" ht="15.75" customHeight="1" x14ac:dyDescent="0.3">
      <c r="A176" s="4" t="s">
        <v>52</v>
      </c>
      <c r="B176" s="2" t="s">
        <v>19</v>
      </c>
      <c r="C176" s="2">
        <v>94949</v>
      </c>
      <c r="D176" s="2">
        <v>9714.76</v>
      </c>
      <c r="E176" s="5">
        <v>64.900000000000006</v>
      </c>
    </row>
    <row r="177" spans="1:5" ht="15.75" customHeight="1" x14ac:dyDescent="0.3">
      <c r="A177" s="4" t="s">
        <v>92</v>
      </c>
      <c r="B177" s="2" t="s">
        <v>30</v>
      </c>
      <c r="C177" s="2">
        <v>18726</v>
      </c>
      <c r="D177" s="2">
        <v>5099.54</v>
      </c>
      <c r="E177" s="5">
        <v>71.05</v>
      </c>
    </row>
    <row r="178" spans="1:5" ht="15.75" customHeight="1" x14ac:dyDescent="0.3">
      <c r="A178" s="4" t="s">
        <v>163</v>
      </c>
      <c r="B178" s="2" t="s">
        <v>19</v>
      </c>
      <c r="C178" s="2">
        <v>87482</v>
      </c>
      <c r="D178" s="2">
        <v>2231.7399999999998</v>
      </c>
      <c r="E178" s="5">
        <v>45.43</v>
      </c>
    </row>
    <row r="179" spans="1:5" ht="15.75" customHeight="1" x14ac:dyDescent="0.3">
      <c r="A179" s="4" t="s">
        <v>187</v>
      </c>
      <c r="B179" s="2" t="s">
        <v>19</v>
      </c>
      <c r="C179" s="2">
        <v>94861</v>
      </c>
      <c r="D179" s="2">
        <v>8363.57</v>
      </c>
      <c r="E179" s="5">
        <v>90.29</v>
      </c>
    </row>
    <row r="180" spans="1:5" ht="15.75" customHeight="1" x14ac:dyDescent="0.3">
      <c r="A180" s="4" t="s">
        <v>219</v>
      </c>
      <c r="B180" s="2" t="s">
        <v>12</v>
      </c>
      <c r="C180" s="2">
        <v>84524</v>
      </c>
      <c r="D180" s="2">
        <v>9350.11</v>
      </c>
      <c r="E180" s="5">
        <v>27.53</v>
      </c>
    </row>
    <row r="181" spans="1:5" ht="15.75" customHeight="1" x14ac:dyDescent="0.3">
      <c r="A181" s="4" t="s">
        <v>216</v>
      </c>
      <c r="B181" s="2" t="s">
        <v>17</v>
      </c>
      <c r="C181" s="2">
        <v>13302</v>
      </c>
      <c r="D181" s="2">
        <v>821.51</v>
      </c>
      <c r="E181" s="5">
        <v>69.599999999999994</v>
      </c>
    </row>
    <row r="182" spans="1:5" ht="15.75" customHeight="1" x14ac:dyDescent="0.3">
      <c r="A182" s="4" t="s">
        <v>70</v>
      </c>
      <c r="B182" s="2" t="s">
        <v>19</v>
      </c>
      <c r="C182" s="2">
        <v>42485</v>
      </c>
      <c r="D182" s="2">
        <v>4755.75</v>
      </c>
      <c r="E182" s="5">
        <v>10.19</v>
      </c>
    </row>
    <row r="183" spans="1:5" ht="15.75" customHeight="1" x14ac:dyDescent="0.3">
      <c r="A183" s="4" t="s">
        <v>57</v>
      </c>
      <c r="B183" s="2" t="s">
        <v>19</v>
      </c>
      <c r="C183" s="2">
        <v>41027</v>
      </c>
      <c r="D183" s="2">
        <v>7285.85</v>
      </c>
      <c r="E183" s="5">
        <v>59.87</v>
      </c>
    </row>
    <row r="184" spans="1:5" ht="15.75" customHeight="1" x14ac:dyDescent="0.3">
      <c r="A184" s="4" t="s">
        <v>132</v>
      </c>
      <c r="B184" s="2" t="s">
        <v>19</v>
      </c>
      <c r="C184" s="2">
        <v>29860</v>
      </c>
      <c r="D184" s="2">
        <v>3956.23</v>
      </c>
      <c r="E184" s="5">
        <v>57.5</v>
      </c>
    </row>
    <row r="185" spans="1:5" ht="15.75" customHeight="1" x14ac:dyDescent="0.3">
      <c r="A185" s="4" t="s">
        <v>108</v>
      </c>
      <c r="B185" s="2" t="s">
        <v>7</v>
      </c>
      <c r="C185" s="2">
        <v>22201</v>
      </c>
      <c r="D185" s="2">
        <v>2853.66</v>
      </c>
      <c r="E185" s="5">
        <v>71.94</v>
      </c>
    </row>
    <row r="186" spans="1:5" ht="15.75" customHeight="1" x14ac:dyDescent="0.3">
      <c r="A186" s="4" t="s">
        <v>172</v>
      </c>
      <c r="B186" s="2" t="s">
        <v>7</v>
      </c>
      <c r="C186" s="2">
        <v>68820</v>
      </c>
      <c r="D186" s="2">
        <v>9612.25</v>
      </c>
      <c r="E186" s="5">
        <v>83.51</v>
      </c>
    </row>
    <row r="187" spans="1:5" ht="15.75" customHeight="1" x14ac:dyDescent="0.3">
      <c r="A187" s="4" t="s">
        <v>77</v>
      </c>
      <c r="B187" s="2" t="s">
        <v>30</v>
      </c>
      <c r="C187" s="2">
        <v>61942</v>
      </c>
      <c r="D187" s="2">
        <v>4891.32</v>
      </c>
      <c r="E187" s="5">
        <v>91.59</v>
      </c>
    </row>
    <row r="188" spans="1:5" ht="15.75" customHeight="1" x14ac:dyDescent="0.3">
      <c r="A188" s="4" t="s">
        <v>199</v>
      </c>
      <c r="B188" s="2" t="s">
        <v>17</v>
      </c>
      <c r="C188" s="2">
        <v>77317</v>
      </c>
      <c r="D188" s="2">
        <v>4862.95</v>
      </c>
      <c r="E188" s="5">
        <v>89.78</v>
      </c>
    </row>
    <row r="189" spans="1:5" ht="15.75" customHeight="1" x14ac:dyDescent="0.3">
      <c r="A189" s="4" t="s">
        <v>217</v>
      </c>
      <c r="B189" s="2" t="s">
        <v>19</v>
      </c>
      <c r="C189" s="2">
        <v>80824</v>
      </c>
      <c r="D189" s="2">
        <v>2858.92</v>
      </c>
      <c r="E189" s="5">
        <v>13.97</v>
      </c>
    </row>
    <row r="190" spans="1:5" ht="15.75" customHeight="1" x14ac:dyDescent="0.3">
      <c r="A190" s="4" t="s">
        <v>212</v>
      </c>
      <c r="B190" s="2" t="s">
        <v>7</v>
      </c>
      <c r="C190" s="2">
        <v>67820</v>
      </c>
      <c r="D190" s="2">
        <v>8177.95</v>
      </c>
      <c r="E190" s="5">
        <v>40.69</v>
      </c>
    </row>
    <row r="191" spans="1:5" ht="15.75" customHeight="1" x14ac:dyDescent="0.3">
      <c r="A191" s="4" t="s">
        <v>67</v>
      </c>
      <c r="B191" s="2" t="s">
        <v>7</v>
      </c>
      <c r="C191" s="2">
        <v>70582</v>
      </c>
      <c r="D191" s="2">
        <v>7517.59</v>
      </c>
      <c r="E191" s="5">
        <v>95.71</v>
      </c>
    </row>
    <row r="192" spans="1:5" ht="15.75" customHeight="1" x14ac:dyDescent="0.3">
      <c r="A192" s="4" t="s">
        <v>78</v>
      </c>
      <c r="B192" s="2" t="s">
        <v>7</v>
      </c>
      <c r="C192" s="2">
        <v>86557</v>
      </c>
      <c r="D192" s="2">
        <v>8631.2800000000007</v>
      </c>
      <c r="E192" s="5">
        <v>69.53</v>
      </c>
    </row>
    <row r="193" spans="1:5" ht="15.75" customHeight="1" x14ac:dyDescent="0.3">
      <c r="A193" s="4" t="s">
        <v>152</v>
      </c>
      <c r="B193" s="2" t="s">
        <v>30</v>
      </c>
      <c r="C193" s="2">
        <v>21914</v>
      </c>
      <c r="D193" s="2">
        <v>5897.27</v>
      </c>
      <c r="E193" s="5">
        <v>49.41</v>
      </c>
    </row>
    <row r="194" spans="1:5" ht="15.75" customHeight="1" x14ac:dyDescent="0.3">
      <c r="A194" s="4" t="s">
        <v>87</v>
      </c>
      <c r="B194" s="2" t="s">
        <v>12</v>
      </c>
      <c r="C194" s="2">
        <v>15333</v>
      </c>
      <c r="D194" s="2">
        <v>2570.54</v>
      </c>
      <c r="E194" s="5">
        <v>41.07</v>
      </c>
    </row>
    <row r="195" spans="1:5" ht="15.75" customHeight="1" x14ac:dyDescent="0.3">
      <c r="A195" s="4" t="s">
        <v>35</v>
      </c>
      <c r="B195" s="2" t="s">
        <v>19</v>
      </c>
      <c r="C195" s="2">
        <v>42382</v>
      </c>
      <c r="D195" s="2">
        <v>5116.6899999999996</v>
      </c>
      <c r="E195" s="5">
        <v>80.42</v>
      </c>
    </row>
    <row r="196" spans="1:5" ht="15.75" customHeight="1" x14ac:dyDescent="0.3">
      <c r="A196" s="4" t="s">
        <v>154</v>
      </c>
      <c r="B196" s="2" t="s">
        <v>12</v>
      </c>
      <c r="C196" s="2">
        <v>87012</v>
      </c>
      <c r="D196" s="2">
        <v>7478.13</v>
      </c>
      <c r="E196" s="5">
        <v>27.22</v>
      </c>
    </row>
    <row r="197" spans="1:5" ht="15.75" customHeight="1" x14ac:dyDescent="0.3">
      <c r="A197" s="4" t="s">
        <v>84</v>
      </c>
      <c r="B197" s="2" t="s">
        <v>30</v>
      </c>
      <c r="C197" s="2">
        <v>85444</v>
      </c>
      <c r="D197" s="2">
        <v>852.57</v>
      </c>
      <c r="E197" s="5">
        <v>72.650000000000006</v>
      </c>
    </row>
    <row r="198" spans="1:5" ht="15.75" customHeight="1" x14ac:dyDescent="0.3">
      <c r="A198" s="4" t="s">
        <v>76</v>
      </c>
      <c r="B198" s="2" t="s">
        <v>17</v>
      </c>
      <c r="C198" s="2">
        <v>59617</v>
      </c>
      <c r="D198" s="2">
        <v>5000.95</v>
      </c>
      <c r="E198" s="5">
        <v>80.36</v>
      </c>
    </row>
    <row r="199" spans="1:5" ht="15.75" customHeight="1" x14ac:dyDescent="0.3">
      <c r="A199" s="4" t="s">
        <v>50</v>
      </c>
      <c r="B199" s="2" t="s">
        <v>19</v>
      </c>
      <c r="C199" s="2">
        <v>40577</v>
      </c>
      <c r="D199" s="2">
        <v>4280.82</v>
      </c>
      <c r="E199" s="5">
        <v>79.88</v>
      </c>
    </row>
    <row r="200" spans="1:5" ht="15.75" customHeight="1" x14ac:dyDescent="0.3">
      <c r="A200" s="4" t="s">
        <v>117</v>
      </c>
      <c r="B200" s="2" t="s">
        <v>7</v>
      </c>
      <c r="C200" s="2">
        <v>89321</v>
      </c>
      <c r="D200" s="2">
        <v>9836.34</v>
      </c>
      <c r="E200" s="5">
        <v>16.989999999999998</v>
      </c>
    </row>
    <row r="201" spans="1:5" ht="15.75" customHeight="1" x14ac:dyDescent="0.3">
      <c r="A201" s="9" t="s">
        <v>182</v>
      </c>
      <c r="B201" s="10" t="s">
        <v>12</v>
      </c>
      <c r="C201" s="10">
        <v>21081</v>
      </c>
      <c r="D201" s="10">
        <v>9001.77</v>
      </c>
      <c r="E201" s="11">
        <v>49.27</v>
      </c>
    </row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/>
    <row r="206" spans="1:5" ht="15.75" customHeight="1" x14ac:dyDescent="0.3"/>
    <row r="207" spans="1:5" ht="15.75" customHeight="1" x14ac:dyDescent="0.3"/>
    <row r="208" spans="1: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C1000"/>
  <sheetViews>
    <sheetView workbookViewId="0">
      <selection activeCell="B7" sqref="B7"/>
    </sheetView>
  </sheetViews>
  <sheetFormatPr defaultColWidth="14.4140625" defaultRowHeight="15" customHeight="1" x14ac:dyDescent="0.3"/>
  <cols>
    <col min="1" max="1" width="15.4140625" customWidth="1"/>
    <col min="2" max="2" width="36.1640625" customWidth="1"/>
    <col min="3" max="3" width="60.75" customWidth="1"/>
    <col min="4" max="4" width="8.6640625" customWidth="1"/>
    <col min="5" max="25" width="8" customWidth="1"/>
  </cols>
  <sheetData>
    <row r="1" spans="1:3" ht="14" x14ac:dyDescent="0.3">
      <c r="A1" s="6" t="s">
        <v>224</v>
      </c>
      <c r="B1" s="7" t="s">
        <v>225</v>
      </c>
      <c r="C1" s="8" t="s">
        <v>226</v>
      </c>
    </row>
    <row r="2" spans="1:3" ht="14" x14ac:dyDescent="0.3">
      <c r="A2" s="4" t="s">
        <v>227</v>
      </c>
      <c r="B2" s="2">
        <v>959.2</v>
      </c>
      <c r="C2" s="5" t="s">
        <v>228</v>
      </c>
    </row>
    <row r="3" spans="1:3" ht="14" x14ac:dyDescent="0.3">
      <c r="A3" s="4" t="s">
        <v>229</v>
      </c>
      <c r="B3" s="2">
        <v>231.68</v>
      </c>
      <c r="C3" s="5" t="s">
        <v>230</v>
      </c>
    </row>
    <row r="4" spans="1:3" ht="14" x14ac:dyDescent="0.3">
      <c r="A4" s="4" t="s">
        <v>231</v>
      </c>
      <c r="B4" s="2">
        <v>714.03</v>
      </c>
      <c r="C4" s="5" t="s">
        <v>232</v>
      </c>
    </row>
    <row r="5" spans="1:3" ht="14" x14ac:dyDescent="0.3">
      <c r="A5" s="4" t="s">
        <v>233</v>
      </c>
      <c r="B5" s="2">
        <v>571.88</v>
      </c>
      <c r="C5" s="5" t="s">
        <v>234</v>
      </c>
    </row>
    <row r="6" spans="1:3" ht="14" x14ac:dyDescent="0.3">
      <c r="A6" s="4" t="s">
        <v>235</v>
      </c>
      <c r="B6" s="2">
        <v>114.57</v>
      </c>
      <c r="C6" s="5" t="s">
        <v>236</v>
      </c>
    </row>
    <row r="7" spans="1:3" ht="14" x14ac:dyDescent="0.3">
      <c r="A7" s="4" t="s">
        <v>237</v>
      </c>
      <c r="B7" s="2">
        <v>790.74</v>
      </c>
      <c r="C7" s="5" t="s">
        <v>238</v>
      </c>
    </row>
    <row r="8" spans="1:3" ht="14" x14ac:dyDescent="0.3">
      <c r="A8" s="4" t="s">
        <v>239</v>
      </c>
      <c r="B8" s="2">
        <v>847.51</v>
      </c>
      <c r="C8" s="5" t="s">
        <v>240</v>
      </c>
    </row>
    <row r="9" spans="1:3" ht="14" x14ac:dyDescent="0.3">
      <c r="A9" s="4" t="s">
        <v>241</v>
      </c>
      <c r="B9" s="2">
        <v>610.79999999999995</v>
      </c>
      <c r="C9" s="5" t="s">
        <v>242</v>
      </c>
    </row>
    <row r="10" spans="1:3" ht="14" x14ac:dyDescent="0.3">
      <c r="A10" s="4" t="s">
        <v>243</v>
      </c>
      <c r="B10" s="2">
        <v>390.06</v>
      </c>
      <c r="C10" s="5" t="s">
        <v>244</v>
      </c>
    </row>
    <row r="11" spans="1:3" ht="14" x14ac:dyDescent="0.3">
      <c r="A11" s="4" t="s">
        <v>245</v>
      </c>
      <c r="B11" s="2">
        <v>932.3</v>
      </c>
      <c r="C11" s="5" t="s">
        <v>246</v>
      </c>
    </row>
    <row r="12" spans="1:3" ht="14" x14ac:dyDescent="0.3">
      <c r="A12" s="4" t="s">
        <v>247</v>
      </c>
      <c r="B12" s="2">
        <v>795.74</v>
      </c>
      <c r="C12" s="5" t="s">
        <v>248</v>
      </c>
    </row>
    <row r="13" spans="1:3" ht="14" x14ac:dyDescent="0.3">
      <c r="A13" s="4" t="s">
        <v>249</v>
      </c>
      <c r="B13" s="2">
        <v>986.62</v>
      </c>
      <c r="C13" s="5" t="s">
        <v>250</v>
      </c>
    </row>
    <row r="14" spans="1:3" ht="14" x14ac:dyDescent="0.3">
      <c r="A14" s="4" t="s">
        <v>251</v>
      </c>
      <c r="B14" s="2">
        <v>467.3</v>
      </c>
      <c r="C14" s="5" t="s">
        <v>252</v>
      </c>
    </row>
    <row r="15" spans="1:3" ht="14" x14ac:dyDescent="0.3">
      <c r="A15" s="4" t="s">
        <v>253</v>
      </c>
      <c r="B15" s="2">
        <v>807.86</v>
      </c>
      <c r="C15" s="5" t="s">
        <v>254</v>
      </c>
    </row>
    <row r="16" spans="1:3" ht="14" x14ac:dyDescent="0.3">
      <c r="A16" s="4" t="s">
        <v>255</v>
      </c>
      <c r="B16" s="2">
        <v>264.23</v>
      </c>
      <c r="C16" s="5" t="s">
        <v>256</v>
      </c>
    </row>
    <row r="17" spans="1:3" ht="14" x14ac:dyDescent="0.3">
      <c r="A17" s="4" t="s">
        <v>257</v>
      </c>
      <c r="B17" s="2">
        <v>724.63</v>
      </c>
      <c r="C17" s="5" t="s">
        <v>258</v>
      </c>
    </row>
    <row r="18" spans="1:3" ht="14" x14ac:dyDescent="0.3">
      <c r="A18" s="4" t="s">
        <v>259</v>
      </c>
      <c r="B18" s="2">
        <v>341.24</v>
      </c>
      <c r="C18" s="5" t="s">
        <v>260</v>
      </c>
    </row>
    <row r="19" spans="1:3" ht="14" x14ac:dyDescent="0.3">
      <c r="A19" s="4" t="s">
        <v>261</v>
      </c>
      <c r="B19" s="2">
        <v>763.97</v>
      </c>
      <c r="C19" s="5" t="s">
        <v>262</v>
      </c>
    </row>
    <row r="20" spans="1:3" ht="14" x14ac:dyDescent="0.3">
      <c r="A20" s="4" t="s">
        <v>263</v>
      </c>
      <c r="B20" s="2">
        <v>459.56</v>
      </c>
      <c r="C20" s="5" t="s">
        <v>264</v>
      </c>
    </row>
    <row r="21" spans="1:3" ht="15.75" customHeight="1" x14ac:dyDescent="0.3">
      <c r="A21" s="4" t="s">
        <v>265</v>
      </c>
      <c r="B21" s="2">
        <v>181.54</v>
      </c>
      <c r="C21" s="5" t="s">
        <v>266</v>
      </c>
    </row>
    <row r="22" spans="1:3" ht="15.75" customHeight="1" x14ac:dyDescent="0.3">
      <c r="A22" s="4" t="s">
        <v>267</v>
      </c>
      <c r="B22" s="2">
        <v>553.44000000000005</v>
      </c>
      <c r="C22" s="5" t="s">
        <v>268</v>
      </c>
    </row>
    <row r="23" spans="1:3" ht="15.75" customHeight="1" x14ac:dyDescent="0.3">
      <c r="A23" s="4" t="s">
        <v>269</v>
      </c>
      <c r="B23" s="2">
        <v>275.77</v>
      </c>
      <c r="C23" s="5" t="s">
        <v>270</v>
      </c>
    </row>
    <row r="24" spans="1:3" ht="15.75" customHeight="1" x14ac:dyDescent="0.3">
      <c r="A24" s="4" t="s">
        <v>271</v>
      </c>
      <c r="B24" s="2">
        <v>991.03</v>
      </c>
      <c r="C24" s="5" t="s">
        <v>272</v>
      </c>
    </row>
    <row r="25" spans="1:3" ht="15.75" customHeight="1" x14ac:dyDescent="0.3">
      <c r="A25" s="4" t="s">
        <v>273</v>
      </c>
      <c r="B25" s="2">
        <v>818.45</v>
      </c>
      <c r="C25" s="5" t="s">
        <v>274</v>
      </c>
    </row>
    <row r="26" spans="1:3" ht="15.75" customHeight="1" x14ac:dyDescent="0.3">
      <c r="A26" s="4" t="s">
        <v>275</v>
      </c>
      <c r="B26" s="2">
        <v>289.77</v>
      </c>
      <c r="C26" s="5" t="s">
        <v>276</v>
      </c>
    </row>
    <row r="27" spans="1:3" ht="15.75" customHeight="1" x14ac:dyDescent="0.3">
      <c r="A27" s="4" t="s">
        <v>277</v>
      </c>
      <c r="B27" s="2">
        <v>557.72</v>
      </c>
      <c r="C27" s="5" t="s">
        <v>278</v>
      </c>
    </row>
    <row r="28" spans="1:3" ht="15.75" customHeight="1" x14ac:dyDescent="0.3">
      <c r="A28" s="4" t="s">
        <v>279</v>
      </c>
      <c r="B28" s="2">
        <v>714.81</v>
      </c>
      <c r="C28" s="5" t="s">
        <v>280</v>
      </c>
    </row>
    <row r="29" spans="1:3" ht="15.75" customHeight="1" x14ac:dyDescent="0.3">
      <c r="A29" s="4" t="s">
        <v>281</v>
      </c>
      <c r="B29" s="2">
        <v>318.55</v>
      </c>
      <c r="C29" s="5" t="s">
        <v>282</v>
      </c>
    </row>
    <row r="30" spans="1:3" ht="15.75" customHeight="1" x14ac:dyDescent="0.3">
      <c r="A30" s="4" t="s">
        <v>283</v>
      </c>
      <c r="B30" s="2">
        <v>649.76</v>
      </c>
      <c r="C30" s="5" t="s">
        <v>284</v>
      </c>
    </row>
    <row r="31" spans="1:3" ht="15.75" customHeight="1" x14ac:dyDescent="0.3">
      <c r="A31" s="4" t="s">
        <v>285</v>
      </c>
      <c r="B31" s="2">
        <v>830.73</v>
      </c>
      <c r="C31" s="5" t="s">
        <v>286</v>
      </c>
    </row>
    <row r="32" spans="1:3" ht="15.75" customHeight="1" x14ac:dyDescent="0.3">
      <c r="A32" s="4" t="s">
        <v>287</v>
      </c>
      <c r="B32" s="2">
        <v>526.54999999999995</v>
      </c>
      <c r="C32" s="5" t="s">
        <v>288</v>
      </c>
    </row>
    <row r="33" spans="1:3" ht="15.75" customHeight="1" x14ac:dyDescent="0.3">
      <c r="A33" s="4" t="s">
        <v>289</v>
      </c>
      <c r="B33" s="2">
        <v>344.93</v>
      </c>
      <c r="C33" s="5" t="s">
        <v>290</v>
      </c>
    </row>
    <row r="34" spans="1:3" ht="15.75" customHeight="1" x14ac:dyDescent="0.3">
      <c r="A34" s="4" t="s">
        <v>291</v>
      </c>
      <c r="B34" s="2">
        <v>571.66</v>
      </c>
      <c r="C34" s="5" t="s">
        <v>292</v>
      </c>
    </row>
    <row r="35" spans="1:3" ht="15.75" customHeight="1" x14ac:dyDescent="0.3">
      <c r="A35" s="4" t="s">
        <v>293</v>
      </c>
      <c r="B35" s="2">
        <v>867.66</v>
      </c>
      <c r="C35" s="5" t="s">
        <v>294</v>
      </c>
    </row>
    <row r="36" spans="1:3" ht="15.75" customHeight="1" x14ac:dyDescent="0.3">
      <c r="A36" s="4" t="s">
        <v>295</v>
      </c>
      <c r="B36" s="2">
        <v>479.41</v>
      </c>
      <c r="C36" s="5" t="s">
        <v>296</v>
      </c>
    </row>
    <row r="37" spans="1:3" ht="15.75" customHeight="1" x14ac:dyDescent="0.3">
      <c r="A37" s="4" t="s">
        <v>297</v>
      </c>
      <c r="B37" s="2">
        <v>173.67</v>
      </c>
      <c r="C37" s="5" t="s">
        <v>298</v>
      </c>
    </row>
    <row r="38" spans="1:3" ht="15.75" customHeight="1" x14ac:dyDescent="0.3">
      <c r="A38" s="4" t="s">
        <v>299</v>
      </c>
      <c r="B38" s="2">
        <v>694.92</v>
      </c>
      <c r="C38" s="5" t="s">
        <v>300</v>
      </c>
    </row>
    <row r="39" spans="1:3" ht="15.75" customHeight="1" x14ac:dyDescent="0.3">
      <c r="A39" s="4" t="s">
        <v>301</v>
      </c>
      <c r="B39" s="2">
        <v>230.57</v>
      </c>
      <c r="C39" s="5" t="s">
        <v>302</v>
      </c>
    </row>
    <row r="40" spans="1:3" ht="15.75" customHeight="1" x14ac:dyDescent="0.3">
      <c r="A40" s="4" t="s">
        <v>303</v>
      </c>
      <c r="B40" s="2">
        <v>796.34</v>
      </c>
      <c r="C40" s="5" t="s">
        <v>304</v>
      </c>
    </row>
    <row r="41" spans="1:3" ht="15.75" customHeight="1" x14ac:dyDescent="0.3">
      <c r="A41" s="4" t="s">
        <v>305</v>
      </c>
      <c r="B41" s="2">
        <v>532.27</v>
      </c>
      <c r="C41" s="5" t="s">
        <v>306</v>
      </c>
    </row>
    <row r="42" spans="1:3" ht="15.75" customHeight="1" x14ac:dyDescent="0.3">
      <c r="A42" s="4" t="s">
        <v>307</v>
      </c>
      <c r="B42" s="2">
        <v>184.92</v>
      </c>
      <c r="C42" s="5" t="s">
        <v>308</v>
      </c>
    </row>
    <row r="43" spans="1:3" ht="15.75" customHeight="1" x14ac:dyDescent="0.3">
      <c r="A43" s="4" t="s">
        <v>309</v>
      </c>
      <c r="B43" s="2">
        <v>249.3</v>
      </c>
      <c r="C43" s="5" t="s">
        <v>310</v>
      </c>
    </row>
    <row r="44" spans="1:3" ht="15.75" customHeight="1" x14ac:dyDescent="0.3">
      <c r="A44" s="4" t="s">
        <v>311</v>
      </c>
      <c r="B44" s="2">
        <v>783.77</v>
      </c>
      <c r="C44" s="5" t="s">
        <v>312</v>
      </c>
    </row>
    <row r="45" spans="1:3" ht="15.75" customHeight="1" x14ac:dyDescent="0.3">
      <c r="A45" s="4" t="s">
        <v>313</v>
      </c>
      <c r="B45" s="2">
        <v>785.8</v>
      </c>
      <c r="C45" s="5" t="s">
        <v>314</v>
      </c>
    </row>
    <row r="46" spans="1:3" ht="15.75" customHeight="1" x14ac:dyDescent="0.3">
      <c r="A46" s="4" t="s">
        <v>315</v>
      </c>
      <c r="B46" s="2">
        <v>105.67</v>
      </c>
      <c r="C46" s="5" t="s">
        <v>316</v>
      </c>
    </row>
    <row r="47" spans="1:3" ht="15.75" customHeight="1" x14ac:dyDescent="0.3">
      <c r="A47" s="4" t="s">
        <v>317</v>
      </c>
      <c r="B47" s="2">
        <v>579.80999999999995</v>
      </c>
      <c r="C47" s="5" t="s">
        <v>318</v>
      </c>
    </row>
    <row r="48" spans="1:3" ht="15.75" customHeight="1" x14ac:dyDescent="0.3">
      <c r="A48" s="4" t="s">
        <v>319</v>
      </c>
      <c r="B48" s="2">
        <v>851.48</v>
      </c>
      <c r="C48" s="5" t="s">
        <v>320</v>
      </c>
    </row>
    <row r="49" spans="1:3" ht="15.75" customHeight="1" x14ac:dyDescent="0.3">
      <c r="A49" s="4" t="s">
        <v>321</v>
      </c>
      <c r="B49" s="2">
        <v>209.33</v>
      </c>
      <c r="C49" s="5" t="s">
        <v>322</v>
      </c>
    </row>
    <row r="50" spans="1:3" ht="15.75" customHeight="1" x14ac:dyDescent="0.3">
      <c r="A50" s="4" t="s">
        <v>323</v>
      </c>
      <c r="B50" s="2">
        <v>548.4</v>
      </c>
      <c r="C50" s="5" t="s">
        <v>324</v>
      </c>
    </row>
    <row r="51" spans="1:3" ht="15.75" customHeight="1" x14ac:dyDescent="0.3">
      <c r="A51" s="4" t="s">
        <v>325</v>
      </c>
      <c r="B51" s="2">
        <v>432.23</v>
      </c>
      <c r="C51" s="5" t="s">
        <v>326</v>
      </c>
    </row>
    <row r="52" spans="1:3" ht="15.75" customHeight="1" x14ac:dyDescent="0.3">
      <c r="A52" s="4" t="s">
        <v>327</v>
      </c>
      <c r="B52" s="2">
        <v>472.66</v>
      </c>
      <c r="C52" s="5" t="s">
        <v>328</v>
      </c>
    </row>
    <row r="53" spans="1:3" ht="15.75" customHeight="1" x14ac:dyDescent="0.3">
      <c r="A53" s="4" t="s">
        <v>329</v>
      </c>
      <c r="B53" s="2">
        <v>773.96</v>
      </c>
      <c r="C53" s="5" t="s">
        <v>330</v>
      </c>
    </row>
    <row r="54" spans="1:3" ht="15.75" customHeight="1" x14ac:dyDescent="0.3">
      <c r="A54" s="4" t="s">
        <v>331</v>
      </c>
      <c r="B54" s="2">
        <v>951.35</v>
      </c>
      <c r="C54" s="5" t="s">
        <v>332</v>
      </c>
    </row>
    <row r="55" spans="1:3" ht="15.75" customHeight="1" x14ac:dyDescent="0.3">
      <c r="A55" s="4" t="s">
        <v>333</v>
      </c>
      <c r="B55" s="2">
        <v>568.27</v>
      </c>
      <c r="C55" s="5" t="s">
        <v>334</v>
      </c>
    </row>
    <row r="56" spans="1:3" ht="15.75" customHeight="1" x14ac:dyDescent="0.3">
      <c r="A56" s="4" t="s">
        <v>335</v>
      </c>
      <c r="B56" s="2">
        <v>880.2</v>
      </c>
      <c r="C56" s="5" t="s">
        <v>336</v>
      </c>
    </row>
    <row r="57" spans="1:3" ht="15.75" customHeight="1" x14ac:dyDescent="0.3">
      <c r="A57" s="4" t="s">
        <v>337</v>
      </c>
      <c r="B57" s="2">
        <v>780.4</v>
      </c>
      <c r="C57" s="5" t="s">
        <v>338</v>
      </c>
    </row>
    <row r="58" spans="1:3" ht="15.75" customHeight="1" x14ac:dyDescent="0.3">
      <c r="A58" s="4" t="s">
        <v>339</v>
      </c>
      <c r="B58" s="2">
        <v>769.39</v>
      </c>
      <c r="C58" s="5" t="s">
        <v>340</v>
      </c>
    </row>
    <row r="59" spans="1:3" ht="15.75" customHeight="1" x14ac:dyDescent="0.3">
      <c r="A59" s="4" t="s">
        <v>341</v>
      </c>
      <c r="B59" s="2">
        <v>436.04</v>
      </c>
      <c r="C59" s="5" t="s">
        <v>342</v>
      </c>
    </row>
    <row r="60" spans="1:3" ht="15.75" customHeight="1" x14ac:dyDescent="0.3">
      <c r="A60" s="4" t="s">
        <v>343</v>
      </c>
      <c r="B60" s="2">
        <v>241.41</v>
      </c>
      <c r="C60" s="5" t="s">
        <v>344</v>
      </c>
    </row>
    <row r="61" spans="1:3" ht="15.75" customHeight="1" x14ac:dyDescent="0.3">
      <c r="A61" s="4" t="s">
        <v>345</v>
      </c>
      <c r="B61" s="2">
        <v>311.36</v>
      </c>
      <c r="C61" s="5" t="s">
        <v>346</v>
      </c>
    </row>
    <row r="62" spans="1:3" ht="15.75" customHeight="1" x14ac:dyDescent="0.3">
      <c r="A62" s="4" t="s">
        <v>347</v>
      </c>
      <c r="B62" s="2">
        <v>638.89</v>
      </c>
      <c r="C62" s="5" t="s">
        <v>348</v>
      </c>
    </row>
    <row r="63" spans="1:3" ht="15.75" customHeight="1" x14ac:dyDescent="0.3">
      <c r="A63" s="4" t="s">
        <v>349</v>
      </c>
      <c r="B63" s="2">
        <v>850.09</v>
      </c>
      <c r="C63" s="5" t="s">
        <v>350</v>
      </c>
    </row>
    <row r="64" spans="1:3" ht="15.75" customHeight="1" x14ac:dyDescent="0.3">
      <c r="A64" s="4" t="s">
        <v>351</v>
      </c>
      <c r="B64" s="2">
        <v>891.15</v>
      </c>
      <c r="C64" s="5" t="s">
        <v>352</v>
      </c>
    </row>
    <row r="65" spans="1:3" ht="15.75" customHeight="1" x14ac:dyDescent="0.3">
      <c r="A65" s="4" t="s">
        <v>353</v>
      </c>
      <c r="B65" s="2">
        <v>662.74</v>
      </c>
      <c r="C65" s="5" t="s">
        <v>354</v>
      </c>
    </row>
    <row r="66" spans="1:3" ht="15.75" customHeight="1" x14ac:dyDescent="0.3">
      <c r="A66" s="4" t="s">
        <v>355</v>
      </c>
      <c r="B66" s="2">
        <v>527.37</v>
      </c>
      <c r="C66" s="5" t="s">
        <v>356</v>
      </c>
    </row>
    <row r="67" spans="1:3" ht="15.75" customHeight="1" x14ac:dyDescent="0.3">
      <c r="A67" s="4" t="s">
        <v>357</v>
      </c>
      <c r="B67" s="2">
        <v>886.71</v>
      </c>
      <c r="C67" s="5" t="s">
        <v>358</v>
      </c>
    </row>
    <row r="68" spans="1:3" ht="15.75" customHeight="1" x14ac:dyDescent="0.3">
      <c r="A68" s="4" t="s">
        <v>359</v>
      </c>
      <c r="B68" s="2">
        <v>764.33</v>
      </c>
      <c r="C68" s="5" t="s">
        <v>360</v>
      </c>
    </row>
    <row r="69" spans="1:3" ht="15.75" customHeight="1" x14ac:dyDescent="0.3">
      <c r="A69" s="4" t="s">
        <v>361</v>
      </c>
      <c r="B69" s="2">
        <v>319.93</v>
      </c>
      <c r="C69" s="5" t="s">
        <v>362</v>
      </c>
    </row>
    <row r="70" spans="1:3" ht="15.75" customHeight="1" x14ac:dyDescent="0.3">
      <c r="A70" s="4" t="s">
        <v>363</v>
      </c>
      <c r="B70" s="2">
        <v>798.96</v>
      </c>
      <c r="C70" s="5" t="s">
        <v>364</v>
      </c>
    </row>
    <row r="71" spans="1:3" ht="15.75" customHeight="1" x14ac:dyDescent="0.3">
      <c r="A71" s="4" t="s">
        <v>365</v>
      </c>
      <c r="B71" s="2">
        <v>360.75</v>
      </c>
      <c r="C71" s="5" t="s">
        <v>366</v>
      </c>
    </row>
    <row r="72" spans="1:3" ht="15.75" customHeight="1" x14ac:dyDescent="0.3">
      <c r="A72" s="4" t="s">
        <v>367</v>
      </c>
      <c r="B72" s="2">
        <v>268.16000000000003</v>
      </c>
      <c r="C72" s="5" t="s">
        <v>368</v>
      </c>
    </row>
    <row r="73" spans="1:3" ht="15.75" customHeight="1" x14ac:dyDescent="0.3">
      <c r="A73" s="4" t="s">
        <v>369</v>
      </c>
      <c r="B73" s="2">
        <v>931.73</v>
      </c>
      <c r="C73" s="5" t="s">
        <v>370</v>
      </c>
    </row>
    <row r="74" spans="1:3" ht="15.75" customHeight="1" x14ac:dyDescent="0.3">
      <c r="A74" s="4" t="s">
        <v>371</v>
      </c>
      <c r="B74" s="2">
        <v>626.54</v>
      </c>
      <c r="C74" s="5" t="s">
        <v>372</v>
      </c>
    </row>
    <row r="75" spans="1:3" ht="15.75" customHeight="1" x14ac:dyDescent="0.3">
      <c r="A75" s="4" t="s">
        <v>373</v>
      </c>
      <c r="B75" s="2">
        <v>673.97</v>
      </c>
      <c r="C75" s="5" t="s">
        <v>374</v>
      </c>
    </row>
    <row r="76" spans="1:3" ht="15.75" customHeight="1" x14ac:dyDescent="0.3">
      <c r="A76" s="4" t="s">
        <v>375</v>
      </c>
      <c r="B76" s="2">
        <v>362.43</v>
      </c>
      <c r="C76" s="5" t="s">
        <v>376</v>
      </c>
    </row>
    <row r="77" spans="1:3" ht="15.75" customHeight="1" x14ac:dyDescent="0.3">
      <c r="A77" s="4" t="s">
        <v>377</v>
      </c>
      <c r="B77" s="2">
        <v>111.84</v>
      </c>
      <c r="C77" s="5" t="s">
        <v>378</v>
      </c>
    </row>
    <row r="78" spans="1:3" ht="15.75" customHeight="1" x14ac:dyDescent="0.3">
      <c r="A78" s="4" t="s">
        <v>379</v>
      </c>
      <c r="B78" s="2">
        <v>669.59</v>
      </c>
      <c r="C78" s="5" t="s">
        <v>380</v>
      </c>
    </row>
    <row r="79" spans="1:3" ht="15.75" customHeight="1" x14ac:dyDescent="0.3">
      <c r="A79" s="4" t="s">
        <v>381</v>
      </c>
      <c r="B79" s="2">
        <v>431.16</v>
      </c>
      <c r="C79" s="5" t="s">
        <v>382</v>
      </c>
    </row>
    <row r="80" spans="1:3" ht="15.75" customHeight="1" x14ac:dyDescent="0.3">
      <c r="A80" s="4" t="s">
        <v>383</v>
      </c>
      <c r="B80" s="2">
        <v>616.03</v>
      </c>
      <c r="C80" s="5" t="s">
        <v>384</v>
      </c>
    </row>
    <row r="81" spans="1:3" ht="15.75" customHeight="1" x14ac:dyDescent="0.3">
      <c r="A81" s="4" t="s">
        <v>385</v>
      </c>
      <c r="B81" s="2">
        <v>285.99</v>
      </c>
      <c r="C81" s="5" t="s">
        <v>386</v>
      </c>
    </row>
    <row r="82" spans="1:3" ht="15.75" customHeight="1" x14ac:dyDescent="0.3">
      <c r="A82" s="4" t="s">
        <v>387</v>
      </c>
      <c r="B82" s="2">
        <v>466.93</v>
      </c>
      <c r="C82" s="5" t="s">
        <v>388</v>
      </c>
    </row>
    <row r="83" spans="1:3" ht="15.75" customHeight="1" x14ac:dyDescent="0.3">
      <c r="A83" s="4" t="s">
        <v>389</v>
      </c>
      <c r="B83" s="2">
        <v>224.5</v>
      </c>
      <c r="C83" s="5" t="s">
        <v>390</v>
      </c>
    </row>
    <row r="84" spans="1:3" ht="15.75" customHeight="1" x14ac:dyDescent="0.3">
      <c r="A84" s="4" t="s">
        <v>391</v>
      </c>
      <c r="B84" s="2">
        <v>143.16999999999999</v>
      </c>
      <c r="C84" s="5" t="s">
        <v>392</v>
      </c>
    </row>
    <row r="85" spans="1:3" ht="15.75" customHeight="1" x14ac:dyDescent="0.3">
      <c r="A85" s="4" t="s">
        <v>393</v>
      </c>
      <c r="B85" s="2">
        <v>958.01</v>
      </c>
      <c r="C85" s="5" t="s">
        <v>394</v>
      </c>
    </row>
    <row r="86" spans="1:3" ht="15.75" customHeight="1" x14ac:dyDescent="0.3">
      <c r="A86" s="4" t="s">
        <v>395</v>
      </c>
      <c r="B86" s="2">
        <v>960.4</v>
      </c>
      <c r="C86" s="5" t="s">
        <v>396</v>
      </c>
    </row>
    <row r="87" spans="1:3" ht="15.75" customHeight="1" x14ac:dyDescent="0.3">
      <c r="A87" s="4" t="s">
        <v>397</v>
      </c>
      <c r="B87" s="2">
        <v>685.27</v>
      </c>
      <c r="C87" s="5" t="s">
        <v>398</v>
      </c>
    </row>
    <row r="88" spans="1:3" ht="15.75" customHeight="1" x14ac:dyDescent="0.3">
      <c r="A88" s="4" t="s">
        <v>399</v>
      </c>
      <c r="B88" s="2">
        <v>923.3</v>
      </c>
      <c r="C88" s="5" t="s">
        <v>400</v>
      </c>
    </row>
    <row r="89" spans="1:3" ht="15.75" customHeight="1" x14ac:dyDescent="0.3">
      <c r="A89" s="4" t="s">
        <v>401</v>
      </c>
      <c r="B89" s="2">
        <v>635.72</v>
      </c>
      <c r="C89" s="5" t="s">
        <v>402</v>
      </c>
    </row>
    <row r="90" spans="1:3" ht="15.75" customHeight="1" x14ac:dyDescent="0.3">
      <c r="A90" s="4" t="s">
        <v>403</v>
      </c>
      <c r="B90" s="2">
        <v>943.59</v>
      </c>
      <c r="C90" s="5" t="s">
        <v>404</v>
      </c>
    </row>
    <row r="91" spans="1:3" ht="15.75" customHeight="1" x14ac:dyDescent="0.3">
      <c r="A91" s="4" t="s">
        <v>405</v>
      </c>
      <c r="B91" s="2">
        <v>773.32</v>
      </c>
      <c r="C91" s="5" t="s">
        <v>406</v>
      </c>
    </row>
    <row r="92" spans="1:3" ht="15.75" customHeight="1" x14ac:dyDescent="0.3">
      <c r="A92" s="4" t="s">
        <v>407</v>
      </c>
      <c r="B92" s="2">
        <v>756.78</v>
      </c>
      <c r="C92" s="5" t="s">
        <v>408</v>
      </c>
    </row>
    <row r="93" spans="1:3" ht="15.75" customHeight="1" x14ac:dyDescent="0.3">
      <c r="A93" s="4" t="s">
        <v>409</v>
      </c>
      <c r="B93" s="2">
        <v>286.72000000000003</v>
      </c>
      <c r="C93" s="5" t="s">
        <v>410</v>
      </c>
    </row>
    <row r="94" spans="1:3" ht="15.75" customHeight="1" x14ac:dyDescent="0.3">
      <c r="A94" s="4" t="s">
        <v>411</v>
      </c>
      <c r="B94" s="2">
        <v>991.36</v>
      </c>
      <c r="C94" s="5" t="s">
        <v>412</v>
      </c>
    </row>
    <row r="95" spans="1:3" ht="15.75" customHeight="1" x14ac:dyDescent="0.3">
      <c r="A95" s="4" t="s">
        <v>413</v>
      </c>
      <c r="B95" s="2">
        <v>962.92</v>
      </c>
      <c r="C95" s="5" t="s">
        <v>414</v>
      </c>
    </row>
    <row r="96" spans="1:3" ht="15.75" customHeight="1" x14ac:dyDescent="0.3">
      <c r="A96" s="4" t="s">
        <v>415</v>
      </c>
      <c r="B96" s="2">
        <v>464.62</v>
      </c>
      <c r="C96" s="5" t="s">
        <v>416</v>
      </c>
    </row>
    <row r="97" spans="1:3" ht="15.75" customHeight="1" x14ac:dyDescent="0.3">
      <c r="A97" s="4" t="s">
        <v>417</v>
      </c>
      <c r="B97" s="2">
        <v>640.87</v>
      </c>
      <c r="C97" s="5" t="s">
        <v>418</v>
      </c>
    </row>
    <row r="98" spans="1:3" ht="15.75" customHeight="1" x14ac:dyDescent="0.3">
      <c r="A98" s="4" t="s">
        <v>419</v>
      </c>
      <c r="B98" s="2">
        <v>329.11</v>
      </c>
      <c r="C98" s="5" t="s">
        <v>420</v>
      </c>
    </row>
    <row r="99" spans="1:3" ht="15.75" customHeight="1" x14ac:dyDescent="0.3">
      <c r="A99" s="4" t="s">
        <v>421</v>
      </c>
      <c r="B99" s="2">
        <v>608.07000000000005</v>
      </c>
      <c r="C99" s="5" t="s">
        <v>422</v>
      </c>
    </row>
    <row r="100" spans="1:3" ht="15.75" customHeight="1" x14ac:dyDescent="0.3">
      <c r="A100" s="4" t="s">
        <v>423</v>
      </c>
      <c r="B100" s="2">
        <v>256.33999999999997</v>
      </c>
      <c r="C100" s="5" t="s">
        <v>424</v>
      </c>
    </row>
    <row r="101" spans="1:3" ht="15.75" customHeight="1" x14ac:dyDescent="0.3">
      <c r="A101" s="9" t="s">
        <v>425</v>
      </c>
      <c r="B101" s="10">
        <v>169.33</v>
      </c>
      <c r="C101" s="11" t="s">
        <v>426</v>
      </c>
    </row>
    <row r="102" spans="1:3" ht="15.75" customHeight="1" x14ac:dyDescent="0.3">
      <c r="A102" s="3"/>
      <c r="B102" s="3"/>
      <c r="C102" s="3"/>
    </row>
    <row r="103" spans="1:3" ht="15.75" customHeight="1" x14ac:dyDescent="0.3">
      <c r="A103" s="3"/>
      <c r="B103" s="3"/>
      <c r="C103" s="3"/>
    </row>
    <row r="104" spans="1:3" ht="15.75" customHeight="1" x14ac:dyDescent="0.3">
      <c r="A104" s="3"/>
      <c r="B104" s="3"/>
      <c r="C104" s="3"/>
    </row>
    <row r="105" spans="1:3" ht="15.75" customHeight="1" x14ac:dyDescent="0.3">
      <c r="A105" s="3"/>
      <c r="B105" s="3"/>
      <c r="C105" s="3"/>
    </row>
    <row r="106" spans="1:3" ht="15.75" customHeight="1" x14ac:dyDescent="0.3">
      <c r="A106" s="3"/>
      <c r="B106" s="3"/>
      <c r="C106" s="3"/>
    </row>
    <row r="107" spans="1:3" ht="15.75" customHeight="1" x14ac:dyDescent="0.3">
      <c r="A107" s="3"/>
      <c r="B107" s="3"/>
      <c r="C107" s="3"/>
    </row>
    <row r="108" spans="1:3" ht="15.75" customHeight="1" x14ac:dyDescent="0.3">
      <c r="A108" s="3"/>
      <c r="B108" s="3"/>
      <c r="C108" s="3"/>
    </row>
    <row r="109" spans="1:3" ht="15.75" customHeight="1" x14ac:dyDescent="0.3">
      <c r="A109" s="3"/>
      <c r="B109" s="3"/>
      <c r="C109" s="3"/>
    </row>
    <row r="110" spans="1:3" ht="15.75" customHeight="1" x14ac:dyDescent="0.3">
      <c r="A110" s="3"/>
      <c r="B110" s="3"/>
      <c r="C110" s="3"/>
    </row>
    <row r="111" spans="1:3" ht="15.75" customHeight="1" x14ac:dyDescent="0.3">
      <c r="A111" s="3"/>
      <c r="B111" s="3"/>
      <c r="C111" s="3"/>
    </row>
    <row r="112" spans="1:3" ht="15.75" customHeight="1" x14ac:dyDescent="0.3">
      <c r="A112" s="3"/>
      <c r="B112" s="3"/>
      <c r="C112" s="3"/>
    </row>
    <row r="113" spans="1:3" ht="15.75" customHeight="1" x14ac:dyDescent="0.3">
      <c r="A113" s="3"/>
      <c r="B113" s="3"/>
      <c r="C113" s="3"/>
    </row>
    <row r="114" spans="1:3" ht="15.75" customHeight="1" x14ac:dyDescent="0.3">
      <c r="A114" s="3"/>
      <c r="B114" s="3"/>
      <c r="C114" s="3"/>
    </row>
    <row r="115" spans="1:3" ht="15.75" customHeight="1" x14ac:dyDescent="0.3">
      <c r="A115" s="3"/>
      <c r="B115" s="3"/>
      <c r="C115" s="3"/>
    </row>
    <row r="116" spans="1:3" ht="15.75" customHeight="1" x14ac:dyDescent="0.3">
      <c r="A116" s="3"/>
      <c r="B116" s="3"/>
      <c r="C116" s="3"/>
    </row>
    <row r="117" spans="1:3" ht="15.75" customHeight="1" x14ac:dyDescent="0.3">
      <c r="A117" s="3"/>
      <c r="B117" s="3"/>
      <c r="C117" s="3"/>
    </row>
    <row r="118" spans="1:3" ht="15.75" customHeight="1" x14ac:dyDescent="0.3">
      <c r="A118" s="3"/>
      <c r="B118" s="3"/>
      <c r="C118" s="3"/>
    </row>
    <row r="119" spans="1:3" ht="15.75" customHeight="1" x14ac:dyDescent="0.3">
      <c r="A119" s="3"/>
      <c r="B119" s="3"/>
      <c r="C119" s="3"/>
    </row>
    <row r="120" spans="1:3" ht="15.75" customHeight="1" x14ac:dyDescent="0.3">
      <c r="A120" s="3"/>
      <c r="B120" s="3"/>
      <c r="C120" s="3"/>
    </row>
    <row r="121" spans="1:3" ht="15.75" customHeight="1" x14ac:dyDescent="0.3">
      <c r="A121" s="3"/>
      <c r="B121" s="3"/>
      <c r="C121" s="3"/>
    </row>
    <row r="122" spans="1:3" ht="15.75" customHeight="1" x14ac:dyDescent="0.3">
      <c r="A122" s="3"/>
      <c r="B122" s="3"/>
      <c r="C122" s="3"/>
    </row>
    <row r="123" spans="1:3" ht="15.75" customHeight="1" x14ac:dyDescent="0.3">
      <c r="A123" s="3"/>
      <c r="B123" s="3"/>
      <c r="C123" s="3"/>
    </row>
    <row r="124" spans="1:3" ht="15.75" customHeight="1" x14ac:dyDescent="0.3">
      <c r="A124" s="3"/>
      <c r="B124" s="3"/>
      <c r="C124" s="3"/>
    </row>
    <row r="125" spans="1:3" ht="15.75" customHeight="1" x14ac:dyDescent="0.3">
      <c r="A125" s="3"/>
      <c r="B125" s="3"/>
      <c r="C125" s="3"/>
    </row>
    <row r="126" spans="1:3" ht="15.75" customHeight="1" x14ac:dyDescent="0.3">
      <c r="A126" s="3"/>
      <c r="B126" s="3"/>
      <c r="C126" s="3"/>
    </row>
    <row r="127" spans="1:3" ht="15.75" customHeight="1" x14ac:dyDescent="0.3">
      <c r="A127" s="3"/>
      <c r="B127" s="3"/>
      <c r="C127" s="3"/>
    </row>
    <row r="128" spans="1:3" ht="15.75" customHeight="1" x14ac:dyDescent="0.3">
      <c r="A128" s="3"/>
      <c r="B128" s="3"/>
      <c r="C128" s="3"/>
    </row>
    <row r="129" spans="1:3" ht="15.75" customHeight="1" x14ac:dyDescent="0.3">
      <c r="A129" s="3"/>
      <c r="B129" s="3"/>
      <c r="C129" s="3"/>
    </row>
    <row r="130" spans="1:3" ht="15.75" customHeight="1" x14ac:dyDescent="0.3">
      <c r="A130" s="3"/>
      <c r="B130" s="3"/>
      <c r="C130" s="3"/>
    </row>
    <row r="131" spans="1:3" ht="15.75" customHeight="1" x14ac:dyDescent="0.3">
      <c r="A131" s="3"/>
      <c r="B131" s="3"/>
      <c r="C131" s="3"/>
    </row>
    <row r="132" spans="1:3" ht="15.75" customHeight="1" x14ac:dyDescent="0.3">
      <c r="A132" s="3"/>
      <c r="B132" s="3"/>
      <c r="C132" s="3"/>
    </row>
    <row r="133" spans="1:3" ht="15.75" customHeight="1" x14ac:dyDescent="0.3">
      <c r="A133" s="3"/>
      <c r="B133" s="3"/>
      <c r="C133" s="3"/>
    </row>
    <row r="134" spans="1:3" ht="15.75" customHeight="1" x14ac:dyDescent="0.3">
      <c r="A134" s="3"/>
      <c r="B134" s="3"/>
      <c r="C134" s="3"/>
    </row>
    <row r="135" spans="1:3" ht="15.75" customHeight="1" x14ac:dyDescent="0.3">
      <c r="A135" s="3"/>
      <c r="B135" s="3"/>
      <c r="C135" s="3"/>
    </row>
    <row r="136" spans="1:3" ht="15.75" customHeight="1" x14ac:dyDescent="0.3">
      <c r="A136" s="3"/>
      <c r="B136" s="3"/>
      <c r="C136" s="3"/>
    </row>
    <row r="137" spans="1:3" ht="15.75" customHeight="1" x14ac:dyDescent="0.3">
      <c r="A137" s="3"/>
      <c r="B137" s="3"/>
      <c r="C137" s="3"/>
    </row>
    <row r="138" spans="1:3" ht="15.75" customHeight="1" x14ac:dyDescent="0.3">
      <c r="A138" s="3"/>
      <c r="B138" s="3"/>
      <c r="C138" s="3"/>
    </row>
    <row r="139" spans="1:3" ht="15.75" customHeight="1" x14ac:dyDescent="0.3">
      <c r="A139" s="3"/>
      <c r="B139" s="3"/>
      <c r="C139" s="3"/>
    </row>
    <row r="140" spans="1:3" ht="15.75" customHeight="1" x14ac:dyDescent="0.3">
      <c r="A140" s="3"/>
      <c r="B140" s="3"/>
      <c r="C140" s="3"/>
    </row>
    <row r="141" spans="1:3" ht="15.75" customHeight="1" x14ac:dyDescent="0.3">
      <c r="A141" s="3"/>
      <c r="B141" s="3"/>
      <c r="C141" s="3"/>
    </row>
    <row r="142" spans="1:3" ht="15.75" customHeight="1" x14ac:dyDescent="0.3">
      <c r="A142" s="3"/>
      <c r="B142" s="3"/>
      <c r="C142" s="3"/>
    </row>
    <row r="143" spans="1:3" ht="15.75" customHeight="1" x14ac:dyDescent="0.3">
      <c r="A143" s="3"/>
      <c r="B143" s="3"/>
      <c r="C143" s="3"/>
    </row>
    <row r="144" spans="1:3" ht="15.75" customHeight="1" x14ac:dyDescent="0.3">
      <c r="A144" s="3"/>
      <c r="B144" s="3"/>
      <c r="C144" s="3"/>
    </row>
    <row r="145" spans="1:3" ht="15.75" customHeight="1" x14ac:dyDescent="0.3">
      <c r="A145" s="3"/>
      <c r="B145" s="3"/>
      <c r="C145" s="3"/>
    </row>
    <row r="146" spans="1:3" ht="15.75" customHeight="1" x14ac:dyDescent="0.3">
      <c r="A146" s="3"/>
      <c r="B146" s="3"/>
      <c r="C146" s="3"/>
    </row>
    <row r="147" spans="1:3" ht="15.75" customHeight="1" x14ac:dyDescent="0.3">
      <c r="A147" s="3"/>
      <c r="B147" s="3"/>
      <c r="C147" s="3"/>
    </row>
    <row r="148" spans="1:3" ht="15.75" customHeight="1" x14ac:dyDescent="0.3">
      <c r="A148" s="3"/>
      <c r="B148" s="3"/>
      <c r="C148" s="3"/>
    </row>
    <row r="149" spans="1:3" ht="15.75" customHeight="1" x14ac:dyDescent="0.3">
      <c r="A149" s="3"/>
      <c r="B149" s="3"/>
      <c r="C149" s="3"/>
    </row>
    <row r="150" spans="1:3" ht="15.75" customHeight="1" x14ac:dyDescent="0.3">
      <c r="A150" s="3"/>
      <c r="B150" s="3"/>
      <c r="C150" s="3"/>
    </row>
    <row r="151" spans="1:3" ht="15.75" customHeight="1" x14ac:dyDescent="0.3">
      <c r="A151" s="3"/>
      <c r="B151" s="3"/>
      <c r="C151" s="3"/>
    </row>
    <row r="152" spans="1:3" ht="15.75" customHeight="1" x14ac:dyDescent="0.3">
      <c r="A152" s="3"/>
      <c r="B152" s="3"/>
      <c r="C152" s="3"/>
    </row>
    <row r="153" spans="1:3" ht="15.75" customHeight="1" x14ac:dyDescent="0.3">
      <c r="A153" s="3"/>
      <c r="B153" s="3"/>
      <c r="C153" s="3"/>
    </row>
    <row r="154" spans="1:3" ht="15.75" customHeight="1" x14ac:dyDescent="0.3">
      <c r="A154" s="3"/>
      <c r="B154" s="3"/>
      <c r="C154" s="3"/>
    </row>
    <row r="155" spans="1:3" ht="15.75" customHeight="1" x14ac:dyDescent="0.3">
      <c r="A155" s="3"/>
      <c r="B155" s="3"/>
      <c r="C155" s="3"/>
    </row>
    <row r="156" spans="1:3" ht="15.75" customHeight="1" x14ac:dyDescent="0.3">
      <c r="A156" s="3"/>
      <c r="B156" s="3"/>
      <c r="C156" s="3"/>
    </row>
    <row r="157" spans="1:3" ht="15.75" customHeight="1" x14ac:dyDescent="0.3">
      <c r="A157" s="3"/>
      <c r="B157" s="3"/>
      <c r="C157" s="3"/>
    </row>
    <row r="158" spans="1:3" ht="15.75" customHeight="1" x14ac:dyDescent="0.3">
      <c r="A158" s="3"/>
      <c r="B158" s="3"/>
      <c r="C158" s="3"/>
    </row>
    <row r="159" spans="1:3" ht="15.75" customHeight="1" x14ac:dyDescent="0.3">
      <c r="A159" s="3"/>
      <c r="B159" s="3"/>
      <c r="C159" s="3"/>
    </row>
    <row r="160" spans="1:3" ht="15.75" customHeight="1" x14ac:dyDescent="0.3">
      <c r="A160" s="3"/>
      <c r="B160" s="3"/>
      <c r="C160" s="3"/>
    </row>
    <row r="161" spans="1:3" ht="15.75" customHeight="1" x14ac:dyDescent="0.3">
      <c r="A161" s="3"/>
      <c r="B161" s="3"/>
      <c r="C161" s="3"/>
    </row>
    <row r="162" spans="1:3" ht="15.75" customHeight="1" x14ac:dyDescent="0.3">
      <c r="A162" s="3"/>
      <c r="B162" s="3"/>
      <c r="C162" s="3"/>
    </row>
    <row r="163" spans="1:3" ht="15.75" customHeight="1" x14ac:dyDescent="0.3">
      <c r="A163" s="3"/>
      <c r="B163" s="3"/>
      <c r="C163" s="3"/>
    </row>
    <row r="164" spans="1:3" ht="15.75" customHeight="1" x14ac:dyDescent="0.3">
      <c r="A164" s="3"/>
      <c r="B164" s="3"/>
      <c r="C164" s="3"/>
    </row>
    <row r="165" spans="1:3" ht="15.75" customHeight="1" x14ac:dyDescent="0.3">
      <c r="A165" s="3"/>
      <c r="B165" s="3"/>
      <c r="C165" s="3"/>
    </row>
    <row r="166" spans="1:3" ht="15.75" customHeight="1" x14ac:dyDescent="0.3">
      <c r="A166" s="3"/>
      <c r="B166" s="3"/>
      <c r="C166" s="3"/>
    </row>
    <row r="167" spans="1:3" ht="15.75" customHeight="1" x14ac:dyDescent="0.3">
      <c r="A167" s="3"/>
      <c r="B167" s="3"/>
      <c r="C167" s="3"/>
    </row>
    <row r="168" spans="1:3" ht="15.75" customHeight="1" x14ac:dyDescent="0.3">
      <c r="A168" s="3"/>
      <c r="B168" s="3"/>
      <c r="C168" s="3"/>
    </row>
    <row r="169" spans="1:3" ht="15.75" customHeight="1" x14ac:dyDescent="0.3">
      <c r="A169" s="3"/>
      <c r="B169" s="3"/>
      <c r="C169" s="3"/>
    </row>
    <row r="170" spans="1:3" ht="15.75" customHeight="1" x14ac:dyDescent="0.3">
      <c r="A170" s="3"/>
      <c r="B170" s="3"/>
      <c r="C170" s="3"/>
    </row>
    <row r="171" spans="1:3" ht="15.75" customHeight="1" x14ac:dyDescent="0.3">
      <c r="A171" s="3"/>
      <c r="B171" s="3"/>
      <c r="C171" s="3"/>
    </row>
    <row r="172" spans="1:3" ht="15.75" customHeight="1" x14ac:dyDescent="0.3">
      <c r="A172" s="3"/>
      <c r="B172" s="3"/>
      <c r="C172" s="3"/>
    </row>
    <row r="173" spans="1:3" ht="15.75" customHeight="1" x14ac:dyDescent="0.3">
      <c r="A173" s="3"/>
      <c r="B173" s="3"/>
      <c r="C173" s="3"/>
    </row>
    <row r="174" spans="1:3" ht="15.75" customHeight="1" x14ac:dyDescent="0.3">
      <c r="A174" s="3"/>
      <c r="B174" s="3"/>
      <c r="C174" s="3"/>
    </row>
    <row r="175" spans="1:3" ht="15.75" customHeight="1" x14ac:dyDescent="0.3">
      <c r="A175" s="3"/>
      <c r="B175" s="3"/>
      <c r="C175" s="3"/>
    </row>
    <row r="176" spans="1:3" ht="15.75" customHeight="1" x14ac:dyDescent="0.3">
      <c r="A176" s="3"/>
      <c r="B176" s="3"/>
      <c r="C176" s="3"/>
    </row>
    <row r="177" spans="1:3" ht="15.75" customHeight="1" x14ac:dyDescent="0.3">
      <c r="A177" s="3"/>
      <c r="B177" s="3"/>
      <c r="C177" s="3"/>
    </row>
    <row r="178" spans="1:3" ht="15.75" customHeight="1" x14ac:dyDescent="0.3">
      <c r="A178" s="3"/>
      <c r="B178" s="3"/>
      <c r="C178" s="3"/>
    </row>
    <row r="179" spans="1:3" ht="15.75" customHeight="1" x14ac:dyDescent="0.3">
      <c r="A179" s="3"/>
      <c r="B179" s="3"/>
      <c r="C179" s="3"/>
    </row>
    <row r="180" spans="1:3" ht="15.75" customHeight="1" x14ac:dyDescent="0.3">
      <c r="A180" s="3"/>
      <c r="B180" s="3"/>
      <c r="C180" s="3"/>
    </row>
    <row r="181" spans="1:3" ht="15.75" customHeight="1" x14ac:dyDescent="0.3">
      <c r="A181" s="3"/>
      <c r="B181" s="3"/>
      <c r="C181" s="3"/>
    </row>
    <row r="182" spans="1:3" ht="15.75" customHeight="1" x14ac:dyDescent="0.3">
      <c r="A182" s="3"/>
      <c r="B182" s="3"/>
      <c r="C182" s="3"/>
    </row>
    <row r="183" spans="1:3" ht="15.75" customHeight="1" x14ac:dyDescent="0.3">
      <c r="A183" s="3"/>
      <c r="B183" s="3"/>
      <c r="C183" s="3"/>
    </row>
    <row r="184" spans="1:3" ht="15.75" customHeight="1" x14ac:dyDescent="0.3">
      <c r="A184" s="3"/>
      <c r="B184" s="3"/>
      <c r="C184" s="3"/>
    </row>
    <row r="185" spans="1:3" ht="15.75" customHeight="1" x14ac:dyDescent="0.3">
      <c r="A185" s="3"/>
      <c r="B185" s="3"/>
      <c r="C185" s="3"/>
    </row>
    <row r="186" spans="1:3" ht="15.75" customHeight="1" x14ac:dyDescent="0.3">
      <c r="A186" s="3"/>
      <c r="B186" s="3"/>
      <c r="C186" s="3"/>
    </row>
    <row r="187" spans="1:3" ht="15.75" customHeight="1" x14ac:dyDescent="0.3">
      <c r="A187" s="3"/>
      <c r="B187" s="3"/>
      <c r="C187" s="3"/>
    </row>
    <row r="188" spans="1:3" ht="15.75" customHeight="1" x14ac:dyDescent="0.3">
      <c r="A188" s="3"/>
      <c r="B188" s="3"/>
      <c r="C188" s="3"/>
    </row>
    <row r="189" spans="1:3" ht="15.75" customHeight="1" x14ac:dyDescent="0.3">
      <c r="A189" s="3"/>
      <c r="B189" s="3"/>
      <c r="C189" s="3"/>
    </row>
    <row r="190" spans="1:3" ht="15.75" customHeight="1" x14ac:dyDescent="0.3">
      <c r="A190" s="3"/>
      <c r="B190" s="3"/>
      <c r="C190" s="3"/>
    </row>
    <row r="191" spans="1:3" ht="15.75" customHeight="1" x14ac:dyDescent="0.3">
      <c r="A191" s="3"/>
      <c r="B191" s="3"/>
      <c r="C191" s="3"/>
    </row>
    <row r="192" spans="1:3" ht="15.75" customHeight="1" x14ac:dyDescent="0.3">
      <c r="A192" s="3"/>
      <c r="B192" s="3"/>
      <c r="C192" s="3"/>
    </row>
    <row r="193" spans="1:3" ht="15.75" customHeight="1" x14ac:dyDescent="0.3">
      <c r="A193" s="3"/>
      <c r="B193" s="3"/>
      <c r="C193" s="3"/>
    </row>
    <row r="194" spans="1:3" ht="15.75" customHeight="1" x14ac:dyDescent="0.3">
      <c r="A194" s="3"/>
      <c r="B194" s="3"/>
      <c r="C194" s="3"/>
    </row>
    <row r="195" spans="1:3" ht="15.75" customHeight="1" x14ac:dyDescent="0.3">
      <c r="A195" s="3"/>
      <c r="B195" s="3"/>
      <c r="C195" s="3"/>
    </row>
    <row r="196" spans="1:3" ht="15.75" customHeight="1" x14ac:dyDescent="0.3">
      <c r="A196" s="3"/>
      <c r="B196" s="3"/>
      <c r="C196" s="3"/>
    </row>
    <row r="197" spans="1:3" ht="15.75" customHeight="1" x14ac:dyDescent="0.3">
      <c r="A197" s="3"/>
      <c r="B197" s="3"/>
      <c r="C197" s="3"/>
    </row>
    <row r="198" spans="1:3" ht="15.75" customHeight="1" x14ac:dyDescent="0.3">
      <c r="A198" s="3"/>
      <c r="B198" s="3"/>
      <c r="C198" s="3"/>
    </row>
    <row r="199" spans="1:3" ht="15.75" customHeight="1" x14ac:dyDescent="0.3">
      <c r="A199" s="3"/>
      <c r="B199" s="3"/>
      <c r="C199" s="3"/>
    </row>
    <row r="200" spans="1:3" ht="15.75" customHeight="1" x14ac:dyDescent="0.3">
      <c r="A200" s="3"/>
      <c r="B200" s="3"/>
      <c r="C200" s="3"/>
    </row>
    <row r="201" spans="1:3" ht="15.75" customHeight="1" x14ac:dyDescent="0.3">
      <c r="A201" s="3"/>
      <c r="B201" s="3"/>
      <c r="C201" s="3"/>
    </row>
    <row r="202" spans="1:3" ht="15.75" customHeight="1" x14ac:dyDescent="0.3">
      <c r="A202" s="3"/>
      <c r="B202" s="3"/>
      <c r="C202" s="3"/>
    </row>
    <row r="203" spans="1:3" ht="15.75" customHeight="1" x14ac:dyDescent="0.3">
      <c r="A203" s="3"/>
      <c r="B203" s="3"/>
      <c r="C203" s="3"/>
    </row>
    <row r="204" spans="1:3" ht="15.75" customHeight="1" x14ac:dyDescent="0.3">
      <c r="A204" s="3"/>
      <c r="B204" s="3"/>
      <c r="C204" s="3"/>
    </row>
    <row r="205" spans="1:3" ht="15.75" customHeight="1" x14ac:dyDescent="0.3">
      <c r="A205" s="3"/>
      <c r="B205" s="3"/>
      <c r="C205" s="3"/>
    </row>
    <row r="206" spans="1:3" ht="15.75" customHeight="1" x14ac:dyDescent="0.3">
      <c r="A206" s="3"/>
      <c r="B206" s="3"/>
      <c r="C206" s="3"/>
    </row>
    <row r="207" spans="1:3" ht="15.75" customHeight="1" x14ac:dyDescent="0.3">
      <c r="A207" s="3"/>
      <c r="B207" s="3"/>
      <c r="C207" s="3"/>
    </row>
    <row r="208" spans="1:3" ht="15.75" customHeight="1" x14ac:dyDescent="0.3">
      <c r="A208" s="3"/>
      <c r="B208" s="3"/>
      <c r="C208" s="3"/>
    </row>
    <row r="209" spans="1:3" ht="15.75" customHeight="1" x14ac:dyDescent="0.3">
      <c r="A209" s="3"/>
      <c r="B209" s="3"/>
      <c r="C209" s="3"/>
    </row>
    <row r="210" spans="1:3" ht="15.75" customHeight="1" x14ac:dyDescent="0.3">
      <c r="A210" s="3"/>
      <c r="B210" s="3"/>
      <c r="C210" s="3"/>
    </row>
    <row r="211" spans="1:3" ht="15.75" customHeight="1" x14ac:dyDescent="0.3">
      <c r="A211" s="3"/>
      <c r="B211" s="3"/>
      <c r="C211" s="3"/>
    </row>
    <row r="212" spans="1:3" ht="15.75" customHeight="1" x14ac:dyDescent="0.3">
      <c r="A212" s="3"/>
      <c r="B212" s="3"/>
      <c r="C212" s="3"/>
    </row>
    <row r="213" spans="1:3" ht="15.75" customHeight="1" x14ac:dyDescent="0.3">
      <c r="A213" s="3"/>
      <c r="B213" s="3"/>
      <c r="C213" s="3"/>
    </row>
    <row r="214" spans="1:3" ht="15.75" customHeight="1" x14ac:dyDescent="0.3">
      <c r="A214" s="3"/>
      <c r="B214" s="3"/>
      <c r="C214" s="3"/>
    </row>
    <row r="215" spans="1:3" ht="15.75" customHeight="1" x14ac:dyDescent="0.3">
      <c r="A215" s="3"/>
      <c r="B215" s="3"/>
      <c r="C215" s="3"/>
    </row>
    <row r="216" spans="1:3" ht="15.75" customHeight="1" x14ac:dyDescent="0.3">
      <c r="A216" s="3"/>
      <c r="B216" s="3"/>
      <c r="C216" s="3"/>
    </row>
    <row r="217" spans="1:3" ht="15.75" customHeight="1" x14ac:dyDescent="0.3">
      <c r="A217" s="3"/>
      <c r="B217" s="3"/>
      <c r="C217" s="3"/>
    </row>
    <row r="218" spans="1:3" ht="15.75" customHeight="1" x14ac:dyDescent="0.3">
      <c r="A218" s="3"/>
      <c r="B218" s="3"/>
      <c r="C218" s="3"/>
    </row>
    <row r="219" spans="1:3" ht="15.75" customHeight="1" x14ac:dyDescent="0.3">
      <c r="A219" s="3"/>
      <c r="B219" s="3"/>
      <c r="C219" s="3"/>
    </row>
    <row r="220" spans="1:3" ht="15.75" customHeight="1" x14ac:dyDescent="0.3">
      <c r="A220" s="3"/>
      <c r="B220" s="3"/>
      <c r="C220" s="3"/>
    </row>
    <row r="221" spans="1:3" ht="15.75" customHeight="1" x14ac:dyDescent="0.3">
      <c r="A221" s="3"/>
      <c r="B221" s="3"/>
      <c r="C221" s="3"/>
    </row>
    <row r="222" spans="1:3" ht="15.75" customHeight="1" x14ac:dyDescent="0.3">
      <c r="A222" s="3"/>
      <c r="B222" s="3"/>
      <c r="C222" s="3"/>
    </row>
    <row r="223" spans="1:3" ht="15.75" customHeight="1" x14ac:dyDescent="0.3">
      <c r="A223" s="3"/>
      <c r="B223" s="3"/>
      <c r="C223" s="3"/>
    </row>
    <row r="224" spans="1:3" ht="15.75" customHeight="1" x14ac:dyDescent="0.3">
      <c r="A224" s="3"/>
      <c r="B224" s="3"/>
      <c r="C224" s="3"/>
    </row>
    <row r="225" spans="1:3" ht="15.75" customHeight="1" x14ac:dyDescent="0.3">
      <c r="A225" s="3"/>
      <c r="B225" s="3"/>
      <c r="C225" s="3"/>
    </row>
    <row r="226" spans="1:3" ht="15.75" customHeight="1" x14ac:dyDescent="0.3">
      <c r="A226" s="3"/>
      <c r="B226" s="3"/>
      <c r="C226" s="3"/>
    </row>
    <row r="227" spans="1:3" ht="15.75" customHeight="1" x14ac:dyDescent="0.3">
      <c r="A227" s="3"/>
      <c r="B227" s="3"/>
      <c r="C227" s="3"/>
    </row>
    <row r="228" spans="1:3" ht="15.75" customHeight="1" x14ac:dyDescent="0.3">
      <c r="A228" s="3"/>
      <c r="B228" s="3"/>
      <c r="C228" s="3"/>
    </row>
    <row r="229" spans="1:3" ht="15.75" customHeight="1" x14ac:dyDescent="0.3">
      <c r="A229" s="3"/>
      <c r="B229" s="3"/>
      <c r="C229" s="3"/>
    </row>
    <row r="230" spans="1:3" ht="15.75" customHeight="1" x14ac:dyDescent="0.3">
      <c r="A230" s="3"/>
      <c r="B230" s="3"/>
      <c r="C230" s="3"/>
    </row>
    <row r="231" spans="1:3" ht="15.75" customHeight="1" x14ac:dyDescent="0.3">
      <c r="A231" s="3"/>
      <c r="B231" s="3"/>
      <c r="C231" s="3"/>
    </row>
    <row r="232" spans="1:3" ht="15.75" customHeight="1" x14ac:dyDescent="0.3">
      <c r="A232" s="3"/>
      <c r="B232" s="3"/>
      <c r="C232" s="3"/>
    </row>
    <row r="233" spans="1:3" ht="15.75" customHeight="1" x14ac:dyDescent="0.3">
      <c r="A233" s="3"/>
      <c r="B233" s="3"/>
      <c r="C233" s="3"/>
    </row>
    <row r="234" spans="1:3" ht="15.75" customHeight="1" x14ac:dyDescent="0.3">
      <c r="A234" s="3"/>
      <c r="B234" s="3"/>
      <c r="C234" s="3"/>
    </row>
    <row r="235" spans="1:3" ht="15.75" customHeight="1" x14ac:dyDescent="0.3">
      <c r="A235" s="3"/>
      <c r="B235" s="3"/>
      <c r="C235" s="3"/>
    </row>
    <row r="236" spans="1:3" ht="15.75" customHeight="1" x14ac:dyDescent="0.3">
      <c r="A236" s="3"/>
      <c r="B236" s="3"/>
      <c r="C236" s="3"/>
    </row>
    <row r="237" spans="1:3" ht="15.75" customHeight="1" x14ac:dyDescent="0.3">
      <c r="A237" s="3"/>
      <c r="B237" s="3"/>
      <c r="C237" s="3"/>
    </row>
    <row r="238" spans="1:3" ht="15.75" customHeight="1" x14ac:dyDescent="0.3">
      <c r="A238" s="3"/>
      <c r="B238" s="3"/>
      <c r="C238" s="3"/>
    </row>
    <row r="239" spans="1:3" ht="15.75" customHeight="1" x14ac:dyDescent="0.3">
      <c r="A239" s="3"/>
      <c r="B239" s="3"/>
      <c r="C239" s="3"/>
    </row>
    <row r="240" spans="1:3" ht="15.75" customHeight="1" x14ac:dyDescent="0.3">
      <c r="A240" s="3"/>
      <c r="B240" s="3"/>
      <c r="C240" s="3"/>
    </row>
    <row r="241" spans="1:3" ht="15.75" customHeight="1" x14ac:dyDescent="0.3">
      <c r="A241" s="3"/>
      <c r="B241" s="3"/>
      <c r="C241" s="3"/>
    </row>
    <row r="242" spans="1:3" ht="15.75" customHeight="1" x14ac:dyDescent="0.3">
      <c r="A242" s="3"/>
      <c r="B242" s="3"/>
      <c r="C242" s="3"/>
    </row>
    <row r="243" spans="1:3" ht="15.75" customHeight="1" x14ac:dyDescent="0.3">
      <c r="A243" s="3"/>
      <c r="B243" s="3"/>
      <c r="C243" s="3"/>
    </row>
    <row r="244" spans="1:3" ht="15.75" customHeight="1" x14ac:dyDescent="0.3">
      <c r="A244" s="3"/>
      <c r="B244" s="3"/>
      <c r="C244" s="3"/>
    </row>
    <row r="245" spans="1:3" ht="15.75" customHeight="1" x14ac:dyDescent="0.3">
      <c r="A245" s="3"/>
      <c r="B245" s="3"/>
      <c r="C245" s="3"/>
    </row>
    <row r="246" spans="1:3" ht="15.75" customHeight="1" x14ac:dyDescent="0.3">
      <c r="A246" s="3"/>
      <c r="B246" s="3"/>
      <c r="C246" s="3"/>
    </row>
    <row r="247" spans="1:3" ht="15.75" customHeight="1" x14ac:dyDescent="0.3">
      <c r="A247" s="3"/>
      <c r="B247" s="3"/>
      <c r="C247" s="3"/>
    </row>
    <row r="248" spans="1:3" ht="15.75" customHeight="1" x14ac:dyDescent="0.3">
      <c r="A248" s="3"/>
      <c r="B248" s="3"/>
      <c r="C248" s="3"/>
    </row>
    <row r="249" spans="1:3" ht="15.75" customHeight="1" x14ac:dyDescent="0.3">
      <c r="A249" s="3"/>
      <c r="B249" s="3"/>
      <c r="C249" s="3"/>
    </row>
    <row r="250" spans="1:3" ht="15.75" customHeight="1" x14ac:dyDescent="0.3">
      <c r="A250" s="3"/>
      <c r="B250" s="3"/>
      <c r="C250" s="3"/>
    </row>
    <row r="251" spans="1:3" ht="15.75" customHeight="1" x14ac:dyDescent="0.3">
      <c r="A251" s="3"/>
      <c r="B251" s="3"/>
      <c r="C251" s="3"/>
    </row>
    <row r="252" spans="1:3" ht="15.75" customHeight="1" x14ac:dyDescent="0.3">
      <c r="A252" s="3"/>
      <c r="B252" s="3"/>
      <c r="C252" s="3"/>
    </row>
    <row r="253" spans="1:3" ht="15.75" customHeight="1" x14ac:dyDescent="0.3">
      <c r="A253" s="3"/>
      <c r="B253" s="3"/>
      <c r="C253" s="3"/>
    </row>
    <row r="254" spans="1:3" ht="15.75" customHeight="1" x14ac:dyDescent="0.3">
      <c r="A254" s="3"/>
      <c r="B254" s="3"/>
      <c r="C254" s="3"/>
    </row>
    <row r="255" spans="1:3" ht="15.75" customHeight="1" x14ac:dyDescent="0.3">
      <c r="A255" s="3"/>
      <c r="B255" s="3"/>
      <c r="C255" s="3"/>
    </row>
    <row r="256" spans="1:3" ht="15.75" customHeight="1" x14ac:dyDescent="0.3">
      <c r="A256" s="3"/>
      <c r="B256" s="3"/>
      <c r="C256" s="3"/>
    </row>
    <row r="257" spans="1:3" ht="15.75" customHeight="1" x14ac:dyDescent="0.3">
      <c r="A257" s="3"/>
      <c r="B257" s="3"/>
      <c r="C257" s="3"/>
    </row>
    <row r="258" spans="1:3" ht="15.75" customHeight="1" x14ac:dyDescent="0.3">
      <c r="A258" s="3"/>
      <c r="B258" s="3"/>
      <c r="C258" s="3"/>
    </row>
    <row r="259" spans="1:3" ht="15.75" customHeight="1" x14ac:dyDescent="0.3">
      <c r="A259" s="3"/>
      <c r="B259" s="3"/>
      <c r="C259" s="3"/>
    </row>
    <row r="260" spans="1:3" ht="15.75" customHeight="1" x14ac:dyDescent="0.3">
      <c r="A260" s="3"/>
      <c r="B260" s="3"/>
      <c r="C260" s="3"/>
    </row>
    <row r="261" spans="1:3" ht="15.75" customHeight="1" x14ac:dyDescent="0.3">
      <c r="A261" s="3"/>
      <c r="B261" s="3"/>
      <c r="C261" s="3"/>
    </row>
    <row r="262" spans="1:3" ht="15.75" customHeight="1" x14ac:dyDescent="0.3">
      <c r="A262" s="3"/>
      <c r="B262" s="3"/>
      <c r="C262" s="3"/>
    </row>
    <row r="263" spans="1:3" ht="15.75" customHeight="1" x14ac:dyDescent="0.3">
      <c r="A263" s="3"/>
      <c r="B263" s="3"/>
      <c r="C263" s="3"/>
    </row>
    <row r="264" spans="1:3" ht="15.75" customHeight="1" x14ac:dyDescent="0.3">
      <c r="A264" s="3"/>
      <c r="B264" s="3"/>
      <c r="C264" s="3"/>
    </row>
    <row r="265" spans="1:3" ht="15.75" customHeight="1" x14ac:dyDescent="0.3">
      <c r="A265" s="3"/>
      <c r="B265" s="3"/>
      <c r="C265" s="3"/>
    </row>
    <row r="266" spans="1:3" ht="15.75" customHeight="1" x14ac:dyDescent="0.3">
      <c r="A266" s="3"/>
      <c r="B266" s="3"/>
      <c r="C266" s="3"/>
    </row>
    <row r="267" spans="1:3" ht="15.75" customHeight="1" x14ac:dyDescent="0.3">
      <c r="A267" s="3"/>
      <c r="B267" s="3"/>
      <c r="C267" s="3"/>
    </row>
    <row r="268" spans="1:3" ht="15.75" customHeight="1" x14ac:dyDescent="0.3">
      <c r="A268" s="3"/>
      <c r="B268" s="3"/>
      <c r="C268" s="3"/>
    </row>
    <row r="269" spans="1:3" ht="15.75" customHeight="1" x14ac:dyDescent="0.3">
      <c r="A269" s="3"/>
      <c r="B269" s="3"/>
      <c r="C269" s="3"/>
    </row>
    <row r="270" spans="1:3" ht="15.75" customHeight="1" x14ac:dyDescent="0.3">
      <c r="A270" s="3"/>
      <c r="B270" s="3"/>
      <c r="C270" s="3"/>
    </row>
    <row r="271" spans="1:3" ht="15.75" customHeight="1" x14ac:dyDescent="0.3">
      <c r="A271" s="3"/>
      <c r="B271" s="3"/>
      <c r="C271" s="3"/>
    </row>
    <row r="272" spans="1:3" ht="15.75" customHeight="1" x14ac:dyDescent="0.3">
      <c r="A272" s="3"/>
      <c r="B272" s="3"/>
      <c r="C272" s="3"/>
    </row>
    <row r="273" spans="1:3" ht="15.75" customHeight="1" x14ac:dyDescent="0.3">
      <c r="A273" s="3"/>
      <c r="B273" s="3"/>
      <c r="C273" s="3"/>
    </row>
    <row r="274" spans="1:3" ht="15.75" customHeight="1" x14ac:dyDescent="0.3">
      <c r="A274" s="3"/>
      <c r="B274" s="3"/>
      <c r="C274" s="3"/>
    </row>
    <row r="275" spans="1:3" ht="15.75" customHeight="1" x14ac:dyDescent="0.3">
      <c r="A275" s="3"/>
      <c r="B275" s="3"/>
      <c r="C275" s="3"/>
    </row>
    <row r="276" spans="1:3" ht="15.75" customHeight="1" x14ac:dyDescent="0.3">
      <c r="A276" s="3"/>
      <c r="B276" s="3"/>
      <c r="C276" s="3"/>
    </row>
    <row r="277" spans="1:3" ht="15.75" customHeight="1" x14ac:dyDescent="0.3">
      <c r="A277" s="3"/>
      <c r="B277" s="3"/>
      <c r="C277" s="3"/>
    </row>
    <row r="278" spans="1:3" ht="15.75" customHeight="1" x14ac:dyDescent="0.3">
      <c r="A278" s="3"/>
      <c r="B278" s="3"/>
      <c r="C278" s="3"/>
    </row>
    <row r="279" spans="1:3" ht="15.75" customHeight="1" x14ac:dyDescent="0.3">
      <c r="A279" s="3"/>
      <c r="B279" s="3"/>
      <c r="C279" s="3"/>
    </row>
    <row r="280" spans="1:3" ht="15.75" customHeight="1" x14ac:dyDescent="0.3">
      <c r="A280" s="3"/>
      <c r="B280" s="3"/>
      <c r="C280" s="3"/>
    </row>
    <row r="281" spans="1:3" ht="15.75" customHeight="1" x14ac:dyDescent="0.3">
      <c r="A281" s="3"/>
      <c r="B281" s="3"/>
      <c r="C281" s="3"/>
    </row>
    <row r="282" spans="1:3" ht="15.75" customHeight="1" x14ac:dyDescent="0.3">
      <c r="A282" s="3"/>
      <c r="B282" s="3"/>
      <c r="C282" s="3"/>
    </row>
    <row r="283" spans="1:3" ht="15.75" customHeight="1" x14ac:dyDescent="0.3">
      <c r="A283" s="3"/>
      <c r="B283" s="3"/>
      <c r="C283" s="3"/>
    </row>
    <row r="284" spans="1:3" ht="15.75" customHeight="1" x14ac:dyDescent="0.3">
      <c r="A284" s="3"/>
      <c r="B284" s="3"/>
      <c r="C284" s="3"/>
    </row>
    <row r="285" spans="1:3" ht="15.75" customHeight="1" x14ac:dyDescent="0.3">
      <c r="A285" s="3"/>
      <c r="B285" s="3"/>
      <c r="C285" s="3"/>
    </row>
    <row r="286" spans="1:3" ht="15.75" customHeight="1" x14ac:dyDescent="0.3">
      <c r="A286" s="3"/>
      <c r="B286" s="3"/>
      <c r="C286" s="3"/>
    </row>
    <row r="287" spans="1:3" ht="15.75" customHeight="1" x14ac:dyDescent="0.3">
      <c r="A287" s="3"/>
      <c r="B287" s="3"/>
      <c r="C287" s="3"/>
    </row>
    <row r="288" spans="1:3" ht="15.75" customHeight="1" x14ac:dyDescent="0.3">
      <c r="A288" s="3"/>
      <c r="B288" s="3"/>
      <c r="C288" s="3"/>
    </row>
    <row r="289" spans="1:3" ht="15.75" customHeight="1" x14ac:dyDescent="0.3">
      <c r="A289" s="3"/>
      <c r="B289" s="3"/>
      <c r="C289" s="3"/>
    </row>
    <row r="290" spans="1:3" ht="15.75" customHeight="1" x14ac:dyDescent="0.3">
      <c r="A290" s="3"/>
      <c r="B290" s="3"/>
      <c r="C290" s="3"/>
    </row>
    <row r="291" spans="1:3" ht="15.75" customHeight="1" x14ac:dyDescent="0.3">
      <c r="A291" s="3"/>
      <c r="B291" s="3"/>
      <c r="C291" s="3"/>
    </row>
    <row r="292" spans="1:3" ht="15.75" customHeight="1" x14ac:dyDescent="0.3">
      <c r="A292" s="3"/>
      <c r="B292" s="3"/>
      <c r="C292" s="3"/>
    </row>
    <row r="293" spans="1:3" ht="15.75" customHeight="1" x14ac:dyDescent="0.3">
      <c r="A293" s="3"/>
      <c r="B293" s="3"/>
      <c r="C293" s="3"/>
    </row>
    <row r="294" spans="1:3" ht="15.75" customHeight="1" x14ac:dyDescent="0.3">
      <c r="A294" s="3"/>
      <c r="B294" s="3"/>
      <c r="C294" s="3"/>
    </row>
    <row r="295" spans="1:3" ht="15.75" customHeight="1" x14ac:dyDescent="0.3">
      <c r="A295" s="3"/>
      <c r="B295" s="3"/>
      <c r="C295" s="3"/>
    </row>
    <row r="296" spans="1:3" ht="15.75" customHeight="1" x14ac:dyDescent="0.3">
      <c r="A296" s="3"/>
      <c r="B296" s="3"/>
      <c r="C296" s="3"/>
    </row>
    <row r="297" spans="1:3" ht="15.75" customHeight="1" x14ac:dyDescent="0.3">
      <c r="A297" s="3"/>
      <c r="B297" s="3"/>
      <c r="C297" s="3"/>
    </row>
    <row r="298" spans="1:3" ht="15.75" customHeight="1" x14ac:dyDescent="0.3">
      <c r="A298" s="3"/>
      <c r="B298" s="3"/>
      <c r="C298" s="3"/>
    </row>
    <row r="299" spans="1:3" ht="15.75" customHeight="1" x14ac:dyDescent="0.3">
      <c r="A299" s="3"/>
      <c r="B299" s="3"/>
      <c r="C299" s="3"/>
    </row>
    <row r="300" spans="1:3" ht="15.75" customHeight="1" x14ac:dyDescent="0.3">
      <c r="A300" s="3"/>
      <c r="B300" s="3"/>
      <c r="C300" s="3"/>
    </row>
    <row r="301" spans="1:3" ht="15.75" customHeight="1" x14ac:dyDescent="0.3">
      <c r="A301" s="3"/>
      <c r="B301" s="3"/>
      <c r="C301" s="3"/>
    </row>
    <row r="302" spans="1:3" ht="15.75" customHeight="1" x14ac:dyDescent="0.3">
      <c r="A302" s="3"/>
      <c r="B302" s="3"/>
      <c r="C302" s="3"/>
    </row>
    <row r="303" spans="1:3" ht="15.75" customHeight="1" x14ac:dyDescent="0.3">
      <c r="A303" s="3"/>
      <c r="B303" s="3"/>
      <c r="C303" s="3"/>
    </row>
    <row r="304" spans="1:3" ht="15.75" customHeight="1" x14ac:dyDescent="0.3">
      <c r="A304" s="3"/>
      <c r="B304" s="3"/>
      <c r="C304" s="3"/>
    </row>
    <row r="305" spans="1:3" ht="15.75" customHeight="1" x14ac:dyDescent="0.3">
      <c r="A305" s="3"/>
      <c r="B305" s="3"/>
      <c r="C305" s="3"/>
    </row>
    <row r="306" spans="1:3" ht="15.75" customHeight="1" x14ac:dyDescent="0.3">
      <c r="A306" s="3"/>
      <c r="B306" s="3"/>
      <c r="C306" s="3"/>
    </row>
    <row r="307" spans="1:3" ht="15.75" customHeight="1" x14ac:dyDescent="0.3">
      <c r="A307" s="3"/>
      <c r="B307" s="3"/>
      <c r="C307" s="3"/>
    </row>
    <row r="308" spans="1:3" ht="15.75" customHeight="1" x14ac:dyDescent="0.3">
      <c r="A308" s="3"/>
      <c r="B308" s="3"/>
      <c r="C308" s="3"/>
    </row>
    <row r="309" spans="1:3" ht="15.75" customHeight="1" x14ac:dyDescent="0.3">
      <c r="A309" s="3"/>
      <c r="B309" s="3"/>
      <c r="C309" s="3"/>
    </row>
    <row r="310" spans="1:3" ht="15.75" customHeight="1" x14ac:dyDescent="0.3">
      <c r="A310" s="3"/>
      <c r="B310" s="3"/>
      <c r="C310" s="3"/>
    </row>
    <row r="311" spans="1:3" ht="15.75" customHeight="1" x14ac:dyDescent="0.3">
      <c r="A311" s="3"/>
      <c r="B311" s="3"/>
      <c r="C311" s="3"/>
    </row>
    <row r="312" spans="1:3" ht="15.75" customHeight="1" x14ac:dyDescent="0.3">
      <c r="A312" s="3"/>
      <c r="B312" s="3"/>
      <c r="C312" s="3"/>
    </row>
    <row r="313" spans="1:3" ht="15.75" customHeight="1" x14ac:dyDescent="0.3">
      <c r="A313" s="3"/>
      <c r="B313" s="3"/>
      <c r="C313" s="3"/>
    </row>
    <row r="314" spans="1:3" ht="15.75" customHeight="1" x14ac:dyDescent="0.3">
      <c r="A314" s="3"/>
      <c r="B314" s="3"/>
      <c r="C314" s="3"/>
    </row>
    <row r="315" spans="1:3" ht="15.75" customHeight="1" x14ac:dyDescent="0.3">
      <c r="A315" s="3"/>
      <c r="B315" s="3"/>
      <c r="C315" s="3"/>
    </row>
    <row r="316" spans="1:3" ht="15.75" customHeight="1" x14ac:dyDescent="0.3">
      <c r="A316" s="3"/>
      <c r="B316" s="3"/>
      <c r="C316" s="3"/>
    </row>
    <row r="317" spans="1:3" ht="15.75" customHeight="1" x14ac:dyDescent="0.3">
      <c r="A317" s="3"/>
      <c r="B317" s="3"/>
      <c r="C317" s="3"/>
    </row>
    <row r="318" spans="1:3" ht="15.75" customHeight="1" x14ac:dyDescent="0.3">
      <c r="A318" s="3"/>
      <c r="B318" s="3"/>
      <c r="C318" s="3"/>
    </row>
    <row r="319" spans="1:3" ht="15.75" customHeight="1" x14ac:dyDescent="0.3">
      <c r="A319" s="3"/>
      <c r="B319" s="3"/>
      <c r="C319" s="3"/>
    </row>
    <row r="320" spans="1:3" ht="15.75" customHeight="1" x14ac:dyDescent="0.3">
      <c r="A320" s="3"/>
      <c r="B320" s="3"/>
      <c r="C320" s="3"/>
    </row>
    <row r="321" spans="1:3" ht="15.75" customHeight="1" x14ac:dyDescent="0.3">
      <c r="A321" s="3"/>
      <c r="B321" s="3"/>
      <c r="C321" s="3"/>
    </row>
    <row r="322" spans="1:3" ht="15.75" customHeight="1" x14ac:dyDescent="0.3">
      <c r="A322" s="3"/>
      <c r="B322" s="3"/>
      <c r="C322" s="3"/>
    </row>
    <row r="323" spans="1:3" ht="15.75" customHeight="1" x14ac:dyDescent="0.3">
      <c r="A323" s="3"/>
      <c r="B323" s="3"/>
      <c r="C323" s="3"/>
    </row>
    <row r="324" spans="1:3" ht="15.75" customHeight="1" x14ac:dyDescent="0.3">
      <c r="A324" s="3"/>
      <c r="B324" s="3"/>
      <c r="C324" s="3"/>
    </row>
    <row r="325" spans="1:3" ht="15.75" customHeight="1" x14ac:dyDescent="0.3">
      <c r="A325" s="3"/>
      <c r="B325" s="3"/>
      <c r="C325" s="3"/>
    </row>
    <row r="326" spans="1:3" ht="15.75" customHeight="1" x14ac:dyDescent="0.3">
      <c r="A326" s="3"/>
      <c r="B326" s="3"/>
      <c r="C326" s="3"/>
    </row>
    <row r="327" spans="1:3" ht="15.75" customHeight="1" x14ac:dyDescent="0.3">
      <c r="A327" s="3"/>
      <c r="B327" s="3"/>
      <c r="C327" s="3"/>
    </row>
    <row r="328" spans="1:3" ht="15.75" customHeight="1" x14ac:dyDescent="0.3">
      <c r="A328" s="3"/>
      <c r="B328" s="3"/>
      <c r="C328" s="3"/>
    </row>
    <row r="329" spans="1:3" ht="15.75" customHeight="1" x14ac:dyDescent="0.3">
      <c r="A329" s="3"/>
      <c r="B329" s="3"/>
      <c r="C329" s="3"/>
    </row>
    <row r="330" spans="1:3" ht="15.75" customHeight="1" x14ac:dyDescent="0.3">
      <c r="A330" s="3"/>
      <c r="B330" s="3"/>
      <c r="C330" s="3"/>
    </row>
    <row r="331" spans="1:3" ht="15.75" customHeight="1" x14ac:dyDescent="0.3">
      <c r="A331" s="3"/>
      <c r="B331" s="3"/>
      <c r="C331" s="3"/>
    </row>
    <row r="332" spans="1:3" ht="15.75" customHeight="1" x14ac:dyDescent="0.3">
      <c r="A332" s="3"/>
      <c r="B332" s="3"/>
      <c r="C332" s="3"/>
    </row>
    <row r="333" spans="1:3" ht="15.75" customHeight="1" x14ac:dyDescent="0.3">
      <c r="A333" s="3"/>
      <c r="B333" s="3"/>
      <c r="C333" s="3"/>
    </row>
    <row r="334" spans="1:3" ht="15.75" customHeight="1" x14ac:dyDescent="0.3">
      <c r="A334" s="3"/>
      <c r="B334" s="3"/>
      <c r="C334" s="3"/>
    </row>
    <row r="335" spans="1:3" ht="15.75" customHeight="1" x14ac:dyDescent="0.3">
      <c r="A335" s="3"/>
      <c r="B335" s="3"/>
      <c r="C335" s="3"/>
    </row>
    <row r="336" spans="1:3" ht="15.75" customHeight="1" x14ac:dyDescent="0.3">
      <c r="A336" s="3"/>
      <c r="B336" s="3"/>
      <c r="C336" s="3"/>
    </row>
    <row r="337" spans="1:3" ht="15.75" customHeight="1" x14ac:dyDescent="0.3">
      <c r="A337" s="3"/>
      <c r="B337" s="3"/>
      <c r="C337" s="3"/>
    </row>
    <row r="338" spans="1:3" ht="15.75" customHeight="1" x14ac:dyDescent="0.3">
      <c r="A338" s="3"/>
      <c r="B338" s="3"/>
      <c r="C338" s="3"/>
    </row>
    <row r="339" spans="1:3" ht="15.75" customHeight="1" x14ac:dyDescent="0.3">
      <c r="A339" s="3"/>
      <c r="B339" s="3"/>
      <c r="C339" s="3"/>
    </row>
    <row r="340" spans="1:3" ht="15.75" customHeight="1" x14ac:dyDescent="0.3">
      <c r="A340" s="3"/>
      <c r="B340" s="3"/>
      <c r="C340" s="3"/>
    </row>
    <row r="341" spans="1:3" ht="15.75" customHeight="1" x14ac:dyDescent="0.3">
      <c r="A341" s="3"/>
      <c r="B341" s="3"/>
      <c r="C341" s="3"/>
    </row>
    <row r="342" spans="1:3" ht="15.75" customHeight="1" x14ac:dyDescent="0.3">
      <c r="A342" s="3"/>
      <c r="B342" s="3"/>
      <c r="C342" s="3"/>
    </row>
    <row r="343" spans="1:3" ht="15.75" customHeight="1" x14ac:dyDescent="0.3">
      <c r="A343" s="3"/>
      <c r="B343" s="3"/>
      <c r="C343" s="3"/>
    </row>
    <row r="344" spans="1:3" ht="15.75" customHeight="1" x14ac:dyDescent="0.3">
      <c r="A344" s="3"/>
      <c r="B344" s="3"/>
      <c r="C344" s="3"/>
    </row>
    <row r="345" spans="1:3" ht="15.75" customHeight="1" x14ac:dyDescent="0.3">
      <c r="A345" s="3"/>
      <c r="B345" s="3"/>
      <c r="C345" s="3"/>
    </row>
    <row r="346" spans="1:3" ht="15.75" customHeight="1" x14ac:dyDescent="0.3">
      <c r="A346" s="3"/>
      <c r="B346" s="3"/>
      <c r="C346" s="3"/>
    </row>
    <row r="347" spans="1:3" ht="15.75" customHeight="1" x14ac:dyDescent="0.3">
      <c r="A347" s="3"/>
      <c r="B347" s="3"/>
      <c r="C347" s="3"/>
    </row>
    <row r="348" spans="1:3" ht="15.75" customHeight="1" x14ac:dyDescent="0.3">
      <c r="A348" s="3"/>
      <c r="B348" s="3"/>
      <c r="C348" s="3"/>
    </row>
    <row r="349" spans="1:3" ht="15.75" customHeight="1" x14ac:dyDescent="0.3">
      <c r="A349" s="3"/>
      <c r="B349" s="3"/>
      <c r="C349" s="3"/>
    </row>
    <row r="350" spans="1:3" ht="15.75" customHeight="1" x14ac:dyDescent="0.3">
      <c r="A350" s="3"/>
      <c r="B350" s="3"/>
      <c r="C350" s="3"/>
    </row>
    <row r="351" spans="1:3" ht="15.75" customHeight="1" x14ac:dyDescent="0.3">
      <c r="A351" s="3"/>
      <c r="B351" s="3"/>
      <c r="C351" s="3"/>
    </row>
    <row r="352" spans="1:3" ht="15.75" customHeight="1" x14ac:dyDescent="0.3">
      <c r="A352" s="3"/>
      <c r="B352" s="3"/>
      <c r="C352" s="3"/>
    </row>
    <row r="353" spans="1:3" ht="15.75" customHeight="1" x14ac:dyDescent="0.3">
      <c r="A353" s="3"/>
      <c r="B353" s="3"/>
      <c r="C353" s="3"/>
    </row>
    <row r="354" spans="1:3" ht="15.75" customHeight="1" x14ac:dyDescent="0.3">
      <c r="A354" s="3"/>
      <c r="B354" s="3"/>
      <c r="C354" s="3"/>
    </row>
    <row r="355" spans="1:3" ht="15.75" customHeight="1" x14ac:dyDescent="0.3">
      <c r="A355" s="3"/>
      <c r="B355" s="3"/>
      <c r="C355" s="3"/>
    </row>
    <row r="356" spans="1:3" ht="15.75" customHeight="1" x14ac:dyDescent="0.3">
      <c r="A356" s="3"/>
      <c r="B356" s="3"/>
      <c r="C356" s="3"/>
    </row>
    <row r="357" spans="1:3" ht="15.75" customHeight="1" x14ac:dyDescent="0.3">
      <c r="A357" s="3"/>
      <c r="B357" s="3"/>
      <c r="C357" s="3"/>
    </row>
    <row r="358" spans="1:3" ht="15.75" customHeight="1" x14ac:dyDescent="0.3">
      <c r="A358" s="3"/>
      <c r="B358" s="3"/>
      <c r="C358" s="3"/>
    </row>
    <row r="359" spans="1:3" ht="15.75" customHeight="1" x14ac:dyDescent="0.3">
      <c r="A359" s="3"/>
      <c r="B359" s="3"/>
      <c r="C359" s="3"/>
    </row>
    <row r="360" spans="1:3" ht="15.75" customHeight="1" x14ac:dyDescent="0.3">
      <c r="A360" s="3"/>
      <c r="B360" s="3"/>
      <c r="C360" s="3"/>
    </row>
    <row r="361" spans="1:3" ht="15.75" customHeight="1" x14ac:dyDescent="0.3">
      <c r="A361" s="3"/>
      <c r="B361" s="3"/>
      <c r="C361" s="3"/>
    </row>
    <row r="362" spans="1:3" ht="15.75" customHeight="1" x14ac:dyDescent="0.3">
      <c r="A362" s="3"/>
      <c r="B362" s="3"/>
      <c r="C362" s="3"/>
    </row>
    <row r="363" spans="1:3" ht="15.75" customHeight="1" x14ac:dyDescent="0.3">
      <c r="A363" s="3"/>
      <c r="B363" s="3"/>
      <c r="C363" s="3"/>
    </row>
    <row r="364" spans="1:3" ht="15.75" customHeight="1" x14ac:dyDescent="0.3">
      <c r="A364" s="3"/>
      <c r="B364" s="3"/>
      <c r="C364" s="3"/>
    </row>
    <row r="365" spans="1:3" ht="15.75" customHeight="1" x14ac:dyDescent="0.3">
      <c r="A365" s="3"/>
      <c r="B365" s="3"/>
      <c r="C365" s="3"/>
    </row>
    <row r="366" spans="1:3" ht="15.75" customHeight="1" x14ac:dyDescent="0.3">
      <c r="A366" s="3"/>
      <c r="B366" s="3"/>
      <c r="C366" s="3"/>
    </row>
    <row r="367" spans="1:3" ht="15.75" customHeight="1" x14ac:dyDescent="0.3">
      <c r="A367" s="3"/>
      <c r="B367" s="3"/>
      <c r="C367" s="3"/>
    </row>
    <row r="368" spans="1:3" ht="15.75" customHeight="1" x14ac:dyDescent="0.3">
      <c r="A368" s="3"/>
      <c r="B368" s="3"/>
      <c r="C368" s="3"/>
    </row>
    <row r="369" spans="1:3" ht="15.75" customHeight="1" x14ac:dyDescent="0.3">
      <c r="A369" s="3"/>
      <c r="B369" s="3"/>
      <c r="C369" s="3"/>
    </row>
    <row r="370" spans="1:3" ht="15.75" customHeight="1" x14ac:dyDescent="0.3">
      <c r="A370" s="3"/>
      <c r="B370" s="3"/>
      <c r="C370" s="3"/>
    </row>
    <row r="371" spans="1:3" ht="15.75" customHeight="1" x14ac:dyDescent="0.3">
      <c r="A371" s="3"/>
      <c r="B371" s="3"/>
      <c r="C371" s="3"/>
    </row>
    <row r="372" spans="1:3" ht="15.75" customHeight="1" x14ac:dyDescent="0.3">
      <c r="A372" s="3"/>
      <c r="B372" s="3"/>
      <c r="C372" s="3"/>
    </row>
    <row r="373" spans="1:3" ht="15.75" customHeight="1" x14ac:dyDescent="0.3">
      <c r="A373" s="3"/>
      <c r="B373" s="3"/>
      <c r="C373" s="3"/>
    </row>
    <row r="374" spans="1:3" ht="15.75" customHeight="1" x14ac:dyDescent="0.3">
      <c r="A374" s="3"/>
      <c r="B374" s="3"/>
      <c r="C374" s="3"/>
    </row>
    <row r="375" spans="1:3" ht="15.75" customHeight="1" x14ac:dyDescent="0.3">
      <c r="A375" s="3"/>
      <c r="B375" s="3"/>
      <c r="C375" s="3"/>
    </row>
    <row r="376" spans="1:3" ht="15.75" customHeight="1" x14ac:dyDescent="0.3">
      <c r="A376" s="3"/>
      <c r="B376" s="3"/>
      <c r="C376" s="3"/>
    </row>
    <row r="377" spans="1:3" ht="15.75" customHeight="1" x14ac:dyDescent="0.3">
      <c r="A377" s="3"/>
      <c r="B377" s="3"/>
      <c r="C377" s="3"/>
    </row>
    <row r="378" spans="1:3" ht="15.75" customHeight="1" x14ac:dyDescent="0.3">
      <c r="A378" s="3"/>
      <c r="B378" s="3"/>
      <c r="C378" s="3"/>
    </row>
    <row r="379" spans="1:3" ht="15.75" customHeight="1" x14ac:dyDescent="0.3">
      <c r="A379" s="3"/>
      <c r="B379" s="3"/>
      <c r="C379" s="3"/>
    </row>
    <row r="380" spans="1:3" ht="15.75" customHeight="1" x14ac:dyDescent="0.3">
      <c r="A380" s="3"/>
      <c r="B380" s="3"/>
      <c r="C380" s="3"/>
    </row>
    <row r="381" spans="1:3" ht="15.75" customHeight="1" x14ac:dyDescent="0.3">
      <c r="A381" s="3"/>
      <c r="B381" s="3"/>
      <c r="C381" s="3"/>
    </row>
    <row r="382" spans="1:3" ht="15.75" customHeight="1" x14ac:dyDescent="0.3">
      <c r="A382" s="3"/>
      <c r="B382" s="3"/>
      <c r="C382" s="3"/>
    </row>
    <row r="383" spans="1:3" ht="15.75" customHeight="1" x14ac:dyDescent="0.3">
      <c r="A383" s="3"/>
      <c r="B383" s="3"/>
      <c r="C383" s="3"/>
    </row>
    <row r="384" spans="1:3" ht="15.75" customHeight="1" x14ac:dyDescent="0.3">
      <c r="A384" s="3"/>
      <c r="B384" s="3"/>
      <c r="C384" s="3"/>
    </row>
    <row r="385" spans="1:3" ht="15.75" customHeight="1" x14ac:dyDescent="0.3">
      <c r="A385" s="3"/>
      <c r="B385" s="3"/>
      <c r="C385" s="3"/>
    </row>
    <row r="386" spans="1:3" ht="15.75" customHeight="1" x14ac:dyDescent="0.3">
      <c r="A386" s="3"/>
      <c r="B386" s="3"/>
      <c r="C386" s="3"/>
    </row>
    <row r="387" spans="1:3" ht="15.75" customHeight="1" x14ac:dyDescent="0.3">
      <c r="A387" s="3"/>
      <c r="B387" s="3"/>
      <c r="C387" s="3"/>
    </row>
    <row r="388" spans="1:3" ht="15.75" customHeight="1" x14ac:dyDescent="0.3">
      <c r="A388" s="3"/>
      <c r="B388" s="3"/>
      <c r="C388" s="3"/>
    </row>
    <row r="389" spans="1:3" ht="15.75" customHeight="1" x14ac:dyDescent="0.3">
      <c r="A389" s="3"/>
      <c r="B389" s="3"/>
      <c r="C389" s="3"/>
    </row>
    <row r="390" spans="1:3" ht="15.75" customHeight="1" x14ac:dyDescent="0.3">
      <c r="A390" s="3"/>
      <c r="B390" s="3"/>
      <c r="C390" s="3"/>
    </row>
    <row r="391" spans="1:3" ht="15.75" customHeight="1" x14ac:dyDescent="0.3">
      <c r="A391" s="3"/>
      <c r="B391" s="3"/>
      <c r="C391" s="3"/>
    </row>
    <row r="392" spans="1:3" ht="15.75" customHeight="1" x14ac:dyDescent="0.3">
      <c r="A392" s="3"/>
      <c r="B392" s="3"/>
      <c r="C392" s="3"/>
    </row>
    <row r="393" spans="1:3" ht="15.75" customHeight="1" x14ac:dyDescent="0.3">
      <c r="A393" s="3"/>
      <c r="B393" s="3"/>
      <c r="C393" s="3"/>
    </row>
    <row r="394" spans="1:3" ht="15.75" customHeight="1" x14ac:dyDescent="0.3">
      <c r="A394" s="3"/>
      <c r="B394" s="3"/>
      <c r="C394" s="3"/>
    </row>
    <row r="395" spans="1:3" ht="15.75" customHeight="1" x14ac:dyDescent="0.3">
      <c r="A395" s="3"/>
      <c r="B395" s="3"/>
      <c r="C395" s="3"/>
    </row>
    <row r="396" spans="1:3" ht="15.75" customHeight="1" x14ac:dyDescent="0.3">
      <c r="A396" s="3"/>
      <c r="B396" s="3"/>
      <c r="C396" s="3"/>
    </row>
    <row r="397" spans="1:3" ht="15.75" customHeight="1" x14ac:dyDescent="0.3">
      <c r="A397" s="3"/>
      <c r="B397" s="3"/>
      <c r="C397" s="3"/>
    </row>
    <row r="398" spans="1:3" ht="15.75" customHeight="1" x14ac:dyDescent="0.3">
      <c r="A398" s="3"/>
      <c r="B398" s="3"/>
      <c r="C398" s="3"/>
    </row>
    <row r="399" spans="1:3" ht="15.75" customHeight="1" x14ac:dyDescent="0.3">
      <c r="A399" s="3"/>
      <c r="B399" s="3"/>
      <c r="C399" s="3"/>
    </row>
    <row r="400" spans="1:3" ht="15.75" customHeight="1" x14ac:dyDescent="0.3">
      <c r="A400" s="3"/>
      <c r="B400" s="3"/>
      <c r="C400" s="3"/>
    </row>
    <row r="401" spans="1:3" ht="15.75" customHeight="1" x14ac:dyDescent="0.3">
      <c r="A401" s="3"/>
      <c r="B401" s="3"/>
      <c r="C401" s="3"/>
    </row>
    <row r="402" spans="1:3" ht="15.75" customHeight="1" x14ac:dyDescent="0.3">
      <c r="A402" s="3"/>
      <c r="B402" s="3"/>
      <c r="C402" s="3"/>
    </row>
    <row r="403" spans="1:3" ht="15.75" customHeight="1" x14ac:dyDescent="0.3">
      <c r="A403" s="3"/>
      <c r="B403" s="3"/>
      <c r="C403" s="3"/>
    </row>
    <row r="404" spans="1:3" ht="15.75" customHeight="1" x14ac:dyDescent="0.3">
      <c r="A404" s="3"/>
      <c r="B404" s="3"/>
      <c r="C404" s="3"/>
    </row>
    <row r="405" spans="1:3" ht="15.75" customHeight="1" x14ac:dyDescent="0.3">
      <c r="A405" s="3"/>
      <c r="B405" s="3"/>
      <c r="C405" s="3"/>
    </row>
    <row r="406" spans="1:3" ht="15.75" customHeight="1" x14ac:dyDescent="0.3">
      <c r="A406" s="3"/>
      <c r="B406" s="3"/>
      <c r="C406" s="3"/>
    </row>
    <row r="407" spans="1:3" ht="15.75" customHeight="1" x14ac:dyDescent="0.3">
      <c r="A407" s="3"/>
      <c r="B407" s="3"/>
      <c r="C407" s="3"/>
    </row>
    <row r="408" spans="1:3" ht="15.75" customHeight="1" x14ac:dyDescent="0.3">
      <c r="A408" s="3"/>
      <c r="B408" s="3"/>
      <c r="C408" s="3"/>
    </row>
    <row r="409" spans="1:3" ht="15.75" customHeight="1" x14ac:dyDescent="0.3">
      <c r="A409" s="3"/>
      <c r="B409" s="3"/>
      <c r="C409" s="3"/>
    </row>
    <row r="410" spans="1:3" ht="15.75" customHeight="1" x14ac:dyDescent="0.3">
      <c r="A410" s="3"/>
      <c r="B410" s="3"/>
      <c r="C410" s="3"/>
    </row>
    <row r="411" spans="1:3" ht="15.75" customHeight="1" x14ac:dyDescent="0.3">
      <c r="A411" s="3"/>
      <c r="B411" s="3"/>
      <c r="C411" s="3"/>
    </row>
    <row r="412" spans="1:3" ht="15.75" customHeight="1" x14ac:dyDescent="0.3">
      <c r="A412" s="3"/>
      <c r="B412" s="3"/>
      <c r="C412" s="3"/>
    </row>
    <row r="413" spans="1:3" ht="15.75" customHeight="1" x14ac:dyDescent="0.3">
      <c r="A413" s="3"/>
      <c r="B413" s="3"/>
      <c r="C413" s="3"/>
    </row>
    <row r="414" spans="1:3" ht="15.75" customHeight="1" x14ac:dyDescent="0.3">
      <c r="A414" s="3"/>
      <c r="B414" s="3"/>
      <c r="C414" s="3"/>
    </row>
    <row r="415" spans="1:3" ht="15.75" customHeight="1" x14ac:dyDescent="0.3">
      <c r="A415" s="3"/>
      <c r="B415" s="3"/>
      <c r="C415" s="3"/>
    </row>
    <row r="416" spans="1:3" ht="15.75" customHeight="1" x14ac:dyDescent="0.3">
      <c r="A416" s="3"/>
      <c r="B416" s="3"/>
      <c r="C416" s="3"/>
    </row>
    <row r="417" spans="1:3" ht="15.75" customHeight="1" x14ac:dyDescent="0.3">
      <c r="A417" s="3"/>
      <c r="B417" s="3"/>
      <c r="C417" s="3"/>
    </row>
    <row r="418" spans="1:3" ht="15.75" customHeight="1" x14ac:dyDescent="0.3">
      <c r="A418" s="3"/>
      <c r="B418" s="3"/>
      <c r="C418" s="3"/>
    </row>
    <row r="419" spans="1:3" ht="15.75" customHeight="1" x14ac:dyDescent="0.3">
      <c r="A419" s="3"/>
      <c r="B419" s="3"/>
      <c r="C419" s="3"/>
    </row>
    <row r="420" spans="1:3" ht="15.75" customHeight="1" x14ac:dyDescent="0.3">
      <c r="A420" s="3"/>
      <c r="B420" s="3"/>
      <c r="C420" s="3"/>
    </row>
    <row r="421" spans="1:3" ht="15.75" customHeight="1" x14ac:dyDescent="0.3">
      <c r="A421" s="3"/>
      <c r="B421" s="3"/>
      <c r="C421" s="3"/>
    </row>
    <row r="422" spans="1:3" ht="15.75" customHeight="1" x14ac:dyDescent="0.3">
      <c r="A422" s="3"/>
      <c r="B422" s="3"/>
      <c r="C422" s="3"/>
    </row>
    <row r="423" spans="1:3" ht="15.75" customHeight="1" x14ac:dyDescent="0.3">
      <c r="A423" s="3"/>
      <c r="B423" s="3"/>
      <c r="C423" s="3"/>
    </row>
    <row r="424" spans="1:3" ht="15.75" customHeight="1" x14ac:dyDescent="0.3">
      <c r="A424" s="3"/>
      <c r="B424" s="3"/>
      <c r="C424" s="3"/>
    </row>
    <row r="425" spans="1:3" ht="15.75" customHeight="1" x14ac:dyDescent="0.3">
      <c r="A425" s="3"/>
      <c r="B425" s="3"/>
      <c r="C425" s="3"/>
    </row>
    <row r="426" spans="1:3" ht="15.75" customHeight="1" x14ac:dyDescent="0.3">
      <c r="A426" s="3"/>
      <c r="B426" s="3"/>
      <c r="C426" s="3"/>
    </row>
    <row r="427" spans="1:3" ht="15.75" customHeight="1" x14ac:dyDescent="0.3">
      <c r="A427" s="3"/>
      <c r="B427" s="3"/>
      <c r="C427" s="3"/>
    </row>
    <row r="428" spans="1:3" ht="15.75" customHeight="1" x14ac:dyDescent="0.3">
      <c r="A428" s="3"/>
      <c r="B428" s="3"/>
      <c r="C428" s="3"/>
    </row>
    <row r="429" spans="1:3" ht="15.75" customHeight="1" x14ac:dyDescent="0.3">
      <c r="A429" s="3"/>
      <c r="B429" s="3"/>
      <c r="C429" s="3"/>
    </row>
    <row r="430" spans="1:3" ht="15.75" customHeight="1" x14ac:dyDescent="0.3">
      <c r="A430" s="3"/>
      <c r="B430" s="3"/>
      <c r="C430" s="3"/>
    </row>
    <row r="431" spans="1:3" ht="15.75" customHeight="1" x14ac:dyDescent="0.3">
      <c r="A431" s="3"/>
      <c r="B431" s="3"/>
      <c r="C431" s="3"/>
    </row>
    <row r="432" spans="1:3" ht="15.75" customHeight="1" x14ac:dyDescent="0.3">
      <c r="A432" s="3"/>
      <c r="B432" s="3"/>
      <c r="C432" s="3"/>
    </row>
    <row r="433" spans="1:3" ht="15.75" customHeight="1" x14ac:dyDescent="0.3">
      <c r="A433" s="3"/>
      <c r="B433" s="3"/>
      <c r="C433" s="3"/>
    </row>
    <row r="434" spans="1:3" ht="15.75" customHeight="1" x14ac:dyDescent="0.3">
      <c r="A434" s="3"/>
      <c r="B434" s="3"/>
      <c r="C434" s="3"/>
    </row>
    <row r="435" spans="1:3" ht="15.75" customHeight="1" x14ac:dyDescent="0.3">
      <c r="A435" s="3"/>
      <c r="B435" s="3"/>
      <c r="C435" s="3"/>
    </row>
    <row r="436" spans="1:3" ht="15.75" customHeight="1" x14ac:dyDescent="0.3">
      <c r="A436" s="3"/>
      <c r="B436" s="3"/>
      <c r="C436" s="3"/>
    </row>
    <row r="437" spans="1:3" ht="15.75" customHeight="1" x14ac:dyDescent="0.3">
      <c r="A437" s="3"/>
      <c r="B437" s="3"/>
      <c r="C437" s="3"/>
    </row>
    <row r="438" spans="1:3" ht="15.75" customHeight="1" x14ac:dyDescent="0.3">
      <c r="A438" s="3"/>
      <c r="B438" s="3"/>
      <c r="C438" s="3"/>
    </row>
    <row r="439" spans="1:3" ht="15.75" customHeight="1" x14ac:dyDescent="0.3">
      <c r="A439" s="3"/>
      <c r="B439" s="3"/>
      <c r="C439" s="3"/>
    </row>
    <row r="440" spans="1:3" ht="15.75" customHeight="1" x14ac:dyDescent="0.3">
      <c r="A440" s="3"/>
      <c r="B440" s="3"/>
      <c r="C440" s="3"/>
    </row>
    <row r="441" spans="1:3" ht="15.75" customHeight="1" x14ac:dyDescent="0.3">
      <c r="A441" s="3"/>
      <c r="B441" s="3"/>
      <c r="C441" s="3"/>
    </row>
    <row r="442" spans="1:3" ht="15.75" customHeight="1" x14ac:dyDescent="0.3">
      <c r="A442" s="3"/>
      <c r="B442" s="3"/>
      <c r="C442" s="3"/>
    </row>
    <row r="443" spans="1:3" ht="15.75" customHeight="1" x14ac:dyDescent="0.3">
      <c r="A443" s="3"/>
      <c r="B443" s="3"/>
      <c r="C443" s="3"/>
    </row>
    <row r="444" spans="1:3" ht="15.75" customHeight="1" x14ac:dyDescent="0.3">
      <c r="A444" s="3"/>
      <c r="B444" s="3"/>
      <c r="C444" s="3"/>
    </row>
    <row r="445" spans="1:3" ht="15.75" customHeight="1" x14ac:dyDescent="0.3">
      <c r="A445" s="3"/>
      <c r="B445" s="3"/>
      <c r="C445" s="3"/>
    </row>
    <row r="446" spans="1:3" ht="15.75" customHeight="1" x14ac:dyDescent="0.3">
      <c r="A446" s="3"/>
      <c r="B446" s="3"/>
      <c r="C446" s="3"/>
    </row>
    <row r="447" spans="1:3" ht="15.75" customHeight="1" x14ac:dyDescent="0.3">
      <c r="A447" s="3"/>
      <c r="B447" s="3"/>
      <c r="C447" s="3"/>
    </row>
    <row r="448" spans="1:3" ht="15.75" customHeight="1" x14ac:dyDescent="0.3">
      <c r="A448" s="3"/>
      <c r="B448" s="3"/>
      <c r="C448" s="3"/>
    </row>
    <row r="449" spans="1:3" ht="15.75" customHeight="1" x14ac:dyDescent="0.3">
      <c r="A449" s="3"/>
      <c r="B449" s="3"/>
      <c r="C449" s="3"/>
    </row>
    <row r="450" spans="1:3" ht="15.75" customHeight="1" x14ac:dyDescent="0.3">
      <c r="A450" s="3"/>
      <c r="B450" s="3"/>
      <c r="C450" s="3"/>
    </row>
    <row r="451" spans="1:3" ht="15.75" customHeight="1" x14ac:dyDescent="0.3">
      <c r="A451" s="3"/>
      <c r="B451" s="3"/>
      <c r="C451" s="3"/>
    </row>
    <row r="452" spans="1:3" ht="15.75" customHeight="1" x14ac:dyDescent="0.3">
      <c r="A452" s="3"/>
      <c r="B452" s="3"/>
      <c r="C452" s="3"/>
    </row>
    <row r="453" spans="1:3" ht="15.75" customHeight="1" x14ac:dyDescent="0.3">
      <c r="A453" s="3"/>
      <c r="B453" s="3"/>
      <c r="C453" s="3"/>
    </row>
    <row r="454" spans="1:3" ht="15.75" customHeight="1" x14ac:dyDescent="0.3">
      <c r="A454" s="3"/>
      <c r="B454" s="3"/>
      <c r="C454" s="3"/>
    </row>
    <row r="455" spans="1:3" ht="15.75" customHeight="1" x14ac:dyDescent="0.3">
      <c r="A455" s="3"/>
      <c r="B455" s="3"/>
      <c r="C455" s="3"/>
    </row>
    <row r="456" spans="1:3" ht="15.75" customHeight="1" x14ac:dyDescent="0.3">
      <c r="A456" s="3"/>
      <c r="B456" s="3"/>
      <c r="C456" s="3"/>
    </row>
    <row r="457" spans="1:3" ht="15.75" customHeight="1" x14ac:dyDescent="0.3">
      <c r="A457" s="3"/>
      <c r="B457" s="3"/>
      <c r="C457" s="3"/>
    </row>
    <row r="458" spans="1:3" ht="15.75" customHeight="1" x14ac:dyDescent="0.3">
      <c r="A458" s="3"/>
      <c r="B458" s="3"/>
      <c r="C458" s="3"/>
    </row>
    <row r="459" spans="1:3" ht="15.75" customHeight="1" x14ac:dyDescent="0.3">
      <c r="A459" s="3"/>
      <c r="B459" s="3"/>
      <c r="C459" s="3"/>
    </row>
    <row r="460" spans="1:3" ht="15.75" customHeight="1" x14ac:dyDescent="0.3">
      <c r="A460" s="3"/>
      <c r="B460" s="3"/>
      <c r="C460" s="3"/>
    </row>
    <row r="461" spans="1:3" ht="15.75" customHeight="1" x14ac:dyDescent="0.3">
      <c r="A461" s="3"/>
      <c r="B461" s="3"/>
      <c r="C461" s="3"/>
    </row>
    <row r="462" spans="1:3" ht="15.75" customHeight="1" x14ac:dyDescent="0.3">
      <c r="A462" s="3"/>
      <c r="B462" s="3"/>
      <c r="C462" s="3"/>
    </row>
    <row r="463" spans="1:3" ht="15.75" customHeight="1" x14ac:dyDescent="0.3">
      <c r="A463" s="3"/>
      <c r="B463" s="3"/>
      <c r="C463" s="3"/>
    </row>
    <row r="464" spans="1:3" ht="15.75" customHeight="1" x14ac:dyDescent="0.3">
      <c r="A464" s="3"/>
      <c r="B464" s="3"/>
      <c r="C464" s="3"/>
    </row>
    <row r="465" spans="1:3" ht="15.75" customHeight="1" x14ac:dyDescent="0.3">
      <c r="A465" s="3"/>
      <c r="B465" s="3"/>
      <c r="C465" s="3"/>
    </row>
    <row r="466" spans="1:3" ht="15.75" customHeight="1" x14ac:dyDescent="0.3">
      <c r="A466" s="3"/>
      <c r="B466" s="3"/>
      <c r="C466" s="3"/>
    </row>
    <row r="467" spans="1:3" ht="15.75" customHeight="1" x14ac:dyDescent="0.3">
      <c r="A467" s="3"/>
      <c r="B467" s="3"/>
      <c r="C467" s="3"/>
    </row>
    <row r="468" spans="1:3" ht="15.75" customHeight="1" x14ac:dyDescent="0.3">
      <c r="A468" s="3"/>
      <c r="B468" s="3"/>
      <c r="C468" s="3"/>
    </row>
    <row r="469" spans="1:3" ht="15.75" customHeight="1" x14ac:dyDescent="0.3">
      <c r="A469" s="3"/>
      <c r="B469" s="3"/>
      <c r="C469" s="3"/>
    </row>
    <row r="470" spans="1:3" ht="15.75" customHeight="1" x14ac:dyDescent="0.3">
      <c r="A470" s="3"/>
      <c r="B470" s="3"/>
      <c r="C470" s="3"/>
    </row>
    <row r="471" spans="1:3" ht="15.75" customHeight="1" x14ac:dyDescent="0.3">
      <c r="A471" s="3"/>
      <c r="B471" s="3"/>
      <c r="C471" s="3"/>
    </row>
    <row r="472" spans="1:3" ht="15.75" customHeight="1" x14ac:dyDescent="0.3">
      <c r="A472" s="3"/>
      <c r="B472" s="3"/>
      <c r="C472" s="3"/>
    </row>
    <row r="473" spans="1:3" ht="15.75" customHeight="1" x14ac:dyDescent="0.3">
      <c r="A473" s="3"/>
      <c r="B473" s="3"/>
      <c r="C473" s="3"/>
    </row>
    <row r="474" spans="1:3" ht="15.75" customHeight="1" x14ac:dyDescent="0.3">
      <c r="A474" s="3"/>
      <c r="B474" s="3"/>
      <c r="C474" s="3"/>
    </row>
    <row r="475" spans="1:3" ht="15.75" customHeight="1" x14ac:dyDescent="0.3">
      <c r="A475" s="3"/>
      <c r="B475" s="3"/>
      <c r="C475" s="3"/>
    </row>
    <row r="476" spans="1:3" ht="15.75" customHeight="1" x14ac:dyDescent="0.3">
      <c r="A476" s="3"/>
      <c r="B476" s="3"/>
      <c r="C476" s="3"/>
    </row>
    <row r="477" spans="1:3" ht="15.75" customHeight="1" x14ac:dyDescent="0.3">
      <c r="A477" s="3"/>
      <c r="B477" s="3"/>
      <c r="C477" s="3"/>
    </row>
    <row r="478" spans="1:3" ht="15.75" customHeight="1" x14ac:dyDescent="0.3">
      <c r="A478" s="3"/>
      <c r="B478" s="3"/>
      <c r="C478" s="3"/>
    </row>
    <row r="479" spans="1:3" ht="15.75" customHeight="1" x14ac:dyDescent="0.3">
      <c r="A479" s="3"/>
      <c r="B479" s="3"/>
      <c r="C479" s="3"/>
    </row>
    <row r="480" spans="1:3" ht="15.75" customHeight="1" x14ac:dyDescent="0.3">
      <c r="A480" s="3"/>
      <c r="B480" s="3"/>
      <c r="C480" s="3"/>
    </row>
    <row r="481" spans="1:3" ht="15.75" customHeight="1" x14ac:dyDescent="0.3">
      <c r="A481" s="3"/>
      <c r="B481" s="3"/>
      <c r="C481" s="3"/>
    </row>
    <row r="482" spans="1:3" ht="15.75" customHeight="1" x14ac:dyDescent="0.3">
      <c r="A482" s="3"/>
      <c r="B482" s="3"/>
      <c r="C482" s="3"/>
    </row>
    <row r="483" spans="1:3" ht="15.75" customHeight="1" x14ac:dyDescent="0.3">
      <c r="A483" s="3"/>
      <c r="B483" s="3"/>
      <c r="C483" s="3"/>
    </row>
    <row r="484" spans="1:3" ht="15.75" customHeight="1" x14ac:dyDescent="0.3">
      <c r="A484" s="3"/>
      <c r="B484" s="3"/>
      <c r="C484" s="3"/>
    </row>
    <row r="485" spans="1:3" ht="15.75" customHeight="1" x14ac:dyDescent="0.3">
      <c r="A485" s="3"/>
      <c r="B485" s="3"/>
      <c r="C485" s="3"/>
    </row>
    <row r="486" spans="1:3" ht="15.75" customHeight="1" x14ac:dyDescent="0.3">
      <c r="A486" s="3"/>
      <c r="B486" s="3"/>
      <c r="C486" s="3"/>
    </row>
    <row r="487" spans="1:3" ht="15.75" customHeight="1" x14ac:dyDescent="0.3">
      <c r="A487" s="3"/>
      <c r="B487" s="3"/>
      <c r="C487" s="3"/>
    </row>
    <row r="488" spans="1:3" ht="15.75" customHeight="1" x14ac:dyDescent="0.3">
      <c r="A488" s="3"/>
      <c r="B488" s="3"/>
      <c r="C488" s="3"/>
    </row>
    <row r="489" spans="1:3" ht="15.75" customHeight="1" x14ac:dyDescent="0.3">
      <c r="A489" s="3"/>
      <c r="B489" s="3"/>
      <c r="C489" s="3"/>
    </row>
    <row r="490" spans="1:3" ht="15.75" customHeight="1" x14ac:dyDescent="0.3">
      <c r="A490" s="3"/>
      <c r="B490" s="3"/>
      <c r="C490" s="3"/>
    </row>
    <row r="491" spans="1:3" ht="15.75" customHeight="1" x14ac:dyDescent="0.3">
      <c r="A491" s="3"/>
      <c r="B491" s="3"/>
      <c r="C491" s="3"/>
    </row>
    <row r="492" spans="1:3" ht="15.75" customHeight="1" x14ac:dyDescent="0.3">
      <c r="A492" s="3"/>
      <c r="B492" s="3"/>
      <c r="C492" s="3"/>
    </row>
    <row r="493" spans="1:3" ht="15.75" customHeight="1" x14ac:dyDescent="0.3">
      <c r="A493" s="3"/>
      <c r="B493" s="3"/>
      <c r="C493" s="3"/>
    </row>
    <row r="494" spans="1:3" ht="15.75" customHeight="1" x14ac:dyDescent="0.3">
      <c r="A494" s="3"/>
      <c r="B494" s="3"/>
      <c r="C494" s="3"/>
    </row>
    <row r="495" spans="1:3" ht="15.75" customHeight="1" x14ac:dyDescent="0.3">
      <c r="A495" s="3"/>
      <c r="B495" s="3"/>
      <c r="C495" s="3"/>
    </row>
    <row r="496" spans="1:3" ht="15.75" customHeight="1" x14ac:dyDescent="0.3">
      <c r="A496" s="3"/>
      <c r="B496" s="3"/>
      <c r="C496" s="3"/>
    </row>
    <row r="497" spans="1:3" ht="15.75" customHeight="1" x14ac:dyDescent="0.3">
      <c r="A497" s="3"/>
      <c r="B497" s="3"/>
      <c r="C497" s="3"/>
    </row>
    <row r="498" spans="1:3" ht="15.75" customHeight="1" x14ac:dyDescent="0.3">
      <c r="A498" s="3"/>
      <c r="B498" s="3"/>
      <c r="C498" s="3"/>
    </row>
    <row r="499" spans="1:3" ht="15.75" customHeight="1" x14ac:dyDescent="0.3">
      <c r="A499" s="3"/>
      <c r="B499" s="3"/>
      <c r="C499" s="3"/>
    </row>
    <row r="500" spans="1:3" ht="15.75" customHeight="1" x14ac:dyDescent="0.3">
      <c r="A500" s="3"/>
      <c r="B500" s="3"/>
      <c r="C500" s="3"/>
    </row>
    <row r="501" spans="1:3" ht="15.75" customHeight="1" x14ac:dyDescent="0.3">
      <c r="A501" s="3"/>
      <c r="B501" s="3"/>
      <c r="C501" s="3"/>
    </row>
    <row r="502" spans="1:3" ht="15.75" customHeight="1" x14ac:dyDescent="0.3">
      <c r="A502" s="3"/>
      <c r="B502" s="3"/>
      <c r="C502" s="3"/>
    </row>
    <row r="503" spans="1:3" ht="15.75" customHeight="1" x14ac:dyDescent="0.3">
      <c r="A503" s="3"/>
      <c r="B503" s="3"/>
      <c r="C503" s="3"/>
    </row>
    <row r="504" spans="1:3" ht="15.75" customHeight="1" x14ac:dyDescent="0.3">
      <c r="A504" s="3"/>
      <c r="B504" s="3"/>
      <c r="C504" s="3"/>
    </row>
    <row r="505" spans="1:3" ht="15.75" customHeight="1" x14ac:dyDescent="0.3">
      <c r="A505" s="3"/>
      <c r="B505" s="3"/>
      <c r="C505" s="3"/>
    </row>
    <row r="506" spans="1:3" ht="15.75" customHeight="1" x14ac:dyDescent="0.3">
      <c r="A506" s="3"/>
      <c r="B506" s="3"/>
      <c r="C506" s="3"/>
    </row>
    <row r="507" spans="1:3" ht="15.75" customHeight="1" x14ac:dyDescent="0.3">
      <c r="A507" s="3"/>
      <c r="B507" s="3"/>
      <c r="C507" s="3"/>
    </row>
    <row r="508" spans="1:3" ht="15.75" customHeight="1" x14ac:dyDescent="0.3">
      <c r="A508" s="3"/>
      <c r="B508" s="3"/>
      <c r="C508" s="3"/>
    </row>
    <row r="509" spans="1:3" ht="15.75" customHeight="1" x14ac:dyDescent="0.3">
      <c r="A509" s="3"/>
      <c r="B509" s="3"/>
      <c r="C509" s="3"/>
    </row>
    <row r="510" spans="1:3" ht="15.75" customHeight="1" x14ac:dyDescent="0.3">
      <c r="A510" s="3"/>
      <c r="B510" s="3"/>
      <c r="C510" s="3"/>
    </row>
    <row r="511" spans="1:3" ht="15.75" customHeight="1" x14ac:dyDescent="0.3">
      <c r="A511" s="3"/>
      <c r="B511" s="3"/>
      <c r="C511" s="3"/>
    </row>
    <row r="512" spans="1:3" ht="15.75" customHeight="1" x14ac:dyDescent="0.3">
      <c r="A512" s="3"/>
      <c r="B512" s="3"/>
      <c r="C512" s="3"/>
    </row>
    <row r="513" spans="1:3" ht="15.75" customHeight="1" x14ac:dyDescent="0.3">
      <c r="A513" s="3"/>
      <c r="B513" s="3"/>
      <c r="C513" s="3"/>
    </row>
    <row r="514" spans="1:3" ht="15.75" customHeight="1" x14ac:dyDescent="0.3">
      <c r="A514" s="3"/>
      <c r="B514" s="3"/>
      <c r="C514" s="3"/>
    </row>
    <row r="515" spans="1:3" ht="15.75" customHeight="1" x14ac:dyDescent="0.3">
      <c r="A515" s="3"/>
      <c r="B515" s="3"/>
      <c r="C515" s="3"/>
    </row>
    <row r="516" spans="1:3" ht="15.75" customHeight="1" x14ac:dyDescent="0.3">
      <c r="A516" s="3"/>
      <c r="B516" s="3"/>
      <c r="C516" s="3"/>
    </row>
    <row r="517" spans="1:3" ht="15.75" customHeight="1" x14ac:dyDescent="0.3">
      <c r="A517" s="3"/>
      <c r="B517" s="3"/>
      <c r="C517" s="3"/>
    </row>
    <row r="518" spans="1:3" ht="15.75" customHeight="1" x14ac:dyDescent="0.3">
      <c r="A518" s="3"/>
      <c r="B518" s="3"/>
      <c r="C518" s="3"/>
    </row>
    <row r="519" spans="1:3" ht="15.75" customHeight="1" x14ac:dyDescent="0.3">
      <c r="A519" s="3"/>
      <c r="B519" s="3"/>
      <c r="C519" s="3"/>
    </row>
    <row r="520" spans="1:3" ht="15.75" customHeight="1" x14ac:dyDescent="0.3">
      <c r="A520" s="3"/>
      <c r="B520" s="3"/>
      <c r="C520" s="3"/>
    </row>
    <row r="521" spans="1:3" ht="15.75" customHeight="1" x14ac:dyDescent="0.3">
      <c r="A521" s="3"/>
      <c r="B521" s="3"/>
      <c r="C521" s="3"/>
    </row>
    <row r="522" spans="1:3" ht="15.75" customHeight="1" x14ac:dyDescent="0.3">
      <c r="A522" s="3"/>
      <c r="B522" s="3"/>
      <c r="C522" s="3"/>
    </row>
    <row r="523" spans="1:3" ht="15.75" customHeight="1" x14ac:dyDescent="0.3">
      <c r="A523" s="3"/>
      <c r="B523" s="3"/>
      <c r="C523" s="3"/>
    </row>
    <row r="524" spans="1:3" ht="15.75" customHeight="1" x14ac:dyDescent="0.3">
      <c r="A524" s="3"/>
      <c r="B524" s="3"/>
      <c r="C524" s="3"/>
    </row>
    <row r="525" spans="1:3" ht="15.75" customHeight="1" x14ac:dyDescent="0.3">
      <c r="A525" s="3"/>
      <c r="B525" s="3"/>
      <c r="C525" s="3"/>
    </row>
    <row r="526" spans="1:3" ht="15.75" customHeight="1" x14ac:dyDescent="0.3">
      <c r="A526" s="3"/>
      <c r="B526" s="3"/>
      <c r="C526" s="3"/>
    </row>
    <row r="527" spans="1:3" ht="15.75" customHeight="1" x14ac:dyDescent="0.3">
      <c r="A527" s="3"/>
      <c r="B527" s="3"/>
      <c r="C527" s="3"/>
    </row>
    <row r="528" spans="1:3" ht="15.75" customHeight="1" x14ac:dyDescent="0.3">
      <c r="A528" s="3"/>
      <c r="B528" s="3"/>
      <c r="C528" s="3"/>
    </row>
    <row r="529" spans="1:3" ht="15.75" customHeight="1" x14ac:dyDescent="0.3">
      <c r="A529" s="3"/>
      <c r="B529" s="3"/>
      <c r="C529" s="3"/>
    </row>
    <row r="530" spans="1:3" ht="15.75" customHeight="1" x14ac:dyDescent="0.3">
      <c r="A530" s="3"/>
      <c r="B530" s="3"/>
      <c r="C530" s="3"/>
    </row>
    <row r="531" spans="1:3" ht="15.75" customHeight="1" x14ac:dyDescent="0.3">
      <c r="A531" s="3"/>
      <c r="B531" s="3"/>
      <c r="C531" s="3"/>
    </row>
    <row r="532" spans="1:3" ht="15.75" customHeight="1" x14ac:dyDescent="0.3">
      <c r="A532" s="3"/>
      <c r="B532" s="3"/>
      <c r="C532" s="3"/>
    </row>
    <row r="533" spans="1:3" ht="15.75" customHeight="1" x14ac:dyDescent="0.3">
      <c r="A533" s="3"/>
      <c r="B533" s="3"/>
      <c r="C533" s="3"/>
    </row>
    <row r="534" spans="1:3" ht="15.75" customHeight="1" x14ac:dyDescent="0.3">
      <c r="A534" s="3"/>
      <c r="B534" s="3"/>
      <c r="C534" s="3"/>
    </row>
    <row r="535" spans="1:3" ht="15.75" customHeight="1" x14ac:dyDescent="0.3">
      <c r="A535" s="3"/>
      <c r="B535" s="3"/>
      <c r="C535" s="3"/>
    </row>
    <row r="536" spans="1:3" ht="15.75" customHeight="1" x14ac:dyDescent="0.3">
      <c r="A536" s="3"/>
      <c r="B536" s="3"/>
      <c r="C536" s="3"/>
    </row>
    <row r="537" spans="1:3" ht="15.75" customHeight="1" x14ac:dyDescent="0.3">
      <c r="A537" s="3"/>
      <c r="B537" s="3"/>
      <c r="C537" s="3"/>
    </row>
    <row r="538" spans="1:3" ht="15.75" customHeight="1" x14ac:dyDescent="0.3">
      <c r="A538" s="3"/>
      <c r="B538" s="3"/>
      <c r="C538" s="3"/>
    </row>
    <row r="539" spans="1:3" ht="15.75" customHeight="1" x14ac:dyDescent="0.3">
      <c r="A539" s="3"/>
      <c r="B539" s="3"/>
      <c r="C539" s="3"/>
    </row>
    <row r="540" spans="1:3" ht="15.75" customHeight="1" x14ac:dyDescent="0.3">
      <c r="A540" s="3"/>
      <c r="B540" s="3"/>
      <c r="C540" s="3"/>
    </row>
    <row r="541" spans="1:3" ht="15.75" customHeight="1" x14ac:dyDescent="0.3">
      <c r="A541" s="3"/>
      <c r="B541" s="3"/>
      <c r="C541" s="3"/>
    </row>
    <row r="542" spans="1:3" ht="15.75" customHeight="1" x14ac:dyDescent="0.3">
      <c r="A542" s="3"/>
      <c r="B542" s="3"/>
      <c r="C542" s="3"/>
    </row>
    <row r="543" spans="1:3" ht="15.75" customHeight="1" x14ac:dyDescent="0.3">
      <c r="A543" s="3"/>
      <c r="B543" s="3"/>
      <c r="C543" s="3"/>
    </row>
    <row r="544" spans="1:3" ht="15.75" customHeight="1" x14ac:dyDescent="0.3">
      <c r="A544" s="3"/>
      <c r="B544" s="3"/>
      <c r="C544" s="3"/>
    </row>
    <row r="545" spans="1:3" ht="15.75" customHeight="1" x14ac:dyDescent="0.3">
      <c r="A545" s="3"/>
      <c r="B545" s="3"/>
      <c r="C545" s="3"/>
    </row>
    <row r="546" spans="1:3" ht="15.75" customHeight="1" x14ac:dyDescent="0.3">
      <c r="A546" s="3"/>
      <c r="B546" s="3"/>
      <c r="C546" s="3"/>
    </row>
    <row r="547" spans="1:3" ht="15.75" customHeight="1" x14ac:dyDescent="0.3">
      <c r="A547" s="3"/>
      <c r="B547" s="3"/>
      <c r="C547" s="3"/>
    </row>
    <row r="548" spans="1:3" ht="15.75" customHeight="1" x14ac:dyDescent="0.3">
      <c r="A548" s="3"/>
      <c r="B548" s="3"/>
      <c r="C548" s="3"/>
    </row>
    <row r="549" spans="1:3" ht="15.75" customHeight="1" x14ac:dyDescent="0.3">
      <c r="A549" s="3"/>
      <c r="B549" s="3"/>
      <c r="C549" s="3"/>
    </row>
    <row r="550" spans="1:3" ht="15.75" customHeight="1" x14ac:dyDescent="0.3">
      <c r="A550" s="3"/>
      <c r="B550" s="3"/>
      <c r="C550" s="3"/>
    </row>
    <row r="551" spans="1:3" ht="15.75" customHeight="1" x14ac:dyDescent="0.3">
      <c r="A551" s="3"/>
      <c r="B551" s="3"/>
      <c r="C551" s="3"/>
    </row>
    <row r="552" spans="1:3" ht="15.75" customHeight="1" x14ac:dyDescent="0.3">
      <c r="A552" s="3"/>
      <c r="B552" s="3"/>
      <c r="C552" s="3"/>
    </row>
    <row r="553" spans="1:3" ht="15.75" customHeight="1" x14ac:dyDescent="0.3">
      <c r="A553" s="3"/>
      <c r="B553" s="3"/>
      <c r="C553" s="3"/>
    </row>
    <row r="554" spans="1:3" ht="15.75" customHeight="1" x14ac:dyDescent="0.3">
      <c r="A554" s="3"/>
      <c r="B554" s="3"/>
      <c r="C554" s="3"/>
    </row>
    <row r="555" spans="1:3" ht="15.75" customHeight="1" x14ac:dyDescent="0.3">
      <c r="A555" s="3"/>
      <c r="B555" s="3"/>
      <c r="C555" s="3"/>
    </row>
    <row r="556" spans="1:3" ht="15.75" customHeight="1" x14ac:dyDescent="0.3">
      <c r="A556" s="3"/>
      <c r="B556" s="3"/>
      <c r="C556" s="3"/>
    </row>
    <row r="557" spans="1:3" ht="15.75" customHeight="1" x14ac:dyDescent="0.3">
      <c r="A557" s="3"/>
      <c r="B557" s="3"/>
      <c r="C557" s="3"/>
    </row>
    <row r="558" spans="1:3" ht="15.75" customHeight="1" x14ac:dyDescent="0.3">
      <c r="A558" s="3"/>
      <c r="B558" s="3"/>
      <c r="C558" s="3"/>
    </row>
    <row r="559" spans="1:3" ht="15.75" customHeight="1" x14ac:dyDescent="0.3">
      <c r="A559" s="3"/>
      <c r="B559" s="3"/>
      <c r="C559" s="3"/>
    </row>
    <row r="560" spans="1:3" ht="15.75" customHeight="1" x14ac:dyDescent="0.3">
      <c r="A560" s="3"/>
      <c r="B560" s="3"/>
      <c r="C560" s="3"/>
    </row>
    <row r="561" spans="1:3" ht="15.75" customHeight="1" x14ac:dyDescent="0.3">
      <c r="A561" s="3"/>
      <c r="B561" s="3"/>
      <c r="C561" s="3"/>
    </row>
    <row r="562" spans="1:3" ht="15.75" customHeight="1" x14ac:dyDescent="0.3">
      <c r="A562" s="3"/>
      <c r="B562" s="3"/>
      <c r="C562" s="3"/>
    </row>
    <row r="563" spans="1:3" ht="15.75" customHeight="1" x14ac:dyDescent="0.3">
      <c r="A563" s="3"/>
      <c r="B563" s="3"/>
      <c r="C563" s="3"/>
    </row>
    <row r="564" spans="1:3" ht="15.75" customHeight="1" x14ac:dyDescent="0.3">
      <c r="A564" s="3"/>
      <c r="B564" s="3"/>
      <c r="C564" s="3"/>
    </row>
    <row r="565" spans="1:3" ht="15.75" customHeight="1" x14ac:dyDescent="0.3">
      <c r="A565" s="3"/>
      <c r="B565" s="3"/>
      <c r="C565" s="3"/>
    </row>
    <row r="566" spans="1:3" ht="15.75" customHeight="1" x14ac:dyDescent="0.3">
      <c r="A566" s="3"/>
      <c r="B566" s="3"/>
      <c r="C566" s="3"/>
    </row>
    <row r="567" spans="1:3" ht="15.75" customHeight="1" x14ac:dyDescent="0.3">
      <c r="A567" s="3"/>
      <c r="B567" s="3"/>
      <c r="C567" s="3"/>
    </row>
    <row r="568" spans="1:3" ht="15.75" customHeight="1" x14ac:dyDescent="0.3">
      <c r="A568" s="3"/>
      <c r="B568" s="3"/>
      <c r="C568" s="3"/>
    </row>
    <row r="569" spans="1:3" ht="15.75" customHeight="1" x14ac:dyDescent="0.3">
      <c r="A569" s="3"/>
      <c r="B569" s="3"/>
      <c r="C569" s="3"/>
    </row>
    <row r="570" spans="1:3" ht="15.75" customHeight="1" x14ac:dyDescent="0.3">
      <c r="A570" s="3"/>
      <c r="B570" s="3"/>
      <c r="C570" s="3"/>
    </row>
    <row r="571" spans="1:3" ht="15.75" customHeight="1" x14ac:dyDescent="0.3">
      <c r="A571" s="3"/>
      <c r="B571" s="3"/>
      <c r="C571" s="3"/>
    </row>
    <row r="572" spans="1:3" ht="15.75" customHeight="1" x14ac:dyDescent="0.3">
      <c r="A572" s="3"/>
      <c r="B572" s="3"/>
      <c r="C572" s="3"/>
    </row>
    <row r="573" spans="1:3" ht="15.75" customHeight="1" x14ac:dyDescent="0.3">
      <c r="A573" s="3"/>
      <c r="B573" s="3"/>
      <c r="C573" s="3"/>
    </row>
    <row r="574" spans="1:3" ht="15.75" customHeight="1" x14ac:dyDescent="0.3">
      <c r="A574" s="3"/>
      <c r="B574" s="3"/>
      <c r="C574" s="3"/>
    </row>
    <row r="575" spans="1:3" ht="15.75" customHeight="1" x14ac:dyDescent="0.3">
      <c r="A575" s="3"/>
      <c r="B575" s="3"/>
      <c r="C575" s="3"/>
    </row>
    <row r="576" spans="1:3" ht="15.75" customHeight="1" x14ac:dyDescent="0.3">
      <c r="A576" s="3"/>
      <c r="B576" s="3"/>
      <c r="C576" s="3"/>
    </row>
    <row r="577" spans="1:3" ht="15.75" customHeight="1" x14ac:dyDescent="0.3">
      <c r="A577" s="3"/>
      <c r="B577" s="3"/>
      <c r="C577" s="3"/>
    </row>
    <row r="578" spans="1:3" ht="15.75" customHeight="1" x14ac:dyDescent="0.3">
      <c r="A578" s="3"/>
      <c r="B578" s="3"/>
      <c r="C578" s="3"/>
    </row>
    <row r="579" spans="1:3" ht="15.75" customHeight="1" x14ac:dyDescent="0.3">
      <c r="A579" s="3"/>
      <c r="B579" s="3"/>
      <c r="C579" s="3"/>
    </row>
    <row r="580" spans="1:3" ht="15.75" customHeight="1" x14ac:dyDescent="0.3">
      <c r="A580" s="3"/>
      <c r="B580" s="3"/>
      <c r="C580" s="3"/>
    </row>
    <row r="581" spans="1:3" ht="15.75" customHeight="1" x14ac:dyDescent="0.3">
      <c r="A581" s="3"/>
      <c r="B581" s="3"/>
      <c r="C581" s="3"/>
    </row>
    <row r="582" spans="1:3" ht="15.75" customHeight="1" x14ac:dyDescent="0.3">
      <c r="A582" s="3"/>
      <c r="B582" s="3"/>
      <c r="C582" s="3"/>
    </row>
    <row r="583" spans="1:3" ht="15.75" customHeight="1" x14ac:dyDescent="0.3">
      <c r="A583" s="3"/>
      <c r="B583" s="3"/>
      <c r="C583" s="3"/>
    </row>
    <row r="584" spans="1:3" ht="15.75" customHeight="1" x14ac:dyDescent="0.3">
      <c r="A584" s="3"/>
      <c r="B584" s="3"/>
      <c r="C584" s="3"/>
    </row>
    <row r="585" spans="1:3" ht="15.75" customHeight="1" x14ac:dyDescent="0.3">
      <c r="A585" s="3"/>
      <c r="B585" s="3"/>
      <c r="C585" s="3"/>
    </row>
    <row r="586" spans="1:3" ht="15.75" customHeight="1" x14ac:dyDescent="0.3">
      <c r="A586" s="3"/>
      <c r="B586" s="3"/>
      <c r="C586" s="3"/>
    </row>
    <row r="587" spans="1:3" ht="15.75" customHeight="1" x14ac:dyDescent="0.3">
      <c r="A587" s="3"/>
      <c r="B587" s="3"/>
      <c r="C587" s="3"/>
    </row>
    <row r="588" spans="1:3" ht="15.75" customHeight="1" x14ac:dyDescent="0.3">
      <c r="A588" s="3"/>
      <c r="B588" s="3"/>
      <c r="C588" s="3"/>
    </row>
    <row r="589" spans="1:3" ht="15.75" customHeight="1" x14ac:dyDescent="0.3">
      <c r="A589" s="3"/>
      <c r="B589" s="3"/>
      <c r="C589" s="3"/>
    </row>
    <row r="590" spans="1:3" ht="15.75" customHeight="1" x14ac:dyDescent="0.3">
      <c r="A590" s="3"/>
      <c r="B590" s="3"/>
      <c r="C590" s="3"/>
    </row>
    <row r="591" spans="1:3" ht="15.75" customHeight="1" x14ac:dyDescent="0.3">
      <c r="A591" s="3"/>
      <c r="B591" s="3"/>
      <c r="C591" s="3"/>
    </row>
    <row r="592" spans="1:3" ht="15.75" customHeight="1" x14ac:dyDescent="0.3">
      <c r="A592" s="3"/>
      <c r="B592" s="3"/>
      <c r="C592" s="3"/>
    </row>
    <row r="593" spans="1:3" ht="15.75" customHeight="1" x14ac:dyDescent="0.3">
      <c r="A593" s="3"/>
      <c r="B593" s="3"/>
      <c r="C593" s="3"/>
    </row>
    <row r="594" spans="1:3" ht="15.75" customHeight="1" x14ac:dyDescent="0.3">
      <c r="A594" s="3"/>
      <c r="B594" s="3"/>
      <c r="C594" s="3"/>
    </row>
    <row r="595" spans="1:3" ht="15.75" customHeight="1" x14ac:dyDescent="0.3">
      <c r="A595" s="3"/>
      <c r="B595" s="3"/>
      <c r="C595" s="3"/>
    </row>
    <row r="596" spans="1:3" ht="15.75" customHeight="1" x14ac:dyDescent="0.3">
      <c r="A596" s="3"/>
      <c r="B596" s="3"/>
      <c r="C596" s="3"/>
    </row>
    <row r="597" spans="1:3" ht="15.75" customHeight="1" x14ac:dyDescent="0.3">
      <c r="A597" s="3"/>
      <c r="B597" s="3"/>
      <c r="C597" s="3"/>
    </row>
    <row r="598" spans="1:3" ht="15.75" customHeight="1" x14ac:dyDescent="0.3">
      <c r="A598" s="3"/>
      <c r="B598" s="3"/>
      <c r="C598" s="3"/>
    </row>
    <row r="599" spans="1:3" ht="15.75" customHeight="1" x14ac:dyDescent="0.3">
      <c r="A599" s="3"/>
      <c r="B599" s="3"/>
      <c r="C599" s="3"/>
    </row>
    <row r="600" spans="1:3" ht="15.75" customHeight="1" x14ac:dyDescent="0.3">
      <c r="A600" s="3"/>
      <c r="B600" s="3"/>
      <c r="C600" s="3"/>
    </row>
    <row r="601" spans="1:3" ht="15.75" customHeight="1" x14ac:dyDescent="0.3">
      <c r="A601" s="3"/>
      <c r="B601" s="3"/>
      <c r="C601" s="3"/>
    </row>
    <row r="602" spans="1:3" ht="15.75" customHeight="1" x14ac:dyDescent="0.3">
      <c r="A602" s="3"/>
      <c r="B602" s="3"/>
      <c r="C602" s="3"/>
    </row>
    <row r="603" spans="1:3" ht="15.75" customHeight="1" x14ac:dyDescent="0.3">
      <c r="A603" s="3"/>
      <c r="B603" s="3"/>
      <c r="C603" s="3"/>
    </row>
    <row r="604" spans="1:3" ht="15.75" customHeight="1" x14ac:dyDescent="0.3">
      <c r="A604" s="3"/>
      <c r="B604" s="3"/>
      <c r="C604" s="3"/>
    </row>
    <row r="605" spans="1:3" ht="15.75" customHeight="1" x14ac:dyDescent="0.3">
      <c r="A605" s="3"/>
      <c r="B605" s="3"/>
      <c r="C605" s="3"/>
    </row>
    <row r="606" spans="1:3" ht="15.75" customHeight="1" x14ac:dyDescent="0.3">
      <c r="A606" s="3"/>
      <c r="B606" s="3"/>
      <c r="C606" s="3"/>
    </row>
    <row r="607" spans="1:3" ht="15.75" customHeight="1" x14ac:dyDescent="0.3">
      <c r="A607" s="3"/>
      <c r="B607" s="3"/>
      <c r="C607" s="3"/>
    </row>
    <row r="608" spans="1:3" ht="15.75" customHeight="1" x14ac:dyDescent="0.3">
      <c r="A608" s="3"/>
      <c r="B608" s="3"/>
      <c r="C608" s="3"/>
    </row>
    <row r="609" spans="1:3" ht="15.75" customHeight="1" x14ac:dyDescent="0.3">
      <c r="A609" s="3"/>
      <c r="B609" s="3"/>
      <c r="C609" s="3"/>
    </row>
    <row r="610" spans="1:3" ht="15.75" customHeight="1" x14ac:dyDescent="0.3">
      <c r="A610" s="3"/>
      <c r="B610" s="3"/>
      <c r="C610" s="3"/>
    </row>
    <row r="611" spans="1:3" ht="15.75" customHeight="1" x14ac:dyDescent="0.3">
      <c r="A611" s="3"/>
      <c r="B611" s="3"/>
      <c r="C611" s="3"/>
    </row>
    <row r="612" spans="1:3" ht="15.75" customHeight="1" x14ac:dyDescent="0.3">
      <c r="A612" s="3"/>
      <c r="B612" s="3"/>
      <c r="C612" s="3"/>
    </row>
    <row r="613" spans="1:3" ht="15.75" customHeight="1" x14ac:dyDescent="0.3">
      <c r="A613" s="3"/>
      <c r="B613" s="3"/>
      <c r="C613" s="3"/>
    </row>
    <row r="614" spans="1:3" ht="15.75" customHeight="1" x14ac:dyDescent="0.3">
      <c r="A614" s="3"/>
      <c r="B614" s="3"/>
      <c r="C614" s="3"/>
    </row>
    <row r="615" spans="1:3" ht="15.75" customHeight="1" x14ac:dyDescent="0.3">
      <c r="A615" s="3"/>
      <c r="B615" s="3"/>
      <c r="C615" s="3"/>
    </row>
    <row r="616" spans="1:3" ht="15.75" customHeight="1" x14ac:dyDescent="0.3">
      <c r="A616" s="3"/>
      <c r="B616" s="3"/>
      <c r="C616" s="3"/>
    </row>
    <row r="617" spans="1:3" ht="15.75" customHeight="1" x14ac:dyDescent="0.3">
      <c r="A617" s="3"/>
      <c r="B617" s="3"/>
      <c r="C617" s="3"/>
    </row>
    <row r="618" spans="1:3" ht="15.75" customHeight="1" x14ac:dyDescent="0.3">
      <c r="A618" s="3"/>
      <c r="B618" s="3"/>
      <c r="C618" s="3"/>
    </row>
    <row r="619" spans="1:3" ht="15.75" customHeight="1" x14ac:dyDescent="0.3">
      <c r="A619" s="3"/>
      <c r="B619" s="3"/>
      <c r="C619" s="3"/>
    </row>
    <row r="620" spans="1:3" ht="15.75" customHeight="1" x14ac:dyDescent="0.3">
      <c r="A620" s="3"/>
      <c r="B620" s="3"/>
      <c r="C620" s="3"/>
    </row>
    <row r="621" spans="1:3" ht="15.75" customHeight="1" x14ac:dyDescent="0.3">
      <c r="A621" s="3"/>
      <c r="B621" s="3"/>
      <c r="C621" s="3"/>
    </row>
    <row r="622" spans="1:3" ht="15.75" customHeight="1" x14ac:dyDescent="0.3">
      <c r="A622" s="3"/>
      <c r="B622" s="3"/>
      <c r="C622" s="3"/>
    </row>
    <row r="623" spans="1:3" ht="15.75" customHeight="1" x14ac:dyDescent="0.3">
      <c r="A623" s="3"/>
      <c r="B623" s="3"/>
      <c r="C623" s="3"/>
    </row>
    <row r="624" spans="1:3" ht="15.75" customHeight="1" x14ac:dyDescent="0.3">
      <c r="A624" s="3"/>
      <c r="B624" s="3"/>
      <c r="C624" s="3"/>
    </row>
    <row r="625" spans="1:3" ht="15.75" customHeight="1" x14ac:dyDescent="0.3">
      <c r="A625" s="3"/>
      <c r="B625" s="3"/>
      <c r="C625" s="3"/>
    </row>
    <row r="626" spans="1:3" ht="15.75" customHeight="1" x14ac:dyDescent="0.3">
      <c r="A626" s="3"/>
      <c r="B626" s="3"/>
      <c r="C626" s="3"/>
    </row>
    <row r="627" spans="1:3" ht="15.75" customHeight="1" x14ac:dyDescent="0.3">
      <c r="A627" s="3"/>
      <c r="B627" s="3"/>
      <c r="C627" s="3"/>
    </row>
    <row r="628" spans="1:3" ht="15.75" customHeight="1" x14ac:dyDescent="0.3">
      <c r="A628" s="3"/>
      <c r="B628" s="3"/>
      <c r="C628" s="3"/>
    </row>
    <row r="629" spans="1:3" ht="15.75" customHeight="1" x14ac:dyDescent="0.3">
      <c r="A629" s="3"/>
      <c r="B629" s="3"/>
      <c r="C629" s="3"/>
    </row>
    <row r="630" spans="1:3" ht="15.75" customHeight="1" x14ac:dyDescent="0.3">
      <c r="A630" s="3"/>
      <c r="B630" s="3"/>
      <c r="C630" s="3"/>
    </row>
    <row r="631" spans="1:3" ht="15.75" customHeight="1" x14ac:dyDescent="0.3">
      <c r="A631" s="3"/>
      <c r="B631" s="3"/>
      <c r="C631" s="3"/>
    </row>
    <row r="632" spans="1:3" ht="15.75" customHeight="1" x14ac:dyDescent="0.3">
      <c r="A632" s="3"/>
      <c r="B632" s="3"/>
      <c r="C632" s="3"/>
    </row>
    <row r="633" spans="1:3" ht="15.75" customHeight="1" x14ac:dyDescent="0.3">
      <c r="A633" s="3"/>
      <c r="B633" s="3"/>
      <c r="C633" s="3"/>
    </row>
    <row r="634" spans="1:3" ht="15.75" customHeight="1" x14ac:dyDescent="0.3">
      <c r="A634" s="3"/>
      <c r="B634" s="3"/>
      <c r="C634" s="3"/>
    </row>
    <row r="635" spans="1:3" ht="15.75" customHeight="1" x14ac:dyDescent="0.3">
      <c r="A635" s="3"/>
      <c r="B635" s="3"/>
      <c r="C635" s="3"/>
    </row>
    <row r="636" spans="1:3" ht="15.75" customHeight="1" x14ac:dyDescent="0.3">
      <c r="A636" s="3"/>
      <c r="B636" s="3"/>
      <c r="C636" s="3"/>
    </row>
    <row r="637" spans="1:3" ht="15.75" customHeight="1" x14ac:dyDescent="0.3">
      <c r="A637" s="3"/>
      <c r="B637" s="3"/>
      <c r="C637" s="3"/>
    </row>
    <row r="638" spans="1:3" ht="15.75" customHeight="1" x14ac:dyDescent="0.3">
      <c r="A638" s="3"/>
      <c r="B638" s="3"/>
      <c r="C638" s="3"/>
    </row>
    <row r="639" spans="1:3" ht="15.75" customHeight="1" x14ac:dyDescent="0.3">
      <c r="A639" s="3"/>
      <c r="B639" s="3"/>
      <c r="C639" s="3"/>
    </row>
    <row r="640" spans="1:3" ht="15.75" customHeight="1" x14ac:dyDescent="0.3">
      <c r="A640" s="3"/>
      <c r="B640" s="3"/>
      <c r="C640" s="3"/>
    </row>
    <row r="641" spans="1:3" ht="15.75" customHeight="1" x14ac:dyDescent="0.3">
      <c r="A641" s="3"/>
      <c r="B641" s="3"/>
      <c r="C641" s="3"/>
    </row>
    <row r="642" spans="1:3" ht="15.75" customHeight="1" x14ac:dyDescent="0.3">
      <c r="A642" s="3"/>
      <c r="B642" s="3"/>
      <c r="C642" s="3"/>
    </row>
    <row r="643" spans="1:3" ht="15.75" customHeight="1" x14ac:dyDescent="0.3">
      <c r="A643" s="3"/>
      <c r="B643" s="3"/>
      <c r="C643" s="3"/>
    </row>
    <row r="644" spans="1:3" ht="15.75" customHeight="1" x14ac:dyDescent="0.3">
      <c r="A644" s="3"/>
      <c r="B644" s="3"/>
      <c r="C644" s="3"/>
    </row>
    <row r="645" spans="1:3" ht="15.75" customHeight="1" x14ac:dyDescent="0.3">
      <c r="A645" s="3"/>
      <c r="B645" s="3"/>
      <c r="C645" s="3"/>
    </row>
    <row r="646" spans="1:3" ht="15.75" customHeight="1" x14ac:dyDescent="0.3">
      <c r="A646" s="3"/>
      <c r="B646" s="3"/>
      <c r="C646" s="3"/>
    </row>
    <row r="647" spans="1:3" ht="15.75" customHeight="1" x14ac:dyDescent="0.3">
      <c r="A647" s="3"/>
      <c r="B647" s="3"/>
      <c r="C647" s="3"/>
    </row>
    <row r="648" spans="1:3" ht="15.75" customHeight="1" x14ac:dyDescent="0.3">
      <c r="A648" s="3"/>
      <c r="B648" s="3"/>
      <c r="C648" s="3"/>
    </row>
    <row r="649" spans="1:3" ht="15.75" customHeight="1" x14ac:dyDescent="0.3">
      <c r="A649" s="3"/>
      <c r="B649" s="3"/>
      <c r="C649" s="3"/>
    </row>
    <row r="650" spans="1:3" ht="15.75" customHeight="1" x14ac:dyDescent="0.3">
      <c r="A650" s="3"/>
      <c r="B650" s="3"/>
      <c r="C650" s="3"/>
    </row>
    <row r="651" spans="1:3" ht="15.75" customHeight="1" x14ac:dyDescent="0.3">
      <c r="A651" s="3"/>
      <c r="B651" s="3"/>
      <c r="C651" s="3"/>
    </row>
    <row r="652" spans="1:3" ht="15.75" customHeight="1" x14ac:dyDescent="0.3">
      <c r="A652" s="3"/>
      <c r="B652" s="3"/>
      <c r="C652" s="3"/>
    </row>
    <row r="653" spans="1:3" ht="15.75" customHeight="1" x14ac:dyDescent="0.3">
      <c r="A653" s="3"/>
      <c r="B653" s="3"/>
      <c r="C653" s="3"/>
    </row>
    <row r="654" spans="1:3" ht="15.75" customHeight="1" x14ac:dyDescent="0.3">
      <c r="A654" s="3"/>
      <c r="B654" s="3"/>
      <c r="C654" s="3"/>
    </row>
    <row r="655" spans="1:3" ht="15.75" customHeight="1" x14ac:dyDescent="0.3">
      <c r="A655" s="3"/>
      <c r="B655" s="3"/>
      <c r="C655" s="3"/>
    </row>
    <row r="656" spans="1:3" ht="15.75" customHeight="1" x14ac:dyDescent="0.3">
      <c r="A656" s="3"/>
      <c r="B656" s="3"/>
      <c r="C656" s="3"/>
    </row>
    <row r="657" spans="1:3" ht="15.75" customHeight="1" x14ac:dyDescent="0.3">
      <c r="A657" s="3"/>
      <c r="B657" s="3"/>
      <c r="C657" s="3"/>
    </row>
    <row r="658" spans="1:3" ht="15.75" customHeight="1" x14ac:dyDescent="0.3">
      <c r="A658" s="3"/>
      <c r="B658" s="3"/>
      <c r="C658" s="3"/>
    </row>
    <row r="659" spans="1:3" ht="15.75" customHeight="1" x14ac:dyDescent="0.3">
      <c r="A659" s="3"/>
      <c r="B659" s="3"/>
      <c r="C659" s="3"/>
    </row>
    <row r="660" spans="1:3" ht="15.75" customHeight="1" x14ac:dyDescent="0.3">
      <c r="A660" s="3"/>
      <c r="B660" s="3"/>
      <c r="C660" s="3"/>
    </row>
    <row r="661" spans="1:3" ht="15.75" customHeight="1" x14ac:dyDescent="0.3">
      <c r="A661" s="3"/>
      <c r="B661" s="3"/>
      <c r="C661" s="3"/>
    </row>
    <row r="662" spans="1:3" ht="15.75" customHeight="1" x14ac:dyDescent="0.3">
      <c r="A662" s="3"/>
      <c r="B662" s="3"/>
      <c r="C662" s="3"/>
    </row>
    <row r="663" spans="1:3" ht="15.75" customHeight="1" x14ac:dyDescent="0.3">
      <c r="A663" s="3"/>
      <c r="B663" s="3"/>
      <c r="C663" s="3"/>
    </row>
    <row r="664" spans="1:3" ht="15.75" customHeight="1" x14ac:dyDescent="0.3">
      <c r="A664" s="3"/>
      <c r="B664" s="3"/>
      <c r="C664" s="3"/>
    </row>
    <row r="665" spans="1:3" ht="15.75" customHeight="1" x14ac:dyDescent="0.3">
      <c r="A665" s="3"/>
      <c r="B665" s="3"/>
      <c r="C665" s="3"/>
    </row>
    <row r="666" spans="1:3" ht="15.75" customHeight="1" x14ac:dyDescent="0.3">
      <c r="A666" s="3"/>
      <c r="B666" s="3"/>
      <c r="C666" s="3"/>
    </row>
    <row r="667" spans="1:3" ht="15.75" customHeight="1" x14ac:dyDescent="0.3">
      <c r="A667" s="3"/>
      <c r="B667" s="3"/>
      <c r="C667" s="3"/>
    </row>
    <row r="668" spans="1:3" ht="15.75" customHeight="1" x14ac:dyDescent="0.3">
      <c r="A668" s="3"/>
      <c r="B668" s="3"/>
      <c r="C668" s="3"/>
    </row>
    <row r="669" spans="1:3" ht="15.75" customHeight="1" x14ac:dyDescent="0.3">
      <c r="A669" s="3"/>
      <c r="B669" s="3"/>
      <c r="C669" s="3"/>
    </row>
    <row r="670" spans="1:3" ht="15.75" customHeight="1" x14ac:dyDescent="0.3">
      <c r="A670" s="3"/>
      <c r="B670" s="3"/>
      <c r="C670" s="3"/>
    </row>
    <row r="671" spans="1:3" ht="15.75" customHeight="1" x14ac:dyDescent="0.3">
      <c r="A671" s="3"/>
      <c r="B671" s="3"/>
      <c r="C671" s="3"/>
    </row>
    <row r="672" spans="1:3" ht="15.75" customHeight="1" x14ac:dyDescent="0.3">
      <c r="A672" s="3"/>
      <c r="B672" s="3"/>
      <c r="C672" s="3"/>
    </row>
    <row r="673" spans="1:3" ht="15.75" customHeight="1" x14ac:dyDescent="0.3">
      <c r="A673" s="3"/>
      <c r="B673" s="3"/>
      <c r="C673" s="3"/>
    </row>
    <row r="674" spans="1:3" ht="15.75" customHeight="1" x14ac:dyDescent="0.3">
      <c r="A674" s="3"/>
      <c r="B674" s="3"/>
      <c r="C674" s="3"/>
    </row>
    <row r="675" spans="1:3" ht="15.75" customHeight="1" x14ac:dyDescent="0.3">
      <c r="A675" s="3"/>
      <c r="B675" s="3"/>
      <c r="C675" s="3"/>
    </row>
    <row r="676" spans="1:3" ht="15.75" customHeight="1" x14ac:dyDescent="0.3">
      <c r="A676" s="3"/>
      <c r="B676" s="3"/>
      <c r="C676" s="3"/>
    </row>
    <row r="677" spans="1:3" ht="15.75" customHeight="1" x14ac:dyDescent="0.3">
      <c r="A677" s="3"/>
      <c r="B677" s="3"/>
      <c r="C677" s="3"/>
    </row>
    <row r="678" spans="1:3" ht="15.75" customHeight="1" x14ac:dyDescent="0.3">
      <c r="A678" s="3"/>
      <c r="B678" s="3"/>
      <c r="C678" s="3"/>
    </row>
    <row r="679" spans="1:3" ht="15.75" customHeight="1" x14ac:dyDescent="0.3">
      <c r="A679" s="3"/>
      <c r="B679" s="3"/>
      <c r="C679" s="3"/>
    </row>
    <row r="680" spans="1:3" ht="15.75" customHeight="1" x14ac:dyDescent="0.3">
      <c r="A680" s="3"/>
      <c r="B680" s="3"/>
      <c r="C680" s="3"/>
    </row>
    <row r="681" spans="1:3" ht="15.75" customHeight="1" x14ac:dyDescent="0.3">
      <c r="A681" s="3"/>
      <c r="B681" s="3"/>
      <c r="C681" s="3"/>
    </row>
    <row r="682" spans="1:3" ht="15.75" customHeight="1" x14ac:dyDescent="0.3">
      <c r="A682" s="3"/>
      <c r="B682" s="3"/>
      <c r="C682" s="3"/>
    </row>
    <row r="683" spans="1:3" ht="15.75" customHeight="1" x14ac:dyDescent="0.3">
      <c r="A683" s="3"/>
      <c r="B683" s="3"/>
      <c r="C683" s="3"/>
    </row>
    <row r="684" spans="1:3" ht="15.75" customHeight="1" x14ac:dyDescent="0.3">
      <c r="A684" s="3"/>
      <c r="B684" s="3"/>
      <c r="C684" s="3"/>
    </row>
    <row r="685" spans="1:3" ht="15.75" customHeight="1" x14ac:dyDescent="0.3">
      <c r="A685" s="3"/>
      <c r="B685" s="3"/>
      <c r="C685" s="3"/>
    </row>
    <row r="686" spans="1:3" ht="15.75" customHeight="1" x14ac:dyDescent="0.3">
      <c r="A686" s="3"/>
      <c r="B686" s="3"/>
      <c r="C686" s="3"/>
    </row>
    <row r="687" spans="1:3" ht="15.75" customHeight="1" x14ac:dyDescent="0.3">
      <c r="A687" s="3"/>
      <c r="B687" s="3"/>
      <c r="C687" s="3"/>
    </row>
    <row r="688" spans="1:3" ht="15.75" customHeight="1" x14ac:dyDescent="0.3">
      <c r="A688" s="3"/>
      <c r="B688" s="3"/>
      <c r="C688" s="3"/>
    </row>
    <row r="689" spans="1:3" ht="15.75" customHeight="1" x14ac:dyDescent="0.3">
      <c r="A689" s="3"/>
      <c r="B689" s="3"/>
      <c r="C689" s="3"/>
    </row>
    <row r="690" spans="1:3" ht="15.75" customHeight="1" x14ac:dyDescent="0.3">
      <c r="A690" s="3"/>
      <c r="B690" s="3"/>
      <c r="C690" s="3"/>
    </row>
    <row r="691" spans="1:3" ht="15.75" customHeight="1" x14ac:dyDescent="0.3">
      <c r="A691" s="3"/>
      <c r="B691" s="3"/>
      <c r="C691" s="3"/>
    </row>
    <row r="692" spans="1:3" ht="15.75" customHeight="1" x14ac:dyDescent="0.3">
      <c r="A692" s="3"/>
      <c r="B692" s="3"/>
      <c r="C692" s="3"/>
    </row>
    <row r="693" spans="1:3" ht="15.75" customHeight="1" x14ac:dyDescent="0.3">
      <c r="A693" s="3"/>
      <c r="B693" s="3"/>
      <c r="C693" s="3"/>
    </row>
    <row r="694" spans="1:3" ht="15.75" customHeight="1" x14ac:dyDescent="0.3">
      <c r="A694" s="3"/>
      <c r="B694" s="3"/>
      <c r="C694" s="3"/>
    </row>
    <row r="695" spans="1:3" ht="15.75" customHeight="1" x14ac:dyDescent="0.3">
      <c r="A695" s="3"/>
      <c r="B695" s="3"/>
      <c r="C695" s="3"/>
    </row>
    <row r="696" spans="1:3" ht="15.75" customHeight="1" x14ac:dyDescent="0.3">
      <c r="A696" s="3"/>
      <c r="B696" s="3"/>
      <c r="C696" s="3"/>
    </row>
    <row r="697" spans="1:3" ht="15.75" customHeight="1" x14ac:dyDescent="0.3">
      <c r="A697" s="3"/>
      <c r="B697" s="3"/>
      <c r="C697" s="3"/>
    </row>
    <row r="698" spans="1:3" ht="15.75" customHeight="1" x14ac:dyDescent="0.3">
      <c r="A698" s="3"/>
      <c r="B698" s="3"/>
      <c r="C698" s="3"/>
    </row>
    <row r="699" spans="1:3" ht="15.75" customHeight="1" x14ac:dyDescent="0.3">
      <c r="A699" s="3"/>
      <c r="B699" s="3"/>
      <c r="C699" s="3"/>
    </row>
    <row r="700" spans="1:3" ht="15.75" customHeight="1" x14ac:dyDescent="0.3">
      <c r="A700" s="3"/>
      <c r="B700" s="3"/>
      <c r="C700" s="3"/>
    </row>
    <row r="701" spans="1:3" ht="15.75" customHeight="1" x14ac:dyDescent="0.3">
      <c r="A701" s="3"/>
      <c r="B701" s="3"/>
      <c r="C701" s="3"/>
    </row>
    <row r="702" spans="1:3" ht="15.75" customHeight="1" x14ac:dyDescent="0.3">
      <c r="A702" s="3"/>
      <c r="B702" s="3"/>
      <c r="C702" s="3"/>
    </row>
    <row r="703" spans="1:3" ht="15.75" customHeight="1" x14ac:dyDescent="0.3">
      <c r="A703" s="3"/>
      <c r="B703" s="3"/>
      <c r="C703" s="3"/>
    </row>
    <row r="704" spans="1:3" ht="15.75" customHeight="1" x14ac:dyDescent="0.3">
      <c r="A704" s="3"/>
      <c r="B704" s="3"/>
      <c r="C704" s="3"/>
    </row>
    <row r="705" spans="1:3" ht="15.75" customHeight="1" x14ac:dyDescent="0.3">
      <c r="A705" s="3"/>
      <c r="B705" s="3"/>
      <c r="C705" s="3"/>
    </row>
    <row r="706" spans="1:3" ht="15.75" customHeight="1" x14ac:dyDescent="0.3">
      <c r="A706" s="3"/>
      <c r="B706" s="3"/>
      <c r="C706" s="3"/>
    </row>
    <row r="707" spans="1:3" ht="15.75" customHeight="1" x14ac:dyDescent="0.3">
      <c r="A707" s="3"/>
      <c r="B707" s="3"/>
      <c r="C707" s="3"/>
    </row>
    <row r="708" spans="1:3" ht="15.75" customHeight="1" x14ac:dyDescent="0.3">
      <c r="A708" s="3"/>
      <c r="B708" s="3"/>
      <c r="C708" s="3"/>
    </row>
    <row r="709" spans="1:3" ht="15.75" customHeight="1" x14ac:dyDescent="0.3">
      <c r="A709" s="3"/>
      <c r="B709" s="3"/>
      <c r="C709" s="3"/>
    </row>
    <row r="710" spans="1:3" ht="15.75" customHeight="1" x14ac:dyDescent="0.3">
      <c r="A710" s="3"/>
      <c r="B710" s="3"/>
      <c r="C710" s="3"/>
    </row>
    <row r="711" spans="1:3" ht="15.75" customHeight="1" x14ac:dyDescent="0.3">
      <c r="A711" s="3"/>
      <c r="B711" s="3"/>
      <c r="C711" s="3"/>
    </row>
    <row r="712" spans="1:3" ht="15.75" customHeight="1" x14ac:dyDescent="0.3">
      <c r="A712" s="3"/>
      <c r="B712" s="3"/>
      <c r="C712" s="3"/>
    </row>
    <row r="713" spans="1:3" ht="15.75" customHeight="1" x14ac:dyDescent="0.3">
      <c r="A713" s="3"/>
      <c r="B713" s="3"/>
      <c r="C713" s="3"/>
    </row>
    <row r="714" spans="1:3" ht="15.75" customHeight="1" x14ac:dyDescent="0.3">
      <c r="A714" s="3"/>
      <c r="B714" s="3"/>
      <c r="C714" s="3"/>
    </row>
    <row r="715" spans="1:3" ht="15.75" customHeight="1" x14ac:dyDescent="0.3">
      <c r="A715" s="3"/>
      <c r="B715" s="3"/>
      <c r="C715" s="3"/>
    </row>
    <row r="716" spans="1:3" ht="15.75" customHeight="1" x14ac:dyDescent="0.3">
      <c r="A716" s="3"/>
      <c r="B716" s="3"/>
      <c r="C716" s="3"/>
    </row>
    <row r="717" spans="1:3" ht="15.75" customHeight="1" x14ac:dyDescent="0.3">
      <c r="A717" s="3"/>
      <c r="B717" s="3"/>
      <c r="C717" s="3"/>
    </row>
    <row r="718" spans="1:3" ht="15.75" customHeight="1" x14ac:dyDescent="0.3">
      <c r="A718" s="3"/>
      <c r="B718" s="3"/>
      <c r="C718" s="3"/>
    </row>
    <row r="719" spans="1:3" ht="15.75" customHeight="1" x14ac:dyDescent="0.3">
      <c r="A719" s="3"/>
      <c r="B719" s="3"/>
      <c r="C719" s="3"/>
    </row>
    <row r="720" spans="1:3" ht="15.75" customHeight="1" x14ac:dyDescent="0.3">
      <c r="A720" s="3"/>
      <c r="B720" s="3"/>
      <c r="C720" s="3"/>
    </row>
    <row r="721" spans="1:3" ht="15.75" customHeight="1" x14ac:dyDescent="0.3">
      <c r="A721" s="3"/>
      <c r="B721" s="3"/>
      <c r="C721" s="3"/>
    </row>
    <row r="722" spans="1:3" ht="15.75" customHeight="1" x14ac:dyDescent="0.3">
      <c r="A722" s="3"/>
      <c r="B722" s="3"/>
      <c r="C722" s="3"/>
    </row>
    <row r="723" spans="1:3" ht="15.75" customHeight="1" x14ac:dyDescent="0.3">
      <c r="A723" s="3"/>
      <c r="B723" s="3"/>
      <c r="C723" s="3"/>
    </row>
    <row r="724" spans="1:3" ht="15.75" customHeight="1" x14ac:dyDescent="0.3">
      <c r="A724" s="3"/>
      <c r="B724" s="3"/>
      <c r="C724" s="3"/>
    </row>
    <row r="725" spans="1:3" ht="15.75" customHeight="1" x14ac:dyDescent="0.3">
      <c r="A725" s="3"/>
      <c r="B725" s="3"/>
      <c r="C725" s="3"/>
    </row>
    <row r="726" spans="1:3" ht="15.75" customHeight="1" x14ac:dyDescent="0.3">
      <c r="A726" s="3"/>
      <c r="B726" s="3"/>
      <c r="C726" s="3"/>
    </row>
    <row r="727" spans="1:3" ht="15.75" customHeight="1" x14ac:dyDescent="0.3">
      <c r="A727" s="3"/>
      <c r="B727" s="3"/>
      <c r="C727" s="3"/>
    </row>
    <row r="728" spans="1:3" ht="15.75" customHeight="1" x14ac:dyDescent="0.3">
      <c r="A728" s="3"/>
      <c r="B728" s="3"/>
      <c r="C728" s="3"/>
    </row>
    <row r="729" spans="1:3" ht="15.75" customHeight="1" x14ac:dyDescent="0.3">
      <c r="A729" s="3"/>
      <c r="B729" s="3"/>
      <c r="C729" s="3"/>
    </row>
    <row r="730" spans="1:3" ht="15.75" customHeight="1" x14ac:dyDescent="0.3">
      <c r="A730" s="3"/>
      <c r="B730" s="3"/>
      <c r="C730" s="3"/>
    </row>
    <row r="731" spans="1:3" ht="15.75" customHeight="1" x14ac:dyDescent="0.3">
      <c r="A731" s="3"/>
      <c r="B731" s="3"/>
      <c r="C731" s="3"/>
    </row>
    <row r="732" spans="1:3" ht="15.75" customHeight="1" x14ac:dyDescent="0.3">
      <c r="A732" s="3"/>
      <c r="B732" s="3"/>
      <c r="C732" s="3"/>
    </row>
    <row r="733" spans="1:3" ht="15.75" customHeight="1" x14ac:dyDescent="0.3">
      <c r="A733" s="3"/>
      <c r="B733" s="3"/>
      <c r="C733" s="3"/>
    </row>
    <row r="734" spans="1:3" ht="15.75" customHeight="1" x14ac:dyDescent="0.3">
      <c r="A734" s="3"/>
      <c r="B734" s="3"/>
      <c r="C734" s="3"/>
    </row>
    <row r="735" spans="1:3" ht="15.75" customHeight="1" x14ac:dyDescent="0.3">
      <c r="A735" s="3"/>
      <c r="B735" s="3"/>
      <c r="C735" s="3"/>
    </row>
    <row r="736" spans="1:3" ht="15.75" customHeight="1" x14ac:dyDescent="0.3">
      <c r="A736" s="3"/>
      <c r="B736" s="3"/>
      <c r="C736" s="3"/>
    </row>
    <row r="737" spans="1:3" ht="15.75" customHeight="1" x14ac:dyDescent="0.3">
      <c r="A737" s="3"/>
      <c r="B737" s="3"/>
      <c r="C737" s="3"/>
    </row>
    <row r="738" spans="1:3" ht="15.75" customHeight="1" x14ac:dyDescent="0.3">
      <c r="A738" s="3"/>
      <c r="B738" s="3"/>
      <c r="C738" s="3"/>
    </row>
    <row r="739" spans="1:3" ht="15.75" customHeight="1" x14ac:dyDescent="0.3">
      <c r="A739" s="3"/>
      <c r="B739" s="3"/>
      <c r="C739" s="3"/>
    </row>
    <row r="740" spans="1:3" ht="15.75" customHeight="1" x14ac:dyDescent="0.3">
      <c r="A740" s="3"/>
      <c r="B740" s="3"/>
      <c r="C740" s="3"/>
    </row>
    <row r="741" spans="1:3" ht="15.75" customHeight="1" x14ac:dyDescent="0.3">
      <c r="A741" s="3"/>
      <c r="B741" s="3"/>
      <c r="C741" s="3"/>
    </row>
    <row r="742" spans="1:3" ht="15.75" customHeight="1" x14ac:dyDescent="0.3">
      <c r="A742" s="3"/>
      <c r="B742" s="3"/>
      <c r="C742" s="3"/>
    </row>
    <row r="743" spans="1:3" ht="15.75" customHeight="1" x14ac:dyDescent="0.3">
      <c r="A743" s="3"/>
      <c r="B743" s="3"/>
      <c r="C743" s="3"/>
    </row>
    <row r="744" spans="1:3" ht="15.75" customHeight="1" x14ac:dyDescent="0.3">
      <c r="A744" s="3"/>
      <c r="B744" s="3"/>
      <c r="C744" s="3"/>
    </row>
    <row r="745" spans="1:3" ht="15.75" customHeight="1" x14ac:dyDescent="0.3">
      <c r="A745" s="3"/>
      <c r="B745" s="3"/>
      <c r="C745" s="3"/>
    </row>
    <row r="746" spans="1:3" ht="15.75" customHeight="1" x14ac:dyDescent="0.3">
      <c r="A746" s="3"/>
      <c r="B746" s="3"/>
      <c r="C746" s="3"/>
    </row>
    <row r="747" spans="1:3" ht="15.75" customHeight="1" x14ac:dyDescent="0.3">
      <c r="A747" s="3"/>
      <c r="B747" s="3"/>
      <c r="C747" s="3"/>
    </row>
    <row r="748" spans="1:3" ht="15.75" customHeight="1" x14ac:dyDescent="0.3">
      <c r="A748" s="3"/>
      <c r="B748" s="3"/>
      <c r="C748" s="3"/>
    </row>
    <row r="749" spans="1:3" ht="15.75" customHeight="1" x14ac:dyDescent="0.3">
      <c r="A749" s="3"/>
      <c r="B749" s="3"/>
      <c r="C749" s="3"/>
    </row>
    <row r="750" spans="1:3" ht="15.75" customHeight="1" x14ac:dyDescent="0.3">
      <c r="A750" s="3"/>
      <c r="B750" s="3"/>
      <c r="C750" s="3"/>
    </row>
    <row r="751" spans="1:3" ht="15.75" customHeight="1" x14ac:dyDescent="0.3">
      <c r="A751" s="3"/>
      <c r="B751" s="3"/>
      <c r="C751" s="3"/>
    </row>
    <row r="752" spans="1:3" ht="15.75" customHeight="1" x14ac:dyDescent="0.3">
      <c r="A752" s="3"/>
      <c r="B752" s="3"/>
      <c r="C752" s="3"/>
    </row>
    <row r="753" spans="1:3" ht="15.75" customHeight="1" x14ac:dyDescent="0.3">
      <c r="A753" s="3"/>
      <c r="B753" s="3"/>
      <c r="C753" s="3"/>
    </row>
    <row r="754" spans="1:3" ht="15.75" customHeight="1" x14ac:dyDescent="0.3">
      <c r="A754" s="3"/>
      <c r="B754" s="3"/>
      <c r="C754" s="3"/>
    </row>
    <row r="755" spans="1:3" ht="15.75" customHeight="1" x14ac:dyDescent="0.3">
      <c r="A755" s="3"/>
      <c r="B755" s="3"/>
      <c r="C755" s="3"/>
    </row>
    <row r="756" spans="1:3" ht="15.75" customHeight="1" x14ac:dyDescent="0.3">
      <c r="A756" s="3"/>
      <c r="B756" s="3"/>
      <c r="C756" s="3"/>
    </row>
    <row r="757" spans="1:3" ht="15.75" customHeight="1" x14ac:dyDescent="0.3">
      <c r="A757" s="3"/>
      <c r="B757" s="3"/>
      <c r="C757" s="3"/>
    </row>
    <row r="758" spans="1:3" ht="15.75" customHeight="1" x14ac:dyDescent="0.3">
      <c r="A758" s="3"/>
      <c r="B758" s="3"/>
      <c r="C758" s="3"/>
    </row>
    <row r="759" spans="1:3" ht="15.75" customHeight="1" x14ac:dyDescent="0.3">
      <c r="A759" s="3"/>
      <c r="B759" s="3"/>
      <c r="C759" s="3"/>
    </row>
    <row r="760" spans="1:3" ht="15.75" customHeight="1" x14ac:dyDescent="0.3">
      <c r="A760" s="3"/>
      <c r="B760" s="3"/>
      <c r="C760" s="3"/>
    </row>
    <row r="761" spans="1:3" ht="15.75" customHeight="1" x14ac:dyDescent="0.3">
      <c r="A761" s="3"/>
      <c r="B761" s="3"/>
      <c r="C761" s="3"/>
    </row>
    <row r="762" spans="1:3" ht="15.75" customHeight="1" x14ac:dyDescent="0.3">
      <c r="A762" s="3"/>
      <c r="B762" s="3"/>
      <c r="C762" s="3"/>
    </row>
    <row r="763" spans="1:3" ht="15.75" customHeight="1" x14ac:dyDescent="0.3">
      <c r="A763" s="3"/>
      <c r="B763" s="3"/>
      <c r="C763" s="3"/>
    </row>
    <row r="764" spans="1:3" ht="15.75" customHeight="1" x14ac:dyDescent="0.3">
      <c r="A764" s="3"/>
      <c r="B764" s="3"/>
      <c r="C764" s="3"/>
    </row>
    <row r="765" spans="1:3" ht="15.75" customHeight="1" x14ac:dyDescent="0.3">
      <c r="A765" s="3"/>
      <c r="B765" s="3"/>
      <c r="C765" s="3"/>
    </row>
    <row r="766" spans="1:3" ht="15.75" customHeight="1" x14ac:dyDescent="0.3">
      <c r="A766" s="3"/>
      <c r="B766" s="3"/>
      <c r="C766" s="3"/>
    </row>
    <row r="767" spans="1:3" ht="15.75" customHeight="1" x14ac:dyDescent="0.3">
      <c r="A767" s="3"/>
      <c r="B767" s="3"/>
      <c r="C767" s="3"/>
    </row>
    <row r="768" spans="1:3" ht="15.75" customHeight="1" x14ac:dyDescent="0.3">
      <c r="A768" s="3"/>
      <c r="B768" s="3"/>
      <c r="C768" s="3"/>
    </row>
    <row r="769" spans="1:3" ht="15.75" customHeight="1" x14ac:dyDescent="0.3">
      <c r="A769" s="3"/>
      <c r="B769" s="3"/>
      <c r="C769" s="3"/>
    </row>
    <row r="770" spans="1:3" ht="15.75" customHeight="1" x14ac:dyDescent="0.3">
      <c r="A770" s="3"/>
      <c r="B770" s="3"/>
      <c r="C770" s="3"/>
    </row>
    <row r="771" spans="1:3" ht="15.75" customHeight="1" x14ac:dyDescent="0.3">
      <c r="A771" s="3"/>
      <c r="B771" s="3"/>
      <c r="C771" s="3"/>
    </row>
    <row r="772" spans="1:3" ht="15.75" customHeight="1" x14ac:dyDescent="0.3">
      <c r="A772" s="3"/>
      <c r="B772" s="3"/>
      <c r="C772" s="3"/>
    </row>
    <row r="773" spans="1:3" ht="15.75" customHeight="1" x14ac:dyDescent="0.3">
      <c r="A773" s="3"/>
      <c r="B773" s="3"/>
      <c r="C773" s="3"/>
    </row>
    <row r="774" spans="1:3" ht="15.75" customHeight="1" x14ac:dyDescent="0.3">
      <c r="A774" s="3"/>
      <c r="B774" s="3"/>
      <c r="C774" s="3"/>
    </row>
    <row r="775" spans="1:3" ht="15.75" customHeight="1" x14ac:dyDescent="0.3">
      <c r="A775" s="3"/>
      <c r="B775" s="3"/>
      <c r="C775" s="3"/>
    </row>
    <row r="776" spans="1:3" ht="15.75" customHeight="1" x14ac:dyDescent="0.3">
      <c r="A776" s="3"/>
      <c r="B776" s="3"/>
      <c r="C776" s="3"/>
    </row>
    <row r="777" spans="1:3" ht="15.75" customHeight="1" x14ac:dyDescent="0.3">
      <c r="A777" s="3"/>
      <c r="B777" s="3"/>
      <c r="C777" s="3"/>
    </row>
    <row r="778" spans="1:3" ht="15.75" customHeight="1" x14ac:dyDescent="0.3">
      <c r="A778" s="3"/>
      <c r="B778" s="3"/>
      <c r="C778" s="3"/>
    </row>
    <row r="779" spans="1:3" ht="15.75" customHeight="1" x14ac:dyDescent="0.3">
      <c r="A779" s="3"/>
      <c r="B779" s="3"/>
      <c r="C779" s="3"/>
    </row>
    <row r="780" spans="1:3" ht="15.75" customHeight="1" x14ac:dyDescent="0.3">
      <c r="A780" s="3"/>
      <c r="B780" s="3"/>
      <c r="C780" s="3"/>
    </row>
    <row r="781" spans="1:3" ht="15.75" customHeight="1" x14ac:dyDescent="0.3">
      <c r="A781" s="3"/>
      <c r="B781" s="3"/>
      <c r="C781" s="3"/>
    </row>
    <row r="782" spans="1:3" ht="15.75" customHeight="1" x14ac:dyDescent="0.3">
      <c r="A782" s="3"/>
      <c r="B782" s="3"/>
      <c r="C782" s="3"/>
    </row>
    <row r="783" spans="1:3" ht="15.75" customHeight="1" x14ac:dyDescent="0.3">
      <c r="A783" s="3"/>
      <c r="B783" s="3"/>
      <c r="C783" s="3"/>
    </row>
    <row r="784" spans="1:3" ht="15.75" customHeight="1" x14ac:dyDescent="0.3">
      <c r="A784" s="3"/>
      <c r="B784" s="3"/>
      <c r="C784" s="3"/>
    </row>
    <row r="785" spans="1:3" ht="15.75" customHeight="1" x14ac:dyDescent="0.3">
      <c r="A785" s="3"/>
      <c r="B785" s="3"/>
      <c r="C785" s="3"/>
    </row>
    <row r="786" spans="1:3" ht="15.75" customHeight="1" x14ac:dyDescent="0.3">
      <c r="A786" s="3"/>
      <c r="B786" s="3"/>
      <c r="C786" s="3"/>
    </row>
    <row r="787" spans="1:3" ht="15.75" customHeight="1" x14ac:dyDescent="0.3">
      <c r="A787" s="3"/>
      <c r="B787" s="3"/>
      <c r="C787" s="3"/>
    </row>
    <row r="788" spans="1:3" ht="15.75" customHeight="1" x14ac:dyDescent="0.3">
      <c r="A788" s="3"/>
      <c r="B788" s="3"/>
      <c r="C788" s="3"/>
    </row>
    <row r="789" spans="1:3" ht="15.75" customHeight="1" x14ac:dyDescent="0.3">
      <c r="A789" s="3"/>
      <c r="B789" s="3"/>
      <c r="C789" s="3"/>
    </row>
    <row r="790" spans="1:3" ht="15.75" customHeight="1" x14ac:dyDescent="0.3">
      <c r="A790" s="3"/>
      <c r="B790" s="3"/>
      <c r="C790" s="3"/>
    </row>
    <row r="791" spans="1:3" ht="15.75" customHeight="1" x14ac:dyDescent="0.3">
      <c r="A791" s="3"/>
      <c r="B791" s="3"/>
      <c r="C791" s="3"/>
    </row>
    <row r="792" spans="1:3" ht="15.75" customHeight="1" x14ac:dyDescent="0.3">
      <c r="A792" s="3"/>
      <c r="B792" s="3"/>
      <c r="C792" s="3"/>
    </row>
    <row r="793" spans="1:3" ht="15.75" customHeight="1" x14ac:dyDescent="0.3">
      <c r="A793" s="3"/>
      <c r="B793" s="3"/>
      <c r="C793" s="3"/>
    </row>
    <row r="794" spans="1:3" ht="15.75" customHeight="1" x14ac:dyDescent="0.3">
      <c r="A794" s="3"/>
      <c r="B794" s="3"/>
      <c r="C794" s="3"/>
    </row>
    <row r="795" spans="1:3" ht="15.75" customHeight="1" x14ac:dyDescent="0.3">
      <c r="A795" s="3"/>
      <c r="B795" s="3"/>
      <c r="C795" s="3"/>
    </row>
    <row r="796" spans="1:3" ht="15.75" customHeight="1" x14ac:dyDescent="0.3">
      <c r="A796" s="3"/>
      <c r="B796" s="3"/>
      <c r="C796" s="3"/>
    </row>
    <row r="797" spans="1:3" ht="15.75" customHeight="1" x14ac:dyDescent="0.3">
      <c r="A797" s="3"/>
      <c r="B797" s="3"/>
      <c r="C797" s="3"/>
    </row>
    <row r="798" spans="1:3" ht="15.75" customHeight="1" x14ac:dyDescent="0.3">
      <c r="A798" s="3"/>
      <c r="B798" s="3"/>
      <c r="C798" s="3"/>
    </row>
    <row r="799" spans="1:3" ht="15.75" customHeight="1" x14ac:dyDescent="0.3">
      <c r="A799" s="3"/>
      <c r="B799" s="3"/>
      <c r="C799" s="3"/>
    </row>
    <row r="800" spans="1:3" ht="15.75" customHeight="1" x14ac:dyDescent="0.3">
      <c r="A800" s="3"/>
      <c r="B800" s="3"/>
      <c r="C800" s="3"/>
    </row>
    <row r="801" spans="1:3" ht="15.75" customHeight="1" x14ac:dyDescent="0.3">
      <c r="A801" s="3"/>
      <c r="B801" s="3"/>
      <c r="C801" s="3"/>
    </row>
    <row r="802" spans="1:3" ht="15.75" customHeight="1" x14ac:dyDescent="0.3">
      <c r="A802" s="3"/>
      <c r="B802" s="3"/>
      <c r="C802" s="3"/>
    </row>
    <row r="803" spans="1:3" ht="15.75" customHeight="1" x14ac:dyDescent="0.3">
      <c r="A803" s="3"/>
      <c r="B803" s="3"/>
      <c r="C803" s="3"/>
    </row>
    <row r="804" spans="1:3" ht="15.75" customHeight="1" x14ac:dyDescent="0.3">
      <c r="A804" s="3"/>
      <c r="B804" s="3"/>
      <c r="C804" s="3"/>
    </row>
    <row r="805" spans="1:3" ht="15.75" customHeight="1" x14ac:dyDescent="0.3">
      <c r="A805" s="3"/>
      <c r="B805" s="3"/>
      <c r="C805" s="3"/>
    </row>
    <row r="806" spans="1:3" ht="15.75" customHeight="1" x14ac:dyDescent="0.3">
      <c r="A806" s="3"/>
      <c r="B806" s="3"/>
      <c r="C806" s="3"/>
    </row>
    <row r="807" spans="1:3" ht="15.75" customHeight="1" x14ac:dyDescent="0.3">
      <c r="A807" s="3"/>
      <c r="B807" s="3"/>
      <c r="C807" s="3"/>
    </row>
    <row r="808" spans="1:3" ht="15.75" customHeight="1" x14ac:dyDescent="0.3">
      <c r="A808" s="3"/>
      <c r="B808" s="3"/>
      <c r="C808" s="3"/>
    </row>
    <row r="809" spans="1:3" ht="15.75" customHeight="1" x14ac:dyDescent="0.3">
      <c r="A809" s="3"/>
      <c r="B809" s="3"/>
      <c r="C809" s="3"/>
    </row>
    <row r="810" spans="1:3" ht="15.75" customHeight="1" x14ac:dyDescent="0.3">
      <c r="A810" s="3"/>
      <c r="B810" s="3"/>
      <c r="C810" s="3"/>
    </row>
    <row r="811" spans="1:3" ht="15.75" customHeight="1" x14ac:dyDescent="0.3">
      <c r="A811" s="3"/>
      <c r="B811" s="3"/>
      <c r="C811" s="3"/>
    </row>
    <row r="812" spans="1:3" ht="15.75" customHeight="1" x14ac:dyDescent="0.3">
      <c r="A812" s="3"/>
      <c r="B812" s="3"/>
      <c r="C812" s="3"/>
    </row>
    <row r="813" spans="1:3" ht="15.75" customHeight="1" x14ac:dyDescent="0.3">
      <c r="A813" s="3"/>
      <c r="B813" s="3"/>
      <c r="C813" s="3"/>
    </row>
    <row r="814" spans="1:3" ht="15.75" customHeight="1" x14ac:dyDescent="0.3">
      <c r="A814" s="3"/>
      <c r="B814" s="3"/>
      <c r="C814" s="3"/>
    </row>
    <row r="815" spans="1:3" ht="15.75" customHeight="1" x14ac:dyDescent="0.3">
      <c r="A815" s="3"/>
      <c r="B815" s="3"/>
      <c r="C815" s="3"/>
    </row>
    <row r="816" spans="1:3" ht="15.75" customHeight="1" x14ac:dyDescent="0.3">
      <c r="A816" s="3"/>
      <c r="B816" s="3"/>
      <c r="C816" s="3"/>
    </row>
    <row r="817" spans="1:3" ht="15.75" customHeight="1" x14ac:dyDescent="0.3">
      <c r="A817" s="3"/>
      <c r="B817" s="3"/>
      <c r="C817" s="3"/>
    </row>
    <row r="818" spans="1:3" ht="15.75" customHeight="1" x14ac:dyDescent="0.3">
      <c r="A818" s="3"/>
      <c r="B818" s="3"/>
      <c r="C818" s="3"/>
    </row>
    <row r="819" spans="1:3" ht="15.75" customHeight="1" x14ac:dyDescent="0.3">
      <c r="A819" s="3"/>
      <c r="B819" s="3"/>
      <c r="C819" s="3"/>
    </row>
    <row r="820" spans="1:3" ht="15.75" customHeight="1" x14ac:dyDescent="0.3">
      <c r="A820" s="3"/>
      <c r="B820" s="3"/>
      <c r="C820" s="3"/>
    </row>
    <row r="821" spans="1:3" ht="15.75" customHeight="1" x14ac:dyDescent="0.3">
      <c r="A821" s="3"/>
      <c r="B821" s="3"/>
      <c r="C821" s="3"/>
    </row>
    <row r="822" spans="1:3" ht="15.75" customHeight="1" x14ac:dyDescent="0.3">
      <c r="A822" s="3"/>
      <c r="B822" s="3"/>
      <c r="C822" s="3"/>
    </row>
    <row r="823" spans="1:3" ht="15.75" customHeight="1" x14ac:dyDescent="0.3">
      <c r="A823" s="3"/>
      <c r="B823" s="3"/>
      <c r="C823" s="3"/>
    </row>
    <row r="824" spans="1:3" ht="15.75" customHeight="1" x14ac:dyDescent="0.3">
      <c r="A824" s="3"/>
      <c r="B824" s="3"/>
      <c r="C824" s="3"/>
    </row>
    <row r="825" spans="1:3" ht="15.75" customHeight="1" x14ac:dyDescent="0.3">
      <c r="A825" s="3"/>
      <c r="B825" s="3"/>
      <c r="C825" s="3"/>
    </row>
    <row r="826" spans="1:3" ht="15.75" customHeight="1" x14ac:dyDescent="0.3">
      <c r="A826" s="3"/>
      <c r="B826" s="3"/>
      <c r="C826" s="3"/>
    </row>
    <row r="827" spans="1:3" ht="15.75" customHeight="1" x14ac:dyDescent="0.3">
      <c r="A827" s="3"/>
      <c r="B827" s="3"/>
      <c r="C827" s="3"/>
    </row>
    <row r="828" spans="1:3" ht="15.75" customHeight="1" x14ac:dyDescent="0.3">
      <c r="A828" s="3"/>
      <c r="B828" s="3"/>
      <c r="C828" s="3"/>
    </row>
    <row r="829" spans="1:3" ht="15.75" customHeight="1" x14ac:dyDescent="0.3">
      <c r="A829" s="3"/>
      <c r="B829" s="3"/>
      <c r="C829" s="3"/>
    </row>
    <row r="830" spans="1:3" ht="15.75" customHeight="1" x14ac:dyDescent="0.3">
      <c r="A830" s="3"/>
      <c r="B830" s="3"/>
      <c r="C830" s="3"/>
    </row>
    <row r="831" spans="1:3" ht="15.75" customHeight="1" x14ac:dyDescent="0.3">
      <c r="A831" s="3"/>
      <c r="B831" s="3"/>
      <c r="C831" s="3"/>
    </row>
    <row r="832" spans="1:3" ht="15.75" customHeight="1" x14ac:dyDescent="0.3">
      <c r="A832" s="3"/>
      <c r="B832" s="3"/>
      <c r="C832" s="3"/>
    </row>
    <row r="833" spans="1:3" ht="15.75" customHeight="1" x14ac:dyDescent="0.3">
      <c r="A833" s="3"/>
      <c r="B833" s="3"/>
      <c r="C833" s="3"/>
    </row>
    <row r="834" spans="1:3" ht="15.75" customHeight="1" x14ac:dyDescent="0.3">
      <c r="A834" s="3"/>
      <c r="B834" s="3"/>
      <c r="C834" s="3"/>
    </row>
    <row r="835" spans="1:3" ht="15.75" customHeight="1" x14ac:dyDescent="0.3">
      <c r="A835" s="3"/>
      <c r="B835" s="3"/>
      <c r="C835" s="3"/>
    </row>
    <row r="836" spans="1:3" ht="15.75" customHeight="1" x14ac:dyDescent="0.3">
      <c r="A836" s="3"/>
      <c r="B836" s="3"/>
      <c r="C836" s="3"/>
    </row>
    <row r="837" spans="1:3" ht="15.75" customHeight="1" x14ac:dyDescent="0.3">
      <c r="A837" s="3"/>
      <c r="B837" s="3"/>
      <c r="C837" s="3"/>
    </row>
    <row r="838" spans="1:3" ht="15.75" customHeight="1" x14ac:dyDescent="0.3">
      <c r="A838" s="3"/>
      <c r="B838" s="3"/>
      <c r="C838" s="3"/>
    </row>
    <row r="839" spans="1:3" ht="15.75" customHeight="1" x14ac:dyDescent="0.3">
      <c r="A839" s="3"/>
      <c r="B839" s="3"/>
      <c r="C839" s="3"/>
    </row>
    <row r="840" spans="1:3" ht="15.75" customHeight="1" x14ac:dyDescent="0.3">
      <c r="A840" s="3"/>
      <c r="B840" s="3"/>
      <c r="C840" s="3"/>
    </row>
    <row r="841" spans="1:3" ht="15.75" customHeight="1" x14ac:dyDescent="0.3">
      <c r="A841" s="3"/>
      <c r="B841" s="3"/>
      <c r="C841" s="3"/>
    </row>
    <row r="842" spans="1:3" ht="15.75" customHeight="1" x14ac:dyDescent="0.3">
      <c r="A842" s="3"/>
      <c r="B842" s="3"/>
      <c r="C842" s="3"/>
    </row>
    <row r="843" spans="1:3" ht="15.75" customHeight="1" x14ac:dyDescent="0.3">
      <c r="A843" s="3"/>
      <c r="B843" s="3"/>
      <c r="C843" s="3"/>
    </row>
    <row r="844" spans="1:3" ht="15.75" customHeight="1" x14ac:dyDescent="0.3">
      <c r="A844" s="3"/>
      <c r="B844" s="3"/>
      <c r="C844" s="3"/>
    </row>
    <row r="845" spans="1:3" ht="15.75" customHeight="1" x14ac:dyDescent="0.3">
      <c r="A845" s="3"/>
      <c r="B845" s="3"/>
      <c r="C845" s="3"/>
    </row>
    <row r="846" spans="1:3" ht="15.75" customHeight="1" x14ac:dyDescent="0.3">
      <c r="A846" s="3"/>
      <c r="B846" s="3"/>
      <c r="C846" s="3"/>
    </row>
    <row r="847" spans="1:3" ht="15.75" customHeight="1" x14ac:dyDescent="0.3">
      <c r="A847" s="3"/>
      <c r="B847" s="3"/>
      <c r="C847" s="3"/>
    </row>
    <row r="848" spans="1:3" ht="15.75" customHeight="1" x14ac:dyDescent="0.3">
      <c r="A848" s="3"/>
      <c r="B848" s="3"/>
      <c r="C848" s="3"/>
    </row>
    <row r="849" spans="1:3" ht="15.75" customHeight="1" x14ac:dyDescent="0.3">
      <c r="A849" s="3"/>
      <c r="B849" s="3"/>
      <c r="C849" s="3"/>
    </row>
    <row r="850" spans="1:3" ht="15.75" customHeight="1" x14ac:dyDescent="0.3">
      <c r="A850" s="3"/>
      <c r="B850" s="3"/>
      <c r="C850" s="3"/>
    </row>
    <row r="851" spans="1:3" ht="15.75" customHeight="1" x14ac:dyDescent="0.3">
      <c r="A851" s="3"/>
      <c r="B851" s="3"/>
      <c r="C851" s="3"/>
    </row>
    <row r="852" spans="1:3" ht="15.75" customHeight="1" x14ac:dyDescent="0.3">
      <c r="A852" s="3"/>
      <c r="B852" s="3"/>
      <c r="C852" s="3"/>
    </row>
    <row r="853" spans="1:3" ht="15.75" customHeight="1" x14ac:dyDescent="0.3">
      <c r="A853" s="3"/>
      <c r="B853" s="3"/>
      <c r="C853" s="3"/>
    </row>
    <row r="854" spans="1:3" ht="15.75" customHeight="1" x14ac:dyDescent="0.3">
      <c r="A854" s="3"/>
      <c r="B854" s="3"/>
      <c r="C854" s="3"/>
    </row>
    <row r="855" spans="1:3" ht="15.75" customHeight="1" x14ac:dyDescent="0.3">
      <c r="A855" s="3"/>
      <c r="B855" s="3"/>
      <c r="C855" s="3"/>
    </row>
    <row r="856" spans="1:3" ht="15.75" customHeight="1" x14ac:dyDescent="0.3">
      <c r="A856" s="3"/>
      <c r="B856" s="3"/>
      <c r="C856" s="3"/>
    </row>
    <row r="857" spans="1:3" ht="15.75" customHeight="1" x14ac:dyDescent="0.3">
      <c r="A857" s="3"/>
      <c r="B857" s="3"/>
      <c r="C857" s="3"/>
    </row>
    <row r="858" spans="1:3" ht="15.75" customHeight="1" x14ac:dyDescent="0.3">
      <c r="A858" s="3"/>
      <c r="B858" s="3"/>
      <c r="C858" s="3"/>
    </row>
    <row r="859" spans="1:3" ht="15.75" customHeight="1" x14ac:dyDescent="0.3">
      <c r="A859" s="3"/>
      <c r="B859" s="3"/>
      <c r="C859" s="3"/>
    </row>
    <row r="860" spans="1:3" ht="15.75" customHeight="1" x14ac:dyDescent="0.3">
      <c r="A860" s="3"/>
      <c r="B860" s="3"/>
      <c r="C860" s="3"/>
    </row>
    <row r="861" spans="1:3" ht="15.75" customHeight="1" x14ac:dyDescent="0.3">
      <c r="A861" s="3"/>
      <c r="B861" s="3"/>
      <c r="C861" s="3"/>
    </row>
    <row r="862" spans="1:3" ht="15.75" customHeight="1" x14ac:dyDescent="0.3">
      <c r="A862" s="3"/>
      <c r="B862" s="3"/>
      <c r="C862" s="3"/>
    </row>
    <row r="863" spans="1:3" ht="15.75" customHeight="1" x14ac:dyDescent="0.3">
      <c r="A863" s="3"/>
      <c r="B863" s="3"/>
      <c r="C863" s="3"/>
    </row>
    <row r="864" spans="1:3" ht="15.75" customHeight="1" x14ac:dyDescent="0.3">
      <c r="A864" s="3"/>
      <c r="B864" s="3"/>
      <c r="C864" s="3"/>
    </row>
    <row r="865" spans="1:3" ht="15.75" customHeight="1" x14ac:dyDescent="0.3">
      <c r="A865" s="3"/>
      <c r="B865" s="3"/>
      <c r="C865" s="3"/>
    </row>
    <row r="866" spans="1:3" ht="15.75" customHeight="1" x14ac:dyDescent="0.3">
      <c r="A866" s="3"/>
      <c r="B866" s="3"/>
      <c r="C866" s="3"/>
    </row>
    <row r="867" spans="1:3" ht="15.75" customHeight="1" x14ac:dyDescent="0.3">
      <c r="A867" s="3"/>
      <c r="B867" s="3"/>
      <c r="C867" s="3"/>
    </row>
    <row r="868" spans="1:3" ht="15.75" customHeight="1" x14ac:dyDescent="0.3">
      <c r="A868" s="3"/>
      <c r="B868" s="3"/>
      <c r="C868" s="3"/>
    </row>
    <row r="869" spans="1:3" ht="15.75" customHeight="1" x14ac:dyDescent="0.3">
      <c r="A869" s="3"/>
      <c r="B869" s="3"/>
      <c r="C869" s="3"/>
    </row>
    <row r="870" spans="1:3" ht="15.75" customHeight="1" x14ac:dyDescent="0.3">
      <c r="A870" s="3"/>
      <c r="B870" s="3"/>
      <c r="C870" s="3"/>
    </row>
    <row r="871" spans="1:3" ht="15.75" customHeight="1" x14ac:dyDescent="0.3">
      <c r="A871" s="3"/>
      <c r="B871" s="3"/>
      <c r="C871" s="3"/>
    </row>
    <row r="872" spans="1:3" ht="15.75" customHeight="1" x14ac:dyDescent="0.3">
      <c r="A872" s="3"/>
      <c r="B872" s="3"/>
      <c r="C872" s="3"/>
    </row>
    <row r="873" spans="1:3" ht="15.75" customHeight="1" x14ac:dyDescent="0.3">
      <c r="A873" s="3"/>
      <c r="B873" s="3"/>
      <c r="C873" s="3"/>
    </row>
    <row r="874" spans="1:3" ht="15.75" customHeight="1" x14ac:dyDescent="0.3">
      <c r="A874" s="3"/>
      <c r="B874" s="3"/>
      <c r="C874" s="3"/>
    </row>
    <row r="875" spans="1:3" ht="15.75" customHeight="1" x14ac:dyDescent="0.3">
      <c r="A875" s="3"/>
      <c r="B875" s="3"/>
      <c r="C875" s="3"/>
    </row>
    <row r="876" spans="1:3" ht="15.75" customHeight="1" x14ac:dyDescent="0.3">
      <c r="A876" s="3"/>
      <c r="B876" s="3"/>
      <c r="C876" s="3"/>
    </row>
    <row r="877" spans="1:3" ht="15.75" customHeight="1" x14ac:dyDescent="0.3">
      <c r="A877" s="3"/>
      <c r="B877" s="3"/>
      <c r="C877" s="3"/>
    </row>
    <row r="878" spans="1:3" ht="15.75" customHeight="1" x14ac:dyDescent="0.3">
      <c r="A878" s="3"/>
      <c r="B878" s="3"/>
      <c r="C878" s="3"/>
    </row>
    <row r="879" spans="1:3" ht="15.75" customHeight="1" x14ac:dyDescent="0.3">
      <c r="A879" s="3"/>
      <c r="B879" s="3"/>
      <c r="C879" s="3"/>
    </row>
    <row r="880" spans="1:3" ht="15.75" customHeight="1" x14ac:dyDescent="0.3">
      <c r="A880" s="3"/>
      <c r="B880" s="3"/>
      <c r="C880" s="3"/>
    </row>
    <row r="881" spans="1:3" ht="15.75" customHeight="1" x14ac:dyDescent="0.3">
      <c r="A881" s="3"/>
      <c r="B881" s="3"/>
      <c r="C881" s="3"/>
    </row>
    <row r="882" spans="1:3" ht="15.75" customHeight="1" x14ac:dyDescent="0.3">
      <c r="A882" s="3"/>
      <c r="B882" s="3"/>
      <c r="C882" s="3"/>
    </row>
    <row r="883" spans="1:3" ht="15.75" customHeight="1" x14ac:dyDescent="0.3">
      <c r="A883" s="3"/>
      <c r="B883" s="3"/>
      <c r="C883" s="3"/>
    </row>
    <row r="884" spans="1:3" ht="15.75" customHeight="1" x14ac:dyDescent="0.3">
      <c r="A884" s="3"/>
      <c r="B884" s="3"/>
      <c r="C884" s="3"/>
    </row>
    <row r="885" spans="1:3" ht="15.75" customHeight="1" x14ac:dyDescent="0.3">
      <c r="A885" s="3"/>
      <c r="B885" s="3"/>
      <c r="C885" s="3"/>
    </row>
    <row r="886" spans="1:3" ht="15.75" customHeight="1" x14ac:dyDescent="0.3">
      <c r="A886" s="3"/>
      <c r="B886" s="3"/>
      <c r="C886" s="3"/>
    </row>
    <row r="887" spans="1:3" ht="15.75" customHeight="1" x14ac:dyDescent="0.3">
      <c r="A887" s="3"/>
      <c r="B887" s="3"/>
      <c r="C887" s="3"/>
    </row>
    <row r="888" spans="1:3" ht="15.75" customHeight="1" x14ac:dyDescent="0.3">
      <c r="A888" s="3"/>
      <c r="B888" s="3"/>
      <c r="C888" s="3"/>
    </row>
    <row r="889" spans="1:3" ht="15.75" customHeight="1" x14ac:dyDescent="0.3">
      <c r="A889" s="3"/>
      <c r="B889" s="3"/>
      <c r="C889" s="3"/>
    </row>
    <row r="890" spans="1:3" ht="15.75" customHeight="1" x14ac:dyDescent="0.3">
      <c r="A890" s="3"/>
      <c r="B890" s="3"/>
      <c r="C890" s="3"/>
    </row>
    <row r="891" spans="1:3" ht="15.75" customHeight="1" x14ac:dyDescent="0.3">
      <c r="A891" s="3"/>
      <c r="B891" s="3"/>
      <c r="C891" s="3"/>
    </row>
    <row r="892" spans="1:3" ht="15.75" customHeight="1" x14ac:dyDescent="0.3">
      <c r="A892" s="3"/>
      <c r="B892" s="3"/>
      <c r="C892" s="3"/>
    </row>
    <row r="893" spans="1:3" ht="15.75" customHeight="1" x14ac:dyDescent="0.3">
      <c r="A893" s="3"/>
      <c r="B893" s="3"/>
      <c r="C893" s="3"/>
    </row>
    <row r="894" spans="1:3" ht="15.75" customHeight="1" x14ac:dyDescent="0.3">
      <c r="A894" s="3"/>
      <c r="B894" s="3"/>
      <c r="C894" s="3"/>
    </row>
    <row r="895" spans="1:3" ht="15.75" customHeight="1" x14ac:dyDescent="0.3">
      <c r="A895" s="3"/>
      <c r="B895" s="3"/>
      <c r="C895" s="3"/>
    </row>
    <row r="896" spans="1:3" ht="15.75" customHeight="1" x14ac:dyDescent="0.3">
      <c r="A896" s="3"/>
      <c r="B896" s="3"/>
      <c r="C896" s="3"/>
    </row>
    <row r="897" spans="1:3" ht="15.75" customHeight="1" x14ac:dyDescent="0.3">
      <c r="A897" s="3"/>
      <c r="B897" s="3"/>
      <c r="C897" s="3"/>
    </row>
    <row r="898" spans="1:3" ht="15.75" customHeight="1" x14ac:dyDescent="0.3">
      <c r="A898" s="3"/>
      <c r="B898" s="3"/>
      <c r="C898" s="3"/>
    </row>
    <row r="899" spans="1:3" ht="15.75" customHeight="1" x14ac:dyDescent="0.3">
      <c r="A899" s="3"/>
      <c r="B899" s="3"/>
      <c r="C899" s="3"/>
    </row>
    <row r="900" spans="1:3" ht="15.75" customHeight="1" x14ac:dyDescent="0.3">
      <c r="A900" s="3"/>
      <c r="B900" s="3"/>
      <c r="C900" s="3"/>
    </row>
    <row r="901" spans="1:3" ht="15.75" customHeight="1" x14ac:dyDescent="0.3">
      <c r="A901" s="3"/>
      <c r="B901" s="3"/>
      <c r="C901" s="3"/>
    </row>
    <row r="902" spans="1:3" ht="15.75" customHeight="1" x14ac:dyDescent="0.3">
      <c r="A902" s="3"/>
      <c r="B902" s="3"/>
      <c r="C902" s="3"/>
    </row>
    <row r="903" spans="1:3" ht="15.75" customHeight="1" x14ac:dyDescent="0.3">
      <c r="A903" s="3"/>
      <c r="B903" s="3"/>
      <c r="C903" s="3"/>
    </row>
    <row r="904" spans="1:3" ht="15.75" customHeight="1" x14ac:dyDescent="0.3">
      <c r="A904" s="3"/>
      <c r="B904" s="3"/>
      <c r="C904" s="3"/>
    </row>
    <row r="905" spans="1:3" ht="15.75" customHeight="1" x14ac:dyDescent="0.3">
      <c r="A905" s="3"/>
      <c r="B905" s="3"/>
      <c r="C905" s="3"/>
    </row>
    <row r="906" spans="1:3" ht="15.75" customHeight="1" x14ac:dyDescent="0.3">
      <c r="A906" s="3"/>
      <c r="B906" s="3"/>
      <c r="C906" s="3"/>
    </row>
    <row r="907" spans="1:3" ht="15.75" customHeight="1" x14ac:dyDescent="0.3">
      <c r="A907" s="3"/>
      <c r="B907" s="3"/>
      <c r="C907" s="3"/>
    </row>
    <row r="908" spans="1:3" ht="15.75" customHeight="1" x14ac:dyDescent="0.3">
      <c r="A908" s="3"/>
      <c r="B908" s="3"/>
      <c r="C908" s="3"/>
    </row>
    <row r="909" spans="1:3" ht="15.75" customHeight="1" x14ac:dyDescent="0.3">
      <c r="A909" s="3"/>
      <c r="B909" s="3"/>
      <c r="C909" s="3"/>
    </row>
    <row r="910" spans="1:3" ht="15.75" customHeight="1" x14ac:dyDescent="0.3">
      <c r="A910" s="3"/>
      <c r="B910" s="3"/>
      <c r="C910" s="3"/>
    </row>
    <row r="911" spans="1:3" ht="15.75" customHeight="1" x14ac:dyDescent="0.3">
      <c r="A911" s="3"/>
      <c r="B911" s="3"/>
      <c r="C911" s="3"/>
    </row>
    <row r="912" spans="1:3" ht="15.75" customHeight="1" x14ac:dyDescent="0.3">
      <c r="A912" s="3"/>
      <c r="B912" s="3"/>
      <c r="C912" s="3"/>
    </row>
    <row r="913" spans="1:3" ht="15.75" customHeight="1" x14ac:dyDescent="0.3">
      <c r="A913" s="3"/>
      <c r="B913" s="3"/>
      <c r="C913" s="3"/>
    </row>
    <row r="914" spans="1:3" ht="15.75" customHeight="1" x14ac:dyDescent="0.3">
      <c r="A914" s="3"/>
      <c r="B914" s="3"/>
      <c r="C914" s="3"/>
    </row>
    <row r="915" spans="1:3" ht="15.75" customHeight="1" x14ac:dyDescent="0.3">
      <c r="A915" s="3"/>
      <c r="B915" s="3"/>
      <c r="C915" s="3"/>
    </row>
    <row r="916" spans="1:3" ht="15.75" customHeight="1" x14ac:dyDescent="0.3">
      <c r="A916" s="3"/>
      <c r="B916" s="3"/>
      <c r="C916" s="3"/>
    </row>
    <row r="917" spans="1:3" ht="15.75" customHeight="1" x14ac:dyDescent="0.3">
      <c r="A917" s="3"/>
      <c r="B917" s="3"/>
      <c r="C917" s="3"/>
    </row>
    <row r="918" spans="1:3" ht="15.75" customHeight="1" x14ac:dyDescent="0.3">
      <c r="A918" s="3"/>
      <c r="B918" s="3"/>
      <c r="C918" s="3"/>
    </row>
    <row r="919" spans="1:3" ht="15.75" customHeight="1" x14ac:dyDescent="0.3">
      <c r="A919" s="3"/>
      <c r="B919" s="3"/>
      <c r="C919" s="3"/>
    </row>
    <row r="920" spans="1:3" ht="15.75" customHeight="1" x14ac:dyDescent="0.3">
      <c r="A920" s="3"/>
      <c r="B920" s="3"/>
      <c r="C920" s="3"/>
    </row>
    <row r="921" spans="1:3" ht="15.75" customHeight="1" x14ac:dyDescent="0.3">
      <c r="A921" s="3"/>
      <c r="B921" s="3"/>
      <c r="C921" s="3"/>
    </row>
    <row r="922" spans="1:3" ht="15.75" customHeight="1" x14ac:dyDescent="0.3">
      <c r="A922" s="3"/>
      <c r="B922" s="3"/>
      <c r="C922" s="3"/>
    </row>
    <row r="923" spans="1:3" ht="15.75" customHeight="1" x14ac:dyDescent="0.3">
      <c r="A923" s="3"/>
      <c r="B923" s="3"/>
      <c r="C923" s="3"/>
    </row>
    <row r="924" spans="1:3" ht="15.75" customHeight="1" x14ac:dyDescent="0.3">
      <c r="A924" s="3"/>
      <c r="B924" s="3"/>
      <c r="C924" s="3"/>
    </row>
    <row r="925" spans="1:3" ht="15.75" customHeight="1" x14ac:dyDescent="0.3">
      <c r="A925" s="3"/>
      <c r="B925" s="3"/>
      <c r="C925" s="3"/>
    </row>
    <row r="926" spans="1:3" ht="15.75" customHeight="1" x14ac:dyDescent="0.3">
      <c r="A926" s="3"/>
      <c r="B926" s="3"/>
      <c r="C926" s="3"/>
    </row>
    <row r="927" spans="1:3" ht="15.75" customHeight="1" x14ac:dyDescent="0.3">
      <c r="A927" s="3"/>
      <c r="B927" s="3"/>
      <c r="C927" s="3"/>
    </row>
    <row r="928" spans="1:3" ht="15.75" customHeight="1" x14ac:dyDescent="0.3">
      <c r="A928" s="3"/>
      <c r="B928" s="3"/>
      <c r="C928" s="3"/>
    </row>
    <row r="929" spans="1:3" ht="15.75" customHeight="1" x14ac:dyDescent="0.3">
      <c r="A929" s="3"/>
      <c r="B929" s="3"/>
      <c r="C929" s="3"/>
    </row>
    <row r="930" spans="1:3" ht="15.75" customHeight="1" x14ac:dyDescent="0.3">
      <c r="A930" s="3"/>
      <c r="B930" s="3"/>
      <c r="C930" s="3"/>
    </row>
    <row r="931" spans="1:3" ht="15.75" customHeight="1" x14ac:dyDescent="0.3">
      <c r="A931" s="3"/>
      <c r="B931" s="3"/>
      <c r="C931" s="3"/>
    </row>
    <row r="932" spans="1:3" ht="15.75" customHeight="1" x14ac:dyDescent="0.3">
      <c r="A932" s="3"/>
      <c r="B932" s="3"/>
      <c r="C932" s="3"/>
    </row>
    <row r="933" spans="1:3" ht="15.75" customHeight="1" x14ac:dyDescent="0.3">
      <c r="A933" s="3"/>
      <c r="B933" s="3"/>
      <c r="C933" s="3"/>
    </row>
    <row r="934" spans="1:3" ht="15.75" customHeight="1" x14ac:dyDescent="0.3">
      <c r="A934" s="3"/>
      <c r="B934" s="3"/>
      <c r="C934" s="3"/>
    </row>
    <row r="935" spans="1:3" ht="15.75" customHeight="1" x14ac:dyDescent="0.3">
      <c r="A935" s="3"/>
      <c r="B935" s="3"/>
      <c r="C935" s="3"/>
    </row>
    <row r="936" spans="1:3" ht="15.75" customHeight="1" x14ac:dyDescent="0.3">
      <c r="A936" s="3"/>
      <c r="B936" s="3"/>
      <c r="C936" s="3"/>
    </row>
    <row r="937" spans="1:3" ht="15.75" customHeight="1" x14ac:dyDescent="0.3">
      <c r="A937" s="3"/>
      <c r="B937" s="3"/>
      <c r="C937" s="3"/>
    </row>
    <row r="938" spans="1:3" ht="15.75" customHeight="1" x14ac:dyDescent="0.3">
      <c r="A938" s="3"/>
      <c r="B938" s="3"/>
      <c r="C938" s="3"/>
    </row>
    <row r="939" spans="1:3" ht="15.75" customHeight="1" x14ac:dyDescent="0.3">
      <c r="A939" s="3"/>
      <c r="B939" s="3"/>
      <c r="C939" s="3"/>
    </row>
    <row r="940" spans="1:3" ht="15.75" customHeight="1" x14ac:dyDescent="0.3">
      <c r="A940" s="3"/>
      <c r="B940" s="3"/>
      <c r="C940" s="3"/>
    </row>
    <row r="941" spans="1:3" ht="15.75" customHeight="1" x14ac:dyDescent="0.3">
      <c r="A941" s="3"/>
      <c r="B941" s="3"/>
      <c r="C941" s="3"/>
    </row>
    <row r="942" spans="1:3" ht="15.75" customHeight="1" x14ac:dyDescent="0.3">
      <c r="A942" s="3"/>
      <c r="B942" s="3"/>
      <c r="C942" s="3"/>
    </row>
    <row r="943" spans="1:3" ht="15.75" customHeight="1" x14ac:dyDescent="0.3">
      <c r="A943" s="3"/>
      <c r="B943" s="3"/>
      <c r="C943" s="3"/>
    </row>
    <row r="944" spans="1:3" ht="15.75" customHeight="1" x14ac:dyDescent="0.3">
      <c r="A944" s="3"/>
      <c r="B944" s="3"/>
      <c r="C944" s="3"/>
    </row>
    <row r="945" spans="1:3" ht="15.75" customHeight="1" x14ac:dyDescent="0.3">
      <c r="A945" s="3"/>
      <c r="B945" s="3"/>
      <c r="C945" s="3"/>
    </row>
    <row r="946" spans="1:3" ht="15.75" customHeight="1" x14ac:dyDescent="0.3">
      <c r="A946" s="3"/>
      <c r="B946" s="3"/>
      <c r="C946" s="3"/>
    </row>
    <row r="947" spans="1:3" ht="15.75" customHeight="1" x14ac:dyDescent="0.3">
      <c r="A947" s="3"/>
      <c r="B947" s="3"/>
      <c r="C947" s="3"/>
    </row>
    <row r="948" spans="1:3" ht="15.75" customHeight="1" x14ac:dyDescent="0.3">
      <c r="A948" s="3"/>
      <c r="B948" s="3"/>
      <c r="C948" s="3"/>
    </row>
    <row r="949" spans="1:3" ht="15.75" customHeight="1" x14ac:dyDescent="0.3">
      <c r="A949" s="3"/>
      <c r="B949" s="3"/>
      <c r="C949" s="3"/>
    </row>
    <row r="950" spans="1:3" ht="15.75" customHeight="1" x14ac:dyDescent="0.3">
      <c r="A950" s="3"/>
      <c r="B950" s="3"/>
      <c r="C950" s="3"/>
    </row>
    <row r="951" spans="1:3" ht="15.75" customHeight="1" x14ac:dyDescent="0.3">
      <c r="A951" s="3"/>
      <c r="B951" s="3"/>
      <c r="C951" s="3"/>
    </row>
    <row r="952" spans="1:3" ht="15.75" customHeight="1" x14ac:dyDescent="0.3">
      <c r="A952" s="3"/>
      <c r="B952" s="3"/>
      <c r="C952" s="3"/>
    </row>
    <row r="953" spans="1:3" ht="15.75" customHeight="1" x14ac:dyDescent="0.3">
      <c r="A953" s="3"/>
      <c r="B953" s="3"/>
      <c r="C953" s="3"/>
    </row>
    <row r="954" spans="1:3" ht="15.75" customHeight="1" x14ac:dyDescent="0.3">
      <c r="A954" s="3"/>
      <c r="B954" s="3"/>
      <c r="C954" s="3"/>
    </row>
    <row r="955" spans="1:3" ht="15.75" customHeight="1" x14ac:dyDescent="0.3">
      <c r="A955" s="3"/>
      <c r="B955" s="3"/>
      <c r="C955" s="3"/>
    </row>
    <row r="956" spans="1:3" ht="15.75" customHeight="1" x14ac:dyDescent="0.3">
      <c r="A956" s="3"/>
      <c r="B956" s="3"/>
      <c r="C956" s="3"/>
    </row>
    <row r="957" spans="1:3" ht="15.75" customHeight="1" x14ac:dyDescent="0.3">
      <c r="A957" s="3"/>
      <c r="B957" s="3"/>
      <c r="C957" s="3"/>
    </row>
    <row r="958" spans="1:3" ht="15.75" customHeight="1" x14ac:dyDescent="0.3">
      <c r="A958" s="3"/>
      <c r="B958" s="3"/>
      <c r="C958" s="3"/>
    </row>
    <row r="959" spans="1:3" ht="15.75" customHeight="1" x14ac:dyDescent="0.3">
      <c r="A959" s="3"/>
      <c r="B959" s="3"/>
      <c r="C959" s="3"/>
    </row>
    <row r="960" spans="1:3" ht="15.75" customHeight="1" x14ac:dyDescent="0.3">
      <c r="A960" s="3"/>
      <c r="B960" s="3"/>
      <c r="C960" s="3"/>
    </row>
    <row r="961" spans="1:3" ht="15.75" customHeight="1" x14ac:dyDescent="0.3">
      <c r="A961" s="3"/>
      <c r="B961" s="3"/>
      <c r="C961" s="3"/>
    </row>
    <row r="962" spans="1:3" ht="15.75" customHeight="1" x14ac:dyDescent="0.3">
      <c r="A962" s="3"/>
      <c r="B962" s="3"/>
      <c r="C962" s="3"/>
    </row>
    <row r="963" spans="1:3" ht="15.75" customHeight="1" x14ac:dyDescent="0.3">
      <c r="A963" s="3"/>
      <c r="B963" s="3"/>
      <c r="C963" s="3"/>
    </row>
    <row r="964" spans="1:3" ht="15.75" customHeight="1" x14ac:dyDescent="0.3">
      <c r="A964" s="3"/>
      <c r="B964" s="3"/>
      <c r="C964" s="3"/>
    </row>
    <row r="965" spans="1:3" ht="15.75" customHeight="1" x14ac:dyDescent="0.3">
      <c r="A965" s="3"/>
      <c r="B965" s="3"/>
      <c r="C965" s="3"/>
    </row>
    <row r="966" spans="1:3" ht="15.75" customHeight="1" x14ac:dyDescent="0.3">
      <c r="A966" s="3"/>
      <c r="B966" s="3"/>
      <c r="C966" s="3"/>
    </row>
    <row r="967" spans="1:3" ht="15.75" customHeight="1" x14ac:dyDescent="0.3">
      <c r="A967" s="3"/>
      <c r="B967" s="3"/>
      <c r="C967" s="3"/>
    </row>
    <row r="968" spans="1:3" ht="15.75" customHeight="1" x14ac:dyDescent="0.3">
      <c r="A968" s="3"/>
      <c r="B968" s="3"/>
      <c r="C968" s="3"/>
    </row>
    <row r="969" spans="1:3" ht="15.75" customHeight="1" x14ac:dyDescent="0.3">
      <c r="A969" s="3"/>
      <c r="B969" s="3"/>
      <c r="C969" s="3"/>
    </row>
    <row r="970" spans="1:3" ht="15.75" customHeight="1" x14ac:dyDescent="0.3">
      <c r="A970" s="3"/>
      <c r="B970" s="3"/>
      <c r="C970" s="3"/>
    </row>
    <row r="971" spans="1:3" ht="15.75" customHeight="1" x14ac:dyDescent="0.3">
      <c r="A971" s="3"/>
      <c r="B971" s="3"/>
      <c r="C971" s="3"/>
    </row>
    <row r="972" spans="1:3" ht="15.75" customHeight="1" x14ac:dyDescent="0.3">
      <c r="A972" s="3"/>
      <c r="B972" s="3"/>
      <c r="C972" s="3"/>
    </row>
    <row r="973" spans="1:3" ht="15.75" customHeight="1" x14ac:dyDescent="0.3">
      <c r="A973" s="3"/>
      <c r="B973" s="3"/>
      <c r="C973" s="3"/>
    </row>
    <row r="974" spans="1:3" ht="15.75" customHeight="1" x14ac:dyDescent="0.3">
      <c r="A974" s="3"/>
      <c r="B974" s="3"/>
      <c r="C974" s="3"/>
    </row>
    <row r="975" spans="1:3" ht="15.75" customHeight="1" x14ac:dyDescent="0.3">
      <c r="A975" s="3"/>
      <c r="B975" s="3"/>
      <c r="C975" s="3"/>
    </row>
    <row r="976" spans="1:3" ht="15.75" customHeight="1" x14ac:dyDescent="0.3">
      <c r="A976" s="3"/>
      <c r="B976" s="3"/>
      <c r="C976" s="3"/>
    </row>
    <row r="977" spans="1:3" ht="15.75" customHeight="1" x14ac:dyDescent="0.3">
      <c r="A977" s="3"/>
      <c r="B977" s="3"/>
      <c r="C977" s="3"/>
    </row>
    <row r="978" spans="1:3" ht="15.75" customHeight="1" x14ac:dyDescent="0.3">
      <c r="A978" s="3"/>
      <c r="B978" s="3"/>
      <c r="C978" s="3"/>
    </row>
    <row r="979" spans="1:3" ht="15.75" customHeight="1" x14ac:dyDescent="0.3">
      <c r="A979" s="3"/>
      <c r="B979" s="3"/>
      <c r="C979" s="3"/>
    </row>
    <row r="980" spans="1:3" ht="15.75" customHeight="1" x14ac:dyDescent="0.3">
      <c r="A980" s="3"/>
      <c r="B980" s="3"/>
      <c r="C980" s="3"/>
    </row>
    <row r="981" spans="1:3" ht="15.75" customHeight="1" x14ac:dyDescent="0.3">
      <c r="A981" s="3"/>
      <c r="B981" s="3"/>
      <c r="C981" s="3"/>
    </row>
    <row r="982" spans="1:3" ht="15.75" customHeight="1" x14ac:dyDescent="0.3">
      <c r="A982" s="3"/>
      <c r="B982" s="3"/>
      <c r="C982" s="3"/>
    </row>
    <row r="983" spans="1:3" ht="15.75" customHeight="1" x14ac:dyDescent="0.3">
      <c r="A983" s="3"/>
      <c r="B983" s="3"/>
      <c r="C983" s="3"/>
    </row>
    <row r="984" spans="1:3" ht="15.75" customHeight="1" x14ac:dyDescent="0.3">
      <c r="A984" s="3"/>
      <c r="B984" s="3"/>
      <c r="C984" s="3"/>
    </row>
    <row r="985" spans="1:3" ht="15.75" customHeight="1" x14ac:dyDescent="0.3">
      <c r="A985" s="3"/>
      <c r="B985" s="3"/>
      <c r="C985" s="3"/>
    </row>
    <row r="986" spans="1:3" ht="15.75" customHeight="1" x14ac:dyDescent="0.3">
      <c r="A986" s="3"/>
      <c r="B986" s="3"/>
      <c r="C986" s="3"/>
    </row>
    <row r="987" spans="1:3" ht="15.75" customHeight="1" x14ac:dyDescent="0.3">
      <c r="A987" s="3"/>
      <c r="B987" s="3"/>
      <c r="C987" s="3"/>
    </row>
    <row r="988" spans="1:3" ht="15.75" customHeight="1" x14ac:dyDescent="0.3">
      <c r="A988" s="3"/>
      <c r="B988" s="3"/>
      <c r="C988" s="3"/>
    </row>
    <row r="989" spans="1:3" ht="15.75" customHeight="1" x14ac:dyDescent="0.3">
      <c r="A989" s="3"/>
      <c r="B989" s="3"/>
      <c r="C989" s="3"/>
    </row>
    <row r="990" spans="1:3" ht="15.75" customHeight="1" x14ac:dyDescent="0.3">
      <c r="A990" s="3"/>
      <c r="B990" s="3"/>
      <c r="C990" s="3"/>
    </row>
    <row r="991" spans="1:3" ht="15.75" customHeight="1" x14ac:dyDescent="0.3">
      <c r="A991" s="3"/>
      <c r="B991" s="3"/>
      <c r="C991" s="3"/>
    </row>
    <row r="992" spans="1:3" ht="15.75" customHeight="1" x14ac:dyDescent="0.3">
      <c r="A992" s="3"/>
      <c r="B992" s="3"/>
      <c r="C992" s="3"/>
    </row>
    <row r="993" spans="1:3" ht="15.75" customHeight="1" x14ac:dyDescent="0.3">
      <c r="A993" s="3"/>
      <c r="B993" s="3"/>
      <c r="C993" s="3"/>
    </row>
    <row r="994" spans="1:3" ht="15.75" customHeight="1" x14ac:dyDescent="0.3">
      <c r="A994" s="3"/>
      <c r="B994" s="3"/>
      <c r="C994" s="3"/>
    </row>
    <row r="995" spans="1:3" ht="15.75" customHeight="1" x14ac:dyDescent="0.3">
      <c r="A995" s="3"/>
      <c r="B995" s="3"/>
      <c r="C995" s="3"/>
    </row>
    <row r="996" spans="1:3" ht="15.75" customHeight="1" x14ac:dyDescent="0.3">
      <c r="A996" s="3"/>
      <c r="B996" s="3"/>
      <c r="C996" s="3"/>
    </row>
    <row r="997" spans="1:3" ht="15.75" customHeight="1" x14ac:dyDescent="0.3">
      <c r="A997" s="3"/>
      <c r="B997" s="3"/>
      <c r="C997" s="3"/>
    </row>
    <row r="998" spans="1:3" ht="15.75" customHeight="1" x14ac:dyDescent="0.3">
      <c r="A998" s="3"/>
      <c r="B998" s="3"/>
      <c r="C998" s="3"/>
    </row>
    <row r="999" spans="1:3" ht="15.75" customHeight="1" x14ac:dyDescent="0.3">
      <c r="A999" s="3"/>
      <c r="B999" s="3"/>
      <c r="C999" s="3"/>
    </row>
    <row r="1000" spans="1:3" ht="15.75" customHeight="1" x14ac:dyDescent="0.3">
      <c r="A1000" s="3"/>
      <c r="B1000" s="3"/>
      <c r="C1000" s="3"/>
    </row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140625" defaultRowHeight="15" customHeight="1" x14ac:dyDescent="0.3"/>
  <cols>
    <col min="1" max="1" width="25.5" customWidth="1"/>
    <col min="2" max="2" width="13.4140625" customWidth="1"/>
    <col min="3" max="3" width="64.9140625" customWidth="1"/>
    <col min="4" max="4" width="8.6640625" customWidth="1"/>
    <col min="5" max="26" width="8" customWidth="1"/>
  </cols>
  <sheetData>
    <row r="1" spans="1:3" ht="14" x14ac:dyDescent="0.3">
      <c r="A1" s="1" t="s">
        <v>427</v>
      </c>
      <c r="B1" s="1" t="s">
        <v>428</v>
      </c>
      <c r="C1" s="1" t="s">
        <v>429</v>
      </c>
    </row>
    <row r="2" spans="1:3" ht="14" x14ac:dyDescent="0.3">
      <c r="A2" s="2" t="s">
        <v>430</v>
      </c>
      <c r="B2" s="2" t="s">
        <v>431</v>
      </c>
      <c r="C2" s="2" t="s">
        <v>432</v>
      </c>
    </row>
    <row r="3" spans="1:3" ht="14" x14ac:dyDescent="0.3">
      <c r="A3" s="2" t="s">
        <v>433</v>
      </c>
      <c r="B3" s="2">
        <v>2050</v>
      </c>
      <c r="C3" s="2" t="s">
        <v>434</v>
      </c>
    </row>
    <row r="4" spans="1:3" ht="14" x14ac:dyDescent="0.3">
      <c r="A4" s="2" t="s">
        <v>435</v>
      </c>
      <c r="B4" s="2" t="s">
        <v>436</v>
      </c>
      <c r="C4" s="2" t="s">
        <v>437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3D6B-16FC-47BE-B9B6-DED35BB3A07C}">
  <sheetPr>
    <tabColor rgb="FF00B050"/>
  </sheetPr>
  <dimension ref="A1:G2001"/>
  <sheetViews>
    <sheetView workbookViewId="0">
      <selection activeCell="B1989" sqref="B1989"/>
    </sheetView>
  </sheetViews>
  <sheetFormatPr defaultRowHeight="14" x14ac:dyDescent="0.3"/>
  <cols>
    <col min="1" max="1" width="11" customWidth="1"/>
    <col min="2" max="2" width="16.5" customWidth="1"/>
    <col min="3" max="3" width="17.25" customWidth="1"/>
    <col min="4" max="4" width="7.9140625" customWidth="1"/>
    <col min="5" max="5" width="11.33203125" customWidth="1"/>
    <col min="6" max="6" width="16.75" customWidth="1"/>
    <col min="7" max="7" width="6.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438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2435.6</v>
      </c>
      <c r="G2">
        <v>2022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835.45</v>
      </c>
      <c r="G3">
        <v>2022</v>
      </c>
    </row>
    <row r="4" spans="1:7" x14ac:dyDescent="0.3">
      <c r="A4" t="s">
        <v>16</v>
      </c>
      <c r="B4" t="s">
        <v>17</v>
      </c>
      <c r="C4" t="s">
        <v>13</v>
      </c>
      <c r="D4" t="s">
        <v>14</v>
      </c>
      <c r="E4" t="s">
        <v>15</v>
      </c>
      <c r="F4">
        <v>3430.45</v>
      </c>
      <c r="G4">
        <v>2022</v>
      </c>
    </row>
    <row r="5" spans="1:7" x14ac:dyDescent="0.3">
      <c r="A5" t="s">
        <v>18</v>
      </c>
      <c r="B5" t="s">
        <v>19</v>
      </c>
      <c r="C5" t="s">
        <v>8</v>
      </c>
      <c r="D5" t="s">
        <v>14</v>
      </c>
      <c r="E5" t="s">
        <v>15</v>
      </c>
      <c r="F5">
        <v>4214.24</v>
      </c>
      <c r="G5">
        <v>2022</v>
      </c>
    </row>
    <row r="6" spans="1:7" x14ac:dyDescent="0.3">
      <c r="A6" t="s">
        <v>20</v>
      </c>
      <c r="B6" t="s">
        <v>17</v>
      </c>
      <c r="C6" t="s">
        <v>13</v>
      </c>
      <c r="D6" t="s">
        <v>9</v>
      </c>
      <c r="E6" t="s">
        <v>10</v>
      </c>
      <c r="F6">
        <v>605.59</v>
      </c>
      <c r="G6">
        <v>2022</v>
      </c>
    </row>
    <row r="7" spans="1:7" x14ac:dyDescent="0.3">
      <c r="A7" t="s">
        <v>21</v>
      </c>
      <c r="B7" t="s">
        <v>19</v>
      </c>
      <c r="C7" t="s">
        <v>13</v>
      </c>
      <c r="D7" t="s">
        <v>14</v>
      </c>
      <c r="E7" t="s">
        <v>10</v>
      </c>
      <c r="F7">
        <v>656.33</v>
      </c>
      <c r="G7">
        <v>2022</v>
      </c>
    </row>
    <row r="8" spans="1:7" x14ac:dyDescent="0.3">
      <c r="A8" t="s">
        <v>22</v>
      </c>
      <c r="B8" t="s">
        <v>12</v>
      </c>
      <c r="C8" t="s">
        <v>23</v>
      </c>
      <c r="D8" t="s">
        <v>9</v>
      </c>
      <c r="E8" t="s">
        <v>24</v>
      </c>
      <c r="F8">
        <v>4455.93</v>
      </c>
      <c r="G8">
        <v>2023</v>
      </c>
    </row>
    <row r="9" spans="1:7" x14ac:dyDescent="0.3">
      <c r="A9" t="s">
        <v>25</v>
      </c>
      <c r="B9" t="s">
        <v>19</v>
      </c>
      <c r="C9" t="s">
        <v>13</v>
      </c>
      <c r="D9" t="s">
        <v>9</v>
      </c>
      <c r="E9" t="s">
        <v>10</v>
      </c>
      <c r="F9">
        <v>660.2</v>
      </c>
      <c r="G9">
        <v>2022</v>
      </c>
    </row>
    <row r="10" spans="1:7" x14ac:dyDescent="0.3">
      <c r="A10" t="s">
        <v>26</v>
      </c>
      <c r="B10" t="s">
        <v>17</v>
      </c>
      <c r="C10" t="s">
        <v>23</v>
      </c>
      <c r="D10" t="s">
        <v>9</v>
      </c>
      <c r="E10" t="s">
        <v>10</v>
      </c>
      <c r="F10">
        <v>1883.3</v>
      </c>
      <c r="G10">
        <v>2023</v>
      </c>
    </row>
    <row r="11" spans="1:7" x14ac:dyDescent="0.3">
      <c r="A11" t="s">
        <v>27</v>
      </c>
      <c r="B11" t="s">
        <v>12</v>
      </c>
      <c r="C11" t="s">
        <v>8</v>
      </c>
      <c r="D11" t="s">
        <v>28</v>
      </c>
      <c r="E11" t="s">
        <v>24</v>
      </c>
      <c r="F11">
        <v>221.01</v>
      </c>
      <c r="G11">
        <v>2022</v>
      </c>
    </row>
    <row r="12" spans="1:7" x14ac:dyDescent="0.3">
      <c r="A12" t="s">
        <v>29</v>
      </c>
      <c r="B12" t="s">
        <v>30</v>
      </c>
      <c r="C12" t="s">
        <v>8</v>
      </c>
      <c r="D12" t="s">
        <v>28</v>
      </c>
      <c r="E12" t="s">
        <v>10</v>
      </c>
      <c r="F12">
        <v>4737.0600000000004</v>
      </c>
      <c r="G12">
        <v>2022</v>
      </c>
    </row>
    <row r="13" spans="1:7" x14ac:dyDescent="0.3">
      <c r="A13" t="s">
        <v>31</v>
      </c>
      <c r="B13" t="s">
        <v>30</v>
      </c>
      <c r="C13" t="s">
        <v>8</v>
      </c>
      <c r="D13" t="s">
        <v>9</v>
      </c>
      <c r="E13" t="s">
        <v>24</v>
      </c>
      <c r="F13">
        <v>1951.28</v>
      </c>
      <c r="G13">
        <v>2022</v>
      </c>
    </row>
    <row r="14" spans="1:7" x14ac:dyDescent="0.3">
      <c r="A14" t="s">
        <v>32</v>
      </c>
      <c r="B14" t="s">
        <v>7</v>
      </c>
      <c r="C14" t="s">
        <v>13</v>
      </c>
      <c r="D14" t="s">
        <v>28</v>
      </c>
      <c r="E14" t="s">
        <v>10</v>
      </c>
      <c r="F14">
        <v>4320.1099999999997</v>
      </c>
      <c r="G14">
        <v>2022</v>
      </c>
    </row>
    <row r="15" spans="1:7" x14ac:dyDescent="0.3">
      <c r="A15" t="s">
        <v>21</v>
      </c>
      <c r="B15" t="s">
        <v>19</v>
      </c>
      <c r="C15" t="s">
        <v>8</v>
      </c>
      <c r="D15" t="s">
        <v>28</v>
      </c>
      <c r="E15" t="s">
        <v>15</v>
      </c>
      <c r="F15">
        <v>2179.33</v>
      </c>
      <c r="G15">
        <v>2022</v>
      </c>
    </row>
    <row r="16" spans="1:7" x14ac:dyDescent="0.3">
      <c r="A16" t="s">
        <v>33</v>
      </c>
      <c r="B16" t="s">
        <v>19</v>
      </c>
      <c r="C16" t="s">
        <v>34</v>
      </c>
      <c r="D16" t="s">
        <v>14</v>
      </c>
      <c r="E16" t="s">
        <v>10</v>
      </c>
      <c r="F16">
        <v>3612.19</v>
      </c>
      <c r="G16">
        <v>2023</v>
      </c>
    </row>
    <row r="17" spans="1:7" x14ac:dyDescent="0.3">
      <c r="A17" t="s">
        <v>35</v>
      </c>
      <c r="B17" t="s">
        <v>19</v>
      </c>
      <c r="C17" t="s">
        <v>8</v>
      </c>
      <c r="D17" t="s">
        <v>28</v>
      </c>
      <c r="E17" t="s">
        <v>24</v>
      </c>
      <c r="F17">
        <v>1270.3599999999999</v>
      </c>
      <c r="G17">
        <v>2022</v>
      </c>
    </row>
    <row r="18" spans="1:7" x14ac:dyDescent="0.3">
      <c r="A18" t="s">
        <v>36</v>
      </c>
      <c r="B18" t="s">
        <v>12</v>
      </c>
      <c r="C18" t="s">
        <v>23</v>
      </c>
      <c r="D18" t="s">
        <v>28</v>
      </c>
      <c r="E18" t="s">
        <v>10</v>
      </c>
      <c r="F18">
        <v>1630.06</v>
      </c>
      <c r="G18">
        <v>2023</v>
      </c>
    </row>
    <row r="19" spans="1:7" x14ac:dyDescent="0.3">
      <c r="A19" t="s">
        <v>37</v>
      </c>
      <c r="B19" t="s">
        <v>17</v>
      </c>
      <c r="C19" t="s">
        <v>34</v>
      </c>
      <c r="D19" t="s">
        <v>9</v>
      </c>
      <c r="E19" t="s">
        <v>24</v>
      </c>
      <c r="F19">
        <v>3063.61</v>
      </c>
      <c r="G19">
        <v>2023</v>
      </c>
    </row>
    <row r="20" spans="1:7" x14ac:dyDescent="0.3">
      <c r="A20" t="s">
        <v>38</v>
      </c>
      <c r="B20" t="s">
        <v>30</v>
      </c>
      <c r="C20" t="s">
        <v>8</v>
      </c>
      <c r="D20" t="s">
        <v>9</v>
      </c>
      <c r="E20" t="s">
        <v>24</v>
      </c>
      <c r="F20">
        <v>2447.42</v>
      </c>
      <c r="G20">
        <v>2022</v>
      </c>
    </row>
    <row r="21" spans="1:7" x14ac:dyDescent="0.3">
      <c r="A21" t="s">
        <v>39</v>
      </c>
      <c r="B21" t="s">
        <v>7</v>
      </c>
      <c r="C21" t="s">
        <v>13</v>
      </c>
      <c r="D21" t="s">
        <v>28</v>
      </c>
      <c r="E21" t="s">
        <v>24</v>
      </c>
      <c r="F21">
        <v>4170.13</v>
      </c>
      <c r="G21">
        <v>2022</v>
      </c>
    </row>
    <row r="22" spans="1:7" x14ac:dyDescent="0.3">
      <c r="A22" t="s">
        <v>40</v>
      </c>
      <c r="B22" t="s">
        <v>19</v>
      </c>
      <c r="C22" t="s">
        <v>23</v>
      </c>
      <c r="D22" t="s">
        <v>9</v>
      </c>
      <c r="E22" t="s">
        <v>15</v>
      </c>
      <c r="F22">
        <v>2099.64</v>
      </c>
      <c r="G22">
        <v>2023</v>
      </c>
    </row>
    <row r="23" spans="1:7" x14ac:dyDescent="0.3">
      <c r="A23" t="s">
        <v>41</v>
      </c>
      <c r="B23" t="s">
        <v>30</v>
      </c>
      <c r="C23" t="s">
        <v>23</v>
      </c>
      <c r="D23" t="s">
        <v>28</v>
      </c>
      <c r="E23" t="s">
        <v>15</v>
      </c>
      <c r="F23">
        <v>3701.02</v>
      </c>
      <c r="G23">
        <v>2023</v>
      </c>
    </row>
    <row r="24" spans="1:7" x14ac:dyDescent="0.3">
      <c r="A24" t="s">
        <v>42</v>
      </c>
      <c r="B24" t="s">
        <v>30</v>
      </c>
      <c r="C24" t="s">
        <v>23</v>
      </c>
      <c r="D24" t="s">
        <v>28</v>
      </c>
      <c r="E24" t="s">
        <v>10</v>
      </c>
      <c r="F24">
        <v>1262.77</v>
      </c>
      <c r="G24">
        <v>2023</v>
      </c>
    </row>
    <row r="25" spans="1:7" x14ac:dyDescent="0.3">
      <c r="A25" t="s">
        <v>43</v>
      </c>
      <c r="B25" t="s">
        <v>17</v>
      </c>
      <c r="C25" t="s">
        <v>8</v>
      </c>
      <c r="D25" t="s">
        <v>14</v>
      </c>
      <c r="E25" t="s">
        <v>24</v>
      </c>
      <c r="F25">
        <v>2741.92</v>
      </c>
      <c r="G25">
        <v>2022</v>
      </c>
    </row>
    <row r="26" spans="1:7" x14ac:dyDescent="0.3">
      <c r="A26" t="s">
        <v>29</v>
      </c>
      <c r="B26" t="s">
        <v>30</v>
      </c>
      <c r="C26" t="s">
        <v>8</v>
      </c>
      <c r="D26" t="s">
        <v>14</v>
      </c>
      <c r="E26" t="s">
        <v>24</v>
      </c>
      <c r="F26">
        <v>1824.14</v>
      </c>
      <c r="G26">
        <v>2022</v>
      </c>
    </row>
    <row r="27" spans="1:7" x14ac:dyDescent="0.3">
      <c r="A27" t="s">
        <v>44</v>
      </c>
      <c r="B27" t="s">
        <v>19</v>
      </c>
      <c r="C27" t="s">
        <v>23</v>
      </c>
      <c r="D27" t="s">
        <v>9</v>
      </c>
      <c r="E27" t="s">
        <v>10</v>
      </c>
      <c r="F27">
        <v>738.44</v>
      </c>
      <c r="G27">
        <v>2023</v>
      </c>
    </row>
    <row r="28" spans="1:7" x14ac:dyDescent="0.3">
      <c r="A28" t="s">
        <v>45</v>
      </c>
      <c r="B28" t="s">
        <v>7</v>
      </c>
      <c r="C28" t="s">
        <v>13</v>
      </c>
      <c r="D28" t="s">
        <v>9</v>
      </c>
      <c r="E28" t="s">
        <v>15</v>
      </c>
      <c r="F28">
        <v>2856.76</v>
      </c>
      <c r="G28">
        <v>2022</v>
      </c>
    </row>
    <row r="29" spans="1:7" x14ac:dyDescent="0.3">
      <c r="A29" t="s">
        <v>46</v>
      </c>
      <c r="B29" t="s">
        <v>30</v>
      </c>
      <c r="C29" t="s">
        <v>13</v>
      </c>
      <c r="D29" t="s">
        <v>14</v>
      </c>
      <c r="E29" t="s">
        <v>24</v>
      </c>
      <c r="F29">
        <v>1787.35</v>
      </c>
      <c r="G29">
        <v>2022</v>
      </c>
    </row>
    <row r="30" spans="1:7" x14ac:dyDescent="0.3">
      <c r="A30" t="s">
        <v>47</v>
      </c>
      <c r="B30" t="s">
        <v>30</v>
      </c>
      <c r="C30" t="s">
        <v>23</v>
      </c>
      <c r="D30" t="s">
        <v>9</v>
      </c>
      <c r="E30" t="s">
        <v>15</v>
      </c>
      <c r="F30">
        <v>5138.83</v>
      </c>
      <c r="G30">
        <v>2023</v>
      </c>
    </row>
    <row r="31" spans="1:7" x14ac:dyDescent="0.3">
      <c r="A31" t="s">
        <v>48</v>
      </c>
      <c r="B31" t="s">
        <v>19</v>
      </c>
      <c r="C31" t="s">
        <v>8</v>
      </c>
      <c r="D31" t="s">
        <v>9</v>
      </c>
      <c r="E31" t="s">
        <v>10</v>
      </c>
      <c r="F31">
        <v>5005.4399999999996</v>
      </c>
      <c r="G31">
        <v>2022</v>
      </c>
    </row>
    <row r="32" spans="1:7" x14ac:dyDescent="0.3">
      <c r="A32" t="s">
        <v>49</v>
      </c>
      <c r="B32" t="s">
        <v>19</v>
      </c>
      <c r="C32" t="s">
        <v>23</v>
      </c>
      <c r="D32" t="s">
        <v>28</v>
      </c>
      <c r="E32" t="s">
        <v>24</v>
      </c>
      <c r="F32">
        <v>4053.3</v>
      </c>
      <c r="G32">
        <v>2023</v>
      </c>
    </row>
    <row r="33" spans="1:7" x14ac:dyDescent="0.3">
      <c r="A33" t="s">
        <v>50</v>
      </c>
      <c r="B33" t="s">
        <v>19</v>
      </c>
      <c r="C33" t="s">
        <v>23</v>
      </c>
      <c r="D33" t="s">
        <v>28</v>
      </c>
      <c r="E33" t="s">
        <v>24</v>
      </c>
      <c r="F33">
        <v>280.72000000000003</v>
      </c>
      <c r="G33">
        <v>2023</v>
      </c>
    </row>
    <row r="34" spans="1:7" x14ac:dyDescent="0.3">
      <c r="A34" t="s">
        <v>51</v>
      </c>
      <c r="B34" t="s">
        <v>30</v>
      </c>
      <c r="C34" t="s">
        <v>23</v>
      </c>
      <c r="D34" t="s">
        <v>14</v>
      </c>
      <c r="E34" t="s">
        <v>24</v>
      </c>
      <c r="F34">
        <v>329.41</v>
      </c>
      <c r="G34">
        <v>2023</v>
      </c>
    </row>
    <row r="35" spans="1:7" x14ac:dyDescent="0.3">
      <c r="A35" t="s">
        <v>52</v>
      </c>
      <c r="B35" t="s">
        <v>19</v>
      </c>
      <c r="C35" t="s">
        <v>13</v>
      </c>
      <c r="D35" t="s">
        <v>14</v>
      </c>
      <c r="E35" t="s">
        <v>15</v>
      </c>
      <c r="F35">
        <v>4133.74</v>
      </c>
      <c r="G35">
        <v>2022</v>
      </c>
    </row>
    <row r="36" spans="1:7" x14ac:dyDescent="0.3">
      <c r="A36" t="s">
        <v>53</v>
      </c>
      <c r="B36" t="s">
        <v>7</v>
      </c>
      <c r="C36" t="s">
        <v>34</v>
      </c>
      <c r="D36" t="s">
        <v>28</v>
      </c>
      <c r="E36" t="s">
        <v>15</v>
      </c>
      <c r="F36">
        <v>2773.3</v>
      </c>
      <c r="G36">
        <v>2023</v>
      </c>
    </row>
    <row r="37" spans="1:7" x14ac:dyDescent="0.3">
      <c r="A37" t="s">
        <v>54</v>
      </c>
      <c r="B37" t="s">
        <v>12</v>
      </c>
      <c r="C37" t="s">
        <v>13</v>
      </c>
      <c r="D37" t="s">
        <v>9</v>
      </c>
      <c r="E37" t="s">
        <v>10</v>
      </c>
      <c r="F37">
        <v>3482.08</v>
      </c>
      <c r="G37">
        <v>2022</v>
      </c>
    </row>
    <row r="38" spans="1:7" x14ac:dyDescent="0.3">
      <c r="A38" t="s">
        <v>55</v>
      </c>
      <c r="B38" t="s">
        <v>12</v>
      </c>
      <c r="C38" t="s">
        <v>34</v>
      </c>
      <c r="D38" t="s">
        <v>9</v>
      </c>
      <c r="E38" t="s">
        <v>10</v>
      </c>
      <c r="F38">
        <v>1953.71</v>
      </c>
      <c r="G38">
        <v>2023</v>
      </c>
    </row>
    <row r="39" spans="1:7" x14ac:dyDescent="0.3">
      <c r="A39" t="s">
        <v>29</v>
      </c>
      <c r="B39" t="s">
        <v>30</v>
      </c>
      <c r="C39" t="s">
        <v>34</v>
      </c>
      <c r="D39" t="s">
        <v>14</v>
      </c>
      <c r="E39" t="s">
        <v>15</v>
      </c>
      <c r="F39">
        <v>4444.76</v>
      </c>
      <c r="G39">
        <v>2023</v>
      </c>
    </row>
    <row r="40" spans="1:7" x14ac:dyDescent="0.3">
      <c r="A40" t="s">
        <v>55</v>
      </c>
      <c r="B40" t="s">
        <v>12</v>
      </c>
      <c r="C40" t="s">
        <v>23</v>
      </c>
      <c r="D40" t="s">
        <v>28</v>
      </c>
      <c r="E40" t="s">
        <v>15</v>
      </c>
      <c r="F40">
        <v>1836.99</v>
      </c>
      <c r="G40">
        <v>2023</v>
      </c>
    </row>
    <row r="41" spans="1:7" x14ac:dyDescent="0.3">
      <c r="A41" t="s">
        <v>56</v>
      </c>
      <c r="B41" t="s">
        <v>19</v>
      </c>
      <c r="C41" t="s">
        <v>8</v>
      </c>
      <c r="D41" t="s">
        <v>14</v>
      </c>
      <c r="E41" t="s">
        <v>15</v>
      </c>
      <c r="F41">
        <v>793.9</v>
      </c>
      <c r="G41">
        <v>2022</v>
      </c>
    </row>
    <row r="42" spans="1:7" x14ac:dyDescent="0.3">
      <c r="A42" t="s">
        <v>57</v>
      </c>
      <c r="B42" t="s">
        <v>19</v>
      </c>
      <c r="C42" t="s">
        <v>34</v>
      </c>
      <c r="D42" t="s">
        <v>28</v>
      </c>
      <c r="E42" t="s">
        <v>24</v>
      </c>
      <c r="F42">
        <v>1445.28</v>
      </c>
      <c r="G42">
        <v>2023</v>
      </c>
    </row>
    <row r="43" spans="1:7" x14ac:dyDescent="0.3">
      <c r="A43" t="s">
        <v>58</v>
      </c>
      <c r="B43" t="s">
        <v>17</v>
      </c>
      <c r="C43" t="s">
        <v>34</v>
      </c>
      <c r="D43" t="s">
        <v>9</v>
      </c>
      <c r="E43" t="s">
        <v>24</v>
      </c>
      <c r="F43">
        <v>1246.73</v>
      </c>
      <c r="G43">
        <v>2023</v>
      </c>
    </row>
    <row r="44" spans="1:7" x14ac:dyDescent="0.3">
      <c r="A44" t="s">
        <v>59</v>
      </c>
      <c r="B44" t="s">
        <v>17</v>
      </c>
      <c r="C44" t="s">
        <v>34</v>
      </c>
      <c r="D44" t="s">
        <v>14</v>
      </c>
      <c r="E44" t="s">
        <v>10</v>
      </c>
      <c r="F44">
        <v>527.16999999999996</v>
      </c>
      <c r="G44">
        <v>2023</v>
      </c>
    </row>
    <row r="45" spans="1:7" x14ac:dyDescent="0.3">
      <c r="A45" t="s">
        <v>60</v>
      </c>
      <c r="B45" t="s">
        <v>12</v>
      </c>
      <c r="C45" t="s">
        <v>34</v>
      </c>
      <c r="D45" t="s">
        <v>14</v>
      </c>
      <c r="E45" t="s">
        <v>15</v>
      </c>
      <c r="F45">
        <v>542.33000000000004</v>
      </c>
      <c r="G45">
        <v>2023</v>
      </c>
    </row>
    <row r="46" spans="1:7" x14ac:dyDescent="0.3">
      <c r="A46" t="s">
        <v>61</v>
      </c>
      <c r="B46" t="s">
        <v>30</v>
      </c>
      <c r="C46" t="s">
        <v>34</v>
      </c>
      <c r="D46" t="s">
        <v>28</v>
      </c>
      <c r="E46" t="s">
        <v>24</v>
      </c>
      <c r="F46">
        <v>636.07000000000005</v>
      </c>
      <c r="G46">
        <v>2023</v>
      </c>
    </row>
    <row r="47" spans="1:7" x14ac:dyDescent="0.3">
      <c r="A47" t="s">
        <v>62</v>
      </c>
      <c r="B47" t="s">
        <v>30</v>
      </c>
      <c r="C47" t="s">
        <v>34</v>
      </c>
      <c r="D47" t="s">
        <v>9</v>
      </c>
      <c r="E47" t="s">
        <v>15</v>
      </c>
      <c r="F47">
        <v>3898.2</v>
      </c>
      <c r="G47">
        <v>2023</v>
      </c>
    </row>
    <row r="48" spans="1:7" x14ac:dyDescent="0.3">
      <c r="A48" t="s">
        <v>63</v>
      </c>
      <c r="B48" t="s">
        <v>12</v>
      </c>
      <c r="C48" t="s">
        <v>34</v>
      </c>
      <c r="D48" t="s">
        <v>9</v>
      </c>
      <c r="E48" t="s">
        <v>24</v>
      </c>
      <c r="F48">
        <v>525.25</v>
      </c>
      <c r="G48">
        <v>2023</v>
      </c>
    </row>
    <row r="49" spans="1:7" x14ac:dyDescent="0.3">
      <c r="A49" t="s">
        <v>64</v>
      </c>
      <c r="B49" t="s">
        <v>30</v>
      </c>
      <c r="C49" t="s">
        <v>8</v>
      </c>
      <c r="D49" t="s">
        <v>14</v>
      </c>
      <c r="E49" t="s">
        <v>15</v>
      </c>
      <c r="F49">
        <v>1135.03</v>
      </c>
      <c r="G49">
        <v>2022</v>
      </c>
    </row>
    <row r="50" spans="1:7" x14ac:dyDescent="0.3">
      <c r="A50" t="s">
        <v>37</v>
      </c>
      <c r="B50" t="s">
        <v>17</v>
      </c>
      <c r="C50" t="s">
        <v>23</v>
      </c>
      <c r="D50" t="s">
        <v>9</v>
      </c>
      <c r="E50" t="s">
        <v>24</v>
      </c>
      <c r="F50">
        <v>1670.51</v>
      </c>
      <c r="G50">
        <v>2023</v>
      </c>
    </row>
    <row r="51" spans="1:7" x14ac:dyDescent="0.3">
      <c r="A51" t="s">
        <v>65</v>
      </c>
      <c r="B51" t="s">
        <v>30</v>
      </c>
      <c r="C51" t="s">
        <v>13</v>
      </c>
      <c r="D51" t="s">
        <v>9</v>
      </c>
      <c r="E51" t="s">
        <v>10</v>
      </c>
      <c r="F51">
        <v>939.61</v>
      </c>
      <c r="G51">
        <v>2022</v>
      </c>
    </row>
    <row r="52" spans="1:7" x14ac:dyDescent="0.3">
      <c r="A52" t="s">
        <v>49</v>
      </c>
      <c r="B52" t="s">
        <v>19</v>
      </c>
      <c r="C52" t="s">
        <v>34</v>
      </c>
      <c r="D52" t="s">
        <v>28</v>
      </c>
      <c r="E52" t="s">
        <v>10</v>
      </c>
      <c r="F52">
        <v>1436.13</v>
      </c>
      <c r="G52">
        <v>2023</v>
      </c>
    </row>
    <row r="53" spans="1:7" x14ac:dyDescent="0.3">
      <c r="A53" t="s">
        <v>66</v>
      </c>
      <c r="B53" t="s">
        <v>30</v>
      </c>
      <c r="C53" t="s">
        <v>34</v>
      </c>
      <c r="D53" t="s">
        <v>9</v>
      </c>
      <c r="E53" t="s">
        <v>24</v>
      </c>
      <c r="F53">
        <v>3950</v>
      </c>
      <c r="G53">
        <v>2023</v>
      </c>
    </row>
    <row r="54" spans="1:7" x14ac:dyDescent="0.3">
      <c r="A54" t="s">
        <v>67</v>
      </c>
      <c r="B54" t="s">
        <v>7</v>
      </c>
      <c r="C54" t="s">
        <v>8</v>
      </c>
      <c r="D54" t="s">
        <v>9</v>
      </c>
      <c r="E54" t="s">
        <v>10</v>
      </c>
      <c r="F54">
        <v>4777.7700000000004</v>
      </c>
      <c r="G54">
        <v>2022</v>
      </c>
    </row>
    <row r="55" spans="1:7" x14ac:dyDescent="0.3">
      <c r="A55" t="s">
        <v>68</v>
      </c>
      <c r="B55" t="s">
        <v>12</v>
      </c>
      <c r="C55" t="s">
        <v>13</v>
      </c>
      <c r="D55" t="s">
        <v>9</v>
      </c>
      <c r="E55" t="s">
        <v>10</v>
      </c>
      <c r="F55">
        <v>739.48</v>
      </c>
      <c r="G55">
        <v>2022</v>
      </c>
    </row>
    <row r="56" spans="1:7" x14ac:dyDescent="0.3">
      <c r="A56" t="s">
        <v>69</v>
      </c>
      <c r="B56" t="s">
        <v>7</v>
      </c>
      <c r="C56" t="s">
        <v>23</v>
      </c>
      <c r="D56" t="s">
        <v>14</v>
      </c>
      <c r="E56" t="s">
        <v>10</v>
      </c>
      <c r="F56">
        <v>2957.08</v>
      </c>
      <c r="G56">
        <v>2023</v>
      </c>
    </row>
    <row r="57" spans="1:7" x14ac:dyDescent="0.3">
      <c r="A57" t="s">
        <v>70</v>
      </c>
      <c r="B57" t="s">
        <v>19</v>
      </c>
      <c r="C57" t="s">
        <v>13</v>
      </c>
      <c r="D57" t="s">
        <v>28</v>
      </c>
      <c r="E57" t="s">
        <v>24</v>
      </c>
      <c r="F57">
        <v>4782.28</v>
      </c>
      <c r="G57">
        <v>2022</v>
      </c>
    </row>
    <row r="58" spans="1:7" x14ac:dyDescent="0.3">
      <c r="A58" t="s">
        <v>53</v>
      </c>
      <c r="B58" t="s">
        <v>7</v>
      </c>
      <c r="C58" t="s">
        <v>34</v>
      </c>
      <c r="D58" t="s">
        <v>14</v>
      </c>
      <c r="E58" t="s">
        <v>15</v>
      </c>
      <c r="F58">
        <v>3836.23</v>
      </c>
      <c r="G58">
        <v>2023</v>
      </c>
    </row>
    <row r="59" spans="1:7" x14ac:dyDescent="0.3">
      <c r="A59" t="s">
        <v>71</v>
      </c>
      <c r="B59" t="s">
        <v>7</v>
      </c>
      <c r="C59" t="s">
        <v>13</v>
      </c>
      <c r="D59" t="s">
        <v>28</v>
      </c>
      <c r="E59" t="s">
        <v>10</v>
      </c>
      <c r="F59">
        <v>4410.6400000000003</v>
      </c>
      <c r="G59">
        <v>2022</v>
      </c>
    </row>
    <row r="60" spans="1:7" x14ac:dyDescent="0.3">
      <c r="A60" t="s">
        <v>70</v>
      </c>
      <c r="B60" t="s">
        <v>19</v>
      </c>
      <c r="C60" t="s">
        <v>34</v>
      </c>
      <c r="D60" t="s">
        <v>28</v>
      </c>
      <c r="E60" t="s">
        <v>24</v>
      </c>
      <c r="F60">
        <v>1861.93</v>
      </c>
      <c r="G60">
        <v>2023</v>
      </c>
    </row>
    <row r="61" spans="1:7" x14ac:dyDescent="0.3">
      <c r="A61" t="s">
        <v>72</v>
      </c>
      <c r="B61" t="s">
        <v>19</v>
      </c>
      <c r="C61" t="s">
        <v>8</v>
      </c>
      <c r="D61" t="s">
        <v>14</v>
      </c>
      <c r="E61" t="s">
        <v>10</v>
      </c>
      <c r="F61">
        <v>3332.83</v>
      </c>
      <c r="G61">
        <v>2022</v>
      </c>
    </row>
    <row r="62" spans="1:7" x14ac:dyDescent="0.3">
      <c r="A62" t="s">
        <v>73</v>
      </c>
      <c r="B62" t="s">
        <v>30</v>
      </c>
      <c r="C62" t="s">
        <v>34</v>
      </c>
      <c r="D62" t="s">
        <v>28</v>
      </c>
      <c r="E62" t="s">
        <v>24</v>
      </c>
      <c r="F62">
        <v>2649.83</v>
      </c>
      <c r="G62">
        <v>2023</v>
      </c>
    </row>
    <row r="63" spans="1:7" x14ac:dyDescent="0.3">
      <c r="A63" t="s">
        <v>74</v>
      </c>
      <c r="B63" t="s">
        <v>19</v>
      </c>
      <c r="C63" t="s">
        <v>8</v>
      </c>
      <c r="D63" t="s">
        <v>14</v>
      </c>
      <c r="E63" t="s">
        <v>24</v>
      </c>
      <c r="F63">
        <v>3224.33</v>
      </c>
      <c r="G63">
        <v>2022</v>
      </c>
    </row>
    <row r="64" spans="1:7" x14ac:dyDescent="0.3">
      <c r="A64" t="s">
        <v>22</v>
      </c>
      <c r="B64" t="s">
        <v>12</v>
      </c>
      <c r="C64" t="s">
        <v>23</v>
      </c>
      <c r="D64" t="s">
        <v>9</v>
      </c>
      <c r="E64" t="s">
        <v>10</v>
      </c>
      <c r="F64">
        <v>881.22</v>
      </c>
      <c r="G64">
        <v>2023</v>
      </c>
    </row>
    <row r="65" spans="1:7" x14ac:dyDescent="0.3">
      <c r="A65" t="s">
        <v>75</v>
      </c>
      <c r="B65" t="s">
        <v>19</v>
      </c>
      <c r="C65" t="s">
        <v>13</v>
      </c>
      <c r="D65" t="s">
        <v>9</v>
      </c>
      <c r="E65" t="s">
        <v>15</v>
      </c>
      <c r="F65">
        <v>5563.32</v>
      </c>
      <c r="G65">
        <v>2022</v>
      </c>
    </row>
    <row r="66" spans="1:7" x14ac:dyDescent="0.3">
      <c r="A66" t="s">
        <v>76</v>
      </c>
      <c r="B66" t="s">
        <v>17</v>
      </c>
      <c r="C66" t="s">
        <v>34</v>
      </c>
      <c r="D66" t="s">
        <v>28</v>
      </c>
      <c r="E66" t="s">
        <v>24</v>
      </c>
      <c r="F66">
        <v>2558.1799999999998</v>
      </c>
      <c r="G66">
        <v>2023</v>
      </c>
    </row>
    <row r="67" spans="1:7" x14ac:dyDescent="0.3">
      <c r="A67" t="s">
        <v>77</v>
      </c>
      <c r="B67" t="s">
        <v>30</v>
      </c>
      <c r="C67" t="s">
        <v>23</v>
      </c>
      <c r="D67" t="s">
        <v>9</v>
      </c>
      <c r="E67" t="s">
        <v>10</v>
      </c>
      <c r="F67">
        <v>2013.87</v>
      </c>
      <c r="G67">
        <v>2023</v>
      </c>
    </row>
    <row r="68" spans="1:7" x14ac:dyDescent="0.3">
      <c r="A68" t="s">
        <v>78</v>
      </c>
      <c r="B68" t="s">
        <v>7</v>
      </c>
      <c r="C68" t="s">
        <v>23</v>
      </c>
      <c r="D68" t="s">
        <v>28</v>
      </c>
      <c r="E68" t="s">
        <v>15</v>
      </c>
      <c r="F68">
        <v>1752.18</v>
      </c>
      <c r="G68">
        <v>2023</v>
      </c>
    </row>
    <row r="69" spans="1:7" x14ac:dyDescent="0.3">
      <c r="A69" t="s">
        <v>79</v>
      </c>
      <c r="B69" t="s">
        <v>17</v>
      </c>
      <c r="C69" t="s">
        <v>13</v>
      </c>
      <c r="D69" t="s">
        <v>28</v>
      </c>
      <c r="E69" t="s">
        <v>24</v>
      </c>
      <c r="F69">
        <v>4152.92</v>
      </c>
      <c r="G69">
        <v>2022</v>
      </c>
    </row>
    <row r="70" spans="1:7" x14ac:dyDescent="0.3">
      <c r="A70" t="s">
        <v>80</v>
      </c>
      <c r="B70" t="s">
        <v>17</v>
      </c>
      <c r="C70" t="s">
        <v>13</v>
      </c>
      <c r="D70" t="s">
        <v>28</v>
      </c>
      <c r="E70" t="s">
        <v>15</v>
      </c>
      <c r="F70">
        <v>61.94</v>
      </c>
      <c r="G70">
        <v>2022</v>
      </c>
    </row>
    <row r="71" spans="1:7" x14ac:dyDescent="0.3">
      <c r="A71" t="s">
        <v>66</v>
      </c>
      <c r="B71" t="s">
        <v>30</v>
      </c>
      <c r="C71" t="s">
        <v>34</v>
      </c>
      <c r="D71" t="s">
        <v>9</v>
      </c>
      <c r="E71" t="s">
        <v>15</v>
      </c>
      <c r="F71">
        <v>4862.4399999999996</v>
      </c>
      <c r="G71">
        <v>2023</v>
      </c>
    </row>
    <row r="72" spans="1:7" x14ac:dyDescent="0.3">
      <c r="A72" t="s">
        <v>81</v>
      </c>
      <c r="B72" t="s">
        <v>12</v>
      </c>
      <c r="C72" t="s">
        <v>23</v>
      </c>
      <c r="D72" t="s">
        <v>9</v>
      </c>
      <c r="E72" t="s">
        <v>10</v>
      </c>
      <c r="F72">
        <v>1930.13</v>
      </c>
      <c r="G72">
        <v>2023</v>
      </c>
    </row>
    <row r="73" spans="1:7" x14ac:dyDescent="0.3">
      <c r="A73" t="s">
        <v>82</v>
      </c>
      <c r="B73" t="s">
        <v>17</v>
      </c>
      <c r="C73" t="s">
        <v>34</v>
      </c>
      <c r="D73" t="s">
        <v>28</v>
      </c>
      <c r="E73" t="s">
        <v>24</v>
      </c>
      <c r="F73">
        <v>2818.75</v>
      </c>
      <c r="G73">
        <v>2023</v>
      </c>
    </row>
    <row r="74" spans="1:7" x14ac:dyDescent="0.3">
      <c r="A74" t="s">
        <v>83</v>
      </c>
      <c r="B74" t="s">
        <v>17</v>
      </c>
      <c r="C74" t="s">
        <v>8</v>
      </c>
      <c r="D74" t="s">
        <v>9</v>
      </c>
      <c r="E74" t="s">
        <v>24</v>
      </c>
      <c r="F74">
        <v>2368.67</v>
      </c>
      <c r="G74">
        <v>2022</v>
      </c>
    </row>
    <row r="75" spans="1:7" x14ac:dyDescent="0.3">
      <c r="A75" t="s">
        <v>54</v>
      </c>
      <c r="B75" t="s">
        <v>12</v>
      </c>
      <c r="C75" t="s">
        <v>34</v>
      </c>
      <c r="D75" t="s">
        <v>14</v>
      </c>
      <c r="E75" t="s">
        <v>15</v>
      </c>
      <c r="F75">
        <v>1533.98</v>
      </c>
      <c r="G75">
        <v>2023</v>
      </c>
    </row>
    <row r="76" spans="1:7" x14ac:dyDescent="0.3">
      <c r="A76" t="s">
        <v>68</v>
      </c>
      <c r="B76" t="s">
        <v>12</v>
      </c>
      <c r="C76" t="s">
        <v>34</v>
      </c>
      <c r="D76" t="s">
        <v>14</v>
      </c>
      <c r="E76" t="s">
        <v>24</v>
      </c>
      <c r="F76">
        <v>249.89</v>
      </c>
      <c r="G76">
        <v>2023</v>
      </c>
    </row>
    <row r="77" spans="1:7" x14ac:dyDescent="0.3">
      <c r="A77" t="s">
        <v>84</v>
      </c>
      <c r="B77" t="s">
        <v>30</v>
      </c>
      <c r="C77" t="s">
        <v>13</v>
      </c>
      <c r="D77" t="s">
        <v>9</v>
      </c>
      <c r="E77" t="s">
        <v>15</v>
      </c>
      <c r="F77">
        <v>4797.88</v>
      </c>
      <c r="G77">
        <v>2022</v>
      </c>
    </row>
    <row r="78" spans="1:7" x14ac:dyDescent="0.3">
      <c r="A78" t="s">
        <v>85</v>
      </c>
      <c r="B78" t="s">
        <v>30</v>
      </c>
      <c r="C78" t="s">
        <v>23</v>
      </c>
      <c r="D78" t="s">
        <v>14</v>
      </c>
      <c r="E78" t="s">
        <v>24</v>
      </c>
      <c r="F78">
        <v>534.05999999999995</v>
      </c>
      <c r="G78">
        <v>2023</v>
      </c>
    </row>
    <row r="79" spans="1:7" x14ac:dyDescent="0.3">
      <c r="A79" t="s">
        <v>86</v>
      </c>
      <c r="B79" t="s">
        <v>19</v>
      </c>
      <c r="C79" t="s">
        <v>13</v>
      </c>
      <c r="D79" t="s">
        <v>14</v>
      </c>
      <c r="E79" t="s">
        <v>10</v>
      </c>
      <c r="F79">
        <v>4285.8999999999996</v>
      </c>
      <c r="G79">
        <v>2022</v>
      </c>
    </row>
    <row r="80" spans="1:7" x14ac:dyDescent="0.3">
      <c r="A80" t="s">
        <v>87</v>
      </c>
      <c r="B80" t="s">
        <v>12</v>
      </c>
      <c r="C80" t="s">
        <v>34</v>
      </c>
      <c r="D80" t="s">
        <v>28</v>
      </c>
      <c r="E80" t="s">
        <v>10</v>
      </c>
      <c r="F80">
        <v>1042.25</v>
      </c>
      <c r="G80">
        <v>2023</v>
      </c>
    </row>
    <row r="81" spans="1:7" x14ac:dyDescent="0.3">
      <c r="A81" t="s">
        <v>88</v>
      </c>
      <c r="B81" t="s">
        <v>7</v>
      </c>
      <c r="C81" t="s">
        <v>34</v>
      </c>
      <c r="D81" t="s">
        <v>9</v>
      </c>
      <c r="E81" t="s">
        <v>24</v>
      </c>
      <c r="F81">
        <v>1836.69</v>
      </c>
      <c r="G81">
        <v>2023</v>
      </c>
    </row>
    <row r="82" spans="1:7" x14ac:dyDescent="0.3">
      <c r="A82" t="s">
        <v>89</v>
      </c>
      <c r="B82" t="s">
        <v>17</v>
      </c>
      <c r="C82" t="s">
        <v>13</v>
      </c>
      <c r="D82" t="s">
        <v>28</v>
      </c>
      <c r="E82" t="s">
        <v>15</v>
      </c>
      <c r="F82">
        <v>3337.6</v>
      </c>
      <c r="G82">
        <v>2022</v>
      </c>
    </row>
    <row r="83" spans="1:7" x14ac:dyDescent="0.3">
      <c r="A83" t="s">
        <v>32</v>
      </c>
      <c r="B83" t="s">
        <v>7</v>
      </c>
      <c r="C83" t="s">
        <v>34</v>
      </c>
      <c r="D83" t="s">
        <v>14</v>
      </c>
      <c r="E83" t="s">
        <v>15</v>
      </c>
      <c r="F83">
        <v>2632.11</v>
      </c>
      <c r="G83">
        <v>2023</v>
      </c>
    </row>
    <row r="84" spans="1:7" x14ac:dyDescent="0.3">
      <c r="A84" t="s">
        <v>90</v>
      </c>
      <c r="B84" t="s">
        <v>19</v>
      </c>
      <c r="C84" t="s">
        <v>23</v>
      </c>
      <c r="D84" t="s">
        <v>28</v>
      </c>
      <c r="E84" t="s">
        <v>24</v>
      </c>
      <c r="F84">
        <v>2011.5</v>
      </c>
      <c r="G84">
        <v>2023</v>
      </c>
    </row>
    <row r="85" spans="1:7" x14ac:dyDescent="0.3">
      <c r="A85" t="s">
        <v>91</v>
      </c>
      <c r="B85" t="s">
        <v>30</v>
      </c>
      <c r="C85" t="s">
        <v>23</v>
      </c>
      <c r="D85" t="s">
        <v>28</v>
      </c>
      <c r="E85" t="s">
        <v>15</v>
      </c>
      <c r="F85">
        <v>724.26</v>
      </c>
      <c r="G85">
        <v>2023</v>
      </c>
    </row>
    <row r="86" spans="1:7" x14ac:dyDescent="0.3">
      <c r="A86" t="s">
        <v>6</v>
      </c>
      <c r="B86" t="s">
        <v>7</v>
      </c>
      <c r="C86" t="s">
        <v>23</v>
      </c>
      <c r="D86" t="s">
        <v>14</v>
      </c>
      <c r="E86" t="s">
        <v>24</v>
      </c>
      <c r="F86">
        <v>2373.2600000000002</v>
      </c>
      <c r="G86">
        <v>2023</v>
      </c>
    </row>
    <row r="87" spans="1:7" x14ac:dyDescent="0.3">
      <c r="A87" t="s">
        <v>47</v>
      </c>
      <c r="B87" t="s">
        <v>30</v>
      </c>
      <c r="C87" t="s">
        <v>34</v>
      </c>
      <c r="D87" t="s">
        <v>28</v>
      </c>
      <c r="E87" t="s">
        <v>24</v>
      </c>
      <c r="F87">
        <v>1440.9</v>
      </c>
      <c r="G87">
        <v>2023</v>
      </c>
    </row>
    <row r="88" spans="1:7" x14ac:dyDescent="0.3">
      <c r="A88" t="s">
        <v>92</v>
      </c>
      <c r="B88" t="s">
        <v>30</v>
      </c>
      <c r="C88" t="s">
        <v>13</v>
      </c>
      <c r="D88" t="s">
        <v>28</v>
      </c>
      <c r="E88" t="s">
        <v>10</v>
      </c>
      <c r="F88">
        <v>569.39</v>
      </c>
      <c r="G88">
        <v>2022</v>
      </c>
    </row>
    <row r="89" spans="1:7" x14ac:dyDescent="0.3">
      <c r="A89" t="s">
        <v>43</v>
      </c>
      <c r="B89" t="s">
        <v>17</v>
      </c>
      <c r="C89" t="s">
        <v>23</v>
      </c>
      <c r="D89" t="s">
        <v>14</v>
      </c>
      <c r="E89" t="s">
        <v>24</v>
      </c>
      <c r="F89">
        <v>1161.74</v>
      </c>
      <c r="G89">
        <v>2023</v>
      </c>
    </row>
    <row r="90" spans="1:7" x14ac:dyDescent="0.3">
      <c r="A90" t="s">
        <v>37</v>
      </c>
      <c r="B90" t="s">
        <v>17</v>
      </c>
      <c r="C90" t="s">
        <v>8</v>
      </c>
      <c r="D90" t="s">
        <v>9</v>
      </c>
      <c r="E90" t="s">
        <v>24</v>
      </c>
      <c r="F90">
        <v>4200.5</v>
      </c>
      <c r="G90">
        <v>2022</v>
      </c>
    </row>
    <row r="91" spans="1:7" x14ac:dyDescent="0.3">
      <c r="A91" t="s">
        <v>55</v>
      </c>
      <c r="B91" t="s">
        <v>12</v>
      </c>
      <c r="C91" t="s">
        <v>8</v>
      </c>
      <c r="D91" t="s">
        <v>14</v>
      </c>
      <c r="E91" t="s">
        <v>15</v>
      </c>
      <c r="F91">
        <v>2311.5500000000002</v>
      </c>
      <c r="G91">
        <v>2022</v>
      </c>
    </row>
    <row r="92" spans="1:7" x14ac:dyDescent="0.3">
      <c r="A92" t="s">
        <v>93</v>
      </c>
      <c r="B92" t="s">
        <v>30</v>
      </c>
      <c r="C92" t="s">
        <v>8</v>
      </c>
      <c r="D92" t="s">
        <v>28</v>
      </c>
      <c r="E92" t="s">
        <v>15</v>
      </c>
      <c r="F92">
        <v>2116.64</v>
      </c>
      <c r="G92">
        <v>2022</v>
      </c>
    </row>
    <row r="93" spans="1:7" x14ac:dyDescent="0.3">
      <c r="A93" t="s">
        <v>94</v>
      </c>
      <c r="B93" t="s">
        <v>7</v>
      </c>
      <c r="C93" t="s">
        <v>13</v>
      </c>
      <c r="D93" t="s">
        <v>28</v>
      </c>
      <c r="E93" t="s">
        <v>15</v>
      </c>
      <c r="F93">
        <v>2833.88</v>
      </c>
      <c r="G93">
        <v>2022</v>
      </c>
    </row>
    <row r="94" spans="1:7" x14ac:dyDescent="0.3">
      <c r="A94" t="s">
        <v>95</v>
      </c>
      <c r="B94" t="s">
        <v>30</v>
      </c>
      <c r="C94" t="s">
        <v>8</v>
      </c>
      <c r="D94" t="s">
        <v>28</v>
      </c>
      <c r="E94" t="s">
        <v>10</v>
      </c>
      <c r="F94">
        <v>2605.96</v>
      </c>
      <c r="G94">
        <v>2022</v>
      </c>
    </row>
    <row r="95" spans="1:7" x14ac:dyDescent="0.3">
      <c r="A95" t="s">
        <v>69</v>
      </c>
      <c r="B95" t="s">
        <v>7</v>
      </c>
      <c r="C95" t="s">
        <v>34</v>
      </c>
      <c r="D95" t="s">
        <v>9</v>
      </c>
      <c r="E95" t="s">
        <v>24</v>
      </c>
      <c r="F95">
        <v>532.45000000000005</v>
      </c>
      <c r="G95">
        <v>2023</v>
      </c>
    </row>
    <row r="96" spans="1:7" x14ac:dyDescent="0.3">
      <c r="A96" t="s">
        <v>96</v>
      </c>
      <c r="B96" t="s">
        <v>19</v>
      </c>
      <c r="C96" t="s">
        <v>13</v>
      </c>
      <c r="D96" t="s">
        <v>9</v>
      </c>
      <c r="E96" t="s">
        <v>24</v>
      </c>
      <c r="F96">
        <v>1876.96</v>
      </c>
      <c r="G96">
        <v>2022</v>
      </c>
    </row>
    <row r="97" spans="1:7" x14ac:dyDescent="0.3">
      <c r="A97" t="s">
        <v>97</v>
      </c>
      <c r="B97" t="s">
        <v>7</v>
      </c>
      <c r="C97" t="s">
        <v>13</v>
      </c>
      <c r="D97" t="s">
        <v>14</v>
      </c>
      <c r="E97" t="s">
        <v>15</v>
      </c>
      <c r="F97">
        <v>522.41</v>
      </c>
      <c r="G97">
        <v>2022</v>
      </c>
    </row>
    <row r="98" spans="1:7" x14ac:dyDescent="0.3">
      <c r="A98" t="s">
        <v>98</v>
      </c>
      <c r="B98" t="s">
        <v>19</v>
      </c>
      <c r="C98" t="s">
        <v>23</v>
      </c>
      <c r="D98" t="s">
        <v>9</v>
      </c>
      <c r="E98" t="s">
        <v>10</v>
      </c>
      <c r="F98">
        <v>4953.9799999999996</v>
      </c>
      <c r="G98">
        <v>2023</v>
      </c>
    </row>
    <row r="99" spans="1:7" x14ac:dyDescent="0.3">
      <c r="A99" t="s">
        <v>99</v>
      </c>
      <c r="B99" t="s">
        <v>19</v>
      </c>
      <c r="C99" t="s">
        <v>13</v>
      </c>
      <c r="D99" t="s">
        <v>9</v>
      </c>
      <c r="E99" t="s">
        <v>15</v>
      </c>
      <c r="F99">
        <v>2322.96</v>
      </c>
      <c r="G99">
        <v>2022</v>
      </c>
    </row>
    <row r="100" spans="1:7" x14ac:dyDescent="0.3">
      <c r="A100" t="s">
        <v>80</v>
      </c>
      <c r="B100" t="s">
        <v>17</v>
      </c>
      <c r="C100" t="s">
        <v>34</v>
      </c>
      <c r="D100" t="s">
        <v>28</v>
      </c>
      <c r="E100" t="s">
        <v>24</v>
      </c>
      <c r="F100">
        <v>4662.91</v>
      </c>
      <c r="G100">
        <v>2023</v>
      </c>
    </row>
    <row r="101" spans="1:7" x14ac:dyDescent="0.3">
      <c r="A101" t="s">
        <v>100</v>
      </c>
      <c r="B101" t="s">
        <v>7</v>
      </c>
      <c r="C101" t="s">
        <v>23</v>
      </c>
      <c r="D101" t="s">
        <v>28</v>
      </c>
      <c r="E101" t="s">
        <v>24</v>
      </c>
      <c r="F101">
        <v>1907.29</v>
      </c>
      <c r="G101">
        <v>2023</v>
      </c>
    </row>
    <row r="102" spans="1:7" x14ac:dyDescent="0.3">
      <c r="A102" t="s">
        <v>101</v>
      </c>
      <c r="B102" t="s">
        <v>19</v>
      </c>
      <c r="C102" t="s">
        <v>13</v>
      </c>
      <c r="D102" t="s">
        <v>9</v>
      </c>
      <c r="E102" t="s">
        <v>15</v>
      </c>
      <c r="F102">
        <v>1668.59</v>
      </c>
      <c r="G102">
        <v>2022</v>
      </c>
    </row>
    <row r="103" spans="1:7" x14ac:dyDescent="0.3">
      <c r="A103" t="s">
        <v>102</v>
      </c>
      <c r="B103" t="s">
        <v>19</v>
      </c>
      <c r="C103" t="s">
        <v>34</v>
      </c>
      <c r="D103" t="s">
        <v>14</v>
      </c>
      <c r="E103" t="s">
        <v>24</v>
      </c>
      <c r="F103">
        <v>3260.51</v>
      </c>
      <c r="G103">
        <v>2023</v>
      </c>
    </row>
    <row r="104" spans="1:7" x14ac:dyDescent="0.3">
      <c r="A104" t="s">
        <v>103</v>
      </c>
      <c r="B104" t="s">
        <v>19</v>
      </c>
      <c r="C104" t="s">
        <v>8</v>
      </c>
      <c r="D104" t="s">
        <v>14</v>
      </c>
      <c r="E104" t="s">
        <v>10</v>
      </c>
      <c r="F104">
        <v>2218.4699999999998</v>
      </c>
      <c r="G104">
        <v>2022</v>
      </c>
    </row>
    <row r="105" spans="1:7" x14ac:dyDescent="0.3">
      <c r="A105" t="s">
        <v>78</v>
      </c>
      <c r="B105" t="s">
        <v>7</v>
      </c>
      <c r="C105" t="s">
        <v>34</v>
      </c>
      <c r="D105" t="s">
        <v>14</v>
      </c>
      <c r="E105" t="s">
        <v>10</v>
      </c>
      <c r="F105">
        <v>479.85</v>
      </c>
      <c r="G105">
        <v>2023</v>
      </c>
    </row>
    <row r="106" spans="1:7" x14ac:dyDescent="0.3">
      <c r="A106" t="s">
        <v>104</v>
      </c>
      <c r="B106" t="s">
        <v>17</v>
      </c>
      <c r="C106" t="s">
        <v>8</v>
      </c>
      <c r="D106" t="s">
        <v>28</v>
      </c>
      <c r="E106" t="s">
        <v>15</v>
      </c>
      <c r="F106">
        <v>401.65</v>
      </c>
      <c r="G106">
        <v>2022</v>
      </c>
    </row>
    <row r="107" spans="1:7" x14ac:dyDescent="0.3">
      <c r="A107" t="s">
        <v>105</v>
      </c>
      <c r="B107" t="s">
        <v>30</v>
      </c>
      <c r="C107" t="s">
        <v>34</v>
      </c>
      <c r="D107" t="s">
        <v>28</v>
      </c>
      <c r="E107" t="s">
        <v>24</v>
      </c>
      <c r="F107">
        <v>4844.9399999999996</v>
      </c>
      <c r="G107">
        <v>2023</v>
      </c>
    </row>
    <row r="108" spans="1:7" x14ac:dyDescent="0.3">
      <c r="A108" t="s">
        <v>106</v>
      </c>
      <c r="B108" t="s">
        <v>12</v>
      </c>
      <c r="C108" t="s">
        <v>34</v>
      </c>
      <c r="D108" t="s">
        <v>14</v>
      </c>
      <c r="E108" t="s">
        <v>10</v>
      </c>
      <c r="F108">
        <v>1954.31</v>
      </c>
      <c r="G108">
        <v>2023</v>
      </c>
    </row>
    <row r="109" spans="1:7" x14ac:dyDescent="0.3">
      <c r="A109" t="s">
        <v>66</v>
      </c>
      <c r="B109" t="s">
        <v>30</v>
      </c>
      <c r="C109" t="s">
        <v>23</v>
      </c>
      <c r="D109" t="s">
        <v>28</v>
      </c>
      <c r="E109" t="s">
        <v>15</v>
      </c>
      <c r="F109">
        <v>2094.86</v>
      </c>
      <c r="G109">
        <v>2023</v>
      </c>
    </row>
    <row r="110" spans="1:7" x14ac:dyDescent="0.3">
      <c r="A110" t="s">
        <v>107</v>
      </c>
      <c r="B110" t="s">
        <v>30</v>
      </c>
      <c r="C110" t="s">
        <v>8</v>
      </c>
      <c r="D110" t="s">
        <v>28</v>
      </c>
      <c r="E110" t="s">
        <v>24</v>
      </c>
      <c r="F110">
        <v>3876.8</v>
      </c>
      <c r="G110">
        <v>2022</v>
      </c>
    </row>
    <row r="111" spans="1:7" x14ac:dyDescent="0.3">
      <c r="A111" t="s">
        <v>45</v>
      </c>
      <c r="B111" t="s">
        <v>7</v>
      </c>
      <c r="C111" t="s">
        <v>34</v>
      </c>
      <c r="D111" t="s">
        <v>28</v>
      </c>
      <c r="E111" t="s">
        <v>10</v>
      </c>
      <c r="F111">
        <v>3209.34</v>
      </c>
      <c r="G111">
        <v>2023</v>
      </c>
    </row>
    <row r="112" spans="1:7" x14ac:dyDescent="0.3">
      <c r="A112" t="s">
        <v>108</v>
      </c>
      <c r="B112" t="s">
        <v>7</v>
      </c>
      <c r="C112" t="s">
        <v>8</v>
      </c>
      <c r="D112" t="s">
        <v>28</v>
      </c>
      <c r="E112" t="s">
        <v>24</v>
      </c>
      <c r="F112">
        <v>1290.4100000000001</v>
      </c>
      <c r="G112">
        <v>2022</v>
      </c>
    </row>
    <row r="113" spans="1:7" x14ac:dyDescent="0.3">
      <c r="A113" t="s">
        <v>42</v>
      </c>
      <c r="B113" t="s">
        <v>30</v>
      </c>
      <c r="C113" t="s">
        <v>13</v>
      </c>
      <c r="D113" t="s">
        <v>14</v>
      </c>
      <c r="E113" t="s">
        <v>24</v>
      </c>
      <c r="F113">
        <v>3768.03</v>
      </c>
      <c r="G113">
        <v>2022</v>
      </c>
    </row>
    <row r="114" spans="1:7" x14ac:dyDescent="0.3">
      <c r="A114" t="s">
        <v>109</v>
      </c>
      <c r="B114" t="s">
        <v>12</v>
      </c>
      <c r="C114" t="s">
        <v>8</v>
      </c>
      <c r="D114" t="s">
        <v>28</v>
      </c>
      <c r="E114" t="s">
        <v>10</v>
      </c>
      <c r="F114">
        <v>2209.6</v>
      </c>
      <c r="G114">
        <v>2022</v>
      </c>
    </row>
    <row r="115" spans="1:7" x14ac:dyDescent="0.3">
      <c r="A115" t="s">
        <v>110</v>
      </c>
      <c r="B115" t="s">
        <v>12</v>
      </c>
      <c r="C115" t="s">
        <v>34</v>
      </c>
      <c r="D115" t="s">
        <v>9</v>
      </c>
      <c r="E115" t="s">
        <v>24</v>
      </c>
      <c r="F115">
        <v>3789.17</v>
      </c>
      <c r="G115">
        <v>2023</v>
      </c>
    </row>
    <row r="116" spans="1:7" x14ac:dyDescent="0.3">
      <c r="A116" t="s">
        <v>111</v>
      </c>
      <c r="B116" t="s">
        <v>19</v>
      </c>
      <c r="C116" t="s">
        <v>8</v>
      </c>
      <c r="D116" t="s">
        <v>28</v>
      </c>
      <c r="E116" t="s">
        <v>10</v>
      </c>
      <c r="F116">
        <v>2970.05</v>
      </c>
      <c r="G116">
        <v>2022</v>
      </c>
    </row>
    <row r="117" spans="1:7" x14ac:dyDescent="0.3">
      <c r="A117" t="s">
        <v>112</v>
      </c>
      <c r="B117" t="s">
        <v>30</v>
      </c>
      <c r="C117" t="s">
        <v>23</v>
      </c>
      <c r="D117" t="s">
        <v>28</v>
      </c>
      <c r="E117" t="s">
        <v>10</v>
      </c>
      <c r="F117">
        <v>1858.31</v>
      </c>
      <c r="G117">
        <v>2023</v>
      </c>
    </row>
    <row r="118" spans="1:7" x14ac:dyDescent="0.3">
      <c r="A118" t="s">
        <v>62</v>
      </c>
      <c r="B118" t="s">
        <v>30</v>
      </c>
      <c r="C118" t="s">
        <v>8</v>
      </c>
      <c r="D118" t="s">
        <v>9</v>
      </c>
      <c r="E118" t="s">
        <v>10</v>
      </c>
      <c r="F118">
        <v>3702.95</v>
      </c>
      <c r="G118">
        <v>2022</v>
      </c>
    </row>
    <row r="119" spans="1:7" x14ac:dyDescent="0.3">
      <c r="A119" t="s">
        <v>113</v>
      </c>
      <c r="B119" t="s">
        <v>30</v>
      </c>
      <c r="C119" t="s">
        <v>23</v>
      </c>
      <c r="D119" t="s">
        <v>28</v>
      </c>
      <c r="E119" t="s">
        <v>10</v>
      </c>
      <c r="F119">
        <v>3276</v>
      </c>
      <c r="G119">
        <v>2023</v>
      </c>
    </row>
    <row r="120" spans="1:7" x14ac:dyDescent="0.3">
      <c r="A120" t="s">
        <v>114</v>
      </c>
      <c r="B120" t="s">
        <v>30</v>
      </c>
      <c r="C120" t="s">
        <v>8</v>
      </c>
      <c r="D120" t="s">
        <v>14</v>
      </c>
      <c r="E120" t="s">
        <v>24</v>
      </c>
      <c r="F120">
        <v>526.37</v>
      </c>
      <c r="G120">
        <v>2022</v>
      </c>
    </row>
    <row r="121" spans="1:7" x14ac:dyDescent="0.3">
      <c r="A121" t="s">
        <v>115</v>
      </c>
      <c r="B121" t="s">
        <v>19</v>
      </c>
      <c r="C121" t="s">
        <v>13</v>
      </c>
      <c r="D121" t="s">
        <v>14</v>
      </c>
      <c r="E121" t="s">
        <v>10</v>
      </c>
      <c r="F121">
        <v>445.6</v>
      </c>
      <c r="G121">
        <v>2022</v>
      </c>
    </row>
    <row r="122" spans="1:7" x14ac:dyDescent="0.3">
      <c r="A122" t="s">
        <v>116</v>
      </c>
      <c r="B122" t="s">
        <v>17</v>
      </c>
      <c r="C122" t="s">
        <v>34</v>
      </c>
      <c r="D122" t="s">
        <v>9</v>
      </c>
      <c r="E122" t="s">
        <v>15</v>
      </c>
      <c r="F122">
        <v>4486.2700000000004</v>
      </c>
      <c r="G122">
        <v>2023</v>
      </c>
    </row>
    <row r="123" spans="1:7" x14ac:dyDescent="0.3">
      <c r="A123" t="s">
        <v>111</v>
      </c>
      <c r="B123" t="s">
        <v>19</v>
      </c>
      <c r="C123" t="s">
        <v>13</v>
      </c>
      <c r="D123" t="s">
        <v>9</v>
      </c>
      <c r="E123" t="s">
        <v>15</v>
      </c>
      <c r="F123">
        <v>1770.54</v>
      </c>
      <c r="G123">
        <v>2022</v>
      </c>
    </row>
    <row r="124" spans="1:7" x14ac:dyDescent="0.3">
      <c r="A124" t="s">
        <v>102</v>
      </c>
      <c r="B124" t="s">
        <v>19</v>
      </c>
      <c r="C124" t="s">
        <v>34</v>
      </c>
      <c r="D124" t="s">
        <v>9</v>
      </c>
      <c r="E124" t="s">
        <v>24</v>
      </c>
      <c r="F124">
        <v>2762.19</v>
      </c>
      <c r="G124">
        <v>2023</v>
      </c>
    </row>
    <row r="125" spans="1:7" x14ac:dyDescent="0.3">
      <c r="A125" t="s">
        <v>50</v>
      </c>
      <c r="B125" t="s">
        <v>19</v>
      </c>
      <c r="C125" t="s">
        <v>34</v>
      </c>
      <c r="D125" t="s">
        <v>14</v>
      </c>
      <c r="E125" t="s">
        <v>15</v>
      </c>
      <c r="F125">
        <v>1531.3</v>
      </c>
      <c r="G125">
        <v>2023</v>
      </c>
    </row>
    <row r="126" spans="1:7" x14ac:dyDescent="0.3">
      <c r="A126" t="s">
        <v>86</v>
      </c>
      <c r="B126" t="s">
        <v>19</v>
      </c>
      <c r="C126" t="s">
        <v>34</v>
      </c>
      <c r="D126" t="s">
        <v>9</v>
      </c>
      <c r="E126" t="s">
        <v>15</v>
      </c>
      <c r="F126">
        <v>4453.37</v>
      </c>
      <c r="G126">
        <v>2023</v>
      </c>
    </row>
    <row r="127" spans="1:7" x14ac:dyDescent="0.3">
      <c r="A127" t="s">
        <v>71</v>
      </c>
      <c r="B127" t="s">
        <v>7</v>
      </c>
      <c r="C127" t="s">
        <v>23</v>
      </c>
      <c r="D127" t="s">
        <v>28</v>
      </c>
      <c r="E127" t="s">
        <v>10</v>
      </c>
      <c r="F127">
        <v>4934.5600000000004</v>
      </c>
      <c r="G127">
        <v>2023</v>
      </c>
    </row>
    <row r="128" spans="1:7" x14ac:dyDescent="0.3">
      <c r="A128" t="s">
        <v>117</v>
      </c>
      <c r="B128" t="s">
        <v>7</v>
      </c>
      <c r="C128" t="s">
        <v>13</v>
      </c>
      <c r="D128" t="s">
        <v>14</v>
      </c>
      <c r="E128" t="s">
        <v>10</v>
      </c>
      <c r="F128">
        <v>1164.7</v>
      </c>
      <c r="G128">
        <v>2022</v>
      </c>
    </row>
    <row r="129" spans="1:7" x14ac:dyDescent="0.3">
      <c r="A129" t="s">
        <v>118</v>
      </c>
      <c r="B129" t="s">
        <v>30</v>
      </c>
      <c r="C129" t="s">
        <v>13</v>
      </c>
      <c r="D129" t="s">
        <v>14</v>
      </c>
      <c r="E129" t="s">
        <v>24</v>
      </c>
      <c r="F129">
        <v>2732.08</v>
      </c>
      <c r="G129">
        <v>2022</v>
      </c>
    </row>
    <row r="130" spans="1:7" x14ac:dyDescent="0.3">
      <c r="A130" t="s">
        <v>84</v>
      </c>
      <c r="B130" t="s">
        <v>30</v>
      </c>
      <c r="C130" t="s">
        <v>13</v>
      </c>
      <c r="D130" t="s">
        <v>9</v>
      </c>
      <c r="E130" t="s">
        <v>10</v>
      </c>
      <c r="F130">
        <v>3114.5</v>
      </c>
      <c r="G130">
        <v>2022</v>
      </c>
    </row>
    <row r="131" spans="1:7" x14ac:dyDescent="0.3">
      <c r="A131" t="s">
        <v>119</v>
      </c>
      <c r="B131" t="s">
        <v>30</v>
      </c>
      <c r="C131" t="s">
        <v>23</v>
      </c>
      <c r="D131" t="s">
        <v>14</v>
      </c>
      <c r="E131" t="s">
        <v>10</v>
      </c>
      <c r="F131">
        <v>3329.18</v>
      </c>
      <c r="G131">
        <v>2023</v>
      </c>
    </row>
    <row r="132" spans="1:7" x14ac:dyDescent="0.3">
      <c r="A132" t="s">
        <v>120</v>
      </c>
      <c r="B132" t="s">
        <v>30</v>
      </c>
      <c r="C132" t="s">
        <v>23</v>
      </c>
      <c r="D132" t="s">
        <v>28</v>
      </c>
      <c r="E132" t="s">
        <v>10</v>
      </c>
      <c r="F132">
        <v>3195.93</v>
      </c>
      <c r="G132">
        <v>2023</v>
      </c>
    </row>
    <row r="133" spans="1:7" x14ac:dyDescent="0.3">
      <c r="A133" t="s">
        <v>91</v>
      </c>
      <c r="B133" t="s">
        <v>30</v>
      </c>
      <c r="C133" t="s">
        <v>8</v>
      </c>
      <c r="D133" t="s">
        <v>28</v>
      </c>
      <c r="E133" t="s">
        <v>15</v>
      </c>
      <c r="F133">
        <v>1246.5</v>
      </c>
      <c r="G133">
        <v>2022</v>
      </c>
    </row>
    <row r="134" spans="1:7" x14ac:dyDescent="0.3">
      <c r="A134" t="s">
        <v>121</v>
      </c>
      <c r="B134" t="s">
        <v>30</v>
      </c>
      <c r="C134" t="s">
        <v>8</v>
      </c>
      <c r="D134" t="s">
        <v>28</v>
      </c>
      <c r="E134" t="s">
        <v>10</v>
      </c>
      <c r="F134">
        <v>2737.6</v>
      </c>
      <c r="G134">
        <v>2022</v>
      </c>
    </row>
    <row r="135" spans="1:7" x14ac:dyDescent="0.3">
      <c r="A135" t="s">
        <v>122</v>
      </c>
      <c r="B135" t="s">
        <v>19</v>
      </c>
      <c r="C135" t="s">
        <v>34</v>
      </c>
      <c r="D135" t="s">
        <v>28</v>
      </c>
      <c r="E135" t="s">
        <v>15</v>
      </c>
      <c r="F135">
        <v>1722.2</v>
      </c>
      <c r="G135">
        <v>2023</v>
      </c>
    </row>
    <row r="136" spans="1:7" x14ac:dyDescent="0.3">
      <c r="A136" t="s">
        <v>123</v>
      </c>
      <c r="B136" t="s">
        <v>30</v>
      </c>
      <c r="C136" t="s">
        <v>8</v>
      </c>
      <c r="D136" t="s">
        <v>14</v>
      </c>
      <c r="E136" t="s">
        <v>15</v>
      </c>
      <c r="F136">
        <v>4036.12</v>
      </c>
      <c r="G136">
        <v>2022</v>
      </c>
    </row>
    <row r="137" spans="1:7" x14ac:dyDescent="0.3">
      <c r="A137" t="s">
        <v>124</v>
      </c>
      <c r="B137" t="s">
        <v>12</v>
      </c>
      <c r="C137" t="s">
        <v>23</v>
      </c>
      <c r="D137" t="s">
        <v>28</v>
      </c>
      <c r="E137" t="s">
        <v>10</v>
      </c>
      <c r="F137">
        <v>897.74</v>
      </c>
      <c r="G137">
        <v>2023</v>
      </c>
    </row>
    <row r="138" spans="1:7" x14ac:dyDescent="0.3">
      <c r="A138" t="s">
        <v>125</v>
      </c>
      <c r="B138" t="s">
        <v>7</v>
      </c>
      <c r="C138" t="s">
        <v>23</v>
      </c>
      <c r="D138" t="s">
        <v>14</v>
      </c>
      <c r="E138" t="s">
        <v>10</v>
      </c>
      <c r="F138">
        <v>1853.54</v>
      </c>
      <c r="G138">
        <v>2023</v>
      </c>
    </row>
    <row r="139" spans="1:7" x14ac:dyDescent="0.3">
      <c r="A139" t="s">
        <v>121</v>
      </c>
      <c r="B139" t="s">
        <v>30</v>
      </c>
      <c r="C139" t="s">
        <v>34</v>
      </c>
      <c r="D139" t="s">
        <v>14</v>
      </c>
      <c r="E139" t="s">
        <v>15</v>
      </c>
      <c r="F139">
        <v>4674.16</v>
      </c>
      <c r="G139">
        <v>2023</v>
      </c>
    </row>
    <row r="140" spans="1:7" x14ac:dyDescent="0.3">
      <c r="A140" t="s">
        <v>123</v>
      </c>
      <c r="B140" t="s">
        <v>30</v>
      </c>
      <c r="C140" t="s">
        <v>13</v>
      </c>
      <c r="D140" t="s">
        <v>9</v>
      </c>
      <c r="E140" t="s">
        <v>15</v>
      </c>
      <c r="F140">
        <v>4723.6000000000004</v>
      </c>
      <c r="G140">
        <v>2022</v>
      </c>
    </row>
    <row r="141" spans="1:7" x14ac:dyDescent="0.3">
      <c r="A141" t="s">
        <v>117</v>
      </c>
      <c r="B141" t="s">
        <v>7</v>
      </c>
      <c r="C141" t="s">
        <v>23</v>
      </c>
      <c r="D141" t="s">
        <v>9</v>
      </c>
      <c r="E141" t="s">
        <v>10</v>
      </c>
      <c r="F141">
        <v>3244.21</v>
      </c>
      <c r="G141">
        <v>2023</v>
      </c>
    </row>
    <row r="142" spans="1:7" x14ac:dyDescent="0.3">
      <c r="A142" t="s">
        <v>18</v>
      </c>
      <c r="B142" t="s">
        <v>19</v>
      </c>
      <c r="C142" t="s">
        <v>13</v>
      </c>
      <c r="D142" t="s">
        <v>14</v>
      </c>
      <c r="E142" t="s">
        <v>24</v>
      </c>
      <c r="F142">
        <v>980.22</v>
      </c>
      <c r="G142">
        <v>2022</v>
      </c>
    </row>
    <row r="143" spans="1:7" x14ac:dyDescent="0.3">
      <c r="A143" t="s">
        <v>126</v>
      </c>
      <c r="B143" t="s">
        <v>30</v>
      </c>
      <c r="C143" t="s">
        <v>8</v>
      </c>
      <c r="D143" t="s">
        <v>28</v>
      </c>
      <c r="E143" t="s">
        <v>15</v>
      </c>
      <c r="F143">
        <v>4810.13</v>
      </c>
      <c r="G143">
        <v>2022</v>
      </c>
    </row>
    <row r="144" spans="1:7" x14ac:dyDescent="0.3">
      <c r="A144" t="s">
        <v>127</v>
      </c>
      <c r="B144" t="s">
        <v>17</v>
      </c>
      <c r="C144" t="s">
        <v>23</v>
      </c>
      <c r="D144" t="s">
        <v>28</v>
      </c>
      <c r="E144" t="s">
        <v>24</v>
      </c>
      <c r="F144">
        <v>3868.27</v>
      </c>
      <c r="G144">
        <v>2023</v>
      </c>
    </row>
    <row r="145" spans="1:7" x14ac:dyDescent="0.3">
      <c r="A145" t="s">
        <v>114</v>
      </c>
      <c r="B145" t="s">
        <v>30</v>
      </c>
      <c r="C145" t="s">
        <v>8</v>
      </c>
      <c r="D145" t="s">
        <v>28</v>
      </c>
      <c r="E145" t="s">
        <v>24</v>
      </c>
      <c r="F145">
        <v>714.41</v>
      </c>
      <c r="G145">
        <v>2022</v>
      </c>
    </row>
    <row r="146" spans="1:7" x14ac:dyDescent="0.3">
      <c r="A146" t="s">
        <v>117</v>
      </c>
      <c r="B146" t="s">
        <v>7</v>
      </c>
      <c r="C146" t="s">
        <v>13</v>
      </c>
      <c r="D146" t="s">
        <v>9</v>
      </c>
      <c r="E146" t="s">
        <v>10</v>
      </c>
      <c r="F146">
        <v>1121.06</v>
      </c>
      <c r="G146">
        <v>2022</v>
      </c>
    </row>
    <row r="147" spans="1:7" x14ac:dyDescent="0.3">
      <c r="A147" t="s">
        <v>128</v>
      </c>
      <c r="B147" t="s">
        <v>12</v>
      </c>
      <c r="C147" t="s">
        <v>13</v>
      </c>
      <c r="D147" t="s">
        <v>9</v>
      </c>
      <c r="E147" t="s">
        <v>24</v>
      </c>
      <c r="F147">
        <v>1645.67</v>
      </c>
      <c r="G147">
        <v>2022</v>
      </c>
    </row>
    <row r="148" spans="1:7" x14ac:dyDescent="0.3">
      <c r="A148" t="s">
        <v>129</v>
      </c>
      <c r="B148" t="s">
        <v>17</v>
      </c>
      <c r="C148" t="s">
        <v>34</v>
      </c>
      <c r="D148" t="s">
        <v>9</v>
      </c>
      <c r="E148" t="s">
        <v>15</v>
      </c>
      <c r="F148">
        <v>3519.74</v>
      </c>
      <c r="G148">
        <v>2023</v>
      </c>
    </row>
    <row r="149" spans="1:7" x14ac:dyDescent="0.3">
      <c r="A149" t="s">
        <v>82</v>
      </c>
      <c r="B149" t="s">
        <v>17</v>
      </c>
      <c r="C149" t="s">
        <v>34</v>
      </c>
      <c r="D149" t="s">
        <v>9</v>
      </c>
      <c r="E149" t="s">
        <v>24</v>
      </c>
      <c r="F149">
        <v>2222.6799999999998</v>
      </c>
      <c r="G149">
        <v>2023</v>
      </c>
    </row>
    <row r="150" spans="1:7" x14ac:dyDescent="0.3">
      <c r="A150" t="s">
        <v>80</v>
      </c>
      <c r="B150" t="s">
        <v>17</v>
      </c>
      <c r="C150" t="s">
        <v>34</v>
      </c>
      <c r="D150" t="s">
        <v>14</v>
      </c>
      <c r="E150" t="s">
        <v>15</v>
      </c>
      <c r="F150">
        <v>261.56</v>
      </c>
      <c r="G150">
        <v>2023</v>
      </c>
    </row>
    <row r="151" spans="1:7" x14ac:dyDescent="0.3">
      <c r="A151" t="s">
        <v>63</v>
      </c>
      <c r="B151" t="s">
        <v>12</v>
      </c>
      <c r="C151" t="s">
        <v>34</v>
      </c>
      <c r="D151" t="s">
        <v>9</v>
      </c>
      <c r="E151" t="s">
        <v>24</v>
      </c>
      <c r="F151">
        <v>4724.5600000000004</v>
      </c>
      <c r="G151">
        <v>2023</v>
      </c>
    </row>
    <row r="152" spans="1:7" x14ac:dyDescent="0.3">
      <c r="A152" t="s">
        <v>130</v>
      </c>
      <c r="B152" t="s">
        <v>12</v>
      </c>
      <c r="C152" t="s">
        <v>13</v>
      </c>
      <c r="D152" t="s">
        <v>14</v>
      </c>
      <c r="E152" t="s">
        <v>10</v>
      </c>
      <c r="F152">
        <v>1696.11</v>
      </c>
      <c r="G152">
        <v>2022</v>
      </c>
    </row>
    <row r="153" spans="1:7" x14ac:dyDescent="0.3">
      <c r="A153" t="s">
        <v>131</v>
      </c>
      <c r="B153" t="s">
        <v>17</v>
      </c>
      <c r="C153" t="s">
        <v>13</v>
      </c>
      <c r="D153" t="s">
        <v>28</v>
      </c>
      <c r="E153" t="s">
        <v>24</v>
      </c>
      <c r="F153">
        <v>1447.34</v>
      </c>
      <c r="G153">
        <v>2022</v>
      </c>
    </row>
    <row r="154" spans="1:7" x14ac:dyDescent="0.3">
      <c r="A154" t="s">
        <v>132</v>
      </c>
      <c r="B154" t="s">
        <v>19</v>
      </c>
      <c r="C154" t="s">
        <v>13</v>
      </c>
      <c r="D154" t="s">
        <v>14</v>
      </c>
      <c r="E154" t="s">
        <v>24</v>
      </c>
      <c r="F154">
        <v>3456.69</v>
      </c>
      <c r="G154">
        <v>2022</v>
      </c>
    </row>
    <row r="155" spans="1:7" x14ac:dyDescent="0.3">
      <c r="A155" t="s">
        <v>47</v>
      </c>
      <c r="B155" t="s">
        <v>30</v>
      </c>
      <c r="C155" t="s">
        <v>34</v>
      </c>
      <c r="D155" t="s">
        <v>28</v>
      </c>
      <c r="E155" t="s">
        <v>10</v>
      </c>
      <c r="F155">
        <v>1842.07</v>
      </c>
      <c r="G155">
        <v>2023</v>
      </c>
    </row>
    <row r="156" spans="1:7" x14ac:dyDescent="0.3">
      <c r="A156" t="s">
        <v>133</v>
      </c>
      <c r="B156" t="s">
        <v>17</v>
      </c>
      <c r="C156" t="s">
        <v>13</v>
      </c>
      <c r="D156" t="s">
        <v>9</v>
      </c>
      <c r="E156" t="s">
        <v>15</v>
      </c>
      <c r="F156">
        <v>670.69</v>
      </c>
      <c r="G156">
        <v>2022</v>
      </c>
    </row>
    <row r="157" spans="1:7" x14ac:dyDescent="0.3">
      <c r="A157" t="s">
        <v>134</v>
      </c>
      <c r="B157" t="s">
        <v>7</v>
      </c>
      <c r="C157" t="s">
        <v>23</v>
      </c>
      <c r="D157" t="s">
        <v>9</v>
      </c>
      <c r="E157" t="s">
        <v>15</v>
      </c>
      <c r="F157">
        <v>1143.2</v>
      </c>
      <c r="G157">
        <v>2023</v>
      </c>
    </row>
    <row r="158" spans="1:7" x14ac:dyDescent="0.3">
      <c r="A158" t="s">
        <v>80</v>
      </c>
      <c r="B158" t="s">
        <v>17</v>
      </c>
      <c r="C158" t="s">
        <v>23</v>
      </c>
      <c r="D158" t="s">
        <v>9</v>
      </c>
      <c r="E158" t="s">
        <v>10</v>
      </c>
      <c r="F158">
        <v>3475.51</v>
      </c>
      <c r="G158">
        <v>2023</v>
      </c>
    </row>
    <row r="159" spans="1:7" x14ac:dyDescent="0.3">
      <c r="A159" t="s">
        <v>92</v>
      </c>
      <c r="B159" t="s">
        <v>30</v>
      </c>
      <c r="C159" t="s">
        <v>34</v>
      </c>
      <c r="D159" t="s">
        <v>28</v>
      </c>
      <c r="E159" t="s">
        <v>10</v>
      </c>
      <c r="F159">
        <v>1313.1</v>
      </c>
      <c r="G159">
        <v>2023</v>
      </c>
    </row>
    <row r="160" spans="1:7" x14ac:dyDescent="0.3">
      <c r="A160" t="s">
        <v>90</v>
      </c>
      <c r="B160" t="s">
        <v>19</v>
      </c>
      <c r="C160" t="s">
        <v>13</v>
      </c>
      <c r="D160" t="s">
        <v>14</v>
      </c>
      <c r="E160" t="s">
        <v>24</v>
      </c>
      <c r="F160">
        <v>2271.65</v>
      </c>
      <c r="G160">
        <v>2022</v>
      </c>
    </row>
    <row r="161" spans="1:7" x14ac:dyDescent="0.3">
      <c r="A161" t="s">
        <v>80</v>
      </c>
      <c r="B161" t="s">
        <v>17</v>
      </c>
      <c r="C161" t="s">
        <v>8</v>
      </c>
      <c r="D161" t="s">
        <v>9</v>
      </c>
      <c r="E161" t="s">
        <v>15</v>
      </c>
      <c r="F161">
        <v>4185.75</v>
      </c>
      <c r="G161">
        <v>2022</v>
      </c>
    </row>
    <row r="162" spans="1:7" x14ac:dyDescent="0.3">
      <c r="A162" t="s">
        <v>86</v>
      </c>
      <c r="B162" t="s">
        <v>19</v>
      </c>
      <c r="C162" t="s">
        <v>13</v>
      </c>
      <c r="D162" t="s">
        <v>9</v>
      </c>
      <c r="E162" t="s">
        <v>10</v>
      </c>
      <c r="F162">
        <v>704.34</v>
      </c>
      <c r="G162">
        <v>2022</v>
      </c>
    </row>
    <row r="163" spans="1:7" x14ac:dyDescent="0.3">
      <c r="A163" t="s">
        <v>135</v>
      </c>
      <c r="B163" t="s">
        <v>12</v>
      </c>
      <c r="C163" t="s">
        <v>8</v>
      </c>
      <c r="D163" t="s">
        <v>9</v>
      </c>
      <c r="E163" t="s">
        <v>24</v>
      </c>
      <c r="F163">
        <v>801.11</v>
      </c>
      <c r="G163">
        <v>2022</v>
      </c>
    </row>
    <row r="164" spans="1:7" x14ac:dyDescent="0.3">
      <c r="A164" t="s">
        <v>21</v>
      </c>
      <c r="B164" t="s">
        <v>19</v>
      </c>
      <c r="C164" t="s">
        <v>13</v>
      </c>
      <c r="D164" t="s">
        <v>14</v>
      </c>
      <c r="E164" t="s">
        <v>10</v>
      </c>
      <c r="F164">
        <v>1685.02</v>
      </c>
      <c r="G164">
        <v>2022</v>
      </c>
    </row>
    <row r="165" spans="1:7" x14ac:dyDescent="0.3">
      <c r="A165" t="s">
        <v>132</v>
      </c>
      <c r="B165" t="s">
        <v>19</v>
      </c>
      <c r="C165" t="s">
        <v>8</v>
      </c>
      <c r="D165" t="s">
        <v>14</v>
      </c>
      <c r="E165" t="s">
        <v>10</v>
      </c>
      <c r="F165">
        <v>4811.95</v>
      </c>
      <c r="G165">
        <v>2022</v>
      </c>
    </row>
    <row r="166" spans="1:7" x14ac:dyDescent="0.3">
      <c r="A166" t="s">
        <v>136</v>
      </c>
      <c r="B166" t="s">
        <v>17</v>
      </c>
      <c r="C166" t="s">
        <v>23</v>
      </c>
      <c r="D166" t="s">
        <v>9</v>
      </c>
      <c r="E166" t="s">
        <v>24</v>
      </c>
      <c r="F166">
        <v>5093.5200000000004</v>
      </c>
      <c r="G166">
        <v>2023</v>
      </c>
    </row>
    <row r="167" spans="1:7" x14ac:dyDescent="0.3">
      <c r="A167" t="s">
        <v>120</v>
      </c>
      <c r="B167" t="s">
        <v>30</v>
      </c>
      <c r="C167" t="s">
        <v>23</v>
      </c>
      <c r="D167" t="s">
        <v>9</v>
      </c>
      <c r="E167" t="s">
        <v>24</v>
      </c>
      <c r="F167">
        <v>4205.37</v>
      </c>
      <c r="G167">
        <v>2023</v>
      </c>
    </row>
    <row r="168" spans="1:7" x14ac:dyDescent="0.3">
      <c r="A168" t="s">
        <v>56</v>
      </c>
      <c r="B168" t="s">
        <v>19</v>
      </c>
      <c r="C168" t="s">
        <v>23</v>
      </c>
      <c r="D168" t="s">
        <v>9</v>
      </c>
      <c r="E168" t="s">
        <v>15</v>
      </c>
      <c r="F168">
        <v>1288.3499999999999</v>
      </c>
      <c r="G168">
        <v>2023</v>
      </c>
    </row>
    <row r="169" spans="1:7" x14ac:dyDescent="0.3">
      <c r="A169" t="s">
        <v>93</v>
      </c>
      <c r="B169" t="s">
        <v>30</v>
      </c>
      <c r="C169" t="s">
        <v>8</v>
      </c>
      <c r="D169" t="s">
        <v>14</v>
      </c>
      <c r="E169" t="s">
        <v>24</v>
      </c>
      <c r="F169">
        <v>2663.02</v>
      </c>
      <c r="G169">
        <v>2022</v>
      </c>
    </row>
    <row r="170" spans="1:7" x14ac:dyDescent="0.3">
      <c r="A170" t="s">
        <v>136</v>
      </c>
      <c r="B170" t="s">
        <v>17</v>
      </c>
      <c r="C170" t="s">
        <v>8</v>
      </c>
      <c r="D170" t="s">
        <v>14</v>
      </c>
      <c r="E170" t="s">
        <v>10</v>
      </c>
      <c r="F170">
        <v>2844.55</v>
      </c>
      <c r="G170">
        <v>2022</v>
      </c>
    </row>
    <row r="171" spans="1:7" x14ac:dyDescent="0.3">
      <c r="A171" t="s">
        <v>137</v>
      </c>
      <c r="B171" t="s">
        <v>17</v>
      </c>
      <c r="C171" t="s">
        <v>13</v>
      </c>
      <c r="D171" t="s">
        <v>28</v>
      </c>
      <c r="E171" t="s">
        <v>10</v>
      </c>
      <c r="F171">
        <v>1998.08</v>
      </c>
      <c r="G171">
        <v>2022</v>
      </c>
    </row>
    <row r="172" spans="1:7" x14ac:dyDescent="0.3">
      <c r="A172" t="s">
        <v>53</v>
      </c>
      <c r="B172" t="s">
        <v>7</v>
      </c>
      <c r="C172" t="s">
        <v>23</v>
      </c>
      <c r="D172" t="s">
        <v>14</v>
      </c>
      <c r="E172" t="s">
        <v>10</v>
      </c>
      <c r="F172">
        <v>241.97</v>
      </c>
      <c r="G172">
        <v>2023</v>
      </c>
    </row>
    <row r="173" spans="1:7" x14ac:dyDescent="0.3">
      <c r="A173" t="s">
        <v>138</v>
      </c>
      <c r="B173" t="s">
        <v>12</v>
      </c>
      <c r="C173" t="s">
        <v>13</v>
      </c>
      <c r="D173" t="s">
        <v>9</v>
      </c>
      <c r="E173" t="s">
        <v>15</v>
      </c>
      <c r="F173">
        <v>2907.89</v>
      </c>
      <c r="G173">
        <v>2022</v>
      </c>
    </row>
    <row r="174" spans="1:7" x14ac:dyDescent="0.3">
      <c r="A174" t="s">
        <v>64</v>
      </c>
      <c r="B174" t="s">
        <v>30</v>
      </c>
      <c r="C174" t="s">
        <v>23</v>
      </c>
      <c r="D174" t="s">
        <v>9</v>
      </c>
      <c r="E174" t="s">
        <v>15</v>
      </c>
      <c r="F174">
        <v>4728.95</v>
      </c>
      <c r="G174">
        <v>2023</v>
      </c>
    </row>
    <row r="175" spans="1:7" x14ac:dyDescent="0.3">
      <c r="A175" t="s">
        <v>50</v>
      </c>
      <c r="B175" t="s">
        <v>19</v>
      </c>
      <c r="C175" t="s">
        <v>13</v>
      </c>
      <c r="D175" t="s">
        <v>14</v>
      </c>
      <c r="E175" t="s">
        <v>24</v>
      </c>
      <c r="F175">
        <v>4265.8500000000004</v>
      </c>
      <c r="G175">
        <v>2022</v>
      </c>
    </row>
    <row r="176" spans="1:7" x14ac:dyDescent="0.3">
      <c r="A176" t="s">
        <v>139</v>
      </c>
      <c r="B176" t="s">
        <v>7</v>
      </c>
      <c r="C176" t="s">
        <v>23</v>
      </c>
      <c r="D176" t="s">
        <v>9</v>
      </c>
      <c r="E176" t="s">
        <v>24</v>
      </c>
      <c r="F176">
        <v>2361.5500000000002</v>
      </c>
      <c r="G176">
        <v>2023</v>
      </c>
    </row>
    <row r="177" spans="1:7" x14ac:dyDescent="0.3">
      <c r="A177" t="s">
        <v>58</v>
      </c>
      <c r="B177" t="s">
        <v>17</v>
      </c>
      <c r="C177" t="s">
        <v>23</v>
      </c>
      <c r="D177" t="s">
        <v>14</v>
      </c>
      <c r="E177" t="s">
        <v>10</v>
      </c>
      <c r="F177">
        <v>235.74</v>
      </c>
      <c r="G177">
        <v>2023</v>
      </c>
    </row>
    <row r="178" spans="1:7" x14ac:dyDescent="0.3">
      <c r="A178" t="s">
        <v>88</v>
      </c>
      <c r="B178" t="s">
        <v>7</v>
      </c>
      <c r="C178" t="s">
        <v>23</v>
      </c>
      <c r="D178" t="s">
        <v>28</v>
      </c>
      <c r="E178" t="s">
        <v>10</v>
      </c>
      <c r="F178">
        <v>2737</v>
      </c>
      <c r="G178">
        <v>2023</v>
      </c>
    </row>
    <row r="179" spans="1:7" x14ac:dyDescent="0.3">
      <c r="A179" t="s">
        <v>140</v>
      </c>
      <c r="B179" t="s">
        <v>17</v>
      </c>
      <c r="C179" t="s">
        <v>8</v>
      </c>
      <c r="D179" t="s">
        <v>28</v>
      </c>
      <c r="E179" t="s">
        <v>15</v>
      </c>
      <c r="F179">
        <v>1539.15</v>
      </c>
      <c r="G179">
        <v>2022</v>
      </c>
    </row>
    <row r="180" spans="1:7" x14ac:dyDescent="0.3">
      <c r="A180" t="s">
        <v>82</v>
      </c>
      <c r="B180" t="s">
        <v>17</v>
      </c>
      <c r="C180" t="s">
        <v>8</v>
      </c>
      <c r="D180" t="s">
        <v>28</v>
      </c>
      <c r="E180" t="s">
        <v>10</v>
      </c>
      <c r="F180">
        <v>502.47</v>
      </c>
      <c r="G180">
        <v>2022</v>
      </c>
    </row>
    <row r="181" spans="1:7" x14ac:dyDescent="0.3">
      <c r="A181" t="s">
        <v>120</v>
      </c>
      <c r="B181" t="s">
        <v>30</v>
      </c>
      <c r="C181" t="s">
        <v>8</v>
      </c>
      <c r="D181" t="s">
        <v>14</v>
      </c>
      <c r="E181" t="s">
        <v>15</v>
      </c>
      <c r="F181">
        <v>2710.93</v>
      </c>
      <c r="G181">
        <v>2022</v>
      </c>
    </row>
    <row r="182" spans="1:7" x14ac:dyDescent="0.3">
      <c r="A182" t="s">
        <v>141</v>
      </c>
      <c r="B182" t="s">
        <v>7</v>
      </c>
      <c r="C182" t="s">
        <v>34</v>
      </c>
      <c r="D182" t="s">
        <v>9</v>
      </c>
      <c r="E182" t="s">
        <v>10</v>
      </c>
      <c r="F182">
        <v>2286.2399999999998</v>
      </c>
      <c r="G182">
        <v>2023</v>
      </c>
    </row>
    <row r="183" spans="1:7" x14ac:dyDescent="0.3">
      <c r="A183" t="s">
        <v>21</v>
      </c>
      <c r="B183" t="s">
        <v>19</v>
      </c>
      <c r="C183" t="s">
        <v>23</v>
      </c>
      <c r="D183" t="s">
        <v>9</v>
      </c>
      <c r="E183" t="s">
        <v>10</v>
      </c>
      <c r="F183">
        <v>3819.98</v>
      </c>
      <c r="G183">
        <v>2023</v>
      </c>
    </row>
    <row r="184" spans="1:7" x14ac:dyDescent="0.3">
      <c r="A184" t="s">
        <v>62</v>
      </c>
      <c r="B184" t="s">
        <v>30</v>
      </c>
      <c r="C184" t="s">
        <v>8</v>
      </c>
      <c r="D184" t="s">
        <v>14</v>
      </c>
      <c r="E184" t="s">
        <v>15</v>
      </c>
      <c r="F184">
        <v>2138.08</v>
      </c>
      <c r="G184">
        <v>2022</v>
      </c>
    </row>
    <row r="185" spans="1:7" x14ac:dyDescent="0.3">
      <c r="A185" t="s">
        <v>142</v>
      </c>
      <c r="B185" t="s">
        <v>17</v>
      </c>
      <c r="C185" t="s">
        <v>8</v>
      </c>
      <c r="D185" t="s">
        <v>28</v>
      </c>
      <c r="E185" t="s">
        <v>24</v>
      </c>
      <c r="F185">
        <v>747.74</v>
      </c>
      <c r="G185">
        <v>2022</v>
      </c>
    </row>
    <row r="186" spans="1:7" x14ac:dyDescent="0.3">
      <c r="A186" t="s">
        <v>143</v>
      </c>
      <c r="B186" t="s">
        <v>17</v>
      </c>
      <c r="C186" t="s">
        <v>34</v>
      </c>
      <c r="D186" t="s">
        <v>28</v>
      </c>
      <c r="E186" t="s">
        <v>24</v>
      </c>
      <c r="F186">
        <v>1025.55</v>
      </c>
      <c r="G186">
        <v>2023</v>
      </c>
    </row>
    <row r="187" spans="1:7" x14ac:dyDescent="0.3">
      <c r="A187" t="s">
        <v>144</v>
      </c>
      <c r="B187" t="s">
        <v>30</v>
      </c>
      <c r="C187" t="s">
        <v>8</v>
      </c>
      <c r="D187" t="s">
        <v>9</v>
      </c>
      <c r="E187" t="s">
        <v>15</v>
      </c>
      <c r="F187">
        <v>3382</v>
      </c>
      <c r="G187">
        <v>2022</v>
      </c>
    </row>
    <row r="188" spans="1:7" x14ac:dyDescent="0.3">
      <c r="A188" t="s">
        <v>145</v>
      </c>
      <c r="B188" t="s">
        <v>7</v>
      </c>
      <c r="C188" t="s">
        <v>23</v>
      </c>
      <c r="D188" t="s">
        <v>14</v>
      </c>
      <c r="E188" t="s">
        <v>24</v>
      </c>
      <c r="F188">
        <v>1772.18</v>
      </c>
      <c r="G188">
        <v>2023</v>
      </c>
    </row>
    <row r="189" spans="1:7" x14ac:dyDescent="0.3">
      <c r="A189" t="s">
        <v>81</v>
      </c>
      <c r="B189" t="s">
        <v>12</v>
      </c>
      <c r="C189" t="s">
        <v>13</v>
      </c>
      <c r="D189" t="s">
        <v>28</v>
      </c>
      <c r="E189" t="s">
        <v>24</v>
      </c>
      <c r="F189">
        <v>2150.66</v>
      </c>
      <c r="G189">
        <v>2022</v>
      </c>
    </row>
    <row r="190" spans="1:7" x14ac:dyDescent="0.3">
      <c r="A190" t="s">
        <v>129</v>
      </c>
      <c r="B190" t="s">
        <v>17</v>
      </c>
      <c r="C190" t="s">
        <v>34</v>
      </c>
      <c r="D190" t="s">
        <v>14</v>
      </c>
      <c r="E190" t="s">
        <v>15</v>
      </c>
      <c r="F190">
        <v>3214.91</v>
      </c>
      <c r="G190">
        <v>2023</v>
      </c>
    </row>
    <row r="191" spans="1:7" x14ac:dyDescent="0.3">
      <c r="A191" t="s">
        <v>54</v>
      </c>
      <c r="B191" t="s">
        <v>12</v>
      </c>
      <c r="C191" t="s">
        <v>34</v>
      </c>
      <c r="D191" t="s">
        <v>14</v>
      </c>
      <c r="E191" t="s">
        <v>24</v>
      </c>
      <c r="F191">
        <v>1475.38</v>
      </c>
      <c r="G191">
        <v>2023</v>
      </c>
    </row>
    <row r="192" spans="1:7" x14ac:dyDescent="0.3">
      <c r="A192" t="s">
        <v>26</v>
      </c>
      <c r="B192" t="s">
        <v>17</v>
      </c>
      <c r="C192" t="s">
        <v>8</v>
      </c>
      <c r="D192" t="s">
        <v>28</v>
      </c>
      <c r="E192" t="s">
        <v>24</v>
      </c>
      <c r="F192">
        <v>2631.42</v>
      </c>
      <c r="G192">
        <v>2022</v>
      </c>
    </row>
    <row r="193" spans="1:7" x14ac:dyDescent="0.3">
      <c r="A193" t="s">
        <v>78</v>
      </c>
      <c r="B193" t="s">
        <v>7</v>
      </c>
      <c r="C193" t="s">
        <v>13</v>
      </c>
      <c r="D193" t="s">
        <v>14</v>
      </c>
      <c r="E193" t="s">
        <v>15</v>
      </c>
      <c r="F193">
        <v>2973.99</v>
      </c>
      <c r="G193">
        <v>2022</v>
      </c>
    </row>
    <row r="194" spans="1:7" x14ac:dyDescent="0.3">
      <c r="A194" t="s">
        <v>44</v>
      </c>
      <c r="B194" t="s">
        <v>19</v>
      </c>
      <c r="C194" t="s">
        <v>8</v>
      </c>
      <c r="D194" t="s">
        <v>14</v>
      </c>
      <c r="E194" t="s">
        <v>24</v>
      </c>
      <c r="F194">
        <v>587.89</v>
      </c>
      <c r="G194">
        <v>2022</v>
      </c>
    </row>
    <row r="195" spans="1:7" x14ac:dyDescent="0.3">
      <c r="A195" t="s">
        <v>146</v>
      </c>
      <c r="B195" t="s">
        <v>7</v>
      </c>
      <c r="C195" t="s">
        <v>34</v>
      </c>
      <c r="D195" t="s">
        <v>14</v>
      </c>
      <c r="E195" t="s">
        <v>24</v>
      </c>
      <c r="F195">
        <v>599.52</v>
      </c>
      <c r="G195">
        <v>2023</v>
      </c>
    </row>
    <row r="196" spans="1:7" x14ac:dyDescent="0.3">
      <c r="A196" t="s">
        <v>147</v>
      </c>
      <c r="B196" t="s">
        <v>17</v>
      </c>
      <c r="C196" t="s">
        <v>8</v>
      </c>
      <c r="D196" t="s">
        <v>28</v>
      </c>
      <c r="E196" t="s">
        <v>10</v>
      </c>
      <c r="F196">
        <v>1993.42</v>
      </c>
      <c r="G196">
        <v>2022</v>
      </c>
    </row>
    <row r="197" spans="1:7" x14ac:dyDescent="0.3">
      <c r="A197" t="s">
        <v>148</v>
      </c>
      <c r="B197" t="s">
        <v>17</v>
      </c>
      <c r="C197" t="s">
        <v>13</v>
      </c>
      <c r="D197" t="s">
        <v>14</v>
      </c>
      <c r="E197" t="s">
        <v>10</v>
      </c>
      <c r="F197">
        <v>1395.49</v>
      </c>
      <c r="G197">
        <v>2022</v>
      </c>
    </row>
    <row r="198" spans="1:7" x14ac:dyDescent="0.3">
      <c r="A198" t="s">
        <v>59</v>
      </c>
      <c r="B198" t="s">
        <v>17</v>
      </c>
      <c r="C198" t="s">
        <v>13</v>
      </c>
      <c r="D198" t="s">
        <v>9</v>
      </c>
      <c r="E198" t="s">
        <v>15</v>
      </c>
      <c r="F198">
        <v>2509.14</v>
      </c>
      <c r="G198">
        <v>2022</v>
      </c>
    </row>
    <row r="199" spans="1:7" x14ac:dyDescent="0.3">
      <c r="A199" t="s">
        <v>101</v>
      </c>
      <c r="B199" t="s">
        <v>19</v>
      </c>
      <c r="C199" t="s">
        <v>23</v>
      </c>
      <c r="D199" t="s">
        <v>9</v>
      </c>
      <c r="E199" t="s">
        <v>24</v>
      </c>
      <c r="F199">
        <v>2619.13</v>
      </c>
      <c r="G199">
        <v>2023</v>
      </c>
    </row>
    <row r="200" spans="1:7" x14ac:dyDescent="0.3">
      <c r="A200" t="s">
        <v>61</v>
      </c>
      <c r="B200" t="s">
        <v>30</v>
      </c>
      <c r="C200" t="s">
        <v>13</v>
      </c>
      <c r="D200" t="s">
        <v>14</v>
      </c>
      <c r="E200" t="s">
        <v>10</v>
      </c>
      <c r="F200">
        <v>1192.6600000000001</v>
      </c>
      <c r="G200">
        <v>2022</v>
      </c>
    </row>
    <row r="201" spans="1:7" x14ac:dyDescent="0.3">
      <c r="A201" t="s">
        <v>101</v>
      </c>
      <c r="B201" t="s">
        <v>19</v>
      </c>
      <c r="C201" t="s">
        <v>34</v>
      </c>
      <c r="D201" t="s">
        <v>9</v>
      </c>
      <c r="E201" t="s">
        <v>24</v>
      </c>
      <c r="F201">
        <v>639.36</v>
      </c>
      <c r="G201">
        <v>2023</v>
      </c>
    </row>
    <row r="202" spans="1:7" x14ac:dyDescent="0.3">
      <c r="A202" t="s">
        <v>47</v>
      </c>
      <c r="B202" t="s">
        <v>30</v>
      </c>
      <c r="C202" t="s">
        <v>13</v>
      </c>
      <c r="D202" t="s">
        <v>28</v>
      </c>
      <c r="E202" t="s">
        <v>24</v>
      </c>
      <c r="F202">
        <v>3446.07</v>
      </c>
      <c r="G202">
        <v>2022</v>
      </c>
    </row>
    <row r="203" spans="1:7" x14ac:dyDescent="0.3">
      <c r="A203" t="s">
        <v>149</v>
      </c>
      <c r="B203" t="s">
        <v>17</v>
      </c>
      <c r="C203" t="s">
        <v>13</v>
      </c>
      <c r="D203" t="s">
        <v>9</v>
      </c>
      <c r="E203" t="s">
        <v>10</v>
      </c>
      <c r="F203">
        <v>2973.2</v>
      </c>
      <c r="G203">
        <v>2022</v>
      </c>
    </row>
    <row r="204" spans="1:7" x14ac:dyDescent="0.3">
      <c r="A204" t="s">
        <v>41</v>
      </c>
      <c r="B204" t="s">
        <v>30</v>
      </c>
      <c r="C204" t="s">
        <v>13</v>
      </c>
      <c r="D204" t="s">
        <v>28</v>
      </c>
      <c r="E204" t="s">
        <v>15</v>
      </c>
      <c r="F204">
        <v>4562.24</v>
      </c>
      <c r="G204">
        <v>2022</v>
      </c>
    </row>
    <row r="205" spans="1:7" x14ac:dyDescent="0.3">
      <c r="A205" t="s">
        <v>74</v>
      </c>
      <c r="B205" t="s">
        <v>19</v>
      </c>
      <c r="C205" t="s">
        <v>13</v>
      </c>
      <c r="D205" t="s">
        <v>28</v>
      </c>
      <c r="E205" t="s">
        <v>15</v>
      </c>
      <c r="F205">
        <v>3500.64</v>
      </c>
      <c r="G205">
        <v>2022</v>
      </c>
    </row>
    <row r="206" spans="1:7" x14ac:dyDescent="0.3">
      <c r="A206" t="s">
        <v>29</v>
      </c>
      <c r="B206" t="s">
        <v>30</v>
      </c>
      <c r="C206" t="s">
        <v>8</v>
      </c>
      <c r="D206" t="s">
        <v>28</v>
      </c>
      <c r="E206" t="s">
        <v>24</v>
      </c>
      <c r="F206">
        <v>3289.66</v>
      </c>
      <c r="G206">
        <v>2022</v>
      </c>
    </row>
    <row r="207" spans="1:7" x14ac:dyDescent="0.3">
      <c r="A207" t="s">
        <v>53</v>
      </c>
      <c r="B207" t="s">
        <v>7</v>
      </c>
      <c r="C207" t="s">
        <v>34</v>
      </c>
      <c r="D207" t="s">
        <v>14</v>
      </c>
      <c r="E207" t="s">
        <v>15</v>
      </c>
      <c r="F207">
        <v>540.26</v>
      </c>
      <c r="G207">
        <v>2023</v>
      </c>
    </row>
    <row r="208" spans="1:7" x14ac:dyDescent="0.3">
      <c r="A208" t="s">
        <v>150</v>
      </c>
      <c r="B208" t="s">
        <v>30</v>
      </c>
      <c r="C208" t="s">
        <v>23</v>
      </c>
      <c r="D208" t="s">
        <v>14</v>
      </c>
      <c r="E208" t="s">
        <v>15</v>
      </c>
      <c r="F208">
        <v>3784.31</v>
      </c>
      <c r="G208">
        <v>2023</v>
      </c>
    </row>
    <row r="209" spans="1:7" x14ac:dyDescent="0.3">
      <c r="A209" t="s">
        <v>33</v>
      </c>
      <c r="B209" t="s">
        <v>19</v>
      </c>
      <c r="C209" t="s">
        <v>13</v>
      </c>
      <c r="D209" t="s">
        <v>28</v>
      </c>
      <c r="E209" t="s">
        <v>24</v>
      </c>
      <c r="F209">
        <v>2320.83</v>
      </c>
      <c r="G209">
        <v>2022</v>
      </c>
    </row>
    <row r="210" spans="1:7" x14ac:dyDescent="0.3">
      <c r="A210" t="s">
        <v>82</v>
      </c>
      <c r="B210" t="s">
        <v>17</v>
      </c>
      <c r="C210" t="s">
        <v>34</v>
      </c>
      <c r="D210" t="s">
        <v>14</v>
      </c>
      <c r="E210" t="s">
        <v>15</v>
      </c>
      <c r="F210">
        <v>2311.4499999999998</v>
      </c>
      <c r="G210">
        <v>2023</v>
      </c>
    </row>
    <row r="211" spans="1:7" x14ac:dyDescent="0.3">
      <c r="A211" t="s">
        <v>122</v>
      </c>
      <c r="B211" t="s">
        <v>19</v>
      </c>
      <c r="C211" t="s">
        <v>23</v>
      </c>
      <c r="D211" t="s">
        <v>28</v>
      </c>
      <c r="E211" t="s">
        <v>10</v>
      </c>
      <c r="F211">
        <v>4836.59</v>
      </c>
      <c r="G211">
        <v>2023</v>
      </c>
    </row>
    <row r="212" spans="1:7" x14ac:dyDescent="0.3">
      <c r="A212" t="s">
        <v>64</v>
      </c>
      <c r="B212" t="s">
        <v>30</v>
      </c>
      <c r="C212" t="s">
        <v>13</v>
      </c>
      <c r="D212" t="s">
        <v>28</v>
      </c>
      <c r="E212" t="s">
        <v>15</v>
      </c>
      <c r="F212">
        <v>4870.82</v>
      </c>
      <c r="G212">
        <v>2022</v>
      </c>
    </row>
    <row r="213" spans="1:7" x14ac:dyDescent="0.3">
      <c r="A213" t="s">
        <v>151</v>
      </c>
      <c r="B213" t="s">
        <v>12</v>
      </c>
      <c r="C213" t="s">
        <v>23</v>
      </c>
      <c r="D213" t="s">
        <v>28</v>
      </c>
      <c r="E213" t="s">
        <v>15</v>
      </c>
      <c r="F213">
        <v>4492.74</v>
      </c>
      <c r="G213">
        <v>2023</v>
      </c>
    </row>
    <row r="214" spans="1:7" x14ac:dyDescent="0.3">
      <c r="A214" t="s">
        <v>152</v>
      </c>
      <c r="B214" t="s">
        <v>30</v>
      </c>
      <c r="C214" t="s">
        <v>34</v>
      </c>
      <c r="D214" t="s">
        <v>14</v>
      </c>
      <c r="E214" t="s">
        <v>10</v>
      </c>
      <c r="F214">
        <v>2776.43</v>
      </c>
      <c r="G214">
        <v>2023</v>
      </c>
    </row>
    <row r="215" spans="1:7" x14ac:dyDescent="0.3">
      <c r="A215" t="s">
        <v>16</v>
      </c>
      <c r="B215" t="s">
        <v>17</v>
      </c>
      <c r="C215" t="s">
        <v>23</v>
      </c>
      <c r="D215" t="s">
        <v>28</v>
      </c>
      <c r="E215" t="s">
        <v>10</v>
      </c>
      <c r="F215">
        <v>4987.59</v>
      </c>
      <c r="G215">
        <v>2023</v>
      </c>
    </row>
    <row r="216" spans="1:7" x14ac:dyDescent="0.3">
      <c r="A216" t="s">
        <v>153</v>
      </c>
      <c r="B216" t="s">
        <v>7</v>
      </c>
      <c r="C216" t="s">
        <v>8</v>
      </c>
      <c r="D216" t="s">
        <v>9</v>
      </c>
      <c r="E216" t="s">
        <v>10</v>
      </c>
      <c r="F216">
        <v>1335.76</v>
      </c>
      <c r="G216">
        <v>2022</v>
      </c>
    </row>
    <row r="217" spans="1:7" x14ac:dyDescent="0.3">
      <c r="A217" t="s">
        <v>39</v>
      </c>
      <c r="B217" t="s">
        <v>7</v>
      </c>
      <c r="C217" t="s">
        <v>34</v>
      </c>
      <c r="D217" t="s">
        <v>14</v>
      </c>
      <c r="E217" t="s">
        <v>10</v>
      </c>
      <c r="F217">
        <v>1293.21</v>
      </c>
      <c r="G217">
        <v>2023</v>
      </c>
    </row>
    <row r="218" spans="1:7" x14ac:dyDescent="0.3">
      <c r="A218" t="s">
        <v>154</v>
      </c>
      <c r="B218" t="s">
        <v>12</v>
      </c>
      <c r="C218" t="s">
        <v>34</v>
      </c>
      <c r="D218" t="s">
        <v>28</v>
      </c>
      <c r="E218" t="s">
        <v>24</v>
      </c>
      <c r="F218">
        <v>1708</v>
      </c>
      <c r="G218">
        <v>2023</v>
      </c>
    </row>
    <row r="219" spans="1:7" x14ac:dyDescent="0.3">
      <c r="A219" t="s">
        <v>99</v>
      </c>
      <c r="B219" t="s">
        <v>19</v>
      </c>
      <c r="C219" t="s">
        <v>13</v>
      </c>
      <c r="D219" t="s">
        <v>28</v>
      </c>
      <c r="E219" t="s">
        <v>24</v>
      </c>
      <c r="F219">
        <v>4594.9799999999996</v>
      </c>
      <c r="G219">
        <v>2022</v>
      </c>
    </row>
    <row r="220" spans="1:7" x14ac:dyDescent="0.3">
      <c r="A220" t="s">
        <v>155</v>
      </c>
      <c r="B220" t="s">
        <v>7</v>
      </c>
      <c r="C220" t="s">
        <v>23</v>
      </c>
      <c r="D220" t="s">
        <v>14</v>
      </c>
      <c r="E220" t="s">
        <v>10</v>
      </c>
      <c r="F220">
        <v>831.81</v>
      </c>
      <c r="G220">
        <v>2023</v>
      </c>
    </row>
    <row r="221" spans="1:7" x14ac:dyDescent="0.3">
      <c r="A221" t="s">
        <v>156</v>
      </c>
      <c r="B221" t="s">
        <v>17</v>
      </c>
      <c r="C221" t="s">
        <v>23</v>
      </c>
      <c r="D221" t="s">
        <v>14</v>
      </c>
      <c r="E221" t="s">
        <v>10</v>
      </c>
      <c r="F221">
        <v>2545.9</v>
      </c>
      <c r="G221">
        <v>2023</v>
      </c>
    </row>
    <row r="222" spans="1:7" x14ac:dyDescent="0.3">
      <c r="A222" t="s">
        <v>149</v>
      </c>
      <c r="B222" t="s">
        <v>17</v>
      </c>
      <c r="C222" t="s">
        <v>34</v>
      </c>
      <c r="D222" t="s">
        <v>9</v>
      </c>
      <c r="E222" t="s">
        <v>10</v>
      </c>
      <c r="F222">
        <v>1207.1400000000001</v>
      </c>
      <c r="G222">
        <v>2023</v>
      </c>
    </row>
    <row r="223" spans="1:7" x14ac:dyDescent="0.3">
      <c r="A223" t="s">
        <v>33</v>
      </c>
      <c r="B223" t="s">
        <v>19</v>
      </c>
      <c r="C223" t="s">
        <v>23</v>
      </c>
      <c r="D223" t="s">
        <v>9</v>
      </c>
      <c r="E223" t="s">
        <v>24</v>
      </c>
      <c r="F223">
        <v>2790.8</v>
      </c>
      <c r="G223">
        <v>2023</v>
      </c>
    </row>
    <row r="224" spans="1:7" x14ac:dyDescent="0.3">
      <c r="A224" t="s">
        <v>157</v>
      </c>
      <c r="B224" t="s">
        <v>30</v>
      </c>
      <c r="C224" t="s">
        <v>23</v>
      </c>
      <c r="D224" t="s">
        <v>28</v>
      </c>
      <c r="E224" t="s">
        <v>15</v>
      </c>
      <c r="F224">
        <v>1945.28</v>
      </c>
      <c r="G224">
        <v>2023</v>
      </c>
    </row>
    <row r="225" spans="1:7" x14ac:dyDescent="0.3">
      <c r="A225" t="s">
        <v>16</v>
      </c>
      <c r="B225" t="s">
        <v>17</v>
      </c>
      <c r="C225" t="s">
        <v>34</v>
      </c>
      <c r="D225" t="s">
        <v>9</v>
      </c>
      <c r="E225" t="s">
        <v>24</v>
      </c>
      <c r="F225">
        <v>3670.54</v>
      </c>
      <c r="G225">
        <v>2023</v>
      </c>
    </row>
    <row r="226" spans="1:7" x14ac:dyDescent="0.3">
      <c r="A226" t="s">
        <v>44</v>
      </c>
      <c r="B226" t="s">
        <v>19</v>
      </c>
      <c r="C226" t="s">
        <v>13</v>
      </c>
      <c r="D226" t="s">
        <v>14</v>
      </c>
      <c r="E226" t="s">
        <v>24</v>
      </c>
      <c r="F226">
        <v>1954.98</v>
      </c>
      <c r="G226">
        <v>2022</v>
      </c>
    </row>
    <row r="227" spans="1:7" x14ac:dyDescent="0.3">
      <c r="A227" t="s">
        <v>84</v>
      </c>
      <c r="B227" t="s">
        <v>30</v>
      </c>
      <c r="C227" t="s">
        <v>13</v>
      </c>
      <c r="D227" t="s">
        <v>14</v>
      </c>
      <c r="E227" t="s">
        <v>15</v>
      </c>
      <c r="F227">
        <v>2205.38</v>
      </c>
      <c r="G227">
        <v>2022</v>
      </c>
    </row>
    <row r="228" spans="1:7" x14ac:dyDescent="0.3">
      <c r="A228" t="s">
        <v>40</v>
      </c>
      <c r="B228" t="s">
        <v>19</v>
      </c>
      <c r="C228" t="s">
        <v>23</v>
      </c>
      <c r="D228" t="s">
        <v>14</v>
      </c>
      <c r="E228" t="s">
        <v>24</v>
      </c>
      <c r="F228">
        <v>1900.73</v>
      </c>
      <c r="G228">
        <v>2023</v>
      </c>
    </row>
    <row r="229" spans="1:7" x14ac:dyDescent="0.3">
      <c r="A229" t="s">
        <v>49</v>
      </c>
      <c r="B229" t="s">
        <v>19</v>
      </c>
      <c r="C229" t="s">
        <v>13</v>
      </c>
      <c r="D229" t="s">
        <v>9</v>
      </c>
      <c r="E229" t="s">
        <v>10</v>
      </c>
      <c r="F229">
        <v>2512.7800000000002</v>
      </c>
      <c r="G229">
        <v>2022</v>
      </c>
    </row>
    <row r="230" spans="1:7" x14ac:dyDescent="0.3">
      <c r="A230" t="s">
        <v>134</v>
      </c>
      <c r="B230" t="s">
        <v>7</v>
      </c>
      <c r="C230" t="s">
        <v>23</v>
      </c>
      <c r="D230" t="s">
        <v>9</v>
      </c>
      <c r="E230" t="s">
        <v>15</v>
      </c>
      <c r="F230">
        <v>3560.29</v>
      </c>
      <c r="G230">
        <v>2023</v>
      </c>
    </row>
    <row r="231" spans="1:7" x14ac:dyDescent="0.3">
      <c r="A231" t="s">
        <v>66</v>
      </c>
      <c r="B231" t="s">
        <v>30</v>
      </c>
      <c r="C231" t="s">
        <v>23</v>
      </c>
      <c r="D231" t="s">
        <v>14</v>
      </c>
      <c r="E231" t="s">
        <v>10</v>
      </c>
      <c r="F231">
        <v>4844.28</v>
      </c>
      <c r="G231">
        <v>2023</v>
      </c>
    </row>
    <row r="232" spans="1:7" x14ac:dyDescent="0.3">
      <c r="A232" t="s">
        <v>94</v>
      </c>
      <c r="B232" t="s">
        <v>7</v>
      </c>
      <c r="C232" t="s">
        <v>13</v>
      </c>
      <c r="D232" t="s">
        <v>14</v>
      </c>
      <c r="E232" t="s">
        <v>15</v>
      </c>
      <c r="F232">
        <v>3100.15</v>
      </c>
      <c r="G232">
        <v>2022</v>
      </c>
    </row>
    <row r="233" spans="1:7" x14ac:dyDescent="0.3">
      <c r="A233" t="s">
        <v>53</v>
      </c>
      <c r="B233" t="s">
        <v>7</v>
      </c>
      <c r="C233" t="s">
        <v>8</v>
      </c>
      <c r="D233" t="s">
        <v>28</v>
      </c>
      <c r="E233" t="s">
        <v>15</v>
      </c>
      <c r="F233">
        <v>2791.16</v>
      </c>
      <c r="G233">
        <v>2022</v>
      </c>
    </row>
    <row r="234" spans="1:7" x14ac:dyDescent="0.3">
      <c r="A234" t="s">
        <v>130</v>
      </c>
      <c r="B234" t="s">
        <v>12</v>
      </c>
      <c r="C234" t="s">
        <v>8</v>
      </c>
      <c r="D234" t="s">
        <v>14</v>
      </c>
      <c r="E234" t="s">
        <v>15</v>
      </c>
      <c r="F234">
        <v>774.95</v>
      </c>
      <c r="G234">
        <v>2022</v>
      </c>
    </row>
    <row r="235" spans="1:7" x14ac:dyDescent="0.3">
      <c r="A235" t="s">
        <v>29</v>
      </c>
      <c r="B235" t="s">
        <v>30</v>
      </c>
      <c r="C235" t="s">
        <v>8</v>
      </c>
      <c r="D235" t="s">
        <v>9</v>
      </c>
      <c r="E235" t="s">
        <v>15</v>
      </c>
      <c r="F235">
        <v>2907.12</v>
      </c>
      <c r="G235">
        <v>2022</v>
      </c>
    </row>
    <row r="236" spans="1:7" x14ac:dyDescent="0.3">
      <c r="A236" t="s">
        <v>158</v>
      </c>
      <c r="B236" t="s">
        <v>30</v>
      </c>
      <c r="C236" t="s">
        <v>23</v>
      </c>
      <c r="D236" t="s">
        <v>9</v>
      </c>
      <c r="E236" t="s">
        <v>10</v>
      </c>
      <c r="F236">
        <v>1885.37</v>
      </c>
      <c r="G236">
        <v>2023</v>
      </c>
    </row>
    <row r="237" spans="1:7" x14ac:dyDescent="0.3">
      <c r="A237" t="s">
        <v>55</v>
      </c>
      <c r="B237" t="s">
        <v>12</v>
      </c>
      <c r="C237" t="s">
        <v>23</v>
      </c>
      <c r="D237" t="s">
        <v>9</v>
      </c>
      <c r="E237" t="s">
        <v>10</v>
      </c>
      <c r="F237">
        <v>3784.58</v>
      </c>
      <c r="G237">
        <v>2023</v>
      </c>
    </row>
    <row r="238" spans="1:7" x14ac:dyDescent="0.3">
      <c r="A238" t="s">
        <v>102</v>
      </c>
      <c r="B238" t="s">
        <v>19</v>
      </c>
      <c r="C238" t="s">
        <v>34</v>
      </c>
      <c r="D238" t="s">
        <v>28</v>
      </c>
      <c r="E238" t="s">
        <v>10</v>
      </c>
      <c r="F238">
        <v>2788.31</v>
      </c>
      <c r="G238">
        <v>2023</v>
      </c>
    </row>
    <row r="239" spans="1:7" x14ac:dyDescent="0.3">
      <c r="A239" t="s">
        <v>150</v>
      </c>
      <c r="B239" t="s">
        <v>30</v>
      </c>
      <c r="C239" t="s">
        <v>13</v>
      </c>
      <c r="D239" t="s">
        <v>14</v>
      </c>
      <c r="E239" t="s">
        <v>15</v>
      </c>
      <c r="F239">
        <v>3315.9</v>
      </c>
      <c r="G239">
        <v>2022</v>
      </c>
    </row>
    <row r="240" spans="1:7" x14ac:dyDescent="0.3">
      <c r="A240" t="s">
        <v>159</v>
      </c>
      <c r="B240" t="s">
        <v>7</v>
      </c>
      <c r="C240" t="s">
        <v>34</v>
      </c>
      <c r="D240" t="s">
        <v>28</v>
      </c>
      <c r="E240" t="s">
        <v>24</v>
      </c>
      <c r="F240">
        <v>1940.67</v>
      </c>
      <c r="G240">
        <v>2023</v>
      </c>
    </row>
    <row r="241" spans="1:7" x14ac:dyDescent="0.3">
      <c r="A241" t="s">
        <v>160</v>
      </c>
      <c r="B241" t="s">
        <v>30</v>
      </c>
      <c r="C241" t="s">
        <v>13</v>
      </c>
      <c r="D241" t="s">
        <v>9</v>
      </c>
      <c r="E241" t="s">
        <v>24</v>
      </c>
      <c r="F241">
        <v>4052.32</v>
      </c>
      <c r="G241">
        <v>2022</v>
      </c>
    </row>
    <row r="242" spans="1:7" x14ac:dyDescent="0.3">
      <c r="A242" t="s">
        <v>161</v>
      </c>
      <c r="B242" t="s">
        <v>7</v>
      </c>
      <c r="C242" t="s">
        <v>34</v>
      </c>
      <c r="D242" t="s">
        <v>9</v>
      </c>
      <c r="E242" t="s">
        <v>10</v>
      </c>
      <c r="F242">
        <v>1277.3</v>
      </c>
      <c r="G242">
        <v>2023</v>
      </c>
    </row>
    <row r="243" spans="1:7" x14ac:dyDescent="0.3">
      <c r="A243" t="s">
        <v>149</v>
      </c>
      <c r="B243" t="s">
        <v>17</v>
      </c>
      <c r="C243" t="s">
        <v>13</v>
      </c>
      <c r="D243" t="s">
        <v>28</v>
      </c>
      <c r="E243" t="s">
        <v>15</v>
      </c>
      <c r="F243">
        <v>1024.25</v>
      </c>
      <c r="G243">
        <v>2022</v>
      </c>
    </row>
    <row r="244" spans="1:7" x14ac:dyDescent="0.3">
      <c r="A244" t="s">
        <v>64</v>
      </c>
      <c r="B244" t="s">
        <v>30</v>
      </c>
      <c r="C244" t="s">
        <v>8</v>
      </c>
      <c r="D244" t="s">
        <v>28</v>
      </c>
      <c r="E244" t="s">
        <v>10</v>
      </c>
      <c r="F244">
        <v>167.21</v>
      </c>
      <c r="G244">
        <v>2022</v>
      </c>
    </row>
    <row r="245" spans="1:7" x14ac:dyDescent="0.3">
      <c r="A245" t="s">
        <v>162</v>
      </c>
      <c r="B245" t="s">
        <v>30</v>
      </c>
      <c r="C245" t="s">
        <v>23</v>
      </c>
      <c r="D245" t="s">
        <v>28</v>
      </c>
      <c r="E245" t="s">
        <v>10</v>
      </c>
      <c r="F245">
        <v>996.06</v>
      </c>
      <c r="G245">
        <v>2023</v>
      </c>
    </row>
    <row r="246" spans="1:7" x14ac:dyDescent="0.3">
      <c r="A246" t="s">
        <v>163</v>
      </c>
      <c r="B246" t="s">
        <v>19</v>
      </c>
      <c r="C246" t="s">
        <v>34</v>
      </c>
      <c r="D246" t="s">
        <v>28</v>
      </c>
      <c r="E246" t="s">
        <v>10</v>
      </c>
      <c r="F246">
        <v>1827.8</v>
      </c>
      <c r="G246">
        <v>2023</v>
      </c>
    </row>
    <row r="247" spans="1:7" x14ac:dyDescent="0.3">
      <c r="A247" t="s">
        <v>29</v>
      </c>
      <c r="B247" t="s">
        <v>30</v>
      </c>
      <c r="C247" t="s">
        <v>34</v>
      </c>
      <c r="D247" t="s">
        <v>28</v>
      </c>
      <c r="E247" t="s">
        <v>24</v>
      </c>
      <c r="F247">
        <v>4065.52</v>
      </c>
      <c r="G247">
        <v>2023</v>
      </c>
    </row>
    <row r="248" spans="1:7" x14ac:dyDescent="0.3">
      <c r="A248" t="s">
        <v>121</v>
      </c>
      <c r="B248" t="s">
        <v>30</v>
      </c>
      <c r="C248" t="s">
        <v>23</v>
      </c>
      <c r="D248" t="s">
        <v>9</v>
      </c>
      <c r="E248" t="s">
        <v>10</v>
      </c>
      <c r="F248">
        <v>484.82</v>
      </c>
      <c r="G248">
        <v>2023</v>
      </c>
    </row>
    <row r="249" spans="1:7" x14ac:dyDescent="0.3">
      <c r="A249" t="s">
        <v>164</v>
      </c>
      <c r="B249" t="s">
        <v>19</v>
      </c>
      <c r="C249" t="s">
        <v>8</v>
      </c>
      <c r="D249" t="s">
        <v>9</v>
      </c>
      <c r="E249" t="s">
        <v>24</v>
      </c>
      <c r="F249">
        <v>4023.01</v>
      </c>
      <c r="G249">
        <v>2022</v>
      </c>
    </row>
    <row r="250" spans="1:7" x14ac:dyDescent="0.3">
      <c r="A250" t="s">
        <v>87</v>
      </c>
      <c r="B250" t="s">
        <v>12</v>
      </c>
      <c r="C250" t="s">
        <v>8</v>
      </c>
      <c r="D250" t="s">
        <v>9</v>
      </c>
      <c r="E250" t="s">
        <v>24</v>
      </c>
      <c r="F250">
        <v>895.43</v>
      </c>
      <c r="G250">
        <v>2022</v>
      </c>
    </row>
    <row r="251" spans="1:7" x14ac:dyDescent="0.3">
      <c r="A251" t="s">
        <v>94</v>
      </c>
      <c r="B251" t="s">
        <v>7</v>
      </c>
      <c r="C251" t="s">
        <v>23</v>
      </c>
      <c r="D251" t="s">
        <v>9</v>
      </c>
      <c r="E251" t="s">
        <v>24</v>
      </c>
      <c r="F251">
        <v>1949.1</v>
      </c>
      <c r="G251">
        <v>2023</v>
      </c>
    </row>
    <row r="252" spans="1:7" x14ac:dyDescent="0.3">
      <c r="A252" t="s">
        <v>29</v>
      </c>
      <c r="B252" t="s">
        <v>30</v>
      </c>
      <c r="C252" t="s">
        <v>23</v>
      </c>
      <c r="D252" t="s">
        <v>28</v>
      </c>
      <c r="E252" t="s">
        <v>24</v>
      </c>
      <c r="F252">
        <v>3777.75</v>
      </c>
      <c r="G252">
        <v>2023</v>
      </c>
    </row>
    <row r="253" spans="1:7" x14ac:dyDescent="0.3">
      <c r="A253" t="s">
        <v>35</v>
      </c>
      <c r="B253" t="s">
        <v>19</v>
      </c>
      <c r="C253" t="s">
        <v>13</v>
      </c>
      <c r="D253" t="s">
        <v>14</v>
      </c>
      <c r="E253" t="s">
        <v>24</v>
      </c>
      <c r="F253">
        <v>3625.63</v>
      </c>
      <c r="G253">
        <v>2022</v>
      </c>
    </row>
    <row r="254" spans="1:7" x14ac:dyDescent="0.3">
      <c r="A254" t="s">
        <v>18</v>
      </c>
      <c r="B254" t="s">
        <v>19</v>
      </c>
      <c r="C254" t="s">
        <v>34</v>
      </c>
      <c r="D254" t="s">
        <v>14</v>
      </c>
      <c r="E254" t="s">
        <v>24</v>
      </c>
      <c r="F254">
        <v>2991.57</v>
      </c>
      <c r="G254">
        <v>2023</v>
      </c>
    </row>
    <row r="255" spans="1:7" x14ac:dyDescent="0.3">
      <c r="A255" t="s">
        <v>65</v>
      </c>
      <c r="B255" t="s">
        <v>30</v>
      </c>
      <c r="C255" t="s">
        <v>8</v>
      </c>
      <c r="D255" t="s">
        <v>14</v>
      </c>
      <c r="E255" t="s">
        <v>15</v>
      </c>
      <c r="F255">
        <v>1016.04</v>
      </c>
      <c r="G255">
        <v>2022</v>
      </c>
    </row>
    <row r="256" spans="1:7" x14ac:dyDescent="0.3">
      <c r="A256" t="s">
        <v>156</v>
      </c>
      <c r="B256" t="s">
        <v>17</v>
      </c>
      <c r="C256" t="s">
        <v>13</v>
      </c>
      <c r="D256" t="s">
        <v>14</v>
      </c>
      <c r="E256" t="s">
        <v>24</v>
      </c>
      <c r="F256">
        <v>162.68</v>
      </c>
      <c r="G256">
        <v>2022</v>
      </c>
    </row>
    <row r="257" spans="1:7" x14ac:dyDescent="0.3">
      <c r="A257" t="s">
        <v>48</v>
      </c>
      <c r="B257" t="s">
        <v>19</v>
      </c>
      <c r="C257" t="s">
        <v>23</v>
      </c>
      <c r="D257" t="s">
        <v>9</v>
      </c>
      <c r="E257" t="s">
        <v>10</v>
      </c>
      <c r="F257">
        <v>2442.29</v>
      </c>
      <c r="G257">
        <v>2023</v>
      </c>
    </row>
    <row r="258" spans="1:7" x14ac:dyDescent="0.3">
      <c r="A258" t="s">
        <v>165</v>
      </c>
      <c r="B258" t="s">
        <v>7</v>
      </c>
      <c r="C258" t="s">
        <v>8</v>
      </c>
      <c r="D258" t="s">
        <v>14</v>
      </c>
      <c r="E258" t="s">
        <v>15</v>
      </c>
      <c r="F258">
        <v>2499.21</v>
      </c>
      <c r="G258">
        <v>2022</v>
      </c>
    </row>
    <row r="259" spans="1:7" x14ac:dyDescent="0.3">
      <c r="A259" t="s">
        <v>156</v>
      </c>
      <c r="B259" t="s">
        <v>17</v>
      </c>
      <c r="C259" t="s">
        <v>13</v>
      </c>
      <c r="D259" t="s">
        <v>14</v>
      </c>
      <c r="E259" t="s">
        <v>15</v>
      </c>
      <c r="F259">
        <v>880</v>
      </c>
      <c r="G259">
        <v>2022</v>
      </c>
    </row>
    <row r="260" spans="1:7" x14ac:dyDescent="0.3">
      <c r="A260" t="s">
        <v>166</v>
      </c>
      <c r="B260" t="s">
        <v>7</v>
      </c>
      <c r="C260" t="s">
        <v>8</v>
      </c>
      <c r="D260" t="s">
        <v>9</v>
      </c>
      <c r="E260" t="s">
        <v>24</v>
      </c>
      <c r="F260">
        <v>1240.92</v>
      </c>
      <c r="G260">
        <v>2022</v>
      </c>
    </row>
    <row r="261" spans="1:7" x14ac:dyDescent="0.3">
      <c r="A261" t="s">
        <v>47</v>
      </c>
      <c r="B261" t="s">
        <v>30</v>
      </c>
      <c r="C261" t="s">
        <v>23</v>
      </c>
      <c r="D261" t="s">
        <v>14</v>
      </c>
      <c r="E261" t="s">
        <v>15</v>
      </c>
      <c r="F261">
        <v>960.86</v>
      </c>
      <c r="G261">
        <v>2023</v>
      </c>
    </row>
    <row r="262" spans="1:7" x14ac:dyDescent="0.3">
      <c r="A262" t="s">
        <v>20</v>
      </c>
      <c r="B262" t="s">
        <v>17</v>
      </c>
      <c r="C262" t="s">
        <v>8</v>
      </c>
      <c r="D262" t="s">
        <v>9</v>
      </c>
      <c r="E262" t="s">
        <v>15</v>
      </c>
      <c r="F262">
        <v>4165.4799999999996</v>
      </c>
      <c r="G262">
        <v>2022</v>
      </c>
    </row>
    <row r="263" spans="1:7" x14ac:dyDescent="0.3">
      <c r="A263" t="s">
        <v>74</v>
      </c>
      <c r="B263" t="s">
        <v>19</v>
      </c>
      <c r="C263" t="s">
        <v>23</v>
      </c>
      <c r="D263" t="s">
        <v>28</v>
      </c>
      <c r="E263" t="s">
        <v>10</v>
      </c>
      <c r="F263">
        <v>2805.55</v>
      </c>
      <c r="G263">
        <v>2023</v>
      </c>
    </row>
    <row r="264" spans="1:7" x14ac:dyDescent="0.3">
      <c r="A264" t="s">
        <v>163</v>
      </c>
      <c r="B264" t="s">
        <v>19</v>
      </c>
      <c r="C264" t="s">
        <v>13</v>
      </c>
      <c r="D264" t="s">
        <v>9</v>
      </c>
      <c r="E264" t="s">
        <v>24</v>
      </c>
      <c r="F264">
        <v>5115.68</v>
      </c>
      <c r="G264">
        <v>2022</v>
      </c>
    </row>
    <row r="265" spans="1:7" x14ac:dyDescent="0.3">
      <c r="A265" t="s">
        <v>167</v>
      </c>
      <c r="B265" t="s">
        <v>30</v>
      </c>
      <c r="C265" t="s">
        <v>34</v>
      </c>
      <c r="D265" t="s">
        <v>9</v>
      </c>
      <c r="E265" t="s">
        <v>10</v>
      </c>
      <c r="F265">
        <v>771.92</v>
      </c>
      <c r="G265">
        <v>2023</v>
      </c>
    </row>
    <row r="266" spans="1:7" x14ac:dyDescent="0.3">
      <c r="A266" t="s">
        <v>163</v>
      </c>
      <c r="B266" t="s">
        <v>19</v>
      </c>
      <c r="C266" t="s">
        <v>8</v>
      </c>
      <c r="D266" t="s">
        <v>28</v>
      </c>
      <c r="E266" t="s">
        <v>10</v>
      </c>
      <c r="F266">
        <v>2773.86</v>
      </c>
      <c r="G266">
        <v>2022</v>
      </c>
    </row>
    <row r="267" spans="1:7" x14ac:dyDescent="0.3">
      <c r="A267" t="s">
        <v>168</v>
      </c>
      <c r="B267" t="s">
        <v>17</v>
      </c>
      <c r="C267" t="s">
        <v>34</v>
      </c>
      <c r="D267" t="s">
        <v>14</v>
      </c>
      <c r="E267" t="s">
        <v>10</v>
      </c>
      <c r="F267">
        <v>3950.71</v>
      </c>
      <c r="G267">
        <v>2023</v>
      </c>
    </row>
    <row r="268" spans="1:7" x14ac:dyDescent="0.3">
      <c r="A268" t="s">
        <v>97</v>
      </c>
      <c r="B268" t="s">
        <v>7</v>
      </c>
      <c r="C268" t="s">
        <v>34</v>
      </c>
      <c r="D268" t="s">
        <v>28</v>
      </c>
      <c r="E268" t="s">
        <v>24</v>
      </c>
      <c r="F268">
        <v>2266.44</v>
      </c>
      <c r="G268">
        <v>2023</v>
      </c>
    </row>
    <row r="269" spans="1:7" x14ac:dyDescent="0.3">
      <c r="A269" t="s">
        <v>46</v>
      </c>
      <c r="B269" t="s">
        <v>30</v>
      </c>
      <c r="C269" t="s">
        <v>23</v>
      </c>
      <c r="D269" t="s">
        <v>28</v>
      </c>
      <c r="E269" t="s">
        <v>24</v>
      </c>
      <c r="F269">
        <v>4964.76</v>
      </c>
      <c r="G269">
        <v>2023</v>
      </c>
    </row>
    <row r="270" spans="1:7" x14ac:dyDescent="0.3">
      <c r="A270" t="s">
        <v>100</v>
      </c>
      <c r="B270" t="s">
        <v>7</v>
      </c>
      <c r="C270" t="s">
        <v>13</v>
      </c>
      <c r="D270" t="s">
        <v>14</v>
      </c>
      <c r="E270" t="s">
        <v>15</v>
      </c>
      <c r="F270">
        <v>2700.64</v>
      </c>
      <c r="G270">
        <v>2022</v>
      </c>
    </row>
    <row r="271" spans="1:7" x14ac:dyDescent="0.3">
      <c r="A271" t="s">
        <v>132</v>
      </c>
      <c r="B271" t="s">
        <v>19</v>
      </c>
      <c r="C271" t="s">
        <v>8</v>
      </c>
      <c r="D271" t="s">
        <v>14</v>
      </c>
      <c r="E271" t="s">
        <v>10</v>
      </c>
      <c r="F271">
        <v>4643.79</v>
      </c>
      <c r="G271">
        <v>2022</v>
      </c>
    </row>
    <row r="272" spans="1:7" x14ac:dyDescent="0.3">
      <c r="A272" t="s">
        <v>20</v>
      </c>
      <c r="B272" t="s">
        <v>17</v>
      </c>
      <c r="C272" t="s">
        <v>8</v>
      </c>
      <c r="D272" t="s">
        <v>9</v>
      </c>
      <c r="E272" t="s">
        <v>24</v>
      </c>
      <c r="F272">
        <v>4947.74</v>
      </c>
      <c r="G272">
        <v>2022</v>
      </c>
    </row>
    <row r="273" spans="1:7" x14ac:dyDescent="0.3">
      <c r="A273" t="s">
        <v>107</v>
      </c>
      <c r="B273" t="s">
        <v>30</v>
      </c>
      <c r="C273" t="s">
        <v>8</v>
      </c>
      <c r="D273" t="s">
        <v>9</v>
      </c>
      <c r="E273" t="s">
        <v>10</v>
      </c>
      <c r="F273">
        <v>2116.65</v>
      </c>
      <c r="G273">
        <v>2022</v>
      </c>
    </row>
    <row r="274" spans="1:7" x14ac:dyDescent="0.3">
      <c r="A274" t="s">
        <v>169</v>
      </c>
      <c r="B274" t="s">
        <v>12</v>
      </c>
      <c r="C274" t="s">
        <v>13</v>
      </c>
      <c r="D274" t="s">
        <v>14</v>
      </c>
      <c r="E274" t="s">
        <v>10</v>
      </c>
      <c r="F274">
        <v>425.91</v>
      </c>
      <c r="G274">
        <v>2022</v>
      </c>
    </row>
    <row r="275" spans="1:7" x14ac:dyDescent="0.3">
      <c r="A275" t="s">
        <v>170</v>
      </c>
      <c r="B275" t="s">
        <v>12</v>
      </c>
      <c r="C275" t="s">
        <v>34</v>
      </c>
      <c r="D275" t="s">
        <v>28</v>
      </c>
      <c r="E275" t="s">
        <v>10</v>
      </c>
      <c r="F275">
        <v>466.45</v>
      </c>
      <c r="G275">
        <v>2023</v>
      </c>
    </row>
    <row r="276" spans="1:7" x14ac:dyDescent="0.3">
      <c r="A276" t="s">
        <v>97</v>
      </c>
      <c r="B276" t="s">
        <v>7</v>
      </c>
      <c r="C276" t="s">
        <v>23</v>
      </c>
      <c r="D276" t="s">
        <v>28</v>
      </c>
      <c r="E276" t="s">
        <v>15</v>
      </c>
      <c r="F276">
        <v>1868.24</v>
      </c>
      <c r="G276">
        <v>2023</v>
      </c>
    </row>
    <row r="277" spans="1:7" x14ac:dyDescent="0.3">
      <c r="A277" t="s">
        <v>156</v>
      </c>
      <c r="B277" t="s">
        <v>17</v>
      </c>
      <c r="C277" t="s">
        <v>13</v>
      </c>
      <c r="D277" t="s">
        <v>9</v>
      </c>
      <c r="E277" t="s">
        <v>10</v>
      </c>
      <c r="F277">
        <v>3497.35</v>
      </c>
      <c r="G277">
        <v>2022</v>
      </c>
    </row>
    <row r="278" spans="1:7" x14ac:dyDescent="0.3">
      <c r="A278" t="s">
        <v>25</v>
      </c>
      <c r="B278" t="s">
        <v>19</v>
      </c>
      <c r="C278" t="s">
        <v>8</v>
      </c>
      <c r="D278" t="s">
        <v>14</v>
      </c>
      <c r="E278" t="s">
        <v>15</v>
      </c>
      <c r="F278">
        <v>3774.06</v>
      </c>
      <c r="G278">
        <v>2022</v>
      </c>
    </row>
    <row r="279" spans="1:7" x14ac:dyDescent="0.3">
      <c r="A279" t="s">
        <v>129</v>
      </c>
      <c r="B279" t="s">
        <v>17</v>
      </c>
      <c r="C279" t="s">
        <v>8</v>
      </c>
      <c r="D279" t="s">
        <v>28</v>
      </c>
      <c r="E279" t="s">
        <v>24</v>
      </c>
      <c r="F279">
        <v>518.79999999999995</v>
      </c>
      <c r="G279">
        <v>2022</v>
      </c>
    </row>
    <row r="280" spans="1:7" x14ac:dyDescent="0.3">
      <c r="A280" t="s">
        <v>171</v>
      </c>
      <c r="B280" t="s">
        <v>17</v>
      </c>
      <c r="C280" t="s">
        <v>8</v>
      </c>
      <c r="D280" t="s">
        <v>28</v>
      </c>
      <c r="E280" t="s">
        <v>15</v>
      </c>
      <c r="F280">
        <v>2317.02</v>
      </c>
      <c r="G280">
        <v>2022</v>
      </c>
    </row>
    <row r="281" spans="1:7" x14ac:dyDescent="0.3">
      <c r="A281" t="s">
        <v>172</v>
      </c>
      <c r="B281" t="s">
        <v>7</v>
      </c>
      <c r="C281" t="s">
        <v>8</v>
      </c>
      <c r="D281" t="s">
        <v>14</v>
      </c>
      <c r="E281" t="s">
        <v>24</v>
      </c>
      <c r="F281">
        <v>3340.8</v>
      </c>
      <c r="G281">
        <v>2022</v>
      </c>
    </row>
    <row r="282" spans="1:7" x14ac:dyDescent="0.3">
      <c r="A282" t="s">
        <v>173</v>
      </c>
      <c r="B282" t="s">
        <v>30</v>
      </c>
      <c r="C282" t="s">
        <v>13</v>
      </c>
      <c r="D282" t="s">
        <v>28</v>
      </c>
      <c r="E282" t="s">
        <v>15</v>
      </c>
      <c r="F282">
        <v>3888.93</v>
      </c>
      <c r="G282">
        <v>2022</v>
      </c>
    </row>
    <row r="283" spans="1:7" x14ac:dyDescent="0.3">
      <c r="A283" t="s">
        <v>47</v>
      </c>
      <c r="B283" t="s">
        <v>30</v>
      </c>
      <c r="C283" t="s">
        <v>23</v>
      </c>
      <c r="D283" t="s">
        <v>9</v>
      </c>
      <c r="E283" t="s">
        <v>24</v>
      </c>
      <c r="F283">
        <v>4696.2299999999996</v>
      </c>
      <c r="G283">
        <v>2023</v>
      </c>
    </row>
    <row r="284" spans="1:7" x14ac:dyDescent="0.3">
      <c r="A284" t="s">
        <v>44</v>
      </c>
      <c r="B284" t="s">
        <v>19</v>
      </c>
      <c r="C284" t="s">
        <v>23</v>
      </c>
      <c r="D284" t="s">
        <v>28</v>
      </c>
      <c r="E284" t="s">
        <v>15</v>
      </c>
      <c r="F284">
        <v>149.05000000000001</v>
      </c>
      <c r="G284">
        <v>2023</v>
      </c>
    </row>
    <row r="285" spans="1:7" x14ac:dyDescent="0.3">
      <c r="A285" t="s">
        <v>77</v>
      </c>
      <c r="B285" t="s">
        <v>30</v>
      </c>
      <c r="C285" t="s">
        <v>13</v>
      </c>
      <c r="D285" t="s">
        <v>9</v>
      </c>
      <c r="E285" t="s">
        <v>24</v>
      </c>
      <c r="F285">
        <v>3665.95</v>
      </c>
      <c r="G285">
        <v>2022</v>
      </c>
    </row>
    <row r="286" spans="1:7" x14ac:dyDescent="0.3">
      <c r="A286" t="s">
        <v>49</v>
      </c>
      <c r="B286" t="s">
        <v>19</v>
      </c>
      <c r="C286" t="s">
        <v>13</v>
      </c>
      <c r="D286" t="s">
        <v>14</v>
      </c>
      <c r="E286" t="s">
        <v>10</v>
      </c>
      <c r="F286">
        <v>4101.93</v>
      </c>
      <c r="G286">
        <v>2022</v>
      </c>
    </row>
    <row r="287" spans="1:7" x14ac:dyDescent="0.3">
      <c r="A287" t="s">
        <v>123</v>
      </c>
      <c r="B287" t="s">
        <v>30</v>
      </c>
      <c r="C287" t="s">
        <v>34</v>
      </c>
      <c r="D287" t="s">
        <v>14</v>
      </c>
      <c r="E287" t="s">
        <v>24</v>
      </c>
      <c r="F287">
        <v>2897.14</v>
      </c>
      <c r="G287">
        <v>2023</v>
      </c>
    </row>
    <row r="288" spans="1:7" x14ac:dyDescent="0.3">
      <c r="A288" t="s">
        <v>63</v>
      </c>
      <c r="B288" t="s">
        <v>12</v>
      </c>
      <c r="C288" t="s">
        <v>34</v>
      </c>
      <c r="D288" t="s">
        <v>14</v>
      </c>
      <c r="E288" t="s">
        <v>15</v>
      </c>
      <c r="F288">
        <v>828.73</v>
      </c>
      <c r="G288">
        <v>2023</v>
      </c>
    </row>
    <row r="289" spans="1:7" x14ac:dyDescent="0.3">
      <c r="A289" t="s">
        <v>122</v>
      </c>
      <c r="B289" t="s">
        <v>19</v>
      </c>
      <c r="C289" t="s">
        <v>34</v>
      </c>
      <c r="D289" t="s">
        <v>28</v>
      </c>
      <c r="E289" t="s">
        <v>15</v>
      </c>
      <c r="F289">
        <v>3155.64</v>
      </c>
      <c r="G289">
        <v>2023</v>
      </c>
    </row>
    <row r="290" spans="1:7" x14ac:dyDescent="0.3">
      <c r="A290" t="s">
        <v>48</v>
      </c>
      <c r="B290" t="s">
        <v>19</v>
      </c>
      <c r="C290" t="s">
        <v>34</v>
      </c>
      <c r="D290" t="s">
        <v>14</v>
      </c>
      <c r="E290" t="s">
        <v>15</v>
      </c>
      <c r="F290">
        <v>3573.8</v>
      </c>
      <c r="G290">
        <v>2023</v>
      </c>
    </row>
    <row r="291" spans="1:7" x14ac:dyDescent="0.3">
      <c r="A291" t="s">
        <v>145</v>
      </c>
      <c r="B291" t="s">
        <v>7</v>
      </c>
      <c r="C291" t="s">
        <v>8</v>
      </c>
      <c r="D291" t="s">
        <v>28</v>
      </c>
      <c r="E291" t="s">
        <v>24</v>
      </c>
      <c r="F291">
        <v>4315.67</v>
      </c>
      <c r="G291">
        <v>2022</v>
      </c>
    </row>
    <row r="292" spans="1:7" x14ac:dyDescent="0.3">
      <c r="A292" t="s">
        <v>48</v>
      </c>
      <c r="B292" t="s">
        <v>19</v>
      </c>
      <c r="C292" t="s">
        <v>13</v>
      </c>
      <c r="D292" t="s">
        <v>14</v>
      </c>
      <c r="E292" t="s">
        <v>10</v>
      </c>
      <c r="F292">
        <v>265.31</v>
      </c>
      <c r="G292">
        <v>2022</v>
      </c>
    </row>
    <row r="293" spans="1:7" x14ac:dyDescent="0.3">
      <c r="A293" t="s">
        <v>40</v>
      </c>
      <c r="B293" t="s">
        <v>19</v>
      </c>
      <c r="C293" t="s">
        <v>8</v>
      </c>
      <c r="D293" t="s">
        <v>28</v>
      </c>
      <c r="E293" t="s">
        <v>24</v>
      </c>
      <c r="F293">
        <v>392.52</v>
      </c>
      <c r="G293">
        <v>2022</v>
      </c>
    </row>
    <row r="294" spans="1:7" x14ac:dyDescent="0.3">
      <c r="A294" t="s">
        <v>139</v>
      </c>
      <c r="B294" t="s">
        <v>7</v>
      </c>
      <c r="C294" t="s">
        <v>23</v>
      </c>
      <c r="D294" t="s">
        <v>28</v>
      </c>
      <c r="E294" t="s">
        <v>24</v>
      </c>
      <c r="F294">
        <v>3807.44</v>
      </c>
      <c r="G294">
        <v>2023</v>
      </c>
    </row>
    <row r="295" spans="1:7" x14ac:dyDescent="0.3">
      <c r="A295" t="s">
        <v>90</v>
      </c>
      <c r="B295" t="s">
        <v>19</v>
      </c>
      <c r="C295" t="s">
        <v>8</v>
      </c>
      <c r="D295" t="s">
        <v>9</v>
      </c>
      <c r="E295" t="s">
        <v>24</v>
      </c>
      <c r="F295">
        <v>3118.18</v>
      </c>
      <c r="G295">
        <v>2022</v>
      </c>
    </row>
    <row r="296" spans="1:7" x14ac:dyDescent="0.3">
      <c r="A296" t="s">
        <v>174</v>
      </c>
      <c r="B296" t="s">
        <v>19</v>
      </c>
      <c r="C296" t="s">
        <v>34</v>
      </c>
      <c r="D296" t="s">
        <v>14</v>
      </c>
      <c r="E296" t="s">
        <v>24</v>
      </c>
      <c r="F296">
        <v>1947.59</v>
      </c>
      <c r="G296">
        <v>2023</v>
      </c>
    </row>
    <row r="297" spans="1:7" x14ac:dyDescent="0.3">
      <c r="A297" t="s">
        <v>175</v>
      </c>
      <c r="B297" t="s">
        <v>7</v>
      </c>
      <c r="C297" t="s">
        <v>8</v>
      </c>
      <c r="D297" t="s">
        <v>28</v>
      </c>
      <c r="E297" t="s">
        <v>24</v>
      </c>
      <c r="F297">
        <v>4464.43</v>
      </c>
      <c r="G297">
        <v>2022</v>
      </c>
    </row>
    <row r="298" spans="1:7" x14ac:dyDescent="0.3">
      <c r="A298" t="s">
        <v>176</v>
      </c>
      <c r="B298" t="s">
        <v>19</v>
      </c>
      <c r="C298" t="s">
        <v>13</v>
      </c>
      <c r="D298" t="s">
        <v>14</v>
      </c>
      <c r="E298" t="s">
        <v>10</v>
      </c>
      <c r="F298">
        <v>2252.36</v>
      </c>
      <c r="G298">
        <v>2022</v>
      </c>
    </row>
    <row r="299" spans="1:7" x14ac:dyDescent="0.3">
      <c r="A299" t="s">
        <v>64</v>
      </c>
      <c r="B299" t="s">
        <v>30</v>
      </c>
      <c r="C299" t="s">
        <v>8</v>
      </c>
      <c r="D299" t="s">
        <v>9</v>
      </c>
      <c r="E299" t="s">
        <v>15</v>
      </c>
      <c r="F299">
        <v>2203.84</v>
      </c>
      <c r="G299">
        <v>2022</v>
      </c>
    </row>
    <row r="300" spans="1:7" x14ac:dyDescent="0.3">
      <c r="A300" t="s">
        <v>71</v>
      </c>
      <c r="B300" t="s">
        <v>7</v>
      </c>
      <c r="C300" t="s">
        <v>34</v>
      </c>
      <c r="D300" t="s">
        <v>14</v>
      </c>
      <c r="E300" t="s">
        <v>15</v>
      </c>
      <c r="F300">
        <v>673.38</v>
      </c>
      <c r="G300">
        <v>2023</v>
      </c>
    </row>
    <row r="301" spans="1:7" x14ac:dyDescent="0.3">
      <c r="A301" t="s">
        <v>153</v>
      </c>
      <c r="B301" t="s">
        <v>7</v>
      </c>
      <c r="C301" t="s">
        <v>23</v>
      </c>
      <c r="D301" t="s">
        <v>28</v>
      </c>
      <c r="E301" t="s">
        <v>10</v>
      </c>
      <c r="F301">
        <v>3879.17</v>
      </c>
      <c r="G301">
        <v>2023</v>
      </c>
    </row>
    <row r="302" spans="1:7" x14ac:dyDescent="0.3">
      <c r="A302" t="s">
        <v>150</v>
      </c>
      <c r="B302" t="s">
        <v>30</v>
      </c>
      <c r="C302" t="s">
        <v>8</v>
      </c>
      <c r="D302" t="s">
        <v>28</v>
      </c>
      <c r="E302" t="s">
        <v>15</v>
      </c>
      <c r="F302">
        <v>404.42</v>
      </c>
      <c r="G302">
        <v>2022</v>
      </c>
    </row>
    <row r="303" spans="1:7" x14ac:dyDescent="0.3">
      <c r="A303" t="s">
        <v>82</v>
      </c>
      <c r="B303" t="s">
        <v>17</v>
      </c>
      <c r="C303" t="s">
        <v>23</v>
      </c>
      <c r="D303" t="s">
        <v>9</v>
      </c>
      <c r="E303" t="s">
        <v>24</v>
      </c>
      <c r="F303">
        <v>3415.97</v>
      </c>
      <c r="G303">
        <v>2023</v>
      </c>
    </row>
    <row r="304" spans="1:7" x14ac:dyDescent="0.3">
      <c r="A304" t="s">
        <v>124</v>
      </c>
      <c r="B304" t="s">
        <v>12</v>
      </c>
      <c r="C304" t="s">
        <v>23</v>
      </c>
      <c r="D304" t="s">
        <v>9</v>
      </c>
      <c r="E304" t="s">
        <v>10</v>
      </c>
      <c r="F304">
        <v>3091.39</v>
      </c>
      <c r="G304">
        <v>2023</v>
      </c>
    </row>
    <row r="305" spans="1:7" x14ac:dyDescent="0.3">
      <c r="A305" t="s">
        <v>66</v>
      </c>
      <c r="B305" t="s">
        <v>30</v>
      </c>
      <c r="C305" t="s">
        <v>23</v>
      </c>
      <c r="D305" t="s">
        <v>28</v>
      </c>
      <c r="E305" t="s">
        <v>24</v>
      </c>
      <c r="F305">
        <v>3216.77</v>
      </c>
      <c r="G305">
        <v>2023</v>
      </c>
    </row>
    <row r="306" spans="1:7" x14ac:dyDescent="0.3">
      <c r="A306" t="s">
        <v>40</v>
      </c>
      <c r="B306" t="s">
        <v>19</v>
      </c>
      <c r="C306" t="s">
        <v>8</v>
      </c>
      <c r="D306" t="s">
        <v>9</v>
      </c>
      <c r="E306" t="s">
        <v>10</v>
      </c>
      <c r="F306">
        <v>2200.1999999999998</v>
      </c>
      <c r="G306">
        <v>2022</v>
      </c>
    </row>
    <row r="307" spans="1:7" x14ac:dyDescent="0.3">
      <c r="A307" t="s">
        <v>72</v>
      </c>
      <c r="B307" t="s">
        <v>19</v>
      </c>
      <c r="C307" t="s">
        <v>8</v>
      </c>
      <c r="D307" t="s">
        <v>14</v>
      </c>
      <c r="E307" t="s">
        <v>15</v>
      </c>
      <c r="F307">
        <v>4874.88</v>
      </c>
      <c r="G307">
        <v>2022</v>
      </c>
    </row>
    <row r="308" spans="1:7" x14ac:dyDescent="0.3">
      <c r="A308" t="s">
        <v>63</v>
      </c>
      <c r="B308" t="s">
        <v>12</v>
      </c>
      <c r="C308" t="s">
        <v>34</v>
      </c>
      <c r="D308" t="s">
        <v>14</v>
      </c>
      <c r="E308" t="s">
        <v>24</v>
      </c>
      <c r="F308">
        <v>3104.55</v>
      </c>
      <c r="G308">
        <v>2023</v>
      </c>
    </row>
    <row r="309" spans="1:7" x14ac:dyDescent="0.3">
      <c r="A309" t="s">
        <v>62</v>
      </c>
      <c r="B309" t="s">
        <v>30</v>
      </c>
      <c r="C309" t="s">
        <v>8</v>
      </c>
      <c r="D309" t="s">
        <v>9</v>
      </c>
      <c r="E309" t="s">
        <v>24</v>
      </c>
      <c r="F309">
        <v>3500.32</v>
      </c>
      <c r="G309">
        <v>2022</v>
      </c>
    </row>
    <row r="310" spans="1:7" x14ac:dyDescent="0.3">
      <c r="A310" t="s">
        <v>153</v>
      </c>
      <c r="B310" t="s">
        <v>7</v>
      </c>
      <c r="C310" t="s">
        <v>23</v>
      </c>
      <c r="D310" t="s">
        <v>9</v>
      </c>
      <c r="E310" t="s">
        <v>10</v>
      </c>
      <c r="F310">
        <v>3041.16</v>
      </c>
      <c r="G310">
        <v>2023</v>
      </c>
    </row>
    <row r="311" spans="1:7" x14ac:dyDescent="0.3">
      <c r="A311" t="s">
        <v>177</v>
      </c>
      <c r="B311" t="s">
        <v>7</v>
      </c>
      <c r="C311" t="s">
        <v>8</v>
      </c>
      <c r="D311" t="s">
        <v>9</v>
      </c>
      <c r="E311" t="s">
        <v>10</v>
      </c>
      <c r="F311">
        <v>4584.16</v>
      </c>
      <c r="G311">
        <v>2022</v>
      </c>
    </row>
    <row r="312" spans="1:7" x14ac:dyDescent="0.3">
      <c r="A312" t="s">
        <v>139</v>
      </c>
      <c r="B312" t="s">
        <v>7</v>
      </c>
      <c r="C312" t="s">
        <v>34</v>
      </c>
      <c r="D312" t="s">
        <v>9</v>
      </c>
      <c r="E312" t="s">
        <v>10</v>
      </c>
      <c r="F312">
        <v>3894.01</v>
      </c>
      <c r="G312">
        <v>2023</v>
      </c>
    </row>
    <row r="313" spans="1:7" x14ac:dyDescent="0.3">
      <c r="A313" t="s">
        <v>62</v>
      </c>
      <c r="B313" t="s">
        <v>30</v>
      </c>
      <c r="C313" t="s">
        <v>13</v>
      </c>
      <c r="D313" t="s">
        <v>14</v>
      </c>
      <c r="E313" t="s">
        <v>10</v>
      </c>
      <c r="F313">
        <v>1782.56</v>
      </c>
      <c r="G313">
        <v>2022</v>
      </c>
    </row>
    <row r="314" spans="1:7" x14ac:dyDescent="0.3">
      <c r="A314" t="s">
        <v>29</v>
      </c>
      <c r="B314" t="s">
        <v>30</v>
      </c>
      <c r="C314" t="s">
        <v>34</v>
      </c>
      <c r="D314" t="s">
        <v>28</v>
      </c>
      <c r="E314" t="s">
        <v>10</v>
      </c>
      <c r="F314">
        <v>4386.96</v>
      </c>
      <c r="G314">
        <v>2023</v>
      </c>
    </row>
    <row r="315" spans="1:7" x14ac:dyDescent="0.3">
      <c r="A315" t="s">
        <v>113</v>
      </c>
      <c r="B315" t="s">
        <v>30</v>
      </c>
      <c r="C315" t="s">
        <v>8</v>
      </c>
      <c r="D315" t="s">
        <v>28</v>
      </c>
      <c r="E315" t="s">
        <v>24</v>
      </c>
      <c r="F315">
        <v>644.96</v>
      </c>
      <c r="G315">
        <v>2022</v>
      </c>
    </row>
    <row r="316" spans="1:7" x14ac:dyDescent="0.3">
      <c r="A316" t="s">
        <v>178</v>
      </c>
      <c r="B316" t="s">
        <v>30</v>
      </c>
      <c r="C316" t="s">
        <v>34</v>
      </c>
      <c r="D316" t="s">
        <v>14</v>
      </c>
      <c r="E316" t="s">
        <v>10</v>
      </c>
      <c r="F316">
        <v>1942.26</v>
      </c>
      <c r="G316">
        <v>2023</v>
      </c>
    </row>
    <row r="317" spans="1:7" x14ac:dyDescent="0.3">
      <c r="A317" t="s">
        <v>81</v>
      </c>
      <c r="B317" t="s">
        <v>12</v>
      </c>
      <c r="C317" t="s">
        <v>34</v>
      </c>
      <c r="D317" t="s">
        <v>28</v>
      </c>
      <c r="E317" t="s">
        <v>10</v>
      </c>
      <c r="F317">
        <v>1990.87</v>
      </c>
      <c r="G317">
        <v>2023</v>
      </c>
    </row>
    <row r="318" spans="1:7" x14ac:dyDescent="0.3">
      <c r="A318" t="s">
        <v>71</v>
      </c>
      <c r="B318" t="s">
        <v>7</v>
      </c>
      <c r="C318" t="s">
        <v>23</v>
      </c>
      <c r="D318" t="s">
        <v>14</v>
      </c>
      <c r="E318" t="s">
        <v>15</v>
      </c>
      <c r="F318">
        <v>3260.58</v>
      </c>
      <c r="G318">
        <v>2023</v>
      </c>
    </row>
    <row r="319" spans="1:7" x14ac:dyDescent="0.3">
      <c r="A319" t="s">
        <v>50</v>
      </c>
      <c r="B319" t="s">
        <v>19</v>
      </c>
      <c r="C319" t="s">
        <v>34</v>
      </c>
      <c r="D319" t="s">
        <v>14</v>
      </c>
      <c r="E319" t="s">
        <v>10</v>
      </c>
      <c r="F319">
        <v>1079.0999999999999</v>
      </c>
      <c r="G319">
        <v>2023</v>
      </c>
    </row>
    <row r="320" spans="1:7" x14ac:dyDescent="0.3">
      <c r="A320" t="s">
        <v>95</v>
      </c>
      <c r="B320" t="s">
        <v>30</v>
      </c>
      <c r="C320" t="s">
        <v>23</v>
      </c>
      <c r="D320" t="s">
        <v>28</v>
      </c>
      <c r="E320" t="s">
        <v>15</v>
      </c>
      <c r="F320">
        <v>2675.56</v>
      </c>
      <c r="G320">
        <v>2023</v>
      </c>
    </row>
    <row r="321" spans="1:7" x14ac:dyDescent="0.3">
      <c r="A321" t="s">
        <v>11</v>
      </c>
      <c r="B321" t="s">
        <v>12</v>
      </c>
      <c r="C321" t="s">
        <v>13</v>
      </c>
      <c r="D321" t="s">
        <v>28</v>
      </c>
      <c r="E321" t="s">
        <v>15</v>
      </c>
      <c r="F321">
        <v>1583.52</v>
      </c>
      <c r="G321">
        <v>2022</v>
      </c>
    </row>
    <row r="322" spans="1:7" x14ac:dyDescent="0.3">
      <c r="A322" t="s">
        <v>179</v>
      </c>
      <c r="B322" t="s">
        <v>7</v>
      </c>
      <c r="C322" t="s">
        <v>23</v>
      </c>
      <c r="D322" t="s">
        <v>28</v>
      </c>
      <c r="E322" t="s">
        <v>15</v>
      </c>
      <c r="F322">
        <v>4798.47</v>
      </c>
      <c r="G322">
        <v>2023</v>
      </c>
    </row>
    <row r="323" spans="1:7" x14ac:dyDescent="0.3">
      <c r="A323" t="s">
        <v>148</v>
      </c>
      <c r="B323" t="s">
        <v>17</v>
      </c>
      <c r="C323" t="s">
        <v>13</v>
      </c>
      <c r="D323" t="s">
        <v>28</v>
      </c>
      <c r="E323" t="s">
        <v>24</v>
      </c>
      <c r="F323">
        <v>856.9</v>
      </c>
      <c r="G323">
        <v>2022</v>
      </c>
    </row>
    <row r="324" spans="1:7" x14ac:dyDescent="0.3">
      <c r="A324" t="s">
        <v>44</v>
      </c>
      <c r="B324" t="s">
        <v>19</v>
      </c>
      <c r="C324" t="s">
        <v>8</v>
      </c>
      <c r="D324" t="s">
        <v>9</v>
      </c>
      <c r="E324" t="s">
        <v>10</v>
      </c>
      <c r="F324">
        <v>1158.6300000000001</v>
      </c>
      <c r="G324">
        <v>2022</v>
      </c>
    </row>
    <row r="325" spans="1:7" x14ac:dyDescent="0.3">
      <c r="A325" t="s">
        <v>164</v>
      </c>
      <c r="B325" t="s">
        <v>19</v>
      </c>
      <c r="C325" t="s">
        <v>8</v>
      </c>
      <c r="D325" t="s">
        <v>9</v>
      </c>
      <c r="E325" t="s">
        <v>15</v>
      </c>
      <c r="F325">
        <v>5208.6099999999997</v>
      </c>
      <c r="G325">
        <v>2022</v>
      </c>
    </row>
    <row r="326" spans="1:7" x14ac:dyDescent="0.3">
      <c r="A326" t="s">
        <v>180</v>
      </c>
      <c r="B326" t="s">
        <v>30</v>
      </c>
      <c r="C326" t="s">
        <v>8</v>
      </c>
      <c r="D326" t="s">
        <v>28</v>
      </c>
      <c r="E326" t="s">
        <v>15</v>
      </c>
      <c r="F326">
        <v>4745.3</v>
      </c>
      <c r="G326">
        <v>2022</v>
      </c>
    </row>
    <row r="327" spans="1:7" x14ac:dyDescent="0.3">
      <c r="A327" t="s">
        <v>181</v>
      </c>
      <c r="B327" t="s">
        <v>30</v>
      </c>
      <c r="C327" t="s">
        <v>34</v>
      </c>
      <c r="D327" t="s">
        <v>9</v>
      </c>
      <c r="E327" t="s">
        <v>10</v>
      </c>
      <c r="F327">
        <v>693.43</v>
      </c>
      <c r="G327">
        <v>2023</v>
      </c>
    </row>
    <row r="328" spans="1:7" x14ac:dyDescent="0.3">
      <c r="A328" t="s">
        <v>151</v>
      </c>
      <c r="B328" t="s">
        <v>12</v>
      </c>
      <c r="C328" t="s">
        <v>8</v>
      </c>
      <c r="D328" t="s">
        <v>14</v>
      </c>
      <c r="E328" t="s">
        <v>15</v>
      </c>
      <c r="F328">
        <v>3285.65</v>
      </c>
      <c r="G328">
        <v>2022</v>
      </c>
    </row>
    <row r="329" spans="1:7" x14ac:dyDescent="0.3">
      <c r="A329" t="s">
        <v>86</v>
      </c>
      <c r="B329" t="s">
        <v>19</v>
      </c>
      <c r="C329" t="s">
        <v>34</v>
      </c>
      <c r="D329" t="s">
        <v>28</v>
      </c>
      <c r="E329" t="s">
        <v>24</v>
      </c>
      <c r="F329">
        <v>2731.22</v>
      </c>
      <c r="G329">
        <v>2023</v>
      </c>
    </row>
    <row r="330" spans="1:7" x14ac:dyDescent="0.3">
      <c r="A330" t="s">
        <v>96</v>
      </c>
      <c r="B330" t="s">
        <v>19</v>
      </c>
      <c r="C330" t="s">
        <v>8</v>
      </c>
      <c r="D330" t="s">
        <v>9</v>
      </c>
      <c r="E330" t="s">
        <v>10</v>
      </c>
      <c r="F330">
        <v>2767.54</v>
      </c>
      <c r="G330">
        <v>2022</v>
      </c>
    </row>
    <row r="331" spans="1:7" x14ac:dyDescent="0.3">
      <c r="A331" t="s">
        <v>182</v>
      </c>
      <c r="B331" t="s">
        <v>12</v>
      </c>
      <c r="C331" t="s">
        <v>13</v>
      </c>
      <c r="D331" t="s">
        <v>28</v>
      </c>
      <c r="E331" t="s">
        <v>24</v>
      </c>
      <c r="F331">
        <v>1719.12</v>
      </c>
      <c r="G331">
        <v>2022</v>
      </c>
    </row>
    <row r="332" spans="1:7" x14ac:dyDescent="0.3">
      <c r="A332" t="s">
        <v>45</v>
      </c>
      <c r="B332" t="s">
        <v>7</v>
      </c>
      <c r="C332" t="s">
        <v>34</v>
      </c>
      <c r="D332" t="s">
        <v>14</v>
      </c>
      <c r="E332" t="s">
        <v>24</v>
      </c>
      <c r="F332">
        <v>2475.83</v>
      </c>
      <c r="G332">
        <v>2023</v>
      </c>
    </row>
    <row r="333" spans="1:7" x14ac:dyDescent="0.3">
      <c r="A333" t="s">
        <v>146</v>
      </c>
      <c r="B333" t="s">
        <v>7</v>
      </c>
      <c r="C333" t="s">
        <v>13</v>
      </c>
      <c r="D333" t="s">
        <v>9</v>
      </c>
      <c r="E333" t="s">
        <v>10</v>
      </c>
      <c r="F333">
        <v>891.04</v>
      </c>
      <c r="G333">
        <v>2022</v>
      </c>
    </row>
    <row r="334" spans="1:7" x14ac:dyDescent="0.3">
      <c r="A334" t="s">
        <v>183</v>
      </c>
      <c r="B334" t="s">
        <v>7</v>
      </c>
      <c r="C334" t="s">
        <v>34</v>
      </c>
      <c r="D334" t="s">
        <v>14</v>
      </c>
      <c r="E334" t="s">
        <v>10</v>
      </c>
      <c r="F334">
        <v>4421.93</v>
      </c>
      <c r="G334">
        <v>2023</v>
      </c>
    </row>
    <row r="335" spans="1:7" x14ac:dyDescent="0.3">
      <c r="A335" t="s">
        <v>46</v>
      </c>
      <c r="B335" t="s">
        <v>30</v>
      </c>
      <c r="C335" t="s">
        <v>23</v>
      </c>
      <c r="D335" t="s">
        <v>14</v>
      </c>
      <c r="E335" t="s">
        <v>10</v>
      </c>
      <c r="F335">
        <v>3545.18</v>
      </c>
      <c r="G335">
        <v>2023</v>
      </c>
    </row>
    <row r="336" spans="1:7" x14ac:dyDescent="0.3">
      <c r="A336" t="s">
        <v>120</v>
      </c>
      <c r="B336" t="s">
        <v>30</v>
      </c>
      <c r="C336" t="s">
        <v>34</v>
      </c>
      <c r="D336" t="s">
        <v>14</v>
      </c>
      <c r="E336" t="s">
        <v>15</v>
      </c>
      <c r="F336">
        <v>3073.82</v>
      </c>
      <c r="G336">
        <v>2023</v>
      </c>
    </row>
    <row r="337" spans="1:7" x14ac:dyDescent="0.3">
      <c r="A337" t="s">
        <v>146</v>
      </c>
      <c r="B337" t="s">
        <v>7</v>
      </c>
      <c r="C337" t="s">
        <v>13</v>
      </c>
      <c r="D337" t="s">
        <v>28</v>
      </c>
      <c r="E337" t="s">
        <v>15</v>
      </c>
      <c r="F337">
        <v>1458.83</v>
      </c>
      <c r="G337">
        <v>2022</v>
      </c>
    </row>
    <row r="338" spans="1:7" x14ac:dyDescent="0.3">
      <c r="A338" t="s">
        <v>184</v>
      </c>
      <c r="B338" t="s">
        <v>30</v>
      </c>
      <c r="C338" t="s">
        <v>8</v>
      </c>
      <c r="D338" t="s">
        <v>28</v>
      </c>
      <c r="E338" t="s">
        <v>24</v>
      </c>
      <c r="F338">
        <v>3457.1</v>
      </c>
      <c r="G338">
        <v>2022</v>
      </c>
    </row>
    <row r="339" spans="1:7" x14ac:dyDescent="0.3">
      <c r="A339" t="s">
        <v>52</v>
      </c>
      <c r="B339" t="s">
        <v>19</v>
      </c>
      <c r="C339" t="s">
        <v>8</v>
      </c>
      <c r="D339" t="s">
        <v>9</v>
      </c>
      <c r="E339" t="s">
        <v>15</v>
      </c>
      <c r="F339">
        <v>1857.37</v>
      </c>
      <c r="G339">
        <v>2022</v>
      </c>
    </row>
    <row r="340" spans="1:7" x14ac:dyDescent="0.3">
      <c r="A340" t="s">
        <v>63</v>
      </c>
      <c r="B340" t="s">
        <v>12</v>
      </c>
      <c r="C340" t="s">
        <v>34</v>
      </c>
      <c r="D340" t="s">
        <v>9</v>
      </c>
      <c r="E340" t="s">
        <v>10</v>
      </c>
      <c r="F340">
        <v>877.73</v>
      </c>
      <c r="G340">
        <v>2023</v>
      </c>
    </row>
    <row r="341" spans="1:7" x14ac:dyDescent="0.3">
      <c r="A341" t="s">
        <v>130</v>
      </c>
      <c r="B341" t="s">
        <v>12</v>
      </c>
      <c r="C341" t="s">
        <v>34</v>
      </c>
      <c r="D341" t="s">
        <v>9</v>
      </c>
      <c r="E341" t="s">
        <v>10</v>
      </c>
      <c r="F341">
        <v>1349.73</v>
      </c>
      <c r="G341">
        <v>2023</v>
      </c>
    </row>
    <row r="342" spans="1:7" x14ac:dyDescent="0.3">
      <c r="A342" t="s">
        <v>54</v>
      </c>
      <c r="B342" t="s">
        <v>12</v>
      </c>
      <c r="C342" t="s">
        <v>34</v>
      </c>
      <c r="D342" t="s">
        <v>9</v>
      </c>
      <c r="E342" t="s">
        <v>24</v>
      </c>
      <c r="F342">
        <v>5028.9399999999996</v>
      </c>
      <c r="G342">
        <v>2023</v>
      </c>
    </row>
    <row r="343" spans="1:7" x14ac:dyDescent="0.3">
      <c r="A343" t="s">
        <v>51</v>
      </c>
      <c r="B343" t="s">
        <v>30</v>
      </c>
      <c r="C343" t="s">
        <v>34</v>
      </c>
      <c r="D343" t="s">
        <v>9</v>
      </c>
      <c r="E343" t="s">
        <v>15</v>
      </c>
      <c r="F343">
        <v>4368.43</v>
      </c>
      <c r="G343">
        <v>2023</v>
      </c>
    </row>
    <row r="344" spans="1:7" x14ac:dyDescent="0.3">
      <c r="A344" t="s">
        <v>22</v>
      </c>
      <c r="B344" t="s">
        <v>12</v>
      </c>
      <c r="C344" t="s">
        <v>23</v>
      </c>
      <c r="D344" t="s">
        <v>14</v>
      </c>
      <c r="E344" t="s">
        <v>15</v>
      </c>
      <c r="F344">
        <v>3793.84</v>
      </c>
      <c r="G344">
        <v>2023</v>
      </c>
    </row>
    <row r="345" spans="1:7" x14ac:dyDescent="0.3">
      <c r="A345" t="s">
        <v>45</v>
      </c>
      <c r="B345" t="s">
        <v>7</v>
      </c>
      <c r="C345" t="s">
        <v>8</v>
      </c>
      <c r="D345" t="s">
        <v>28</v>
      </c>
      <c r="E345" t="s">
        <v>15</v>
      </c>
      <c r="F345">
        <v>944.95</v>
      </c>
      <c r="G345">
        <v>2022</v>
      </c>
    </row>
    <row r="346" spans="1:7" x14ac:dyDescent="0.3">
      <c r="A346" t="s">
        <v>103</v>
      </c>
      <c r="B346" t="s">
        <v>19</v>
      </c>
      <c r="C346" t="s">
        <v>23</v>
      </c>
      <c r="D346" t="s">
        <v>9</v>
      </c>
      <c r="E346" t="s">
        <v>15</v>
      </c>
      <c r="F346">
        <v>2973.3</v>
      </c>
      <c r="G346">
        <v>2023</v>
      </c>
    </row>
    <row r="347" spans="1:7" x14ac:dyDescent="0.3">
      <c r="A347" t="s">
        <v>110</v>
      </c>
      <c r="B347" t="s">
        <v>12</v>
      </c>
      <c r="C347" t="s">
        <v>8</v>
      </c>
      <c r="D347" t="s">
        <v>9</v>
      </c>
      <c r="E347" t="s">
        <v>24</v>
      </c>
      <c r="F347">
        <v>3422.23</v>
      </c>
      <c r="G347">
        <v>2022</v>
      </c>
    </row>
    <row r="348" spans="1:7" x14ac:dyDescent="0.3">
      <c r="A348" t="s">
        <v>48</v>
      </c>
      <c r="B348" t="s">
        <v>19</v>
      </c>
      <c r="C348" t="s">
        <v>13</v>
      </c>
      <c r="D348" t="s">
        <v>28</v>
      </c>
      <c r="E348" t="s">
        <v>15</v>
      </c>
      <c r="F348">
        <v>3754.94</v>
      </c>
      <c r="G348">
        <v>2022</v>
      </c>
    </row>
    <row r="349" spans="1:7" x14ac:dyDescent="0.3">
      <c r="A349" t="s">
        <v>172</v>
      </c>
      <c r="B349" t="s">
        <v>7</v>
      </c>
      <c r="C349" t="s">
        <v>8</v>
      </c>
      <c r="D349" t="s">
        <v>9</v>
      </c>
      <c r="E349" t="s">
        <v>24</v>
      </c>
      <c r="F349">
        <v>1213.47</v>
      </c>
      <c r="G349">
        <v>2022</v>
      </c>
    </row>
    <row r="350" spans="1:7" x14ac:dyDescent="0.3">
      <c r="A350" t="s">
        <v>115</v>
      </c>
      <c r="B350" t="s">
        <v>19</v>
      </c>
      <c r="C350" t="s">
        <v>13</v>
      </c>
      <c r="D350" t="s">
        <v>28</v>
      </c>
      <c r="E350" t="s">
        <v>24</v>
      </c>
      <c r="F350">
        <v>358.65</v>
      </c>
      <c r="G350">
        <v>2022</v>
      </c>
    </row>
    <row r="351" spans="1:7" x14ac:dyDescent="0.3">
      <c r="A351" t="s">
        <v>185</v>
      </c>
      <c r="B351" t="s">
        <v>30</v>
      </c>
      <c r="C351" t="s">
        <v>13</v>
      </c>
      <c r="D351" t="s">
        <v>14</v>
      </c>
      <c r="E351" t="s">
        <v>24</v>
      </c>
      <c r="F351">
        <v>3630.35</v>
      </c>
      <c r="G351">
        <v>2022</v>
      </c>
    </row>
    <row r="352" spans="1:7" x14ac:dyDescent="0.3">
      <c r="A352" t="s">
        <v>172</v>
      </c>
      <c r="B352" t="s">
        <v>7</v>
      </c>
      <c r="C352" t="s">
        <v>23</v>
      </c>
      <c r="D352" t="s">
        <v>28</v>
      </c>
      <c r="E352" t="s">
        <v>10</v>
      </c>
      <c r="F352">
        <v>3966.5</v>
      </c>
      <c r="G352">
        <v>2023</v>
      </c>
    </row>
    <row r="353" spans="1:7" x14ac:dyDescent="0.3">
      <c r="A353" t="s">
        <v>172</v>
      </c>
      <c r="B353" t="s">
        <v>7</v>
      </c>
      <c r="C353" t="s">
        <v>34</v>
      </c>
      <c r="D353" t="s">
        <v>9</v>
      </c>
      <c r="E353" t="s">
        <v>10</v>
      </c>
      <c r="F353">
        <v>3886.23</v>
      </c>
      <c r="G353">
        <v>2023</v>
      </c>
    </row>
    <row r="354" spans="1:7" x14ac:dyDescent="0.3">
      <c r="A354" t="s">
        <v>186</v>
      </c>
      <c r="B354" t="s">
        <v>30</v>
      </c>
      <c r="C354" t="s">
        <v>23</v>
      </c>
      <c r="D354" t="s">
        <v>9</v>
      </c>
      <c r="E354" t="s">
        <v>10</v>
      </c>
      <c r="F354">
        <v>1898.18</v>
      </c>
      <c r="G354">
        <v>2023</v>
      </c>
    </row>
    <row r="355" spans="1:7" x14ac:dyDescent="0.3">
      <c r="A355" t="s">
        <v>110</v>
      </c>
      <c r="B355" t="s">
        <v>12</v>
      </c>
      <c r="C355" t="s">
        <v>23</v>
      </c>
      <c r="D355" t="s">
        <v>28</v>
      </c>
      <c r="E355" t="s">
        <v>15</v>
      </c>
      <c r="F355">
        <v>1366.72</v>
      </c>
      <c r="G355">
        <v>2023</v>
      </c>
    </row>
    <row r="356" spans="1:7" x14ac:dyDescent="0.3">
      <c r="A356" t="s">
        <v>149</v>
      </c>
      <c r="B356" t="s">
        <v>17</v>
      </c>
      <c r="C356" t="s">
        <v>23</v>
      </c>
      <c r="D356" t="s">
        <v>9</v>
      </c>
      <c r="E356" t="s">
        <v>24</v>
      </c>
      <c r="F356">
        <v>1988.14</v>
      </c>
      <c r="G356">
        <v>2023</v>
      </c>
    </row>
    <row r="357" spans="1:7" x14ac:dyDescent="0.3">
      <c r="A357" t="s">
        <v>157</v>
      </c>
      <c r="B357" t="s">
        <v>30</v>
      </c>
      <c r="C357" t="s">
        <v>13</v>
      </c>
      <c r="D357" t="s">
        <v>28</v>
      </c>
      <c r="E357" t="s">
        <v>15</v>
      </c>
      <c r="F357">
        <v>2529.38</v>
      </c>
      <c r="G357">
        <v>2022</v>
      </c>
    </row>
    <row r="358" spans="1:7" x14ac:dyDescent="0.3">
      <c r="A358" t="s">
        <v>60</v>
      </c>
      <c r="B358" t="s">
        <v>12</v>
      </c>
      <c r="C358" t="s">
        <v>13</v>
      </c>
      <c r="D358" t="s">
        <v>28</v>
      </c>
      <c r="E358" t="s">
        <v>10</v>
      </c>
      <c r="F358">
        <v>3229.82</v>
      </c>
      <c r="G358">
        <v>2022</v>
      </c>
    </row>
    <row r="359" spans="1:7" x14ac:dyDescent="0.3">
      <c r="A359" t="s">
        <v>54</v>
      </c>
      <c r="B359" t="s">
        <v>12</v>
      </c>
      <c r="C359" t="s">
        <v>13</v>
      </c>
      <c r="D359" t="s">
        <v>14</v>
      </c>
      <c r="E359" t="s">
        <v>24</v>
      </c>
      <c r="F359">
        <v>1835.81</v>
      </c>
      <c r="G359">
        <v>2022</v>
      </c>
    </row>
    <row r="360" spans="1:7" x14ac:dyDescent="0.3">
      <c r="A360" t="s">
        <v>27</v>
      </c>
      <c r="B360" t="s">
        <v>12</v>
      </c>
      <c r="C360" t="s">
        <v>23</v>
      </c>
      <c r="D360" t="s">
        <v>9</v>
      </c>
      <c r="E360" t="s">
        <v>24</v>
      </c>
      <c r="F360">
        <v>4463.76</v>
      </c>
      <c r="G360">
        <v>2023</v>
      </c>
    </row>
    <row r="361" spans="1:7" x14ac:dyDescent="0.3">
      <c r="A361" t="s">
        <v>134</v>
      </c>
      <c r="B361" t="s">
        <v>7</v>
      </c>
      <c r="C361" t="s">
        <v>13</v>
      </c>
      <c r="D361" t="s">
        <v>9</v>
      </c>
      <c r="E361" t="s">
        <v>10</v>
      </c>
      <c r="F361">
        <v>2646.59</v>
      </c>
      <c r="G361">
        <v>2022</v>
      </c>
    </row>
    <row r="362" spans="1:7" x14ac:dyDescent="0.3">
      <c r="A362" t="s">
        <v>47</v>
      </c>
      <c r="B362" t="s">
        <v>30</v>
      </c>
      <c r="C362" t="s">
        <v>23</v>
      </c>
      <c r="D362" t="s">
        <v>9</v>
      </c>
      <c r="E362" t="s">
        <v>24</v>
      </c>
      <c r="F362">
        <v>3222.47</v>
      </c>
      <c r="G362">
        <v>2023</v>
      </c>
    </row>
    <row r="363" spans="1:7" x14ac:dyDescent="0.3">
      <c r="A363" t="s">
        <v>126</v>
      </c>
      <c r="B363" t="s">
        <v>30</v>
      </c>
      <c r="C363" t="s">
        <v>23</v>
      </c>
      <c r="D363" t="s">
        <v>14</v>
      </c>
      <c r="E363" t="s">
        <v>10</v>
      </c>
      <c r="F363">
        <v>3493.4</v>
      </c>
      <c r="G363">
        <v>2023</v>
      </c>
    </row>
    <row r="364" spans="1:7" x14ac:dyDescent="0.3">
      <c r="A364" t="s">
        <v>103</v>
      </c>
      <c r="B364" t="s">
        <v>19</v>
      </c>
      <c r="C364" t="s">
        <v>23</v>
      </c>
      <c r="D364" t="s">
        <v>28</v>
      </c>
      <c r="E364" t="s">
        <v>24</v>
      </c>
      <c r="F364">
        <v>871.61</v>
      </c>
      <c r="G364">
        <v>2023</v>
      </c>
    </row>
    <row r="365" spans="1:7" x14ac:dyDescent="0.3">
      <c r="A365" t="s">
        <v>80</v>
      </c>
      <c r="B365" t="s">
        <v>17</v>
      </c>
      <c r="C365" t="s">
        <v>23</v>
      </c>
      <c r="D365" t="s">
        <v>28</v>
      </c>
      <c r="E365" t="s">
        <v>15</v>
      </c>
      <c r="F365">
        <v>407.43</v>
      </c>
      <c r="G365">
        <v>2023</v>
      </c>
    </row>
    <row r="366" spans="1:7" x14ac:dyDescent="0.3">
      <c r="A366" t="s">
        <v>71</v>
      </c>
      <c r="B366" t="s">
        <v>7</v>
      </c>
      <c r="C366" t="s">
        <v>23</v>
      </c>
      <c r="D366" t="s">
        <v>28</v>
      </c>
      <c r="E366" t="s">
        <v>10</v>
      </c>
      <c r="F366">
        <v>4341.34</v>
      </c>
      <c r="G366">
        <v>2023</v>
      </c>
    </row>
    <row r="367" spans="1:7" x14ac:dyDescent="0.3">
      <c r="A367" t="s">
        <v>187</v>
      </c>
      <c r="B367" t="s">
        <v>19</v>
      </c>
      <c r="C367" t="s">
        <v>13</v>
      </c>
      <c r="D367" t="s">
        <v>9</v>
      </c>
      <c r="E367" t="s">
        <v>15</v>
      </c>
      <c r="F367">
        <v>1935.3</v>
      </c>
      <c r="G367">
        <v>2022</v>
      </c>
    </row>
    <row r="368" spans="1:7" x14ac:dyDescent="0.3">
      <c r="A368" t="s">
        <v>160</v>
      </c>
      <c r="B368" t="s">
        <v>30</v>
      </c>
      <c r="C368" t="s">
        <v>23</v>
      </c>
      <c r="D368" t="s">
        <v>14</v>
      </c>
      <c r="E368" t="s">
        <v>10</v>
      </c>
      <c r="F368">
        <v>3547.68</v>
      </c>
      <c r="G368">
        <v>2023</v>
      </c>
    </row>
    <row r="369" spans="1:7" x14ac:dyDescent="0.3">
      <c r="A369" t="s">
        <v>149</v>
      </c>
      <c r="B369" t="s">
        <v>17</v>
      </c>
      <c r="C369" t="s">
        <v>34</v>
      </c>
      <c r="D369" t="s">
        <v>14</v>
      </c>
      <c r="E369" t="s">
        <v>24</v>
      </c>
      <c r="F369">
        <v>4904.09</v>
      </c>
      <c r="G369">
        <v>2023</v>
      </c>
    </row>
    <row r="370" spans="1:7" x14ac:dyDescent="0.3">
      <c r="A370" t="s">
        <v>33</v>
      </c>
      <c r="B370" t="s">
        <v>19</v>
      </c>
      <c r="C370" t="s">
        <v>8</v>
      </c>
      <c r="D370" t="s">
        <v>14</v>
      </c>
      <c r="E370" t="s">
        <v>10</v>
      </c>
      <c r="F370">
        <v>3391.08</v>
      </c>
      <c r="G370">
        <v>2022</v>
      </c>
    </row>
    <row r="371" spans="1:7" x14ac:dyDescent="0.3">
      <c r="A371" t="s">
        <v>64</v>
      </c>
      <c r="B371" t="s">
        <v>30</v>
      </c>
      <c r="C371" t="s">
        <v>8</v>
      </c>
      <c r="D371" t="s">
        <v>28</v>
      </c>
      <c r="E371" t="s">
        <v>10</v>
      </c>
      <c r="F371">
        <v>589.80999999999995</v>
      </c>
      <c r="G371">
        <v>2022</v>
      </c>
    </row>
    <row r="372" spans="1:7" x14ac:dyDescent="0.3">
      <c r="A372" t="s">
        <v>127</v>
      </c>
      <c r="B372" t="s">
        <v>17</v>
      </c>
      <c r="C372" t="s">
        <v>13</v>
      </c>
      <c r="D372" t="s">
        <v>28</v>
      </c>
      <c r="E372" t="s">
        <v>24</v>
      </c>
      <c r="F372">
        <v>1487.46</v>
      </c>
      <c r="G372">
        <v>2022</v>
      </c>
    </row>
    <row r="373" spans="1:7" x14ac:dyDescent="0.3">
      <c r="A373" t="s">
        <v>27</v>
      </c>
      <c r="B373" t="s">
        <v>12</v>
      </c>
      <c r="C373" t="s">
        <v>13</v>
      </c>
      <c r="D373" t="s">
        <v>14</v>
      </c>
      <c r="E373" t="s">
        <v>24</v>
      </c>
      <c r="F373">
        <v>2879.35</v>
      </c>
      <c r="G373">
        <v>2022</v>
      </c>
    </row>
    <row r="374" spans="1:7" x14ac:dyDescent="0.3">
      <c r="A374" t="s">
        <v>45</v>
      </c>
      <c r="B374" t="s">
        <v>7</v>
      </c>
      <c r="C374" t="s">
        <v>13</v>
      </c>
      <c r="D374" t="s">
        <v>28</v>
      </c>
      <c r="E374" t="s">
        <v>24</v>
      </c>
      <c r="F374">
        <v>3544.12</v>
      </c>
      <c r="G374">
        <v>2022</v>
      </c>
    </row>
    <row r="375" spans="1:7" x14ac:dyDescent="0.3">
      <c r="A375" t="s">
        <v>27</v>
      </c>
      <c r="B375" t="s">
        <v>12</v>
      </c>
      <c r="C375" t="s">
        <v>8</v>
      </c>
      <c r="D375" t="s">
        <v>14</v>
      </c>
      <c r="E375" t="s">
        <v>10</v>
      </c>
      <c r="F375">
        <v>646.33000000000004</v>
      </c>
      <c r="G375">
        <v>2022</v>
      </c>
    </row>
    <row r="376" spans="1:7" x14ac:dyDescent="0.3">
      <c r="A376" t="s">
        <v>144</v>
      </c>
      <c r="B376" t="s">
        <v>30</v>
      </c>
      <c r="C376" t="s">
        <v>23</v>
      </c>
      <c r="D376" t="s">
        <v>14</v>
      </c>
      <c r="E376" t="s">
        <v>10</v>
      </c>
      <c r="F376">
        <v>1569.86</v>
      </c>
      <c r="G376">
        <v>2023</v>
      </c>
    </row>
    <row r="377" spans="1:7" x14ac:dyDescent="0.3">
      <c r="A377" t="s">
        <v>166</v>
      </c>
      <c r="B377" t="s">
        <v>7</v>
      </c>
      <c r="C377" t="s">
        <v>34</v>
      </c>
      <c r="D377" t="s">
        <v>28</v>
      </c>
      <c r="E377" t="s">
        <v>15</v>
      </c>
      <c r="F377">
        <v>2728.09</v>
      </c>
      <c r="G377">
        <v>2023</v>
      </c>
    </row>
    <row r="378" spans="1:7" x14ac:dyDescent="0.3">
      <c r="A378" t="s">
        <v>76</v>
      </c>
      <c r="B378" t="s">
        <v>17</v>
      </c>
      <c r="C378" t="s">
        <v>23</v>
      </c>
      <c r="D378" t="s">
        <v>28</v>
      </c>
      <c r="E378" t="s">
        <v>15</v>
      </c>
      <c r="F378">
        <v>1865.65</v>
      </c>
      <c r="G378">
        <v>2023</v>
      </c>
    </row>
    <row r="379" spans="1:7" x14ac:dyDescent="0.3">
      <c r="A379" t="s">
        <v>138</v>
      </c>
      <c r="B379" t="s">
        <v>12</v>
      </c>
      <c r="C379" t="s">
        <v>13</v>
      </c>
      <c r="D379" t="s">
        <v>28</v>
      </c>
      <c r="E379" t="s">
        <v>10</v>
      </c>
      <c r="F379">
        <v>4048.31</v>
      </c>
      <c r="G379">
        <v>2022</v>
      </c>
    </row>
    <row r="380" spans="1:7" x14ac:dyDescent="0.3">
      <c r="A380" t="s">
        <v>39</v>
      </c>
      <c r="B380" t="s">
        <v>7</v>
      </c>
      <c r="C380" t="s">
        <v>34</v>
      </c>
      <c r="D380" t="s">
        <v>28</v>
      </c>
      <c r="E380" t="s">
        <v>15</v>
      </c>
      <c r="F380">
        <v>468.34</v>
      </c>
      <c r="G380">
        <v>2023</v>
      </c>
    </row>
    <row r="381" spans="1:7" x14ac:dyDescent="0.3">
      <c r="A381" t="s">
        <v>188</v>
      </c>
      <c r="B381" t="s">
        <v>19</v>
      </c>
      <c r="C381" t="s">
        <v>13</v>
      </c>
      <c r="D381" t="s">
        <v>28</v>
      </c>
      <c r="E381" t="s">
        <v>10</v>
      </c>
      <c r="F381">
        <v>802.1</v>
      </c>
      <c r="G381">
        <v>2022</v>
      </c>
    </row>
    <row r="382" spans="1:7" x14ac:dyDescent="0.3">
      <c r="A382" t="s">
        <v>101</v>
      </c>
      <c r="B382" t="s">
        <v>19</v>
      </c>
      <c r="C382" t="s">
        <v>34</v>
      </c>
      <c r="D382" t="s">
        <v>9</v>
      </c>
      <c r="E382" t="s">
        <v>10</v>
      </c>
      <c r="F382">
        <v>3548.26</v>
      </c>
      <c r="G382">
        <v>2023</v>
      </c>
    </row>
    <row r="383" spans="1:7" x14ac:dyDescent="0.3">
      <c r="A383" t="s">
        <v>142</v>
      </c>
      <c r="B383" t="s">
        <v>17</v>
      </c>
      <c r="C383" t="s">
        <v>8</v>
      </c>
      <c r="D383" t="s">
        <v>14</v>
      </c>
      <c r="E383" t="s">
        <v>15</v>
      </c>
      <c r="F383">
        <v>647.30999999999995</v>
      </c>
      <c r="G383">
        <v>2022</v>
      </c>
    </row>
    <row r="384" spans="1:7" x14ac:dyDescent="0.3">
      <c r="A384" t="s">
        <v>178</v>
      </c>
      <c r="B384" t="s">
        <v>30</v>
      </c>
      <c r="C384" t="s">
        <v>34</v>
      </c>
      <c r="D384" t="s">
        <v>14</v>
      </c>
      <c r="E384" t="s">
        <v>24</v>
      </c>
      <c r="F384">
        <v>1024.8599999999999</v>
      </c>
      <c r="G384">
        <v>2023</v>
      </c>
    </row>
    <row r="385" spans="1:7" x14ac:dyDescent="0.3">
      <c r="A385" t="s">
        <v>172</v>
      </c>
      <c r="B385" t="s">
        <v>7</v>
      </c>
      <c r="C385" t="s">
        <v>23</v>
      </c>
      <c r="D385" t="s">
        <v>14</v>
      </c>
      <c r="E385" t="s">
        <v>24</v>
      </c>
      <c r="F385">
        <v>304.14999999999998</v>
      </c>
      <c r="G385">
        <v>2023</v>
      </c>
    </row>
    <row r="386" spans="1:7" x14ac:dyDescent="0.3">
      <c r="A386" t="s">
        <v>73</v>
      </c>
      <c r="B386" t="s">
        <v>30</v>
      </c>
      <c r="C386" t="s">
        <v>23</v>
      </c>
      <c r="D386" t="s">
        <v>28</v>
      </c>
      <c r="E386" t="s">
        <v>24</v>
      </c>
      <c r="F386">
        <v>4794.1899999999996</v>
      </c>
      <c r="G386">
        <v>2023</v>
      </c>
    </row>
    <row r="387" spans="1:7" x14ac:dyDescent="0.3">
      <c r="A387" t="s">
        <v>72</v>
      </c>
      <c r="B387" t="s">
        <v>19</v>
      </c>
      <c r="C387" t="s">
        <v>34</v>
      </c>
      <c r="D387" t="s">
        <v>28</v>
      </c>
      <c r="E387" t="s">
        <v>24</v>
      </c>
      <c r="F387">
        <v>2331.7399999999998</v>
      </c>
      <c r="G387">
        <v>2023</v>
      </c>
    </row>
    <row r="388" spans="1:7" x14ac:dyDescent="0.3">
      <c r="A388" t="s">
        <v>136</v>
      </c>
      <c r="B388" t="s">
        <v>17</v>
      </c>
      <c r="C388" t="s">
        <v>13</v>
      </c>
      <c r="D388" t="s">
        <v>28</v>
      </c>
      <c r="E388" t="s">
        <v>10</v>
      </c>
      <c r="F388">
        <v>4183.93</v>
      </c>
      <c r="G388">
        <v>2022</v>
      </c>
    </row>
    <row r="389" spans="1:7" x14ac:dyDescent="0.3">
      <c r="A389" t="s">
        <v>22</v>
      </c>
      <c r="B389" t="s">
        <v>12</v>
      </c>
      <c r="C389" t="s">
        <v>13</v>
      </c>
      <c r="D389" t="s">
        <v>14</v>
      </c>
      <c r="E389" t="s">
        <v>15</v>
      </c>
      <c r="F389">
        <v>1515.76</v>
      </c>
      <c r="G389">
        <v>2022</v>
      </c>
    </row>
    <row r="390" spans="1:7" x14ac:dyDescent="0.3">
      <c r="A390" t="s">
        <v>189</v>
      </c>
      <c r="B390" t="s">
        <v>19</v>
      </c>
      <c r="C390" t="s">
        <v>23</v>
      </c>
      <c r="D390" t="s">
        <v>9</v>
      </c>
      <c r="E390" t="s">
        <v>10</v>
      </c>
      <c r="F390">
        <v>4299.7299999999996</v>
      </c>
      <c r="G390">
        <v>2023</v>
      </c>
    </row>
    <row r="391" spans="1:7" x14ac:dyDescent="0.3">
      <c r="A391" t="s">
        <v>89</v>
      </c>
      <c r="B391" t="s">
        <v>17</v>
      </c>
      <c r="C391" t="s">
        <v>13</v>
      </c>
      <c r="D391" t="s">
        <v>28</v>
      </c>
      <c r="E391" t="s">
        <v>24</v>
      </c>
      <c r="F391">
        <v>303.22000000000003</v>
      </c>
      <c r="G391">
        <v>2022</v>
      </c>
    </row>
    <row r="392" spans="1:7" x14ac:dyDescent="0.3">
      <c r="A392" t="s">
        <v>121</v>
      </c>
      <c r="B392" t="s">
        <v>30</v>
      </c>
      <c r="C392" t="s">
        <v>8</v>
      </c>
      <c r="D392" t="s">
        <v>14</v>
      </c>
      <c r="E392" t="s">
        <v>10</v>
      </c>
      <c r="F392">
        <v>2427.3000000000002</v>
      </c>
      <c r="G392">
        <v>2022</v>
      </c>
    </row>
    <row r="393" spans="1:7" x14ac:dyDescent="0.3">
      <c r="A393" t="s">
        <v>190</v>
      </c>
      <c r="B393" t="s">
        <v>17</v>
      </c>
      <c r="C393" t="s">
        <v>13</v>
      </c>
      <c r="D393" t="s">
        <v>14</v>
      </c>
      <c r="E393" t="s">
        <v>15</v>
      </c>
      <c r="F393">
        <v>3481.31</v>
      </c>
      <c r="G393">
        <v>2022</v>
      </c>
    </row>
    <row r="394" spans="1:7" x14ac:dyDescent="0.3">
      <c r="A394" t="s">
        <v>96</v>
      </c>
      <c r="B394" t="s">
        <v>19</v>
      </c>
      <c r="C394" t="s">
        <v>23</v>
      </c>
      <c r="D394" t="s">
        <v>28</v>
      </c>
      <c r="E394" t="s">
        <v>10</v>
      </c>
      <c r="F394">
        <v>2451.0100000000002</v>
      </c>
      <c r="G394">
        <v>2023</v>
      </c>
    </row>
    <row r="395" spans="1:7" x14ac:dyDescent="0.3">
      <c r="A395" t="s">
        <v>50</v>
      </c>
      <c r="B395" t="s">
        <v>19</v>
      </c>
      <c r="C395" t="s">
        <v>8</v>
      </c>
      <c r="D395" t="s">
        <v>9</v>
      </c>
      <c r="E395" t="s">
        <v>10</v>
      </c>
      <c r="F395">
        <v>2726.59</v>
      </c>
      <c r="G395">
        <v>2022</v>
      </c>
    </row>
    <row r="396" spans="1:7" x14ac:dyDescent="0.3">
      <c r="A396" t="s">
        <v>171</v>
      </c>
      <c r="B396" t="s">
        <v>17</v>
      </c>
      <c r="C396" t="s">
        <v>13</v>
      </c>
      <c r="D396" t="s">
        <v>28</v>
      </c>
      <c r="E396" t="s">
        <v>24</v>
      </c>
      <c r="F396">
        <v>4059.4</v>
      </c>
      <c r="G396">
        <v>2022</v>
      </c>
    </row>
    <row r="397" spans="1:7" x14ac:dyDescent="0.3">
      <c r="A397" t="s">
        <v>152</v>
      </c>
      <c r="B397" t="s">
        <v>30</v>
      </c>
      <c r="C397" t="s">
        <v>34</v>
      </c>
      <c r="D397" t="s">
        <v>28</v>
      </c>
      <c r="E397" t="s">
        <v>10</v>
      </c>
      <c r="F397">
        <v>3874.1</v>
      </c>
      <c r="G397">
        <v>2023</v>
      </c>
    </row>
    <row r="398" spans="1:7" x14ac:dyDescent="0.3">
      <c r="A398" t="s">
        <v>146</v>
      </c>
      <c r="B398" t="s">
        <v>7</v>
      </c>
      <c r="C398" t="s">
        <v>34</v>
      </c>
      <c r="D398" t="s">
        <v>14</v>
      </c>
      <c r="E398" t="s">
        <v>10</v>
      </c>
      <c r="F398">
        <v>870.3</v>
      </c>
      <c r="G398">
        <v>2023</v>
      </c>
    </row>
    <row r="399" spans="1:7" x14ac:dyDescent="0.3">
      <c r="A399" t="s">
        <v>171</v>
      </c>
      <c r="B399" t="s">
        <v>17</v>
      </c>
      <c r="C399" t="s">
        <v>8</v>
      </c>
      <c r="D399" t="s">
        <v>28</v>
      </c>
      <c r="E399" t="s">
        <v>24</v>
      </c>
      <c r="F399">
        <v>1471.82</v>
      </c>
      <c r="G399">
        <v>2022</v>
      </c>
    </row>
    <row r="400" spans="1:7" x14ac:dyDescent="0.3">
      <c r="A400" t="s">
        <v>191</v>
      </c>
      <c r="B400" t="s">
        <v>12</v>
      </c>
      <c r="C400" t="s">
        <v>8</v>
      </c>
      <c r="D400" t="s">
        <v>9</v>
      </c>
      <c r="E400" t="s">
        <v>10</v>
      </c>
      <c r="F400">
        <v>3436</v>
      </c>
      <c r="G400">
        <v>2022</v>
      </c>
    </row>
    <row r="401" spans="1:7" x14ac:dyDescent="0.3">
      <c r="A401" t="s">
        <v>124</v>
      </c>
      <c r="B401" t="s">
        <v>12</v>
      </c>
      <c r="C401" t="s">
        <v>13</v>
      </c>
      <c r="D401" t="s">
        <v>9</v>
      </c>
      <c r="E401" t="s">
        <v>24</v>
      </c>
      <c r="F401">
        <v>479.22</v>
      </c>
      <c r="G401">
        <v>2022</v>
      </c>
    </row>
    <row r="402" spans="1:7" x14ac:dyDescent="0.3">
      <c r="A402" t="s">
        <v>183</v>
      </c>
      <c r="B402" t="s">
        <v>7</v>
      </c>
      <c r="C402" t="s">
        <v>23</v>
      </c>
      <c r="D402" t="s">
        <v>14</v>
      </c>
      <c r="E402" t="s">
        <v>15</v>
      </c>
      <c r="F402">
        <v>2840.69</v>
      </c>
      <c r="G402">
        <v>2023</v>
      </c>
    </row>
    <row r="403" spans="1:7" x14ac:dyDescent="0.3">
      <c r="A403" t="s">
        <v>71</v>
      </c>
      <c r="B403" t="s">
        <v>7</v>
      </c>
      <c r="C403" t="s">
        <v>13</v>
      </c>
      <c r="D403" t="s">
        <v>28</v>
      </c>
      <c r="E403" t="s">
        <v>15</v>
      </c>
      <c r="F403">
        <v>1808.08</v>
      </c>
      <c r="G403">
        <v>2022</v>
      </c>
    </row>
    <row r="404" spans="1:7" x14ac:dyDescent="0.3">
      <c r="A404" t="s">
        <v>128</v>
      </c>
      <c r="B404" t="s">
        <v>12</v>
      </c>
      <c r="C404" t="s">
        <v>34</v>
      </c>
      <c r="D404" t="s">
        <v>28</v>
      </c>
      <c r="E404" t="s">
        <v>24</v>
      </c>
      <c r="F404">
        <v>425.7</v>
      </c>
      <c r="G404">
        <v>2023</v>
      </c>
    </row>
    <row r="405" spans="1:7" x14ac:dyDescent="0.3">
      <c r="A405" t="s">
        <v>118</v>
      </c>
      <c r="B405" t="s">
        <v>30</v>
      </c>
      <c r="C405" t="s">
        <v>34</v>
      </c>
      <c r="D405" t="s">
        <v>14</v>
      </c>
      <c r="E405" t="s">
        <v>10</v>
      </c>
      <c r="F405">
        <v>981.92</v>
      </c>
      <c r="G405">
        <v>2023</v>
      </c>
    </row>
    <row r="406" spans="1:7" x14ac:dyDescent="0.3">
      <c r="A406" t="s">
        <v>37</v>
      </c>
      <c r="B406" t="s">
        <v>17</v>
      </c>
      <c r="C406" t="s">
        <v>8</v>
      </c>
      <c r="D406" t="s">
        <v>9</v>
      </c>
      <c r="E406" t="s">
        <v>15</v>
      </c>
      <c r="F406">
        <v>1089.29</v>
      </c>
      <c r="G406">
        <v>2022</v>
      </c>
    </row>
    <row r="407" spans="1:7" x14ac:dyDescent="0.3">
      <c r="A407" t="s">
        <v>192</v>
      </c>
      <c r="B407" t="s">
        <v>19</v>
      </c>
      <c r="C407" t="s">
        <v>34</v>
      </c>
      <c r="D407" t="s">
        <v>9</v>
      </c>
      <c r="E407" t="s">
        <v>24</v>
      </c>
      <c r="F407">
        <v>4336.6099999999997</v>
      </c>
      <c r="G407">
        <v>2023</v>
      </c>
    </row>
    <row r="408" spans="1:7" x14ac:dyDescent="0.3">
      <c r="A408" t="s">
        <v>58</v>
      </c>
      <c r="B408" t="s">
        <v>17</v>
      </c>
      <c r="C408" t="s">
        <v>23</v>
      </c>
      <c r="D408" t="s">
        <v>9</v>
      </c>
      <c r="E408" t="s">
        <v>15</v>
      </c>
      <c r="F408">
        <v>1820.99</v>
      </c>
      <c r="G408">
        <v>2023</v>
      </c>
    </row>
    <row r="409" spans="1:7" x14ac:dyDescent="0.3">
      <c r="A409" t="s">
        <v>80</v>
      </c>
      <c r="B409" t="s">
        <v>17</v>
      </c>
      <c r="C409" t="s">
        <v>13</v>
      </c>
      <c r="D409" t="s">
        <v>14</v>
      </c>
      <c r="E409" t="s">
        <v>15</v>
      </c>
      <c r="F409">
        <v>2772.88</v>
      </c>
      <c r="G409">
        <v>2022</v>
      </c>
    </row>
    <row r="410" spans="1:7" x14ac:dyDescent="0.3">
      <c r="A410" t="s">
        <v>75</v>
      </c>
      <c r="B410" t="s">
        <v>19</v>
      </c>
      <c r="C410" t="s">
        <v>13</v>
      </c>
      <c r="D410" t="s">
        <v>14</v>
      </c>
      <c r="E410" t="s">
        <v>24</v>
      </c>
      <c r="F410">
        <v>4985.09</v>
      </c>
      <c r="G410">
        <v>2022</v>
      </c>
    </row>
    <row r="411" spans="1:7" x14ac:dyDescent="0.3">
      <c r="A411" t="s">
        <v>188</v>
      </c>
      <c r="B411" t="s">
        <v>19</v>
      </c>
      <c r="C411" t="s">
        <v>23</v>
      </c>
      <c r="D411" t="s">
        <v>9</v>
      </c>
      <c r="E411" t="s">
        <v>10</v>
      </c>
      <c r="F411">
        <v>4859.13</v>
      </c>
      <c r="G411">
        <v>2023</v>
      </c>
    </row>
    <row r="412" spans="1:7" x14ac:dyDescent="0.3">
      <c r="A412" t="s">
        <v>39</v>
      </c>
      <c r="B412" t="s">
        <v>7</v>
      </c>
      <c r="C412" t="s">
        <v>34</v>
      </c>
      <c r="D412" t="s">
        <v>28</v>
      </c>
      <c r="E412" t="s">
        <v>15</v>
      </c>
      <c r="F412">
        <v>3855.03</v>
      </c>
      <c r="G412">
        <v>2023</v>
      </c>
    </row>
    <row r="413" spans="1:7" x14ac:dyDescent="0.3">
      <c r="A413" t="s">
        <v>111</v>
      </c>
      <c r="B413" t="s">
        <v>19</v>
      </c>
      <c r="C413" t="s">
        <v>8</v>
      </c>
      <c r="D413" t="s">
        <v>9</v>
      </c>
      <c r="E413" t="s">
        <v>24</v>
      </c>
      <c r="F413">
        <v>1087.93</v>
      </c>
      <c r="G413">
        <v>2022</v>
      </c>
    </row>
    <row r="414" spans="1:7" x14ac:dyDescent="0.3">
      <c r="A414" t="s">
        <v>26</v>
      </c>
      <c r="B414" t="s">
        <v>17</v>
      </c>
      <c r="C414" t="s">
        <v>8</v>
      </c>
      <c r="D414" t="s">
        <v>14</v>
      </c>
      <c r="E414" t="s">
        <v>10</v>
      </c>
      <c r="F414">
        <v>3311.86</v>
      </c>
      <c r="G414">
        <v>2022</v>
      </c>
    </row>
    <row r="415" spans="1:7" x14ac:dyDescent="0.3">
      <c r="A415" t="s">
        <v>188</v>
      </c>
      <c r="B415" t="s">
        <v>19</v>
      </c>
      <c r="C415" t="s">
        <v>8</v>
      </c>
      <c r="D415" t="s">
        <v>9</v>
      </c>
      <c r="E415" t="s">
        <v>24</v>
      </c>
      <c r="F415">
        <v>3496.49</v>
      </c>
      <c r="G415">
        <v>2022</v>
      </c>
    </row>
    <row r="416" spans="1:7" x14ac:dyDescent="0.3">
      <c r="A416" t="s">
        <v>105</v>
      </c>
      <c r="B416" t="s">
        <v>30</v>
      </c>
      <c r="C416" t="s">
        <v>34</v>
      </c>
      <c r="D416" t="s">
        <v>28</v>
      </c>
      <c r="E416" t="s">
        <v>10</v>
      </c>
      <c r="F416">
        <v>3355.28</v>
      </c>
      <c r="G416">
        <v>2023</v>
      </c>
    </row>
    <row r="417" spans="1:7" x14ac:dyDescent="0.3">
      <c r="A417" t="s">
        <v>122</v>
      </c>
      <c r="B417" t="s">
        <v>19</v>
      </c>
      <c r="C417" t="s">
        <v>8</v>
      </c>
      <c r="D417" t="s">
        <v>9</v>
      </c>
      <c r="E417" t="s">
        <v>10</v>
      </c>
      <c r="F417">
        <v>4871.42</v>
      </c>
      <c r="G417">
        <v>2022</v>
      </c>
    </row>
    <row r="418" spans="1:7" x14ac:dyDescent="0.3">
      <c r="A418" t="s">
        <v>49</v>
      </c>
      <c r="B418" t="s">
        <v>19</v>
      </c>
      <c r="C418" t="s">
        <v>13</v>
      </c>
      <c r="D418" t="s">
        <v>9</v>
      </c>
      <c r="E418" t="s">
        <v>10</v>
      </c>
      <c r="F418">
        <v>1245.54</v>
      </c>
      <c r="G418">
        <v>2022</v>
      </c>
    </row>
    <row r="419" spans="1:7" x14ac:dyDescent="0.3">
      <c r="A419" t="s">
        <v>123</v>
      </c>
      <c r="B419" t="s">
        <v>30</v>
      </c>
      <c r="C419" t="s">
        <v>34</v>
      </c>
      <c r="D419" t="s">
        <v>14</v>
      </c>
      <c r="E419" t="s">
        <v>15</v>
      </c>
      <c r="F419">
        <v>2891.84</v>
      </c>
      <c r="G419">
        <v>2023</v>
      </c>
    </row>
    <row r="420" spans="1:7" x14ac:dyDescent="0.3">
      <c r="A420" t="s">
        <v>54</v>
      </c>
      <c r="B420" t="s">
        <v>12</v>
      </c>
      <c r="C420" t="s">
        <v>8</v>
      </c>
      <c r="D420" t="s">
        <v>14</v>
      </c>
      <c r="E420" t="s">
        <v>10</v>
      </c>
      <c r="F420">
        <v>2482.64</v>
      </c>
      <c r="G420">
        <v>2022</v>
      </c>
    </row>
    <row r="421" spans="1:7" x14ac:dyDescent="0.3">
      <c r="A421" t="s">
        <v>162</v>
      </c>
      <c r="B421" t="s">
        <v>30</v>
      </c>
      <c r="C421" t="s">
        <v>23</v>
      </c>
      <c r="D421" t="s">
        <v>9</v>
      </c>
      <c r="E421" t="s">
        <v>10</v>
      </c>
      <c r="F421">
        <v>3463.89</v>
      </c>
      <c r="G421">
        <v>2023</v>
      </c>
    </row>
    <row r="422" spans="1:7" x14ac:dyDescent="0.3">
      <c r="A422" t="s">
        <v>193</v>
      </c>
      <c r="B422" t="s">
        <v>12</v>
      </c>
      <c r="C422" t="s">
        <v>8</v>
      </c>
      <c r="D422" t="s">
        <v>9</v>
      </c>
      <c r="E422" t="s">
        <v>24</v>
      </c>
      <c r="F422">
        <v>2901.34</v>
      </c>
      <c r="G422">
        <v>2022</v>
      </c>
    </row>
    <row r="423" spans="1:7" x14ac:dyDescent="0.3">
      <c r="A423" t="s">
        <v>194</v>
      </c>
      <c r="B423" t="s">
        <v>17</v>
      </c>
      <c r="C423" t="s">
        <v>34</v>
      </c>
      <c r="D423" t="s">
        <v>14</v>
      </c>
      <c r="E423" t="s">
        <v>15</v>
      </c>
      <c r="F423">
        <v>1323.76</v>
      </c>
      <c r="G423">
        <v>2023</v>
      </c>
    </row>
    <row r="424" spans="1:7" x14ac:dyDescent="0.3">
      <c r="A424" t="s">
        <v>190</v>
      </c>
      <c r="B424" t="s">
        <v>17</v>
      </c>
      <c r="C424" t="s">
        <v>8</v>
      </c>
      <c r="D424" t="s">
        <v>9</v>
      </c>
      <c r="E424" t="s">
        <v>24</v>
      </c>
      <c r="F424">
        <v>2332.12</v>
      </c>
      <c r="G424">
        <v>2022</v>
      </c>
    </row>
    <row r="425" spans="1:7" x14ac:dyDescent="0.3">
      <c r="A425" t="s">
        <v>141</v>
      </c>
      <c r="B425" t="s">
        <v>7</v>
      </c>
      <c r="C425" t="s">
        <v>8</v>
      </c>
      <c r="D425" t="s">
        <v>28</v>
      </c>
      <c r="E425" t="s">
        <v>24</v>
      </c>
      <c r="F425">
        <v>462.78</v>
      </c>
      <c r="G425">
        <v>2022</v>
      </c>
    </row>
    <row r="426" spans="1:7" x14ac:dyDescent="0.3">
      <c r="A426" t="s">
        <v>193</v>
      </c>
      <c r="B426" t="s">
        <v>12</v>
      </c>
      <c r="C426" t="s">
        <v>23</v>
      </c>
      <c r="D426" t="s">
        <v>14</v>
      </c>
      <c r="E426" t="s">
        <v>15</v>
      </c>
      <c r="F426">
        <v>1229.33</v>
      </c>
      <c r="G426">
        <v>2023</v>
      </c>
    </row>
    <row r="427" spans="1:7" x14ac:dyDescent="0.3">
      <c r="A427" t="s">
        <v>92</v>
      </c>
      <c r="B427" t="s">
        <v>30</v>
      </c>
      <c r="C427" t="s">
        <v>13</v>
      </c>
      <c r="D427" t="s">
        <v>14</v>
      </c>
      <c r="E427" t="s">
        <v>15</v>
      </c>
      <c r="F427">
        <v>3457.79</v>
      </c>
      <c r="G427">
        <v>2022</v>
      </c>
    </row>
    <row r="428" spans="1:7" x14ac:dyDescent="0.3">
      <c r="A428" t="s">
        <v>89</v>
      </c>
      <c r="B428" t="s">
        <v>17</v>
      </c>
      <c r="C428" t="s">
        <v>8</v>
      </c>
      <c r="D428" t="s">
        <v>14</v>
      </c>
      <c r="E428" t="s">
        <v>15</v>
      </c>
      <c r="F428">
        <v>3519.41</v>
      </c>
      <c r="G428">
        <v>2022</v>
      </c>
    </row>
    <row r="429" spans="1:7" x14ac:dyDescent="0.3">
      <c r="A429" t="s">
        <v>171</v>
      </c>
      <c r="B429" t="s">
        <v>17</v>
      </c>
      <c r="C429" t="s">
        <v>8</v>
      </c>
      <c r="D429" t="s">
        <v>28</v>
      </c>
      <c r="E429" t="s">
        <v>24</v>
      </c>
      <c r="F429">
        <v>2913.47</v>
      </c>
      <c r="G429">
        <v>2022</v>
      </c>
    </row>
    <row r="430" spans="1:7" x14ac:dyDescent="0.3">
      <c r="A430" t="s">
        <v>195</v>
      </c>
      <c r="B430" t="s">
        <v>7</v>
      </c>
      <c r="C430" t="s">
        <v>34</v>
      </c>
      <c r="D430" t="s">
        <v>28</v>
      </c>
      <c r="E430" t="s">
        <v>15</v>
      </c>
      <c r="F430">
        <v>1431.51</v>
      </c>
      <c r="G430">
        <v>2023</v>
      </c>
    </row>
    <row r="431" spans="1:7" x14ac:dyDescent="0.3">
      <c r="A431" t="s">
        <v>85</v>
      </c>
      <c r="B431" t="s">
        <v>30</v>
      </c>
      <c r="C431" t="s">
        <v>34</v>
      </c>
      <c r="D431" t="s">
        <v>28</v>
      </c>
      <c r="E431" t="s">
        <v>24</v>
      </c>
      <c r="F431">
        <v>2346.0500000000002</v>
      </c>
      <c r="G431">
        <v>2023</v>
      </c>
    </row>
    <row r="432" spans="1:7" x14ac:dyDescent="0.3">
      <c r="A432" t="s">
        <v>122</v>
      </c>
      <c r="B432" t="s">
        <v>19</v>
      </c>
      <c r="C432" t="s">
        <v>8</v>
      </c>
      <c r="D432" t="s">
        <v>28</v>
      </c>
      <c r="E432" t="s">
        <v>15</v>
      </c>
      <c r="F432">
        <v>4191.3599999999997</v>
      </c>
      <c r="G432">
        <v>2022</v>
      </c>
    </row>
    <row r="433" spans="1:7" x14ac:dyDescent="0.3">
      <c r="A433" t="s">
        <v>87</v>
      </c>
      <c r="B433" t="s">
        <v>12</v>
      </c>
      <c r="C433" t="s">
        <v>34</v>
      </c>
      <c r="D433" t="s">
        <v>9</v>
      </c>
      <c r="E433" t="s">
        <v>15</v>
      </c>
      <c r="F433">
        <v>2422.4699999999998</v>
      </c>
      <c r="G433">
        <v>2023</v>
      </c>
    </row>
    <row r="434" spans="1:7" x14ac:dyDescent="0.3">
      <c r="A434" t="s">
        <v>76</v>
      </c>
      <c r="B434" t="s">
        <v>17</v>
      </c>
      <c r="C434" t="s">
        <v>13</v>
      </c>
      <c r="D434" t="s">
        <v>9</v>
      </c>
      <c r="E434" t="s">
        <v>10</v>
      </c>
      <c r="F434">
        <v>3331.66</v>
      </c>
      <c r="G434">
        <v>2022</v>
      </c>
    </row>
    <row r="435" spans="1:7" x14ac:dyDescent="0.3">
      <c r="A435" t="s">
        <v>164</v>
      </c>
      <c r="B435" t="s">
        <v>19</v>
      </c>
      <c r="C435" t="s">
        <v>34</v>
      </c>
      <c r="D435" t="s">
        <v>14</v>
      </c>
      <c r="E435" t="s">
        <v>15</v>
      </c>
      <c r="F435">
        <v>1833.49</v>
      </c>
      <c r="G435">
        <v>2023</v>
      </c>
    </row>
    <row r="436" spans="1:7" x14ac:dyDescent="0.3">
      <c r="A436" t="s">
        <v>137</v>
      </c>
      <c r="B436" t="s">
        <v>17</v>
      </c>
      <c r="C436" t="s">
        <v>23</v>
      </c>
      <c r="D436" t="s">
        <v>14</v>
      </c>
      <c r="E436" t="s">
        <v>10</v>
      </c>
      <c r="F436">
        <v>4018.22</v>
      </c>
      <c r="G436">
        <v>2023</v>
      </c>
    </row>
    <row r="437" spans="1:7" x14ac:dyDescent="0.3">
      <c r="A437" t="s">
        <v>140</v>
      </c>
      <c r="B437" t="s">
        <v>17</v>
      </c>
      <c r="C437" t="s">
        <v>23</v>
      </c>
      <c r="D437" t="s">
        <v>9</v>
      </c>
      <c r="E437" t="s">
        <v>10</v>
      </c>
      <c r="F437">
        <v>2681.92</v>
      </c>
      <c r="G437">
        <v>2023</v>
      </c>
    </row>
    <row r="438" spans="1:7" x14ac:dyDescent="0.3">
      <c r="A438" t="s">
        <v>89</v>
      </c>
      <c r="B438" t="s">
        <v>17</v>
      </c>
      <c r="C438" t="s">
        <v>13</v>
      </c>
      <c r="D438" t="s">
        <v>9</v>
      </c>
      <c r="E438" t="s">
        <v>24</v>
      </c>
      <c r="F438">
        <v>1889.49</v>
      </c>
      <c r="G438">
        <v>2022</v>
      </c>
    </row>
    <row r="439" spans="1:7" x14ac:dyDescent="0.3">
      <c r="A439" t="s">
        <v>196</v>
      </c>
      <c r="B439" t="s">
        <v>30</v>
      </c>
      <c r="C439" t="s">
        <v>34</v>
      </c>
      <c r="D439" t="s">
        <v>14</v>
      </c>
      <c r="E439" t="s">
        <v>10</v>
      </c>
      <c r="F439">
        <v>1407.92</v>
      </c>
      <c r="G439">
        <v>2023</v>
      </c>
    </row>
    <row r="440" spans="1:7" x14ac:dyDescent="0.3">
      <c r="A440" t="s">
        <v>99</v>
      </c>
      <c r="B440" t="s">
        <v>19</v>
      </c>
      <c r="C440" t="s">
        <v>34</v>
      </c>
      <c r="D440" t="s">
        <v>14</v>
      </c>
      <c r="E440" t="s">
        <v>15</v>
      </c>
      <c r="F440">
        <v>4935.72</v>
      </c>
      <c r="G440">
        <v>2023</v>
      </c>
    </row>
    <row r="441" spans="1:7" x14ac:dyDescent="0.3">
      <c r="A441" t="s">
        <v>59</v>
      </c>
      <c r="B441" t="s">
        <v>17</v>
      </c>
      <c r="C441" t="s">
        <v>8</v>
      </c>
      <c r="D441" t="s">
        <v>9</v>
      </c>
      <c r="E441" t="s">
        <v>15</v>
      </c>
      <c r="F441">
        <v>2103.19</v>
      </c>
      <c r="G441">
        <v>2022</v>
      </c>
    </row>
    <row r="442" spans="1:7" x14ac:dyDescent="0.3">
      <c r="A442" t="s">
        <v>148</v>
      </c>
      <c r="B442" t="s">
        <v>17</v>
      </c>
      <c r="C442" t="s">
        <v>23</v>
      </c>
      <c r="D442" t="s">
        <v>28</v>
      </c>
      <c r="E442" t="s">
        <v>10</v>
      </c>
      <c r="F442">
        <v>2046.76</v>
      </c>
      <c r="G442">
        <v>2023</v>
      </c>
    </row>
    <row r="443" spans="1:7" x14ac:dyDescent="0.3">
      <c r="A443" t="s">
        <v>85</v>
      </c>
      <c r="B443" t="s">
        <v>30</v>
      </c>
      <c r="C443" t="s">
        <v>8</v>
      </c>
      <c r="D443" t="s">
        <v>14</v>
      </c>
      <c r="E443" t="s">
        <v>24</v>
      </c>
      <c r="F443">
        <v>3397.43</v>
      </c>
      <c r="G443">
        <v>2022</v>
      </c>
    </row>
    <row r="444" spans="1:7" x14ac:dyDescent="0.3">
      <c r="A444" t="s">
        <v>195</v>
      </c>
      <c r="B444" t="s">
        <v>7</v>
      </c>
      <c r="C444" t="s">
        <v>13</v>
      </c>
      <c r="D444" t="s">
        <v>9</v>
      </c>
      <c r="E444" t="s">
        <v>10</v>
      </c>
      <c r="F444">
        <v>3221.57</v>
      </c>
      <c r="G444">
        <v>2022</v>
      </c>
    </row>
    <row r="445" spans="1:7" x14ac:dyDescent="0.3">
      <c r="A445" t="s">
        <v>121</v>
      </c>
      <c r="B445" t="s">
        <v>30</v>
      </c>
      <c r="C445" t="s">
        <v>13</v>
      </c>
      <c r="D445" t="s">
        <v>9</v>
      </c>
      <c r="E445" t="s">
        <v>15</v>
      </c>
      <c r="F445">
        <v>4882.47</v>
      </c>
      <c r="G445">
        <v>2022</v>
      </c>
    </row>
    <row r="446" spans="1:7" x14ac:dyDescent="0.3">
      <c r="A446" t="s">
        <v>197</v>
      </c>
      <c r="B446" t="s">
        <v>30</v>
      </c>
      <c r="C446" t="s">
        <v>13</v>
      </c>
      <c r="D446" t="s">
        <v>28</v>
      </c>
      <c r="E446" t="s">
        <v>24</v>
      </c>
      <c r="F446">
        <v>2857.09</v>
      </c>
      <c r="G446">
        <v>2022</v>
      </c>
    </row>
    <row r="447" spans="1:7" x14ac:dyDescent="0.3">
      <c r="A447" t="s">
        <v>143</v>
      </c>
      <c r="B447" t="s">
        <v>17</v>
      </c>
      <c r="C447" t="s">
        <v>8</v>
      </c>
      <c r="D447" t="s">
        <v>14</v>
      </c>
      <c r="E447" t="s">
        <v>24</v>
      </c>
      <c r="F447">
        <v>1140.1600000000001</v>
      </c>
      <c r="G447">
        <v>2022</v>
      </c>
    </row>
    <row r="448" spans="1:7" x14ac:dyDescent="0.3">
      <c r="A448" t="s">
        <v>52</v>
      </c>
      <c r="B448" t="s">
        <v>19</v>
      </c>
      <c r="C448" t="s">
        <v>34</v>
      </c>
      <c r="D448" t="s">
        <v>9</v>
      </c>
      <c r="E448" t="s">
        <v>24</v>
      </c>
      <c r="F448">
        <v>2822.94</v>
      </c>
      <c r="G448">
        <v>2023</v>
      </c>
    </row>
    <row r="449" spans="1:7" x14ac:dyDescent="0.3">
      <c r="A449" t="s">
        <v>129</v>
      </c>
      <c r="B449" t="s">
        <v>17</v>
      </c>
      <c r="C449" t="s">
        <v>23</v>
      </c>
      <c r="D449" t="s">
        <v>28</v>
      </c>
      <c r="E449" t="s">
        <v>15</v>
      </c>
      <c r="F449">
        <v>727.78</v>
      </c>
      <c r="G449">
        <v>2023</v>
      </c>
    </row>
    <row r="450" spans="1:7" x14ac:dyDescent="0.3">
      <c r="A450" t="s">
        <v>183</v>
      </c>
      <c r="B450" t="s">
        <v>7</v>
      </c>
      <c r="C450" t="s">
        <v>8</v>
      </c>
      <c r="D450" t="s">
        <v>9</v>
      </c>
      <c r="E450" t="s">
        <v>10</v>
      </c>
      <c r="F450">
        <v>367.9</v>
      </c>
      <c r="G450">
        <v>2022</v>
      </c>
    </row>
    <row r="451" spans="1:7" x14ac:dyDescent="0.3">
      <c r="A451" t="s">
        <v>198</v>
      </c>
      <c r="B451" t="s">
        <v>12</v>
      </c>
      <c r="C451" t="s">
        <v>34</v>
      </c>
      <c r="D451" t="s">
        <v>14</v>
      </c>
      <c r="E451" t="s">
        <v>10</v>
      </c>
      <c r="F451">
        <v>2303.56</v>
      </c>
      <c r="G451">
        <v>2023</v>
      </c>
    </row>
    <row r="452" spans="1:7" x14ac:dyDescent="0.3">
      <c r="A452" t="s">
        <v>147</v>
      </c>
      <c r="B452" t="s">
        <v>17</v>
      </c>
      <c r="C452" t="s">
        <v>34</v>
      </c>
      <c r="D452" t="s">
        <v>14</v>
      </c>
      <c r="E452" t="s">
        <v>15</v>
      </c>
      <c r="F452">
        <v>1650.12</v>
      </c>
      <c r="G452">
        <v>2023</v>
      </c>
    </row>
    <row r="453" spans="1:7" x14ac:dyDescent="0.3">
      <c r="A453" t="s">
        <v>134</v>
      </c>
      <c r="B453" t="s">
        <v>7</v>
      </c>
      <c r="C453" t="s">
        <v>8</v>
      </c>
      <c r="D453" t="s">
        <v>9</v>
      </c>
      <c r="E453" t="s">
        <v>15</v>
      </c>
      <c r="F453">
        <v>4564.3999999999996</v>
      </c>
      <c r="G453">
        <v>2022</v>
      </c>
    </row>
    <row r="454" spans="1:7" x14ac:dyDescent="0.3">
      <c r="A454" t="s">
        <v>124</v>
      </c>
      <c r="B454" t="s">
        <v>12</v>
      </c>
      <c r="C454" t="s">
        <v>8</v>
      </c>
      <c r="D454" t="s">
        <v>14</v>
      </c>
      <c r="E454" t="s">
        <v>24</v>
      </c>
      <c r="F454">
        <v>3466.51</v>
      </c>
      <c r="G454">
        <v>2022</v>
      </c>
    </row>
    <row r="455" spans="1:7" x14ac:dyDescent="0.3">
      <c r="A455" t="s">
        <v>172</v>
      </c>
      <c r="B455" t="s">
        <v>7</v>
      </c>
      <c r="C455" t="s">
        <v>13</v>
      </c>
      <c r="D455" t="s">
        <v>14</v>
      </c>
      <c r="E455" t="s">
        <v>15</v>
      </c>
      <c r="F455">
        <v>4237.8100000000004</v>
      </c>
      <c r="G455">
        <v>2022</v>
      </c>
    </row>
    <row r="456" spans="1:7" x14ac:dyDescent="0.3">
      <c r="A456" t="s">
        <v>36</v>
      </c>
      <c r="B456" t="s">
        <v>12</v>
      </c>
      <c r="C456" t="s">
        <v>23</v>
      </c>
      <c r="D456" t="s">
        <v>28</v>
      </c>
      <c r="E456" t="s">
        <v>24</v>
      </c>
      <c r="F456">
        <v>323.04000000000002</v>
      </c>
      <c r="G456">
        <v>2023</v>
      </c>
    </row>
    <row r="457" spans="1:7" x14ac:dyDescent="0.3">
      <c r="A457" t="s">
        <v>134</v>
      </c>
      <c r="B457" t="s">
        <v>7</v>
      </c>
      <c r="C457" t="s">
        <v>23</v>
      </c>
      <c r="D457" t="s">
        <v>28</v>
      </c>
      <c r="E457" t="s">
        <v>24</v>
      </c>
      <c r="F457">
        <v>3867.63</v>
      </c>
      <c r="G457">
        <v>2023</v>
      </c>
    </row>
    <row r="458" spans="1:7" x14ac:dyDescent="0.3">
      <c r="A458" t="s">
        <v>172</v>
      </c>
      <c r="B458" t="s">
        <v>7</v>
      </c>
      <c r="C458" t="s">
        <v>23</v>
      </c>
      <c r="D458" t="s">
        <v>9</v>
      </c>
      <c r="E458" t="s">
        <v>15</v>
      </c>
      <c r="F458">
        <v>748.11</v>
      </c>
      <c r="G458">
        <v>2023</v>
      </c>
    </row>
    <row r="459" spans="1:7" x14ac:dyDescent="0.3">
      <c r="A459" t="s">
        <v>37</v>
      </c>
      <c r="B459" t="s">
        <v>17</v>
      </c>
      <c r="C459" t="s">
        <v>23</v>
      </c>
      <c r="D459" t="s">
        <v>9</v>
      </c>
      <c r="E459" t="s">
        <v>15</v>
      </c>
      <c r="F459">
        <v>654.86</v>
      </c>
      <c r="G459">
        <v>2023</v>
      </c>
    </row>
    <row r="460" spans="1:7" x14ac:dyDescent="0.3">
      <c r="A460" t="s">
        <v>50</v>
      </c>
      <c r="B460" t="s">
        <v>19</v>
      </c>
      <c r="C460" t="s">
        <v>8</v>
      </c>
      <c r="D460" t="s">
        <v>14</v>
      </c>
      <c r="E460" t="s">
        <v>24</v>
      </c>
      <c r="F460">
        <v>2241.89</v>
      </c>
      <c r="G460">
        <v>2022</v>
      </c>
    </row>
    <row r="461" spans="1:7" x14ac:dyDescent="0.3">
      <c r="A461" t="s">
        <v>48</v>
      </c>
      <c r="B461" t="s">
        <v>19</v>
      </c>
      <c r="C461" t="s">
        <v>13</v>
      </c>
      <c r="D461" t="s">
        <v>28</v>
      </c>
      <c r="E461" t="s">
        <v>10</v>
      </c>
      <c r="F461">
        <v>3489.31</v>
      </c>
      <c r="G461">
        <v>2022</v>
      </c>
    </row>
    <row r="462" spans="1:7" x14ac:dyDescent="0.3">
      <c r="A462" t="s">
        <v>123</v>
      </c>
      <c r="B462" t="s">
        <v>30</v>
      </c>
      <c r="C462" t="s">
        <v>23</v>
      </c>
      <c r="D462" t="s">
        <v>14</v>
      </c>
      <c r="E462" t="s">
        <v>15</v>
      </c>
      <c r="F462">
        <v>2200.2199999999998</v>
      </c>
      <c r="G462">
        <v>2023</v>
      </c>
    </row>
    <row r="463" spans="1:7" x14ac:dyDescent="0.3">
      <c r="A463" t="s">
        <v>198</v>
      </c>
      <c r="B463" t="s">
        <v>12</v>
      </c>
      <c r="C463" t="s">
        <v>23</v>
      </c>
      <c r="D463" t="s">
        <v>14</v>
      </c>
      <c r="E463" t="s">
        <v>15</v>
      </c>
      <c r="F463">
        <v>3247.72</v>
      </c>
      <c r="G463">
        <v>2023</v>
      </c>
    </row>
    <row r="464" spans="1:7" x14ac:dyDescent="0.3">
      <c r="A464" t="s">
        <v>69</v>
      </c>
      <c r="B464" t="s">
        <v>7</v>
      </c>
      <c r="C464" t="s">
        <v>13</v>
      </c>
      <c r="D464" t="s">
        <v>28</v>
      </c>
      <c r="E464" t="s">
        <v>24</v>
      </c>
      <c r="F464">
        <v>3855.39</v>
      </c>
      <c r="G464">
        <v>2022</v>
      </c>
    </row>
    <row r="465" spans="1:7" x14ac:dyDescent="0.3">
      <c r="A465" t="s">
        <v>35</v>
      </c>
      <c r="B465" t="s">
        <v>19</v>
      </c>
      <c r="C465" t="s">
        <v>8</v>
      </c>
      <c r="D465" t="s">
        <v>9</v>
      </c>
      <c r="E465" t="s">
        <v>24</v>
      </c>
      <c r="F465">
        <v>3111.26</v>
      </c>
      <c r="G465">
        <v>2022</v>
      </c>
    </row>
    <row r="466" spans="1:7" x14ac:dyDescent="0.3">
      <c r="A466" t="s">
        <v>29</v>
      </c>
      <c r="B466" t="s">
        <v>30</v>
      </c>
      <c r="C466" t="s">
        <v>34</v>
      </c>
      <c r="D466" t="s">
        <v>14</v>
      </c>
      <c r="E466" t="s">
        <v>10</v>
      </c>
      <c r="F466">
        <v>2036.83</v>
      </c>
      <c r="G466">
        <v>2023</v>
      </c>
    </row>
    <row r="467" spans="1:7" x14ac:dyDescent="0.3">
      <c r="A467" t="s">
        <v>63</v>
      </c>
      <c r="B467" t="s">
        <v>12</v>
      </c>
      <c r="C467" t="s">
        <v>8</v>
      </c>
      <c r="D467" t="s">
        <v>14</v>
      </c>
      <c r="E467" t="s">
        <v>15</v>
      </c>
      <c r="F467">
        <v>4876.37</v>
      </c>
      <c r="G467">
        <v>2022</v>
      </c>
    </row>
    <row r="468" spans="1:7" x14ac:dyDescent="0.3">
      <c r="A468" t="s">
        <v>149</v>
      </c>
      <c r="B468" t="s">
        <v>17</v>
      </c>
      <c r="C468" t="s">
        <v>8</v>
      </c>
      <c r="D468" t="s">
        <v>14</v>
      </c>
      <c r="E468" t="s">
        <v>24</v>
      </c>
      <c r="F468">
        <v>4256.16</v>
      </c>
      <c r="G468">
        <v>2022</v>
      </c>
    </row>
    <row r="469" spans="1:7" x14ac:dyDescent="0.3">
      <c r="A469" t="s">
        <v>36</v>
      </c>
      <c r="B469" t="s">
        <v>12</v>
      </c>
      <c r="C469" t="s">
        <v>13</v>
      </c>
      <c r="D469" t="s">
        <v>14</v>
      </c>
      <c r="E469" t="s">
        <v>15</v>
      </c>
      <c r="F469">
        <v>4947.18</v>
      </c>
      <c r="G469">
        <v>2022</v>
      </c>
    </row>
    <row r="470" spans="1:7" x14ac:dyDescent="0.3">
      <c r="A470" t="s">
        <v>38</v>
      </c>
      <c r="B470" t="s">
        <v>30</v>
      </c>
      <c r="C470" t="s">
        <v>34</v>
      </c>
      <c r="D470" t="s">
        <v>28</v>
      </c>
      <c r="E470" t="s">
        <v>10</v>
      </c>
      <c r="F470">
        <v>425.91</v>
      </c>
      <c r="G470">
        <v>2023</v>
      </c>
    </row>
    <row r="471" spans="1:7" x14ac:dyDescent="0.3">
      <c r="A471" t="s">
        <v>182</v>
      </c>
      <c r="B471" t="s">
        <v>12</v>
      </c>
      <c r="C471" t="s">
        <v>8</v>
      </c>
      <c r="D471" t="s">
        <v>28</v>
      </c>
      <c r="E471" t="s">
        <v>10</v>
      </c>
      <c r="F471">
        <v>4620.84</v>
      </c>
      <c r="G471">
        <v>2022</v>
      </c>
    </row>
    <row r="472" spans="1:7" x14ac:dyDescent="0.3">
      <c r="A472" t="s">
        <v>87</v>
      </c>
      <c r="B472" t="s">
        <v>12</v>
      </c>
      <c r="C472" t="s">
        <v>8</v>
      </c>
      <c r="D472" t="s">
        <v>9</v>
      </c>
      <c r="E472" t="s">
        <v>24</v>
      </c>
      <c r="F472">
        <v>4302.5</v>
      </c>
      <c r="G472">
        <v>2022</v>
      </c>
    </row>
    <row r="473" spans="1:7" x14ac:dyDescent="0.3">
      <c r="A473" t="s">
        <v>159</v>
      </c>
      <c r="B473" t="s">
        <v>7</v>
      </c>
      <c r="C473" t="s">
        <v>34</v>
      </c>
      <c r="D473" t="s">
        <v>14</v>
      </c>
      <c r="E473" t="s">
        <v>15</v>
      </c>
      <c r="F473">
        <v>2571.46</v>
      </c>
      <c r="G473">
        <v>2023</v>
      </c>
    </row>
    <row r="474" spans="1:7" x14ac:dyDescent="0.3">
      <c r="A474" t="s">
        <v>106</v>
      </c>
      <c r="B474" t="s">
        <v>12</v>
      </c>
      <c r="C474" t="s">
        <v>8</v>
      </c>
      <c r="D474" t="s">
        <v>14</v>
      </c>
      <c r="E474" t="s">
        <v>15</v>
      </c>
      <c r="F474">
        <v>968.92</v>
      </c>
      <c r="G474">
        <v>2022</v>
      </c>
    </row>
    <row r="475" spans="1:7" x14ac:dyDescent="0.3">
      <c r="A475" t="s">
        <v>18</v>
      </c>
      <c r="B475" t="s">
        <v>19</v>
      </c>
      <c r="C475" t="s">
        <v>23</v>
      </c>
      <c r="D475" t="s">
        <v>9</v>
      </c>
      <c r="E475" t="s">
        <v>24</v>
      </c>
      <c r="F475">
        <v>2916.99</v>
      </c>
      <c r="G475">
        <v>2023</v>
      </c>
    </row>
    <row r="476" spans="1:7" x14ac:dyDescent="0.3">
      <c r="A476" t="s">
        <v>33</v>
      </c>
      <c r="B476" t="s">
        <v>19</v>
      </c>
      <c r="C476" t="s">
        <v>8</v>
      </c>
      <c r="D476" t="s">
        <v>9</v>
      </c>
      <c r="E476" t="s">
        <v>10</v>
      </c>
      <c r="F476">
        <v>4400.8900000000003</v>
      </c>
      <c r="G476">
        <v>2022</v>
      </c>
    </row>
    <row r="477" spans="1:7" x14ac:dyDescent="0.3">
      <c r="A477" t="s">
        <v>195</v>
      </c>
      <c r="B477" t="s">
        <v>7</v>
      </c>
      <c r="C477" t="s">
        <v>13</v>
      </c>
      <c r="D477" t="s">
        <v>9</v>
      </c>
      <c r="E477" t="s">
        <v>10</v>
      </c>
      <c r="F477">
        <v>1791.29</v>
      </c>
      <c r="G477">
        <v>2022</v>
      </c>
    </row>
    <row r="478" spans="1:7" x14ac:dyDescent="0.3">
      <c r="A478" t="s">
        <v>61</v>
      </c>
      <c r="B478" t="s">
        <v>30</v>
      </c>
      <c r="C478" t="s">
        <v>8</v>
      </c>
      <c r="D478" t="s">
        <v>14</v>
      </c>
      <c r="E478" t="s">
        <v>15</v>
      </c>
      <c r="F478">
        <v>594.47</v>
      </c>
      <c r="G478">
        <v>2022</v>
      </c>
    </row>
    <row r="479" spans="1:7" x14ac:dyDescent="0.3">
      <c r="A479" t="s">
        <v>199</v>
      </c>
      <c r="B479" t="s">
        <v>17</v>
      </c>
      <c r="C479" t="s">
        <v>34</v>
      </c>
      <c r="D479" t="s">
        <v>28</v>
      </c>
      <c r="E479" t="s">
        <v>15</v>
      </c>
      <c r="F479">
        <v>2602.85</v>
      </c>
      <c r="G479">
        <v>2023</v>
      </c>
    </row>
    <row r="480" spans="1:7" x14ac:dyDescent="0.3">
      <c r="A480" t="s">
        <v>31</v>
      </c>
      <c r="B480" t="s">
        <v>30</v>
      </c>
      <c r="C480" t="s">
        <v>8</v>
      </c>
      <c r="D480" t="s">
        <v>14</v>
      </c>
      <c r="E480" t="s">
        <v>24</v>
      </c>
      <c r="F480">
        <v>558.53</v>
      </c>
      <c r="G480">
        <v>2022</v>
      </c>
    </row>
    <row r="481" spans="1:7" x14ac:dyDescent="0.3">
      <c r="A481" t="s">
        <v>105</v>
      </c>
      <c r="B481" t="s">
        <v>30</v>
      </c>
      <c r="C481" t="s">
        <v>23</v>
      </c>
      <c r="D481" t="s">
        <v>28</v>
      </c>
      <c r="E481" t="s">
        <v>24</v>
      </c>
      <c r="F481">
        <v>3004.54</v>
      </c>
      <c r="G481">
        <v>2023</v>
      </c>
    </row>
    <row r="482" spans="1:7" x14ac:dyDescent="0.3">
      <c r="A482" t="s">
        <v>104</v>
      </c>
      <c r="B482" t="s">
        <v>17</v>
      </c>
      <c r="C482" t="s">
        <v>34</v>
      </c>
      <c r="D482" t="s">
        <v>14</v>
      </c>
      <c r="E482" t="s">
        <v>15</v>
      </c>
      <c r="F482">
        <v>1288.92</v>
      </c>
      <c r="G482">
        <v>2023</v>
      </c>
    </row>
    <row r="483" spans="1:7" x14ac:dyDescent="0.3">
      <c r="A483" t="s">
        <v>200</v>
      </c>
      <c r="B483" t="s">
        <v>30</v>
      </c>
      <c r="C483" t="s">
        <v>8</v>
      </c>
      <c r="D483" t="s">
        <v>9</v>
      </c>
      <c r="E483" t="s">
        <v>24</v>
      </c>
      <c r="F483">
        <v>4950.7700000000004</v>
      </c>
      <c r="G483">
        <v>2022</v>
      </c>
    </row>
    <row r="484" spans="1:7" x14ac:dyDescent="0.3">
      <c r="A484" t="s">
        <v>33</v>
      </c>
      <c r="B484" t="s">
        <v>19</v>
      </c>
      <c r="C484" t="s">
        <v>34</v>
      </c>
      <c r="D484" t="s">
        <v>28</v>
      </c>
      <c r="E484" t="s">
        <v>24</v>
      </c>
      <c r="F484">
        <v>3982.02</v>
      </c>
      <c r="G484">
        <v>2023</v>
      </c>
    </row>
    <row r="485" spans="1:7" x14ac:dyDescent="0.3">
      <c r="A485" t="s">
        <v>196</v>
      </c>
      <c r="B485" t="s">
        <v>30</v>
      </c>
      <c r="C485" t="s">
        <v>8</v>
      </c>
      <c r="D485" t="s">
        <v>28</v>
      </c>
      <c r="E485" t="s">
        <v>24</v>
      </c>
      <c r="F485">
        <v>106.32</v>
      </c>
      <c r="G485">
        <v>2022</v>
      </c>
    </row>
    <row r="486" spans="1:7" x14ac:dyDescent="0.3">
      <c r="A486" t="s">
        <v>201</v>
      </c>
      <c r="B486" t="s">
        <v>12</v>
      </c>
      <c r="C486" t="s">
        <v>34</v>
      </c>
      <c r="D486" t="s">
        <v>9</v>
      </c>
      <c r="E486" t="s">
        <v>10</v>
      </c>
      <c r="F486">
        <v>1752.03</v>
      </c>
      <c r="G486">
        <v>2023</v>
      </c>
    </row>
    <row r="487" spans="1:7" x14ac:dyDescent="0.3">
      <c r="A487" t="s">
        <v>129</v>
      </c>
      <c r="B487" t="s">
        <v>17</v>
      </c>
      <c r="C487" t="s">
        <v>13</v>
      </c>
      <c r="D487" t="s">
        <v>28</v>
      </c>
      <c r="E487" t="s">
        <v>15</v>
      </c>
      <c r="F487">
        <v>2963</v>
      </c>
      <c r="G487">
        <v>2022</v>
      </c>
    </row>
    <row r="488" spans="1:7" x14ac:dyDescent="0.3">
      <c r="A488" t="s">
        <v>180</v>
      </c>
      <c r="B488" t="s">
        <v>30</v>
      </c>
      <c r="C488" t="s">
        <v>13</v>
      </c>
      <c r="D488" t="s">
        <v>28</v>
      </c>
      <c r="E488" t="s">
        <v>10</v>
      </c>
      <c r="F488">
        <v>2067.13</v>
      </c>
      <c r="G488">
        <v>2022</v>
      </c>
    </row>
    <row r="489" spans="1:7" x14ac:dyDescent="0.3">
      <c r="A489" t="s">
        <v>181</v>
      </c>
      <c r="B489" t="s">
        <v>30</v>
      </c>
      <c r="C489" t="s">
        <v>8</v>
      </c>
      <c r="D489" t="s">
        <v>28</v>
      </c>
      <c r="E489" t="s">
        <v>15</v>
      </c>
      <c r="F489">
        <v>1493.38</v>
      </c>
      <c r="G489">
        <v>2022</v>
      </c>
    </row>
    <row r="490" spans="1:7" x14ac:dyDescent="0.3">
      <c r="A490" t="s">
        <v>173</v>
      </c>
      <c r="B490" t="s">
        <v>30</v>
      </c>
      <c r="C490" t="s">
        <v>8</v>
      </c>
      <c r="D490" t="s">
        <v>9</v>
      </c>
      <c r="E490" t="s">
        <v>24</v>
      </c>
      <c r="F490">
        <v>1311.82</v>
      </c>
      <c r="G490">
        <v>2022</v>
      </c>
    </row>
    <row r="491" spans="1:7" x14ac:dyDescent="0.3">
      <c r="A491" t="s">
        <v>200</v>
      </c>
      <c r="B491" t="s">
        <v>30</v>
      </c>
      <c r="C491" t="s">
        <v>8</v>
      </c>
      <c r="D491" t="s">
        <v>9</v>
      </c>
      <c r="E491" t="s">
        <v>15</v>
      </c>
      <c r="F491">
        <v>3998.63</v>
      </c>
      <c r="G491">
        <v>2022</v>
      </c>
    </row>
    <row r="492" spans="1:7" x14ac:dyDescent="0.3">
      <c r="A492" t="s">
        <v>33</v>
      </c>
      <c r="B492" t="s">
        <v>19</v>
      </c>
      <c r="C492" t="s">
        <v>34</v>
      </c>
      <c r="D492" t="s">
        <v>14</v>
      </c>
      <c r="E492" t="s">
        <v>10</v>
      </c>
      <c r="F492">
        <v>4224.63</v>
      </c>
      <c r="G492">
        <v>2023</v>
      </c>
    </row>
    <row r="493" spans="1:7" x14ac:dyDescent="0.3">
      <c r="A493" t="s">
        <v>96</v>
      </c>
      <c r="B493" t="s">
        <v>19</v>
      </c>
      <c r="C493" t="s">
        <v>34</v>
      </c>
      <c r="D493" t="s">
        <v>9</v>
      </c>
      <c r="E493" t="s">
        <v>15</v>
      </c>
      <c r="F493">
        <v>2249.11</v>
      </c>
      <c r="G493">
        <v>2023</v>
      </c>
    </row>
    <row r="494" spans="1:7" x14ac:dyDescent="0.3">
      <c r="A494" t="s">
        <v>105</v>
      </c>
      <c r="B494" t="s">
        <v>30</v>
      </c>
      <c r="C494" t="s">
        <v>23</v>
      </c>
      <c r="D494" t="s">
        <v>28</v>
      </c>
      <c r="E494" t="s">
        <v>24</v>
      </c>
      <c r="F494">
        <v>1492.82</v>
      </c>
      <c r="G494">
        <v>2023</v>
      </c>
    </row>
    <row r="495" spans="1:7" x14ac:dyDescent="0.3">
      <c r="A495" t="s">
        <v>132</v>
      </c>
      <c r="B495" t="s">
        <v>19</v>
      </c>
      <c r="C495" t="s">
        <v>8</v>
      </c>
      <c r="D495" t="s">
        <v>9</v>
      </c>
      <c r="E495" t="s">
        <v>24</v>
      </c>
      <c r="F495">
        <v>4652.88</v>
      </c>
      <c r="G495">
        <v>2022</v>
      </c>
    </row>
    <row r="496" spans="1:7" x14ac:dyDescent="0.3">
      <c r="A496" t="s">
        <v>69</v>
      </c>
      <c r="B496" t="s">
        <v>7</v>
      </c>
      <c r="C496" t="s">
        <v>34</v>
      </c>
      <c r="D496" t="s">
        <v>14</v>
      </c>
      <c r="E496" t="s">
        <v>10</v>
      </c>
      <c r="F496">
        <v>2725.88</v>
      </c>
      <c r="G496">
        <v>2023</v>
      </c>
    </row>
    <row r="497" spans="1:7" x14ac:dyDescent="0.3">
      <c r="A497" t="s">
        <v>75</v>
      </c>
      <c r="B497" t="s">
        <v>19</v>
      </c>
      <c r="C497" t="s">
        <v>23</v>
      </c>
      <c r="D497" t="s">
        <v>9</v>
      </c>
      <c r="E497" t="s">
        <v>24</v>
      </c>
      <c r="F497">
        <v>3666.38</v>
      </c>
      <c r="G497">
        <v>2023</v>
      </c>
    </row>
    <row r="498" spans="1:7" x14ac:dyDescent="0.3">
      <c r="A498" t="s">
        <v>202</v>
      </c>
      <c r="B498" t="s">
        <v>12</v>
      </c>
      <c r="C498" t="s">
        <v>23</v>
      </c>
      <c r="D498" t="s">
        <v>28</v>
      </c>
      <c r="E498" t="s">
        <v>15</v>
      </c>
      <c r="F498">
        <v>216.52</v>
      </c>
      <c r="G498">
        <v>2023</v>
      </c>
    </row>
    <row r="499" spans="1:7" x14ac:dyDescent="0.3">
      <c r="A499" t="s">
        <v>203</v>
      </c>
      <c r="B499" t="s">
        <v>12</v>
      </c>
      <c r="C499" t="s">
        <v>34</v>
      </c>
      <c r="D499" t="s">
        <v>14</v>
      </c>
      <c r="E499" t="s">
        <v>10</v>
      </c>
      <c r="F499">
        <v>1898.59</v>
      </c>
      <c r="G499">
        <v>2023</v>
      </c>
    </row>
    <row r="500" spans="1:7" x14ac:dyDescent="0.3">
      <c r="A500" t="s">
        <v>94</v>
      </c>
      <c r="B500" t="s">
        <v>7</v>
      </c>
      <c r="C500" t="s">
        <v>23</v>
      </c>
      <c r="D500" t="s">
        <v>9</v>
      </c>
      <c r="E500" t="s">
        <v>10</v>
      </c>
      <c r="F500">
        <v>3557.57</v>
      </c>
      <c r="G500">
        <v>2023</v>
      </c>
    </row>
    <row r="501" spans="1:7" x14ac:dyDescent="0.3">
      <c r="A501" t="s">
        <v>116</v>
      </c>
      <c r="B501" t="s">
        <v>17</v>
      </c>
      <c r="C501" t="s">
        <v>13</v>
      </c>
      <c r="D501" t="s">
        <v>9</v>
      </c>
      <c r="E501" t="s">
        <v>15</v>
      </c>
      <c r="F501">
        <v>1488.08</v>
      </c>
      <c r="G501">
        <v>2022</v>
      </c>
    </row>
    <row r="502" spans="1:7" x14ac:dyDescent="0.3">
      <c r="A502" t="s">
        <v>6</v>
      </c>
      <c r="B502" t="s">
        <v>7</v>
      </c>
      <c r="C502" t="s">
        <v>23</v>
      </c>
      <c r="D502" t="s">
        <v>14</v>
      </c>
      <c r="E502" t="s">
        <v>10</v>
      </c>
      <c r="F502">
        <v>4949.0200000000004</v>
      </c>
      <c r="G502">
        <v>2023</v>
      </c>
    </row>
    <row r="503" spans="1:7" x14ac:dyDescent="0.3">
      <c r="A503" t="s">
        <v>56</v>
      </c>
      <c r="B503" t="s">
        <v>19</v>
      </c>
      <c r="C503" t="s">
        <v>34</v>
      </c>
      <c r="D503" t="s">
        <v>9</v>
      </c>
      <c r="E503" t="s">
        <v>15</v>
      </c>
      <c r="F503">
        <v>601.16999999999996</v>
      </c>
      <c r="G503">
        <v>2023</v>
      </c>
    </row>
    <row r="504" spans="1:7" x14ac:dyDescent="0.3">
      <c r="A504" t="s">
        <v>32</v>
      </c>
      <c r="B504" t="s">
        <v>7</v>
      </c>
      <c r="C504" t="s">
        <v>23</v>
      </c>
      <c r="D504" t="s">
        <v>9</v>
      </c>
      <c r="E504" t="s">
        <v>15</v>
      </c>
      <c r="F504">
        <v>4121.8599999999997</v>
      </c>
      <c r="G504">
        <v>2023</v>
      </c>
    </row>
    <row r="505" spans="1:7" x14ac:dyDescent="0.3">
      <c r="A505" t="s">
        <v>96</v>
      </c>
      <c r="B505" t="s">
        <v>19</v>
      </c>
      <c r="C505" t="s">
        <v>13</v>
      </c>
      <c r="D505" t="s">
        <v>28</v>
      </c>
      <c r="E505" t="s">
        <v>15</v>
      </c>
      <c r="F505">
        <v>2038.67</v>
      </c>
      <c r="G505">
        <v>2022</v>
      </c>
    </row>
    <row r="506" spans="1:7" x14ac:dyDescent="0.3">
      <c r="A506" t="s">
        <v>151</v>
      </c>
      <c r="B506" t="s">
        <v>12</v>
      </c>
      <c r="C506" t="s">
        <v>23</v>
      </c>
      <c r="D506" t="s">
        <v>14</v>
      </c>
      <c r="E506" t="s">
        <v>10</v>
      </c>
      <c r="F506">
        <v>1823.3</v>
      </c>
      <c r="G506">
        <v>2023</v>
      </c>
    </row>
    <row r="507" spans="1:7" x14ac:dyDescent="0.3">
      <c r="A507" t="s">
        <v>204</v>
      </c>
      <c r="B507" t="s">
        <v>30</v>
      </c>
      <c r="C507" t="s">
        <v>8</v>
      </c>
      <c r="D507" t="s">
        <v>9</v>
      </c>
      <c r="E507" t="s">
        <v>10</v>
      </c>
      <c r="F507">
        <v>380.6</v>
      </c>
      <c r="G507">
        <v>2022</v>
      </c>
    </row>
    <row r="508" spans="1:7" x14ac:dyDescent="0.3">
      <c r="A508" t="s">
        <v>189</v>
      </c>
      <c r="B508" t="s">
        <v>19</v>
      </c>
      <c r="C508" t="s">
        <v>13</v>
      </c>
      <c r="D508" t="s">
        <v>28</v>
      </c>
      <c r="E508" t="s">
        <v>15</v>
      </c>
      <c r="F508">
        <v>3069.63</v>
      </c>
      <c r="G508">
        <v>2022</v>
      </c>
    </row>
    <row r="509" spans="1:7" x14ac:dyDescent="0.3">
      <c r="A509" t="s">
        <v>121</v>
      </c>
      <c r="B509" t="s">
        <v>30</v>
      </c>
      <c r="C509" t="s">
        <v>8</v>
      </c>
      <c r="D509" t="s">
        <v>28</v>
      </c>
      <c r="E509" t="s">
        <v>15</v>
      </c>
      <c r="F509">
        <v>1532.06</v>
      </c>
      <c r="G509">
        <v>2022</v>
      </c>
    </row>
    <row r="510" spans="1:7" x14ac:dyDescent="0.3">
      <c r="A510" t="s">
        <v>125</v>
      </c>
      <c r="B510" t="s">
        <v>7</v>
      </c>
      <c r="C510" t="s">
        <v>8</v>
      </c>
      <c r="D510" t="s">
        <v>28</v>
      </c>
      <c r="E510" t="s">
        <v>10</v>
      </c>
      <c r="F510">
        <v>3269.38</v>
      </c>
      <c r="G510">
        <v>2022</v>
      </c>
    </row>
    <row r="511" spans="1:7" x14ac:dyDescent="0.3">
      <c r="A511" t="s">
        <v>75</v>
      </c>
      <c r="B511" t="s">
        <v>19</v>
      </c>
      <c r="C511" t="s">
        <v>8</v>
      </c>
      <c r="D511" t="s">
        <v>9</v>
      </c>
      <c r="E511" t="s">
        <v>10</v>
      </c>
      <c r="F511">
        <v>2397.75</v>
      </c>
      <c r="G511">
        <v>2022</v>
      </c>
    </row>
    <row r="512" spans="1:7" x14ac:dyDescent="0.3">
      <c r="A512" t="s">
        <v>58</v>
      </c>
      <c r="B512" t="s">
        <v>17</v>
      </c>
      <c r="C512" t="s">
        <v>34</v>
      </c>
      <c r="D512" t="s">
        <v>14</v>
      </c>
      <c r="E512" t="s">
        <v>10</v>
      </c>
      <c r="F512">
        <v>1104.3599999999999</v>
      </c>
      <c r="G512">
        <v>2023</v>
      </c>
    </row>
    <row r="513" spans="1:7" x14ac:dyDescent="0.3">
      <c r="A513" t="s">
        <v>89</v>
      </c>
      <c r="B513" t="s">
        <v>17</v>
      </c>
      <c r="C513" t="s">
        <v>8</v>
      </c>
      <c r="D513" t="s">
        <v>9</v>
      </c>
      <c r="E513" t="s">
        <v>24</v>
      </c>
      <c r="F513">
        <v>5406.29</v>
      </c>
      <c r="G513">
        <v>2022</v>
      </c>
    </row>
    <row r="514" spans="1:7" x14ac:dyDescent="0.3">
      <c r="A514" t="s">
        <v>97</v>
      </c>
      <c r="B514" t="s">
        <v>7</v>
      </c>
      <c r="C514" t="s">
        <v>8</v>
      </c>
      <c r="D514" t="s">
        <v>28</v>
      </c>
      <c r="E514" t="s">
        <v>15</v>
      </c>
      <c r="F514">
        <v>2419.31</v>
      </c>
      <c r="G514">
        <v>2022</v>
      </c>
    </row>
    <row r="515" spans="1:7" x14ac:dyDescent="0.3">
      <c r="A515" t="s">
        <v>153</v>
      </c>
      <c r="B515" t="s">
        <v>7</v>
      </c>
      <c r="C515" t="s">
        <v>34</v>
      </c>
      <c r="D515" t="s">
        <v>9</v>
      </c>
      <c r="E515" t="s">
        <v>24</v>
      </c>
      <c r="F515">
        <v>1984.27</v>
      </c>
      <c r="G515">
        <v>2023</v>
      </c>
    </row>
    <row r="516" spans="1:7" x14ac:dyDescent="0.3">
      <c r="A516" t="s">
        <v>74</v>
      </c>
      <c r="B516" t="s">
        <v>19</v>
      </c>
      <c r="C516" t="s">
        <v>13</v>
      </c>
      <c r="D516" t="s">
        <v>28</v>
      </c>
      <c r="E516" t="s">
        <v>15</v>
      </c>
      <c r="F516">
        <v>2554.5100000000002</v>
      </c>
      <c r="G516">
        <v>2022</v>
      </c>
    </row>
    <row r="517" spans="1:7" x14ac:dyDescent="0.3">
      <c r="A517" t="s">
        <v>193</v>
      </c>
      <c r="B517" t="s">
        <v>12</v>
      </c>
      <c r="C517" t="s">
        <v>23</v>
      </c>
      <c r="D517" t="s">
        <v>14</v>
      </c>
      <c r="E517" t="s">
        <v>10</v>
      </c>
      <c r="F517">
        <v>2087.4</v>
      </c>
      <c r="G517">
        <v>2023</v>
      </c>
    </row>
    <row r="518" spans="1:7" x14ac:dyDescent="0.3">
      <c r="A518" t="s">
        <v>121</v>
      </c>
      <c r="B518" t="s">
        <v>30</v>
      </c>
      <c r="C518" t="s">
        <v>34</v>
      </c>
      <c r="D518" t="s">
        <v>28</v>
      </c>
      <c r="E518" t="s">
        <v>15</v>
      </c>
      <c r="F518">
        <v>3785.96</v>
      </c>
      <c r="G518">
        <v>2023</v>
      </c>
    </row>
    <row r="519" spans="1:7" x14ac:dyDescent="0.3">
      <c r="A519" t="s">
        <v>110</v>
      </c>
      <c r="B519" t="s">
        <v>12</v>
      </c>
      <c r="C519" t="s">
        <v>23</v>
      </c>
      <c r="D519" t="s">
        <v>14</v>
      </c>
      <c r="E519" t="s">
        <v>15</v>
      </c>
      <c r="F519">
        <v>4818.79</v>
      </c>
      <c r="G519">
        <v>2023</v>
      </c>
    </row>
    <row r="520" spans="1:7" x14ac:dyDescent="0.3">
      <c r="A520" t="s">
        <v>105</v>
      </c>
      <c r="B520" t="s">
        <v>30</v>
      </c>
      <c r="C520" t="s">
        <v>13</v>
      </c>
      <c r="D520" t="s">
        <v>14</v>
      </c>
      <c r="E520" t="s">
        <v>15</v>
      </c>
      <c r="F520">
        <v>4888.34</v>
      </c>
      <c r="G520">
        <v>2022</v>
      </c>
    </row>
    <row r="521" spans="1:7" x14ac:dyDescent="0.3">
      <c r="A521" t="s">
        <v>16</v>
      </c>
      <c r="B521" t="s">
        <v>17</v>
      </c>
      <c r="C521" t="s">
        <v>34</v>
      </c>
      <c r="D521" t="s">
        <v>14</v>
      </c>
      <c r="E521" t="s">
        <v>15</v>
      </c>
      <c r="F521">
        <v>3595.37</v>
      </c>
      <c r="G521">
        <v>2023</v>
      </c>
    </row>
    <row r="522" spans="1:7" x14ac:dyDescent="0.3">
      <c r="A522" t="s">
        <v>109</v>
      </c>
      <c r="B522" t="s">
        <v>12</v>
      </c>
      <c r="C522" t="s">
        <v>34</v>
      </c>
      <c r="D522" t="s">
        <v>14</v>
      </c>
      <c r="E522" t="s">
        <v>10</v>
      </c>
      <c r="F522">
        <v>4258.79</v>
      </c>
      <c r="G522">
        <v>2023</v>
      </c>
    </row>
    <row r="523" spans="1:7" x14ac:dyDescent="0.3">
      <c r="A523" t="s">
        <v>186</v>
      </c>
      <c r="B523" t="s">
        <v>30</v>
      </c>
      <c r="C523" t="s">
        <v>34</v>
      </c>
      <c r="D523" t="s">
        <v>28</v>
      </c>
      <c r="E523" t="s">
        <v>15</v>
      </c>
      <c r="F523">
        <v>2679.07</v>
      </c>
      <c r="G523">
        <v>2023</v>
      </c>
    </row>
    <row r="524" spans="1:7" x14ac:dyDescent="0.3">
      <c r="A524" t="s">
        <v>53</v>
      </c>
      <c r="B524" t="s">
        <v>7</v>
      </c>
      <c r="C524" t="s">
        <v>8</v>
      </c>
      <c r="D524" t="s">
        <v>28</v>
      </c>
      <c r="E524" t="s">
        <v>24</v>
      </c>
      <c r="F524">
        <v>3884.75</v>
      </c>
      <c r="G524">
        <v>2022</v>
      </c>
    </row>
    <row r="525" spans="1:7" x14ac:dyDescent="0.3">
      <c r="A525" t="s">
        <v>52</v>
      </c>
      <c r="B525" t="s">
        <v>19</v>
      </c>
      <c r="C525" t="s">
        <v>34</v>
      </c>
      <c r="D525" t="s">
        <v>28</v>
      </c>
      <c r="E525" t="s">
        <v>24</v>
      </c>
      <c r="F525">
        <v>3771</v>
      </c>
      <c r="G525">
        <v>2023</v>
      </c>
    </row>
    <row r="526" spans="1:7" x14ac:dyDescent="0.3">
      <c r="A526" t="s">
        <v>152</v>
      </c>
      <c r="B526" t="s">
        <v>30</v>
      </c>
      <c r="C526" t="s">
        <v>8</v>
      </c>
      <c r="D526" t="s">
        <v>9</v>
      </c>
      <c r="E526" t="s">
        <v>10</v>
      </c>
      <c r="F526">
        <v>3711.39</v>
      </c>
      <c r="G526">
        <v>2022</v>
      </c>
    </row>
    <row r="527" spans="1:7" x14ac:dyDescent="0.3">
      <c r="A527" t="s">
        <v>74</v>
      </c>
      <c r="B527" t="s">
        <v>19</v>
      </c>
      <c r="C527" t="s">
        <v>34</v>
      </c>
      <c r="D527" t="s">
        <v>14</v>
      </c>
      <c r="E527" t="s">
        <v>15</v>
      </c>
      <c r="F527">
        <v>506.34</v>
      </c>
      <c r="G527">
        <v>2023</v>
      </c>
    </row>
    <row r="528" spans="1:7" x14ac:dyDescent="0.3">
      <c r="A528" t="s">
        <v>67</v>
      </c>
      <c r="B528" t="s">
        <v>7</v>
      </c>
      <c r="C528" t="s">
        <v>8</v>
      </c>
      <c r="D528" t="s">
        <v>9</v>
      </c>
      <c r="E528" t="s">
        <v>10</v>
      </c>
      <c r="F528">
        <v>2868.75</v>
      </c>
      <c r="G528">
        <v>2022</v>
      </c>
    </row>
    <row r="529" spans="1:7" x14ac:dyDescent="0.3">
      <c r="A529" t="s">
        <v>180</v>
      </c>
      <c r="B529" t="s">
        <v>30</v>
      </c>
      <c r="C529" t="s">
        <v>13</v>
      </c>
      <c r="D529" t="s">
        <v>28</v>
      </c>
      <c r="E529" t="s">
        <v>15</v>
      </c>
      <c r="F529">
        <v>4633.6899999999996</v>
      </c>
      <c r="G529">
        <v>2022</v>
      </c>
    </row>
    <row r="530" spans="1:7" x14ac:dyDescent="0.3">
      <c r="A530" t="s">
        <v>63</v>
      </c>
      <c r="B530" t="s">
        <v>12</v>
      </c>
      <c r="C530" t="s">
        <v>23</v>
      </c>
      <c r="D530" t="s">
        <v>28</v>
      </c>
      <c r="E530" t="s">
        <v>15</v>
      </c>
      <c r="F530">
        <v>822.11</v>
      </c>
      <c r="G530">
        <v>2023</v>
      </c>
    </row>
    <row r="531" spans="1:7" x14ac:dyDescent="0.3">
      <c r="A531" t="s">
        <v>119</v>
      </c>
      <c r="B531" t="s">
        <v>30</v>
      </c>
      <c r="C531" t="s">
        <v>34</v>
      </c>
      <c r="D531" t="s">
        <v>28</v>
      </c>
      <c r="E531" t="s">
        <v>24</v>
      </c>
      <c r="F531">
        <v>381.04</v>
      </c>
      <c r="G531">
        <v>2023</v>
      </c>
    </row>
    <row r="532" spans="1:7" x14ac:dyDescent="0.3">
      <c r="A532" t="s">
        <v>113</v>
      </c>
      <c r="B532" t="s">
        <v>30</v>
      </c>
      <c r="C532" t="s">
        <v>23</v>
      </c>
      <c r="D532" t="s">
        <v>14</v>
      </c>
      <c r="E532" t="s">
        <v>10</v>
      </c>
      <c r="F532">
        <v>4854.5</v>
      </c>
      <c r="G532">
        <v>2023</v>
      </c>
    </row>
    <row r="533" spans="1:7" x14ac:dyDescent="0.3">
      <c r="A533" t="s">
        <v>38</v>
      </c>
      <c r="B533" t="s">
        <v>30</v>
      </c>
      <c r="C533" t="s">
        <v>34</v>
      </c>
      <c r="D533" t="s">
        <v>14</v>
      </c>
      <c r="E533" t="s">
        <v>10</v>
      </c>
      <c r="F533">
        <v>4069.56</v>
      </c>
      <c r="G533">
        <v>2023</v>
      </c>
    </row>
    <row r="534" spans="1:7" x14ac:dyDescent="0.3">
      <c r="A534" t="s">
        <v>141</v>
      </c>
      <c r="B534" t="s">
        <v>7</v>
      </c>
      <c r="C534" t="s">
        <v>8</v>
      </c>
      <c r="D534" t="s">
        <v>28</v>
      </c>
      <c r="E534" t="s">
        <v>24</v>
      </c>
      <c r="F534">
        <v>4573.76</v>
      </c>
      <c r="G534">
        <v>2022</v>
      </c>
    </row>
    <row r="535" spans="1:7" x14ac:dyDescent="0.3">
      <c r="A535" t="s">
        <v>160</v>
      </c>
      <c r="B535" t="s">
        <v>30</v>
      </c>
      <c r="C535" t="s">
        <v>34</v>
      </c>
      <c r="D535" t="s">
        <v>28</v>
      </c>
      <c r="E535" t="s">
        <v>15</v>
      </c>
      <c r="F535">
        <v>202.63</v>
      </c>
      <c r="G535">
        <v>2023</v>
      </c>
    </row>
    <row r="536" spans="1:7" x14ac:dyDescent="0.3">
      <c r="A536" t="s">
        <v>107</v>
      </c>
      <c r="B536" t="s">
        <v>30</v>
      </c>
      <c r="C536" t="s">
        <v>34</v>
      </c>
      <c r="D536" t="s">
        <v>14</v>
      </c>
      <c r="E536" t="s">
        <v>10</v>
      </c>
      <c r="F536">
        <v>948.57</v>
      </c>
      <c r="G536">
        <v>2023</v>
      </c>
    </row>
    <row r="537" spans="1:7" x14ac:dyDescent="0.3">
      <c r="A537" t="s">
        <v>155</v>
      </c>
      <c r="B537" t="s">
        <v>7</v>
      </c>
      <c r="C537" t="s">
        <v>23</v>
      </c>
      <c r="D537" t="s">
        <v>9</v>
      </c>
      <c r="E537" t="s">
        <v>24</v>
      </c>
      <c r="F537">
        <v>1391.94</v>
      </c>
      <c r="G537">
        <v>2023</v>
      </c>
    </row>
    <row r="538" spans="1:7" x14ac:dyDescent="0.3">
      <c r="A538" t="s">
        <v>103</v>
      </c>
      <c r="B538" t="s">
        <v>19</v>
      </c>
      <c r="C538" t="s">
        <v>8</v>
      </c>
      <c r="D538" t="s">
        <v>9</v>
      </c>
      <c r="E538" t="s">
        <v>10</v>
      </c>
      <c r="F538">
        <v>262.76</v>
      </c>
      <c r="G538">
        <v>2022</v>
      </c>
    </row>
    <row r="539" spans="1:7" x14ac:dyDescent="0.3">
      <c r="A539" t="s">
        <v>53</v>
      </c>
      <c r="B539" t="s">
        <v>7</v>
      </c>
      <c r="C539" t="s">
        <v>23</v>
      </c>
      <c r="D539" t="s">
        <v>28</v>
      </c>
      <c r="E539" t="s">
        <v>24</v>
      </c>
      <c r="F539">
        <v>1987.36</v>
      </c>
      <c r="G539">
        <v>2023</v>
      </c>
    </row>
    <row r="540" spans="1:7" x14ac:dyDescent="0.3">
      <c r="A540" t="s">
        <v>178</v>
      </c>
      <c r="B540" t="s">
        <v>30</v>
      </c>
      <c r="C540" t="s">
        <v>34</v>
      </c>
      <c r="D540" t="s">
        <v>14</v>
      </c>
      <c r="E540" t="s">
        <v>10</v>
      </c>
      <c r="F540">
        <v>4710.57</v>
      </c>
      <c r="G540">
        <v>2023</v>
      </c>
    </row>
    <row r="541" spans="1:7" x14ac:dyDescent="0.3">
      <c r="A541" t="s">
        <v>135</v>
      </c>
      <c r="B541" t="s">
        <v>12</v>
      </c>
      <c r="C541" t="s">
        <v>23</v>
      </c>
      <c r="D541" t="s">
        <v>9</v>
      </c>
      <c r="E541" t="s">
        <v>15</v>
      </c>
      <c r="F541">
        <v>897.12</v>
      </c>
      <c r="G541">
        <v>2023</v>
      </c>
    </row>
    <row r="542" spans="1:7" x14ac:dyDescent="0.3">
      <c r="A542" t="s">
        <v>52</v>
      </c>
      <c r="B542" t="s">
        <v>19</v>
      </c>
      <c r="C542" t="s">
        <v>8</v>
      </c>
      <c r="D542" t="s">
        <v>28</v>
      </c>
      <c r="E542" t="s">
        <v>10</v>
      </c>
      <c r="F542">
        <v>4466.1000000000004</v>
      </c>
      <c r="G542">
        <v>2022</v>
      </c>
    </row>
    <row r="543" spans="1:7" x14ac:dyDescent="0.3">
      <c r="A543" t="s">
        <v>55</v>
      </c>
      <c r="B543" t="s">
        <v>12</v>
      </c>
      <c r="C543" t="s">
        <v>13</v>
      </c>
      <c r="D543" t="s">
        <v>28</v>
      </c>
      <c r="E543" t="s">
        <v>24</v>
      </c>
      <c r="F543">
        <v>4306.16</v>
      </c>
      <c r="G543">
        <v>2022</v>
      </c>
    </row>
    <row r="544" spans="1:7" x14ac:dyDescent="0.3">
      <c r="A544" t="s">
        <v>205</v>
      </c>
      <c r="B544" t="s">
        <v>17</v>
      </c>
      <c r="C544" t="s">
        <v>13</v>
      </c>
      <c r="D544" t="s">
        <v>28</v>
      </c>
      <c r="E544" t="s">
        <v>24</v>
      </c>
      <c r="F544">
        <v>3510.58</v>
      </c>
      <c r="G544">
        <v>2022</v>
      </c>
    </row>
    <row r="545" spans="1:7" x14ac:dyDescent="0.3">
      <c r="A545" t="s">
        <v>50</v>
      </c>
      <c r="B545" t="s">
        <v>19</v>
      </c>
      <c r="C545" t="s">
        <v>13</v>
      </c>
      <c r="D545" t="s">
        <v>14</v>
      </c>
      <c r="E545" t="s">
        <v>24</v>
      </c>
      <c r="F545">
        <v>1053.8399999999999</v>
      </c>
      <c r="G545">
        <v>2022</v>
      </c>
    </row>
    <row r="546" spans="1:7" x14ac:dyDescent="0.3">
      <c r="A546" t="s">
        <v>185</v>
      </c>
      <c r="B546" t="s">
        <v>30</v>
      </c>
      <c r="C546" t="s">
        <v>13</v>
      </c>
      <c r="D546" t="s">
        <v>14</v>
      </c>
      <c r="E546" t="s">
        <v>15</v>
      </c>
      <c r="F546">
        <v>1084.81</v>
      </c>
      <c r="G546">
        <v>2022</v>
      </c>
    </row>
    <row r="547" spans="1:7" x14ac:dyDescent="0.3">
      <c r="A547" t="s">
        <v>124</v>
      </c>
      <c r="B547" t="s">
        <v>12</v>
      </c>
      <c r="C547" t="s">
        <v>34</v>
      </c>
      <c r="D547" t="s">
        <v>14</v>
      </c>
      <c r="E547" t="s">
        <v>10</v>
      </c>
      <c r="F547">
        <v>618.54</v>
      </c>
      <c r="G547">
        <v>2023</v>
      </c>
    </row>
    <row r="548" spans="1:7" x14ac:dyDescent="0.3">
      <c r="A548" t="s">
        <v>138</v>
      </c>
      <c r="B548" t="s">
        <v>12</v>
      </c>
      <c r="C548" t="s">
        <v>13</v>
      </c>
      <c r="D548" t="s">
        <v>28</v>
      </c>
      <c r="E548" t="s">
        <v>24</v>
      </c>
      <c r="F548">
        <v>3730.83</v>
      </c>
      <c r="G548">
        <v>2022</v>
      </c>
    </row>
    <row r="549" spans="1:7" x14ac:dyDescent="0.3">
      <c r="A549" t="s">
        <v>178</v>
      </c>
      <c r="B549" t="s">
        <v>30</v>
      </c>
      <c r="C549" t="s">
        <v>8</v>
      </c>
      <c r="D549" t="s">
        <v>9</v>
      </c>
      <c r="E549" t="s">
        <v>24</v>
      </c>
      <c r="F549">
        <v>3608.02</v>
      </c>
      <c r="G549">
        <v>2022</v>
      </c>
    </row>
    <row r="550" spans="1:7" x14ac:dyDescent="0.3">
      <c r="A550" t="s">
        <v>129</v>
      </c>
      <c r="B550" t="s">
        <v>17</v>
      </c>
      <c r="C550" t="s">
        <v>34</v>
      </c>
      <c r="D550" t="s">
        <v>14</v>
      </c>
      <c r="E550" t="s">
        <v>24</v>
      </c>
      <c r="F550">
        <v>4037.93</v>
      </c>
      <c r="G550">
        <v>2023</v>
      </c>
    </row>
    <row r="551" spans="1:7" x14ac:dyDescent="0.3">
      <c r="A551" t="s">
        <v>35</v>
      </c>
      <c r="B551" t="s">
        <v>19</v>
      </c>
      <c r="C551" t="s">
        <v>8</v>
      </c>
      <c r="D551" t="s">
        <v>9</v>
      </c>
      <c r="E551" t="s">
        <v>24</v>
      </c>
      <c r="F551">
        <v>454.38</v>
      </c>
      <c r="G551">
        <v>2022</v>
      </c>
    </row>
    <row r="552" spans="1:7" x14ac:dyDescent="0.3">
      <c r="A552" t="s">
        <v>118</v>
      </c>
      <c r="B552" t="s">
        <v>30</v>
      </c>
      <c r="C552" t="s">
        <v>34</v>
      </c>
      <c r="D552" t="s">
        <v>14</v>
      </c>
      <c r="E552" t="s">
        <v>24</v>
      </c>
      <c r="F552">
        <v>3824.73</v>
      </c>
      <c r="G552">
        <v>2023</v>
      </c>
    </row>
    <row r="553" spans="1:7" x14ac:dyDescent="0.3">
      <c r="A553" t="s">
        <v>127</v>
      </c>
      <c r="B553" t="s">
        <v>17</v>
      </c>
      <c r="C553" t="s">
        <v>23</v>
      </c>
      <c r="D553" t="s">
        <v>9</v>
      </c>
      <c r="E553" t="s">
        <v>15</v>
      </c>
      <c r="F553">
        <v>2188.67</v>
      </c>
      <c r="G553">
        <v>2023</v>
      </c>
    </row>
    <row r="554" spans="1:7" x14ac:dyDescent="0.3">
      <c r="A554" t="s">
        <v>57</v>
      </c>
      <c r="B554" t="s">
        <v>19</v>
      </c>
      <c r="C554" t="s">
        <v>23</v>
      </c>
      <c r="D554" t="s">
        <v>14</v>
      </c>
      <c r="E554" t="s">
        <v>24</v>
      </c>
      <c r="F554">
        <v>1638.41</v>
      </c>
      <c r="G554">
        <v>2023</v>
      </c>
    </row>
    <row r="555" spans="1:7" x14ac:dyDescent="0.3">
      <c r="A555" t="s">
        <v>41</v>
      </c>
      <c r="B555" t="s">
        <v>30</v>
      </c>
      <c r="C555" t="s">
        <v>8</v>
      </c>
      <c r="D555" t="s">
        <v>14</v>
      </c>
      <c r="E555" t="s">
        <v>15</v>
      </c>
      <c r="F555">
        <v>4638.62</v>
      </c>
      <c r="G555">
        <v>2022</v>
      </c>
    </row>
    <row r="556" spans="1:7" x14ac:dyDescent="0.3">
      <c r="A556" t="s">
        <v>21</v>
      </c>
      <c r="B556" t="s">
        <v>19</v>
      </c>
      <c r="C556" t="s">
        <v>13</v>
      </c>
      <c r="D556" t="s">
        <v>14</v>
      </c>
      <c r="E556" t="s">
        <v>15</v>
      </c>
      <c r="F556">
        <v>2700.91</v>
      </c>
      <c r="G556">
        <v>2022</v>
      </c>
    </row>
    <row r="557" spans="1:7" x14ac:dyDescent="0.3">
      <c r="A557" t="s">
        <v>36</v>
      </c>
      <c r="B557" t="s">
        <v>12</v>
      </c>
      <c r="C557" t="s">
        <v>8</v>
      </c>
      <c r="D557" t="s">
        <v>14</v>
      </c>
      <c r="E557" t="s">
        <v>24</v>
      </c>
      <c r="F557">
        <v>4888.18</v>
      </c>
      <c r="G557">
        <v>2022</v>
      </c>
    </row>
    <row r="558" spans="1:7" x14ac:dyDescent="0.3">
      <c r="A558" t="s">
        <v>79</v>
      </c>
      <c r="B558" t="s">
        <v>17</v>
      </c>
      <c r="C558" t="s">
        <v>8</v>
      </c>
      <c r="D558" t="s">
        <v>9</v>
      </c>
      <c r="E558" t="s">
        <v>10</v>
      </c>
      <c r="F558">
        <v>1395.93</v>
      </c>
      <c r="G558">
        <v>2022</v>
      </c>
    </row>
    <row r="559" spans="1:7" x14ac:dyDescent="0.3">
      <c r="A559" t="s">
        <v>186</v>
      </c>
      <c r="B559" t="s">
        <v>30</v>
      </c>
      <c r="C559" t="s">
        <v>34</v>
      </c>
      <c r="D559" t="s">
        <v>28</v>
      </c>
      <c r="E559" t="s">
        <v>24</v>
      </c>
      <c r="F559">
        <v>2978</v>
      </c>
      <c r="G559">
        <v>2023</v>
      </c>
    </row>
    <row r="560" spans="1:7" x14ac:dyDescent="0.3">
      <c r="A560" t="s">
        <v>183</v>
      </c>
      <c r="B560" t="s">
        <v>7</v>
      </c>
      <c r="C560" t="s">
        <v>23</v>
      </c>
      <c r="D560" t="s">
        <v>14</v>
      </c>
      <c r="E560" t="s">
        <v>10</v>
      </c>
      <c r="F560">
        <v>2047.72</v>
      </c>
      <c r="G560">
        <v>2023</v>
      </c>
    </row>
    <row r="561" spans="1:7" x14ac:dyDescent="0.3">
      <c r="A561" t="s">
        <v>206</v>
      </c>
      <c r="B561" t="s">
        <v>19</v>
      </c>
      <c r="C561" t="s">
        <v>23</v>
      </c>
      <c r="D561" t="s">
        <v>14</v>
      </c>
      <c r="E561" t="s">
        <v>15</v>
      </c>
      <c r="F561">
        <v>2384.92</v>
      </c>
      <c r="G561">
        <v>2023</v>
      </c>
    </row>
    <row r="562" spans="1:7" x14ac:dyDescent="0.3">
      <c r="A562" t="s">
        <v>80</v>
      </c>
      <c r="B562" t="s">
        <v>17</v>
      </c>
      <c r="C562" t="s">
        <v>23</v>
      </c>
      <c r="D562" t="s">
        <v>9</v>
      </c>
      <c r="E562" t="s">
        <v>10</v>
      </c>
      <c r="F562">
        <v>1560.19</v>
      </c>
      <c r="G562">
        <v>2023</v>
      </c>
    </row>
    <row r="563" spans="1:7" x14ac:dyDescent="0.3">
      <c r="A563" t="s">
        <v>64</v>
      </c>
      <c r="B563" t="s">
        <v>30</v>
      </c>
      <c r="C563" t="s">
        <v>8</v>
      </c>
      <c r="D563" t="s">
        <v>14</v>
      </c>
      <c r="E563" t="s">
        <v>24</v>
      </c>
      <c r="F563">
        <v>4290.7299999999996</v>
      </c>
      <c r="G563">
        <v>2022</v>
      </c>
    </row>
    <row r="564" spans="1:7" x14ac:dyDescent="0.3">
      <c r="A564" t="s">
        <v>192</v>
      </c>
      <c r="B564" t="s">
        <v>19</v>
      </c>
      <c r="C564" t="s">
        <v>8</v>
      </c>
      <c r="D564" t="s">
        <v>9</v>
      </c>
      <c r="E564" t="s">
        <v>24</v>
      </c>
      <c r="F564">
        <v>2521.88</v>
      </c>
      <c r="G564">
        <v>2022</v>
      </c>
    </row>
    <row r="565" spans="1:7" x14ac:dyDescent="0.3">
      <c r="A565" t="s">
        <v>177</v>
      </c>
      <c r="B565" t="s">
        <v>7</v>
      </c>
      <c r="C565" t="s">
        <v>13</v>
      </c>
      <c r="D565" t="s">
        <v>28</v>
      </c>
      <c r="E565" t="s">
        <v>15</v>
      </c>
      <c r="F565">
        <v>3941.05</v>
      </c>
      <c r="G565">
        <v>2022</v>
      </c>
    </row>
    <row r="566" spans="1:7" x14ac:dyDescent="0.3">
      <c r="A566" t="s">
        <v>189</v>
      </c>
      <c r="B566" t="s">
        <v>19</v>
      </c>
      <c r="C566" t="s">
        <v>23</v>
      </c>
      <c r="D566" t="s">
        <v>14</v>
      </c>
      <c r="E566" t="s">
        <v>24</v>
      </c>
      <c r="F566">
        <v>992.87</v>
      </c>
      <c r="G566">
        <v>2023</v>
      </c>
    </row>
    <row r="567" spans="1:7" x14ac:dyDescent="0.3">
      <c r="A567" t="s">
        <v>74</v>
      </c>
      <c r="B567" t="s">
        <v>19</v>
      </c>
      <c r="C567" t="s">
        <v>34</v>
      </c>
      <c r="D567" t="s">
        <v>14</v>
      </c>
      <c r="E567" t="s">
        <v>10</v>
      </c>
      <c r="F567">
        <v>3998.2</v>
      </c>
      <c r="G567">
        <v>2023</v>
      </c>
    </row>
    <row r="568" spans="1:7" x14ac:dyDescent="0.3">
      <c r="A568" t="s">
        <v>116</v>
      </c>
      <c r="B568" t="s">
        <v>17</v>
      </c>
      <c r="C568" t="s">
        <v>13</v>
      </c>
      <c r="D568" t="s">
        <v>28</v>
      </c>
      <c r="E568" t="s">
        <v>24</v>
      </c>
      <c r="F568">
        <v>951.15</v>
      </c>
      <c r="G568">
        <v>2022</v>
      </c>
    </row>
    <row r="569" spans="1:7" x14ac:dyDescent="0.3">
      <c r="A569" t="s">
        <v>207</v>
      </c>
      <c r="B569" t="s">
        <v>17</v>
      </c>
      <c r="C569" t="s">
        <v>34</v>
      </c>
      <c r="D569" t="s">
        <v>9</v>
      </c>
      <c r="E569" t="s">
        <v>10</v>
      </c>
      <c r="F569">
        <v>602.29</v>
      </c>
      <c r="G569">
        <v>2023</v>
      </c>
    </row>
    <row r="570" spans="1:7" x14ac:dyDescent="0.3">
      <c r="A570" t="s">
        <v>21</v>
      </c>
      <c r="B570" t="s">
        <v>19</v>
      </c>
      <c r="C570" t="s">
        <v>13</v>
      </c>
      <c r="D570" t="s">
        <v>14</v>
      </c>
      <c r="E570" t="s">
        <v>15</v>
      </c>
      <c r="F570">
        <v>4791.01</v>
      </c>
      <c r="G570">
        <v>2022</v>
      </c>
    </row>
    <row r="571" spans="1:7" x14ac:dyDescent="0.3">
      <c r="A571" t="s">
        <v>70</v>
      </c>
      <c r="B571" t="s">
        <v>19</v>
      </c>
      <c r="C571" t="s">
        <v>23</v>
      </c>
      <c r="D571" t="s">
        <v>14</v>
      </c>
      <c r="E571" t="s">
        <v>15</v>
      </c>
      <c r="F571">
        <v>2408.38</v>
      </c>
      <c r="G571">
        <v>2023</v>
      </c>
    </row>
    <row r="572" spans="1:7" x14ac:dyDescent="0.3">
      <c r="A572" t="s">
        <v>40</v>
      </c>
      <c r="B572" t="s">
        <v>19</v>
      </c>
      <c r="C572" t="s">
        <v>13</v>
      </c>
      <c r="D572" t="s">
        <v>9</v>
      </c>
      <c r="E572" t="s">
        <v>10</v>
      </c>
      <c r="F572">
        <v>2703.07</v>
      </c>
      <c r="G572">
        <v>2022</v>
      </c>
    </row>
    <row r="573" spans="1:7" x14ac:dyDescent="0.3">
      <c r="A573" t="s">
        <v>189</v>
      </c>
      <c r="B573" t="s">
        <v>19</v>
      </c>
      <c r="C573" t="s">
        <v>34</v>
      </c>
      <c r="D573" t="s">
        <v>28</v>
      </c>
      <c r="E573" t="s">
        <v>15</v>
      </c>
      <c r="F573">
        <v>4204.6899999999996</v>
      </c>
      <c r="G573">
        <v>2023</v>
      </c>
    </row>
    <row r="574" spans="1:7" x14ac:dyDescent="0.3">
      <c r="A574" t="s">
        <v>18</v>
      </c>
      <c r="B574" t="s">
        <v>19</v>
      </c>
      <c r="C574" t="s">
        <v>34</v>
      </c>
      <c r="D574" t="s">
        <v>9</v>
      </c>
      <c r="E574" t="s">
        <v>24</v>
      </c>
      <c r="F574">
        <v>947.61</v>
      </c>
      <c r="G574">
        <v>2023</v>
      </c>
    </row>
    <row r="575" spans="1:7" x14ac:dyDescent="0.3">
      <c r="A575" t="s">
        <v>157</v>
      </c>
      <c r="B575" t="s">
        <v>30</v>
      </c>
      <c r="C575" t="s">
        <v>13</v>
      </c>
      <c r="D575" t="s">
        <v>28</v>
      </c>
      <c r="E575" t="s">
        <v>10</v>
      </c>
      <c r="F575">
        <v>3632.9</v>
      </c>
      <c r="G575">
        <v>2022</v>
      </c>
    </row>
    <row r="576" spans="1:7" x14ac:dyDescent="0.3">
      <c r="A576" t="s">
        <v>108</v>
      </c>
      <c r="B576" t="s">
        <v>7</v>
      </c>
      <c r="C576" t="s">
        <v>8</v>
      </c>
      <c r="D576" t="s">
        <v>9</v>
      </c>
      <c r="E576" t="s">
        <v>15</v>
      </c>
      <c r="F576">
        <v>3124.89</v>
      </c>
      <c r="G576">
        <v>2022</v>
      </c>
    </row>
    <row r="577" spans="1:7" x14ac:dyDescent="0.3">
      <c r="A577" t="s">
        <v>63</v>
      </c>
      <c r="B577" t="s">
        <v>12</v>
      </c>
      <c r="C577" t="s">
        <v>34</v>
      </c>
      <c r="D577" t="s">
        <v>14</v>
      </c>
      <c r="E577" t="s">
        <v>24</v>
      </c>
      <c r="F577">
        <v>4679.05</v>
      </c>
      <c r="G577">
        <v>2023</v>
      </c>
    </row>
    <row r="578" spans="1:7" x14ac:dyDescent="0.3">
      <c r="A578" t="s">
        <v>147</v>
      </c>
      <c r="B578" t="s">
        <v>17</v>
      </c>
      <c r="C578" t="s">
        <v>8</v>
      </c>
      <c r="D578" t="s">
        <v>9</v>
      </c>
      <c r="E578" t="s">
        <v>10</v>
      </c>
      <c r="F578">
        <v>4154.1000000000004</v>
      </c>
      <c r="G578">
        <v>2022</v>
      </c>
    </row>
    <row r="579" spans="1:7" x14ac:dyDescent="0.3">
      <c r="A579" t="s">
        <v>118</v>
      </c>
      <c r="B579" t="s">
        <v>30</v>
      </c>
      <c r="C579" t="s">
        <v>8</v>
      </c>
      <c r="D579" t="s">
        <v>14</v>
      </c>
      <c r="E579" t="s">
        <v>10</v>
      </c>
      <c r="F579">
        <v>132.24</v>
      </c>
      <c r="G579">
        <v>2022</v>
      </c>
    </row>
    <row r="580" spans="1:7" x14ac:dyDescent="0.3">
      <c r="A580" t="s">
        <v>201</v>
      </c>
      <c r="B580" t="s">
        <v>12</v>
      </c>
      <c r="C580" t="s">
        <v>34</v>
      </c>
      <c r="D580" t="s">
        <v>14</v>
      </c>
      <c r="E580" t="s">
        <v>15</v>
      </c>
      <c r="F580">
        <v>3066.65</v>
      </c>
      <c r="G580">
        <v>2023</v>
      </c>
    </row>
    <row r="581" spans="1:7" x14ac:dyDescent="0.3">
      <c r="A581" t="s">
        <v>142</v>
      </c>
      <c r="B581" t="s">
        <v>17</v>
      </c>
      <c r="C581" t="s">
        <v>23</v>
      </c>
      <c r="D581" t="s">
        <v>9</v>
      </c>
      <c r="E581" t="s">
        <v>15</v>
      </c>
      <c r="F581">
        <v>1342.88</v>
      </c>
      <c r="G581">
        <v>2023</v>
      </c>
    </row>
    <row r="582" spans="1:7" x14ac:dyDescent="0.3">
      <c r="A582" t="s">
        <v>65</v>
      </c>
      <c r="B582" t="s">
        <v>30</v>
      </c>
      <c r="C582" t="s">
        <v>23</v>
      </c>
      <c r="D582" t="s">
        <v>14</v>
      </c>
      <c r="E582" t="s">
        <v>24</v>
      </c>
      <c r="F582">
        <v>3919.95</v>
      </c>
      <c r="G582">
        <v>2023</v>
      </c>
    </row>
    <row r="583" spans="1:7" x14ac:dyDescent="0.3">
      <c r="A583" t="s">
        <v>143</v>
      </c>
      <c r="B583" t="s">
        <v>17</v>
      </c>
      <c r="C583" t="s">
        <v>8</v>
      </c>
      <c r="D583" t="s">
        <v>14</v>
      </c>
      <c r="E583" t="s">
        <v>24</v>
      </c>
      <c r="F583">
        <v>4408.78</v>
      </c>
      <c r="G583">
        <v>2022</v>
      </c>
    </row>
    <row r="584" spans="1:7" x14ac:dyDescent="0.3">
      <c r="A584" t="s">
        <v>120</v>
      </c>
      <c r="B584" t="s">
        <v>30</v>
      </c>
      <c r="C584" t="s">
        <v>34</v>
      </c>
      <c r="D584" t="s">
        <v>14</v>
      </c>
      <c r="E584" t="s">
        <v>15</v>
      </c>
      <c r="F584">
        <v>4970.6899999999996</v>
      </c>
      <c r="G584">
        <v>2023</v>
      </c>
    </row>
    <row r="585" spans="1:7" x14ac:dyDescent="0.3">
      <c r="A585" t="s">
        <v>192</v>
      </c>
      <c r="B585" t="s">
        <v>19</v>
      </c>
      <c r="C585" t="s">
        <v>8</v>
      </c>
      <c r="D585" t="s">
        <v>9</v>
      </c>
      <c r="E585" t="s">
        <v>15</v>
      </c>
      <c r="F585">
        <v>1694.19</v>
      </c>
      <c r="G585">
        <v>2022</v>
      </c>
    </row>
    <row r="586" spans="1:7" x14ac:dyDescent="0.3">
      <c r="A586" t="s">
        <v>103</v>
      </c>
      <c r="B586" t="s">
        <v>19</v>
      </c>
      <c r="C586" t="s">
        <v>34</v>
      </c>
      <c r="D586" t="s">
        <v>14</v>
      </c>
      <c r="E586" t="s">
        <v>15</v>
      </c>
      <c r="F586">
        <v>4225.8</v>
      </c>
      <c r="G586">
        <v>2023</v>
      </c>
    </row>
    <row r="587" spans="1:7" x14ac:dyDescent="0.3">
      <c r="A587" t="s">
        <v>89</v>
      </c>
      <c r="B587" t="s">
        <v>17</v>
      </c>
      <c r="C587" t="s">
        <v>8</v>
      </c>
      <c r="D587" t="s">
        <v>14</v>
      </c>
      <c r="E587" t="s">
        <v>15</v>
      </c>
      <c r="F587">
        <v>2933.56</v>
      </c>
      <c r="G587">
        <v>2022</v>
      </c>
    </row>
    <row r="588" spans="1:7" x14ac:dyDescent="0.3">
      <c r="A588" t="s">
        <v>111</v>
      </c>
      <c r="B588" t="s">
        <v>19</v>
      </c>
      <c r="C588" t="s">
        <v>23</v>
      </c>
      <c r="D588" t="s">
        <v>9</v>
      </c>
      <c r="E588" t="s">
        <v>10</v>
      </c>
      <c r="F588">
        <v>1192.33</v>
      </c>
      <c r="G588">
        <v>2023</v>
      </c>
    </row>
    <row r="589" spans="1:7" x14ac:dyDescent="0.3">
      <c r="A589" t="s">
        <v>183</v>
      </c>
      <c r="B589" t="s">
        <v>7</v>
      </c>
      <c r="C589" t="s">
        <v>8</v>
      </c>
      <c r="D589" t="s">
        <v>14</v>
      </c>
      <c r="E589" t="s">
        <v>24</v>
      </c>
      <c r="F589">
        <v>2457.1</v>
      </c>
      <c r="G589">
        <v>2022</v>
      </c>
    </row>
    <row r="590" spans="1:7" x14ac:dyDescent="0.3">
      <c r="A590" t="s">
        <v>116</v>
      </c>
      <c r="B590" t="s">
        <v>17</v>
      </c>
      <c r="C590" t="s">
        <v>13</v>
      </c>
      <c r="D590" t="s">
        <v>28</v>
      </c>
      <c r="E590" t="s">
        <v>24</v>
      </c>
      <c r="F590">
        <v>3801.93</v>
      </c>
      <c r="G590">
        <v>2022</v>
      </c>
    </row>
    <row r="591" spans="1:7" x14ac:dyDescent="0.3">
      <c r="A591" t="s">
        <v>72</v>
      </c>
      <c r="B591" t="s">
        <v>19</v>
      </c>
      <c r="C591" t="s">
        <v>34</v>
      </c>
      <c r="D591" t="s">
        <v>28</v>
      </c>
      <c r="E591" t="s">
        <v>24</v>
      </c>
      <c r="F591">
        <v>2334.69</v>
      </c>
      <c r="G591">
        <v>2023</v>
      </c>
    </row>
    <row r="592" spans="1:7" x14ac:dyDescent="0.3">
      <c r="A592" t="s">
        <v>94</v>
      </c>
      <c r="B592" t="s">
        <v>7</v>
      </c>
      <c r="C592" t="s">
        <v>13</v>
      </c>
      <c r="D592" t="s">
        <v>28</v>
      </c>
      <c r="E592" t="s">
        <v>10</v>
      </c>
      <c r="F592">
        <v>4761.95</v>
      </c>
      <c r="G592">
        <v>2022</v>
      </c>
    </row>
    <row r="593" spans="1:7" x14ac:dyDescent="0.3">
      <c r="A593" t="s">
        <v>135</v>
      </c>
      <c r="B593" t="s">
        <v>12</v>
      </c>
      <c r="C593" t="s">
        <v>34</v>
      </c>
      <c r="D593" t="s">
        <v>14</v>
      </c>
      <c r="E593" t="s">
        <v>24</v>
      </c>
      <c r="F593">
        <v>4516.03</v>
      </c>
      <c r="G593">
        <v>2023</v>
      </c>
    </row>
    <row r="594" spans="1:7" x14ac:dyDescent="0.3">
      <c r="A594" t="s">
        <v>190</v>
      </c>
      <c r="B594" t="s">
        <v>17</v>
      </c>
      <c r="C594" t="s">
        <v>8</v>
      </c>
      <c r="D594" t="s">
        <v>9</v>
      </c>
      <c r="E594" t="s">
        <v>24</v>
      </c>
      <c r="F594">
        <v>4645.59</v>
      </c>
      <c r="G594">
        <v>2022</v>
      </c>
    </row>
    <row r="595" spans="1:7" x14ac:dyDescent="0.3">
      <c r="A595" t="s">
        <v>63</v>
      </c>
      <c r="B595" t="s">
        <v>12</v>
      </c>
      <c r="C595" t="s">
        <v>23</v>
      </c>
      <c r="D595" t="s">
        <v>28</v>
      </c>
      <c r="E595" t="s">
        <v>24</v>
      </c>
      <c r="F595">
        <v>3245.36</v>
      </c>
      <c r="G595">
        <v>2023</v>
      </c>
    </row>
    <row r="596" spans="1:7" x14ac:dyDescent="0.3">
      <c r="A596" t="s">
        <v>208</v>
      </c>
      <c r="B596" t="s">
        <v>19</v>
      </c>
      <c r="C596" t="s">
        <v>23</v>
      </c>
      <c r="D596" t="s">
        <v>14</v>
      </c>
      <c r="E596" t="s">
        <v>10</v>
      </c>
      <c r="F596">
        <v>3907.47</v>
      </c>
      <c r="G596">
        <v>2023</v>
      </c>
    </row>
    <row r="597" spans="1:7" x14ac:dyDescent="0.3">
      <c r="A597" t="s">
        <v>176</v>
      </c>
      <c r="B597" t="s">
        <v>19</v>
      </c>
      <c r="C597" t="s">
        <v>13</v>
      </c>
      <c r="D597" t="s">
        <v>9</v>
      </c>
      <c r="E597" t="s">
        <v>10</v>
      </c>
      <c r="F597">
        <v>1337.85</v>
      </c>
      <c r="G597">
        <v>2022</v>
      </c>
    </row>
    <row r="598" spans="1:7" x14ac:dyDescent="0.3">
      <c r="A598" t="s">
        <v>43</v>
      </c>
      <c r="B598" t="s">
        <v>17</v>
      </c>
      <c r="C598" t="s">
        <v>23</v>
      </c>
      <c r="D598" t="s">
        <v>28</v>
      </c>
      <c r="E598" t="s">
        <v>10</v>
      </c>
      <c r="F598">
        <v>3487.09</v>
      </c>
      <c r="G598">
        <v>2023</v>
      </c>
    </row>
    <row r="599" spans="1:7" x14ac:dyDescent="0.3">
      <c r="A599" t="s">
        <v>209</v>
      </c>
      <c r="B599" t="s">
        <v>7</v>
      </c>
      <c r="C599" t="s">
        <v>23</v>
      </c>
      <c r="D599" t="s">
        <v>9</v>
      </c>
      <c r="E599" t="s">
        <v>15</v>
      </c>
      <c r="F599">
        <v>4959.59</v>
      </c>
      <c r="G599">
        <v>2023</v>
      </c>
    </row>
    <row r="600" spans="1:7" x14ac:dyDescent="0.3">
      <c r="A600" t="s">
        <v>129</v>
      </c>
      <c r="B600" t="s">
        <v>17</v>
      </c>
      <c r="C600" t="s">
        <v>8</v>
      </c>
      <c r="D600" t="s">
        <v>28</v>
      </c>
      <c r="E600" t="s">
        <v>15</v>
      </c>
      <c r="F600">
        <v>4294.03</v>
      </c>
      <c r="G600">
        <v>2022</v>
      </c>
    </row>
    <row r="601" spans="1:7" x14ac:dyDescent="0.3">
      <c r="A601" t="s">
        <v>25</v>
      </c>
      <c r="B601" t="s">
        <v>19</v>
      </c>
      <c r="C601" t="s">
        <v>8</v>
      </c>
      <c r="D601" t="s">
        <v>14</v>
      </c>
      <c r="E601" t="s">
        <v>10</v>
      </c>
      <c r="F601">
        <v>648.78</v>
      </c>
      <c r="G601">
        <v>2022</v>
      </c>
    </row>
    <row r="602" spans="1:7" x14ac:dyDescent="0.3">
      <c r="A602" t="s">
        <v>25</v>
      </c>
      <c r="B602" t="s">
        <v>19</v>
      </c>
      <c r="C602" t="s">
        <v>13</v>
      </c>
      <c r="D602" t="s">
        <v>14</v>
      </c>
      <c r="E602" t="s">
        <v>10</v>
      </c>
      <c r="F602">
        <v>3771.9</v>
      </c>
      <c r="G602">
        <v>2022</v>
      </c>
    </row>
    <row r="603" spans="1:7" x14ac:dyDescent="0.3">
      <c r="A603" t="s">
        <v>116</v>
      </c>
      <c r="B603" t="s">
        <v>17</v>
      </c>
      <c r="C603" t="s">
        <v>34</v>
      </c>
      <c r="D603" t="s">
        <v>9</v>
      </c>
      <c r="E603" t="s">
        <v>24</v>
      </c>
      <c r="F603">
        <v>3071.55</v>
      </c>
      <c r="G603">
        <v>2023</v>
      </c>
    </row>
    <row r="604" spans="1:7" x14ac:dyDescent="0.3">
      <c r="A604" t="s">
        <v>50</v>
      </c>
      <c r="B604" t="s">
        <v>19</v>
      </c>
      <c r="C604" t="s">
        <v>13</v>
      </c>
      <c r="D604" t="s">
        <v>28</v>
      </c>
      <c r="E604" t="s">
        <v>24</v>
      </c>
      <c r="F604">
        <v>2591.1799999999998</v>
      </c>
      <c r="G604">
        <v>2022</v>
      </c>
    </row>
    <row r="605" spans="1:7" x14ac:dyDescent="0.3">
      <c r="A605" t="s">
        <v>36</v>
      </c>
      <c r="B605" t="s">
        <v>12</v>
      </c>
      <c r="C605" t="s">
        <v>23</v>
      </c>
      <c r="D605" t="s">
        <v>14</v>
      </c>
      <c r="E605" t="s">
        <v>15</v>
      </c>
      <c r="F605">
        <v>3280.07</v>
      </c>
      <c r="G605">
        <v>2023</v>
      </c>
    </row>
    <row r="606" spans="1:7" x14ac:dyDescent="0.3">
      <c r="A606" t="s">
        <v>46</v>
      </c>
      <c r="B606" t="s">
        <v>30</v>
      </c>
      <c r="C606" t="s">
        <v>34</v>
      </c>
      <c r="D606" t="s">
        <v>28</v>
      </c>
      <c r="E606" t="s">
        <v>15</v>
      </c>
      <c r="F606">
        <v>632.11</v>
      </c>
      <c r="G606">
        <v>2023</v>
      </c>
    </row>
    <row r="607" spans="1:7" x14ac:dyDescent="0.3">
      <c r="A607" t="s">
        <v>175</v>
      </c>
      <c r="B607" t="s">
        <v>7</v>
      </c>
      <c r="C607" t="s">
        <v>13</v>
      </c>
      <c r="D607" t="s">
        <v>14</v>
      </c>
      <c r="E607" t="s">
        <v>10</v>
      </c>
      <c r="F607">
        <v>2914.08</v>
      </c>
      <c r="G607">
        <v>2022</v>
      </c>
    </row>
    <row r="608" spans="1:7" x14ac:dyDescent="0.3">
      <c r="A608" t="s">
        <v>63</v>
      </c>
      <c r="B608" t="s">
        <v>12</v>
      </c>
      <c r="C608" t="s">
        <v>34</v>
      </c>
      <c r="D608" t="s">
        <v>28</v>
      </c>
      <c r="E608" t="s">
        <v>10</v>
      </c>
      <c r="F608">
        <v>637.63</v>
      </c>
      <c r="G608">
        <v>2023</v>
      </c>
    </row>
    <row r="609" spans="1:7" x14ac:dyDescent="0.3">
      <c r="A609" t="s">
        <v>97</v>
      </c>
      <c r="B609" t="s">
        <v>7</v>
      </c>
      <c r="C609" t="s">
        <v>23</v>
      </c>
      <c r="D609" t="s">
        <v>14</v>
      </c>
      <c r="E609" t="s">
        <v>24</v>
      </c>
      <c r="F609">
        <v>1996.46</v>
      </c>
      <c r="G609">
        <v>2023</v>
      </c>
    </row>
    <row r="610" spans="1:7" x14ac:dyDescent="0.3">
      <c r="A610" t="s">
        <v>48</v>
      </c>
      <c r="B610" t="s">
        <v>19</v>
      </c>
      <c r="C610" t="s">
        <v>23</v>
      </c>
      <c r="D610" t="s">
        <v>14</v>
      </c>
      <c r="E610" t="s">
        <v>24</v>
      </c>
      <c r="F610">
        <v>1059.26</v>
      </c>
      <c r="G610">
        <v>2023</v>
      </c>
    </row>
    <row r="611" spans="1:7" x14ac:dyDescent="0.3">
      <c r="A611" t="s">
        <v>36</v>
      </c>
      <c r="B611" t="s">
        <v>12</v>
      </c>
      <c r="C611" t="s">
        <v>13</v>
      </c>
      <c r="D611" t="s">
        <v>9</v>
      </c>
      <c r="E611" t="s">
        <v>24</v>
      </c>
      <c r="F611">
        <v>3555.94</v>
      </c>
      <c r="G611">
        <v>2022</v>
      </c>
    </row>
    <row r="612" spans="1:7" x14ac:dyDescent="0.3">
      <c r="A612" t="s">
        <v>99</v>
      </c>
      <c r="B612" t="s">
        <v>19</v>
      </c>
      <c r="C612" t="s">
        <v>34</v>
      </c>
      <c r="D612" t="s">
        <v>14</v>
      </c>
      <c r="E612" t="s">
        <v>15</v>
      </c>
      <c r="F612">
        <v>3698.27</v>
      </c>
      <c r="G612">
        <v>2023</v>
      </c>
    </row>
    <row r="613" spans="1:7" x14ac:dyDescent="0.3">
      <c r="A613" t="s">
        <v>175</v>
      </c>
      <c r="B613" t="s">
        <v>7</v>
      </c>
      <c r="C613" t="s">
        <v>34</v>
      </c>
      <c r="D613" t="s">
        <v>14</v>
      </c>
      <c r="E613" t="s">
        <v>15</v>
      </c>
      <c r="F613">
        <v>2286.9699999999998</v>
      </c>
      <c r="G613">
        <v>2023</v>
      </c>
    </row>
    <row r="614" spans="1:7" x14ac:dyDescent="0.3">
      <c r="A614" t="s">
        <v>41</v>
      </c>
      <c r="B614" t="s">
        <v>30</v>
      </c>
      <c r="C614" t="s">
        <v>34</v>
      </c>
      <c r="D614" t="s">
        <v>14</v>
      </c>
      <c r="E614" t="s">
        <v>24</v>
      </c>
      <c r="F614">
        <v>3316.45</v>
      </c>
      <c r="G614">
        <v>2023</v>
      </c>
    </row>
    <row r="615" spans="1:7" x14ac:dyDescent="0.3">
      <c r="A615" t="s">
        <v>95</v>
      </c>
      <c r="B615" t="s">
        <v>30</v>
      </c>
      <c r="C615" t="s">
        <v>23</v>
      </c>
      <c r="D615" t="s">
        <v>28</v>
      </c>
      <c r="E615" t="s">
        <v>24</v>
      </c>
      <c r="F615">
        <v>1242.96</v>
      </c>
      <c r="G615">
        <v>2023</v>
      </c>
    </row>
    <row r="616" spans="1:7" x14ac:dyDescent="0.3">
      <c r="A616" t="s">
        <v>48</v>
      </c>
      <c r="B616" t="s">
        <v>19</v>
      </c>
      <c r="C616" t="s">
        <v>34</v>
      </c>
      <c r="D616" t="s">
        <v>28</v>
      </c>
      <c r="E616" t="s">
        <v>10</v>
      </c>
      <c r="F616">
        <v>3792.28</v>
      </c>
      <c r="G616">
        <v>2023</v>
      </c>
    </row>
    <row r="617" spans="1:7" x14ac:dyDescent="0.3">
      <c r="A617" t="s">
        <v>107</v>
      </c>
      <c r="B617" t="s">
        <v>30</v>
      </c>
      <c r="C617" t="s">
        <v>34</v>
      </c>
      <c r="D617" t="s">
        <v>9</v>
      </c>
      <c r="E617" t="s">
        <v>15</v>
      </c>
      <c r="F617">
        <v>4685.3100000000004</v>
      </c>
      <c r="G617">
        <v>2023</v>
      </c>
    </row>
    <row r="618" spans="1:7" x14ac:dyDescent="0.3">
      <c r="A618" t="s">
        <v>26</v>
      </c>
      <c r="B618" t="s">
        <v>17</v>
      </c>
      <c r="C618" t="s">
        <v>13</v>
      </c>
      <c r="D618" t="s">
        <v>28</v>
      </c>
      <c r="E618" t="s">
        <v>24</v>
      </c>
      <c r="F618">
        <v>2273.65</v>
      </c>
      <c r="G618">
        <v>2022</v>
      </c>
    </row>
    <row r="619" spans="1:7" x14ac:dyDescent="0.3">
      <c r="A619" t="s">
        <v>144</v>
      </c>
      <c r="B619" t="s">
        <v>30</v>
      </c>
      <c r="C619" t="s">
        <v>23</v>
      </c>
      <c r="D619" t="s">
        <v>9</v>
      </c>
      <c r="E619" t="s">
        <v>24</v>
      </c>
      <c r="F619">
        <v>3021.59</v>
      </c>
      <c r="G619">
        <v>2023</v>
      </c>
    </row>
    <row r="620" spans="1:7" x14ac:dyDescent="0.3">
      <c r="A620" t="s">
        <v>43</v>
      </c>
      <c r="B620" t="s">
        <v>17</v>
      </c>
      <c r="C620" t="s">
        <v>34</v>
      </c>
      <c r="D620" t="s">
        <v>28</v>
      </c>
      <c r="E620" t="s">
        <v>24</v>
      </c>
      <c r="F620">
        <v>1312.78</v>
      </c>
      <c r="G620">
        <v>2023</v>
      </c>
    </row>
    <row r="621" spans="1:7" x14ac:dyDescent="0.3">
      <c r="A621" t="s">
        <v>21</v>
      </c>
      <c r="B621" t="s">
        <v>19</v>
      </c>
      <c r="C621" t="s">
        <v>34</v>
      </c>
      <c r="D621" t="s">
        <v>9</v>
      </c>
      <c r="E621" t="s">
        <v>15</v>
      </c>
      <c r="F621">
        <v>1829.71</v>
      </c>
      <c r="G621">
        <v>2023</v>
      </c>
    </row>
    <row r="622" spans="1:7" x14ac:dyDescent="0.3">
      <c r="A622" t="s">
        <v>101</v>
      </c>
      <c r="B622" t="s">
        <v>19</v>
      </c>
      <c r="C622" t="s">
        <v>34</v>
      </c>
      <c r="D622" t="s">
        <v>9</v>
      </c>
      <c r="E622" t="s">
        <v>15</v>
      </c>
      <c r="F622">
        <v>1549.72</v>
      </c>
      <c r="G622">
        <v>2023</v>
      </c>
    </row>
    <row r="623" spans="1:7" x14ac:dyDescent="0.3">
      <c r="A623" t="s">
        <v>136</v>
      </c>
      <c r="B623" t="s">
        <v>17</v>
      </c>
      <c r="C623" t="s">
        <v>8</v>
      </c>
      <c r="D623" t="s">
        <v>28</v>
      </c>
      <c r="E623" t="s">
        <v>10</v>
      </c>
      <c r="F623">
        <v>2500.38</v>
      </c>
      <c r="G623">
        <v>2022</v>
      </c>
    </row>
    <row r="624" spans="1:7" x14ac:dyDescent="0.3">
      <c r="A624" t="s">
        <v>56</v>
      </c>
      <c r="B624" t="s">
        <v>19</v>
      </c>
      <c r="C624" t="s">
        <v>13</v>
      </c>
      <c r="D624" t="s">
        <v>28</v>
      </c>
      <c r="E624" t="s">
        <v>24</v>
      </c>
      <c r="F624">
        <v>1314.88</v>
      </c>
      <c r="G624">
        <v>2022</v>
      </c>
    </row>
    <row r="625" spans="1:7" x14ac:dyDescent="0.3">
      <c r="A625" t="s">
        <v>141</v>
      </c>
      <c r="B625" t="s">
        <v>7</v>
      </c>
      <c r="C625" t="s">
        <v>34</v>
      </c>
      <c r="D625" t="s">
        <v>28</v>
      </c>
      <c r="E625" t="s">
        <v>24</v>
      </c>
      <c r="F625">
        <v>2425.58</v>
      </c>
      <c r="G625">
        <v>2023</v>
      </c>
    </row>
    <row r="626" spans="1:7" x14ac:dyDescent="0.3">
      <c r="A626" t="s">
        <v>35</v>
      </c>
      <c r="B626" t="s">
        <v>19</v>
      </c>
      <c r="C626" t="s">
        <v>13</v>
      </c>
      <c r="D626" t="s">
        <v>14</v>
      </c>
      <c r="E626" t="s">
        <v>15</v>
      </c>
      <c r="F626">
        <v>3143.07</v>
      </c>
      <c r="G626">
        <v>2022</v>
      </c>
    </row>
    <row r="627" spans="1:7" x14ac:dyDescent="0.3">
      <c r="A627" t="s">
        <v>210</v>
      </c>
      <c r="B627" t="s">
        <v>7</v>
      </c>
      <c r="C627" t="s">
        <v>34</v>
      </c>
      <c r="D627" t="s">
        <v>28</v>
      </c>
      <c r="E627" t="s">
        <v>15</v>
      </c>
      <c r="F627">
        <v>3426.65</v>
      </c>
      <c r="G627">
        <v>2023</v>
      </c>
    </row>
    <row r="628" spans="1:7" x14ac:dyDescent="0.3">
      <c r="A628" t="s">
        <v>50</v>
      </c>
      <c r="B628" t="s">
        <v>19</v>
      </c>
      <c r="C628" t="s">
        <v>34</v>
      </c>
      <c r="D628" t="s">
        <v>9</v>
      </c>
      <c r="E628" t="s">
        <v>15</v>
      </c>
      <c r="F628">
        <v>3334.69</v>
      </c>
      <c r="G628">
        <v>2023</v>
      </c>
    </row>
    <row r="629" spans="1:7" x14ac:dyDescent="0.3">
      <c r="A629" t="s">
        <v>103</v>
      </c>
      <c r="B629" t="s">
        <v>19</v>
      </c>
      <c r="C629" t="s">
        <v>8</v>
      </c>
      <c r="D629" t="s">
        <v>28</v>
      </c>
      <c r="E629" t="s">
        <v>24</v>
      </c>
      <c r="F629">
        <v>1554.47</v>
      </c>
      <c r="G629">
        <v>2022</v>
      </c>
    </row>
    <row r="630" spans="1:7" x14ac:dyDescent="0.3">
      <c r="A630" t="s">
        <v>163</v>
      </c>
      <c r="B630" t="s">
        <v>19</v>
      </c>
      <c r="C630" t="s">
        <v>13</v>
      </c>
      <c r="D630" t="s">
        <v>9</v>
      </c>
      <c r="E630" t="s">
        <v>24</v>
      </c>
      <c r="F630">
        <v>613.22</v>
      </c>
      <c r="G630">
        <v>2022</v>
      </c>
    </row>
    <row r="631" spans="1:7" x14ac:dyDescent="0.3">
      <c r="A631" t="s">
        <v>72</v>
      </c>
      <c r="B631" t="s">
        <v>19</v>
      </c>
      <c r="C631" t="s">
        <v>34</v>
      </c>
      <c r="D631" t="s">
        <v>28</v>
      </c>
      <c r="E631" t="s">
        <v>24</v>
      </c>
      <c r="F631">
        <v>2269.8200000000002</v>
      </c>
      <c r="G631">
        <v>2023</v>
      </c>
    </row>
    <row r="632" spans="1:7" x14ac:dyDescent="0.3">
      <c r="A632" t="s">
        <v>155</v>
      </c>
      <c r="B632" t="s">
        <v>7</v>
      </c>
      <c r="C632" t="s">
        <v>8</v>
      </c>
      <c r="D632" t="s">
        <v>9</v>
      </c>
      <c r="E632" t="s">
        <v>24</v>
      </c>
      <c r="F632">
        <v>1258.56</v>
      </c>
      <c r="G632">
        <v>2022</v>
      </c>
    </row>
    <row r="633" spans="1:7" x14ac:dyDescent="0.3">
      <c r="A633" t="s">
        <v>18</v>
      </c>
      <c r="B633" t="s">
        <v>19</v>
      </c>
      <c r="C633" t="s">
        <v>8</v>
      </c>
      <c r="D633" t="s">
        <v>14</v>
      </c>
      <c r="E633" t="s">
        <v>10</v>
      </c>
      <c r="F633">
        <v>2102.71</v>
      </c>
      <c r="G633">
        <v>2022</v>
      </c>
    </row>
    <row r="634" spans="1:7" x14ac:dyDescent="0.3">
      <c r="A634" t="s">
        <v>91</v>
      </c>
      <c r="B634" t="s">
        <v>30</v>
      </c>
      <c r="C634" t="s">
        <v>13</v>
      </c>
      <c r="D634" t="s">
        <v>28</v>
      </c>
      <c r="E634" t="s">
        <v>15</v>
      </c>
      <c r="F634">
        <v>1951.99</v>
      </c>
      <c r="G634">
        <v>2022</v>
      </c>
    </row>
    <row r="635" spans="1:7" x14ac:dyDescent="0.3">
      <c r="A635" t="s">
        <v>165</v>
      </c>
      <c r="B635" t="s">
        <v>7</v>
      </c>
      <c r="C635" t="s">
        <v>8</v>
      </c>
      <c r="D635" t="s">
        <v>9</v>
      </c>
      <c r="E635" t="s">
        <v>10</v>
      </c>
      <c r="F635">
        <v>942.66</v>
      </c>
      <c r="G635">
        <v>2022</v>
      </c>
    </row>
    <row r="636" spans="1:7" x14ac:dyDescent="0.3">
      <c r="A636" t="s">
        <v>18</v>
      </c>
      <c r="B636" t="s">
        <v>19</v>
      </c>
      <c r="C636" t="s">
        <v>8</v>
      </c>
      <c r="D636" t="s">
        <v>14</v>
      </c>
      <c r="E636" t="s">
        <v>24</v>
      </c>
      <c r="F636">
        <v>4612.42</v>
      </c>
      <c r="G636">
        <v>2022</v>
      </c>
    </row>
    <row r="637" spans="1:7" x14ac:dyDescent="0.3">
      <c r="A637" t="s">
        <v>137</v>
      </c>
      <c r="B637" t="s">
        <v>17</v>
      </c>
      <c r="C637" t="s">
        <v>23</v>
      </c>
      <c r="D637" t="s">
        <v>9</v>
      </c>
      <c r="E637" t="s">
        <v>15</v>
      </c>
      <c r="F637">
        <v>5180.6899999999996</v>
      </c>
      <c r="G637">
        <v>2023</v>
      </c>
    </row>
    <row r="638" spans="1:7" x14ac:dyDescent="0.3">
      <c r="A638" t="s">
        <v>111</v>
      </c>
      <c r="B638" t="s">
        <v>19</v>
      </c>
      <c r="C638" t="s">
        <v>23</v>
      </c>
      <c r="D638" t="s">
        <v>9</v>
      </c>
      <c r="E638" t="s">
        <v>10</v>
      </c>
      <c r="F638">
        <v>3307.68</v>
      </c>
      <c r="G638">
        <v>2023</v>
      </c>
    </row>
    <row r="639" spans="1:7" x14ac:dyDescent="0.3">
      <c r="A639" t="s">
        <v>211</v>
      </c>
      <c r="B639" t="s">
        <v>7</v>
      </c>
      <c r="C639" t="s">
        <v>8</v>
      </c>
      <c r="D639" t="s">
        <v>28</v>
      </c>
      <c r="E639" t="s">
        <v>24</v>
      </c>
      <c r="F639">
        <v>4673.95</v>
      </c>
      <c r="G639">
        <v>2022</v>
      </c>
    </row>
    <row r="640" spans="1:7" x14ac:dyDescent="0.3">
      <c r="A640" t="s">
        <v>143</v>
      </c>
      <c r="B640" t="s">
        <v>17</v>
      </c>
      <c r="C640" t="s">
        <v>8</v>
      </c>
      <c r="D640" t="s">
        <v>28</v>
      </c>
      <c r="E640" t="s">
        <v>24</v>
      </c>
      <c r="F640">
        <v>2977.11</v>
      </c>
      <c r="G640">
        <v>2022</v>
      </c>
    </row>
    <row r="641" spans="1:7" x14ac:dyDescent="0.3">
      <c r="A641" t="s">
        <v>6</v>
      </c>
      <c r="B641" t="s">
        <v>7</v>
      </c>
      <c r="C641" t="s">
        <v>34</v>
      </c>
      <c r="D641" t="s">
        <v>9</v>
      </c>
      <c r="E641" t="s">
        <v>15</v>
      </c>
      <c r="F641">
        <v>2214.86</v>
      </c>
      <c r="G641">
        <v>2023</v>
      </c>
    </row>
    <row r="642" spans="1:7" x14ac:dyDescent="0.3">
      <c r="A642" t="s">
        <v>127</v>
      </c>
      <c r="B642" t="s">
        <v>17</v>
      </c>
      <c r="C642" t="s">
        <v>34</v>
      </c>
      <c r="D642" t="s">
        <v>28</v>
      </c>
      <c r="E642" t="s">
        <v>15</v>
      </c>
      <c r="F642">
        <v>2253.86</v>
      </c>
      <c r="G642">
        <v>2023</v>
      </c>
    </row>
    <row r="643" spans="1:7" x14ac:dyDescent="0.3">
      <c r="A643" t="s">
        <v>112</v>
      </c>
      <c r="B643" t="s">
        <v>30</v>
      </c>
      <c r="C643" t="s">
        <v>34</v>
      </c>
      <c r="D643" t="s">
        <v>9</v>
      </c>
      <c r="E643" t="s">
        <v>10</v>
      </c>
      <c r="F643">
        <v>2426.7199999999998</v>
      </c>
      <c r="G643">
        <v>2023</v>
      </c>
    </row>
    <row r="644" spans="1:7" x14ac:dyDescent="0.3">
      <c r="A644" t="s">
        <v>115</v>
      </c>
      <c r="B644" t="s">
        <v>19</v>
      </c>
      <c r="C644" t="s">
        <v>13</v>
      </c>
      <c r="D644" t="s">
        <v>14</v>
      </c>
      <c r="E644" t="s">
        <v>24</v>
      </c>
      <c r="F644">
        <v>2903.42</v>
      </c>
      <c r="G644">
        <v>2022</v>
      </c>
    </row>
    <row r="645" spans="1:7" x14ac:dyDescent="0.3">
      <c r="A645" t="s">
        <v>202</v>
      </c>
      <c r="B645" t="s">
        <v>12</v>
      </c>
      <c r="C645" t="s">
        <v>13</v>
      </c>
      <c r="D645" t="s">
        <v>9</v>
      </c>
      <c r="E645" t="s">
        <v>10</v>
      </c>
      <c r="F645">
        <v>3101.84</v>
      </c>
      <c r="G645">
        <v>2022</v>
      </c>
    </row>
    <row r="646" spans="1:7" x14ac:dyDescent="0.3">
      <c r="A646" t="s">
        <v>139</v>
      </c>
      <c r="B646" t="s">
        <v>7</v>
      </c>
      <c r="C646" t="s">
        <v>8</v>
      </c>
      <c r="D646" t="s">
        <v>9</v>
      </c>
      <c r="E646" t="s">
        <v>10</v>
      </c>
      <c r="F646">
        <v>3483.93</v>
      </c>
      <c r="G646">
        <v>2022</v>
      </c>
    </row>
    <row r="647" spans="1:7" x14ac:dyDescent="0.3">
      <c r="A647" t="s">
        <v>41</v>
      </c>
      <c r="B647" t="s">
        <v>30</v>
      </c>
      <c r="C647" t="s">
        <v>8</v>
      </c>
      <c r="D647" t="s">
        <v>28</v>
      </c>
      <c r="E647" t="s">
        <v>15</v>
      </c>
      <c r="F647">
        <v>4798.16</v>
      </c>
      <c r="G647">
        <v>2022</v>
      </c>
    </row>
    <row r="648" spans="1:7" x14ac:dyDescent="0.3">
      <c r="A648" t="s">
        <v>188</v>
      </c>
      <c r="B648" t="s">
        <v>19</v>
      </c>
      <c r="C648" t="s">
        <v>13</v>
      </c>
      <c r="D648" t="s">
        <v>28</v>
      </c>
      <c r="E648" t="s">
        <v>10</v>
      </c>
      <c r="F648">
        <v>2226.6</v>
      </c>
      <c r="G648">
        <v>2022</v>
      </c>
    </row>
    <row r="649" spans="1:7" x14ac:dyDescent="0.3">
      <c r="A649" t="s">
        <v>156</v>
      </c>
      <c r="B649" t="s">
        <v>17</v>
      </c>
      <c r="C649" t="s">
        <v>23</v>
      </c>
      <c r="D649" t="s">
        <v>9</v>
      </c>
      <c r="E649" t="s">
        <v>15</v>
      </c>
      <c r="F649">
        <v>2848.95</v>
      </c>
      <c r="G649">
        <v>2023</v>
      </c>
    </row>
    <row r="650" spans="1:7" x14ac:dyDescent="0.3">
      <c r="A650" t="s">
        <v>11</v>
      </c>
      <c r="B650" t="s">
        <v>12</v>
      </c>
      <c r="C650" t="s">
        <v>8</v>
      </c>
      <c r="D650" t="s">
        <v>14</v>
      </c>
      <c r="E650" t="s">
        <v>24</v>
      </c>
      <c r="F650">
        <v>751.3</v>
      </c>
      <c r="G650">
        <v>2022</v>
      </c>
    </row>
    <row r="651" spans="1:7" x14ac:dyDescent="0.3">
      <c r="A651" t="s">
        <v>64</v>
      </c>
      <c r="B651" t="s">
        <v>30</v>
      </c>
      <c r="C651" t="s">
        <v>23</v>
      </c>
      <c r="D651" t="s">
        <v>28</v>
      </c>
      <c r="E651" t="s">
        <v>15</v>
      </c>
      <c r="F651">
        <v>3286.05</v>
      </c>
      <c r="G651">
        <v>2023</v>
      </c>
    </row>
    <row r="652" spans="1:7" x14ac:dyDescent="0.3">
      <c r="A652" t="s">
        <v>100</v>
      </c>
      <c r="B652" t="s">
        <v>7</v>
      </c>
      <c r="C652" t="s">
        <v>13</v>
      </c>
      <c r="D652" t="s">
        <v>28</v>
      </c>
      <c r="E652" t="s">
        <v>15</v>
      </c>
      <c r="F652">
        <v>1018.05</v>
      </c>
      <c r="G652">
        <v>2022</v>
      </c>
    </row>
    <row r="653" spans="1:7" x14ac:dyDescent="0.3">
      <c r="A653" t="s">
        <v>189</v>
      </c>
      <c r="B653" t="s">
        <v>19</v>
      </c>
      <c r="C653" t="s">
        <v>34</v>
      </c>
      <c r="D653" t="s">
        <v>14</v>
      </c>
      <c r="E653" t="s">
        <v>24</v>
      </c>
      <c r="F653">
        <v>2978.67</v>
      </c>
      <c r="G653">
        <v>2023</v>
      </c>
    </row>
    <row r="654" spans="1:7" x14ac:dyDescent="0.3">
      <c r="A654" t="s">
        <v>26</v>
      </c>
      <c r="B654" t="s">
        <v>17</v>
      </c>
      <c r="C654" t="s">
        <v>23</v>
      </c>
      <c r="D654" t="s">
        <v>28</v>
      </c>
      <c r="E654" t="s">
        <v>15</v>
      </c>
      <c r="F654">
        <v>1158.82</v>
      </c>
      <c r="G654">
        <v>2023</v>
      </c>
    </row>
    <row r="655" spans="1:7" x14ac:dyDescent="0.3">
      <c r="A655" t="s">
        <v>63</v>
      </c>
      <c r="B655" t="s">
        <v>12</v>
      </c>
      <c r="C655" t="s">
        <v>8</v>
      </c>
      <c r="D655" t="s">
        <v>9</v>
      </c>
      <c r="E655" t="s">
        <v>10</v>
      </c>
      <c r="F655">
        <v>4416.21</v>
      </c>
      <c r="G655">
        <v>2022</v>
      </c>
    </row>
    <row r="656" spans="1:7" x14ac:dyDescent="0.3">
      <c r="A656" t="s">
        <v>90</v>
      </c>
      <c r="B656" t="s">
        <v>19</v>
      </c>
      <c r="C656" t="s">
        <v>13</v>
      </c>
      <c r="D656" t="s">
        <v>9</v>
      </c>
      <c r="E656" t="s">
        <v>10</v>
      </c>
      <c r="F656">
        <v>1348.03</v>
      </c>
      <c r="G656">
        <v>2022</v>
      </c>
    </row>
    <row r="657" spans="1:7" x14ac:dyDescent="0.3">
      <c r="A657" t="s">
        <v>33</v>
      </c>
      <c r="B657" t="s">
        <v>19</v>
      </c>
      <c r="C657" t="s">
        <v>34</v>
      </c>
      <c r="D657" t="s">
        <v>28</v>
      </c>
      <c r="E657" t="s">
        <v>10</v>
      </c>
      <c r="F657">
        <v>2825.42</v>
      </c>
      <c r="G657">
        <v>2023</v>
      </c>
    </row>
    <row r="658" spans="1:7" x14ac:dyDescent="0.3">
      <c r="A658" t="s">
        <v>113</v>
      </c>
      <c r="B658" t="s">
        <v>30</v>
      </c>
      <c r="C658" t="s">
        <v>8</v>
      </c>
      <c r="D658" t="s">
        <v>9</v>
      </c>
      <c r="E658" t="s">
        <v>24</v>
      </c>
      <c r="F658">
        <v>4051.47</v>
      </c>
      <c r="G658">
        <v>2022</v>
      </c>
    </row>
    <row r="659" spans="1:7" x14ac:dyDescent="0.3">
      <c r="A659" t="s">
        <v>59</v>
      </c>
      <c r="B659" t="s">
        <v>17</v>
      </c>
      <c r="C659" t="s">
        <v>34</v>
      </c>
      <c r="D659" t="s">
        <v>28</v>
      </c>
      <c r="E659" t="s">
        <v>24</v>
      </c>
      <c r="F659">
        <v>3797.37</v>
      </c>
      <c r="G659">
        <v>2023</v>
      </c>
    </row>
    <row r="660" spans="1:7" x14ac:dyDescent="0.3">
      <c r="A660" t="s">
        <v>175</v>
      </c>
      <c r="B660" t="s">
        <v>7</v>
      </c>
      <c r="C660" t="s">
        <v>34</v>
      </c>
      <c r="D660" t="s">
        <v>28</v>
      </c>
      <c r="E660" t="s">
        <v>24</v>
      </c>
      <c r="F660">
        <v>4111.7700000000004</v>
      </c>
      <c r="G660">
        <v>2023</v>
      </c>
    </row>
    <row r="661" spans="1:7" x14ac:dyDescent="0.3">
      <c r="A661" t="s">
        <v>195</v>
      </c>
      <c r="B661" t="s">
        <v>7</v>
      </c>
      <c r="C661" t="s">
        <v>34</v>
      </c>
      <c r="D661" t="s">
        <v>9</v>
      </c>
      <c r="E661" t="s">
        <v>10</v>
      </c>
      <c r="F661">
        <v>1444.13</v>
      </c>
      <c r="G661">
        <v>2023</v>
      </c>
    </row>
    <row r="662" spans="1:7" x14ac:dyDescent="0.3">
      <c r="A662" t="s">
        <v>155</v>
      </c>
      <c r="B662" t="s">
        <v>7</v>
      </c>
      <c r="C662" t="s">
        <v>13</v>
      </c>
      <c r="D662" t="s">
        <v>28</v>
      </c>
      <c r="E662" t="s">
        <v>10</v>
      </c>
      <c r="F662">
        <v>3062.42</v>
      </c>
      <c r="G662">
        <v>2022</v>
      </c>
    </row>
    <row r="663" spans="1:7" x14ac:dyDescent="0.3">
      <c r="A663" t="s">
        <v>76</v>
      </c>
      <c r="B663" t="s">
        <v>17</v>
      </c>
      <c r="C663" t="s">
        <v>34</v>
      </c>
      <c r="D663" t="s">
        <v>14</v>
      </c>
      <c r="E663" t="s">
        <v>10</v>
      </c>
      <c r="F663">
        <v>1226.9100000000001</v>
      </c>
      <c r="G663">
        <v>2023</v>
      </c>
    </row>
    <row r="664" spans="1:7" x14ac:dyDescent="0.3">
      <c r="A664" t="s">
        <v>168</v>
      </c>
      <c r="B664" t="s">
        <v>17</v>
      </c>
      <c r="C664" t="s">
        <v>13</v>
      </c>
      <c r="D664" t="s">
        <v>14</v>
      </c>
      <c r="E664" t="s">
        <v>24</v>
      </c>
      <c r="F664">
        <v>1442.19</v>
      </c>
      <c r="G664">
        <v>2022</v>
      </c>
    </row>
    <row r="665" spans="1:7" x14ac:dyDescent="0.3">
      <c r="A665" t="s">
        <v>182</v>
      </c>
      <c r="B665" t="s">
        <v>12</v>
      </c>
      <c r="C665" t="s">
        <v>13</v>
      </c>
      <c r="D665" t="s">
        <v>14</v>
      </c>
      <c r="E665" t="s">
        <v>24</v>
      </c>
      <c r="F665">
        <v>3767.87</v>
      </c>
      <c r="G665">
        <v>2022</v>
      </c>
    </row>
    <row r="666" spans="1:7" x14ac:dyDescent="0.3">
      <c r="A666" t="s">
        <v>91</v>
      </c>
      <c r="B666" t="s">
        <v>30</v>
      </c>
      <c r="C666" t="s">
        <v>23</v>
      </c>
      <c r="D666" t="s">
        <v>14</v>
      </c>
      <c r="E666" t="s">
        <v>24</v>
      </c>
      <c r="F666">
        <v>1528.64</v>
      </c>
      <c r="G666">
        <v>2023</v>
      </c>
    </row>
    <row r="667" spans="1:7" x14ac:dyDescent="0.3">
      <c r="A667" t="s">
        <v>85</v>
      </c>
      <c r="B667" t="s">
        <v>30</v>
      </c>
      <c r="C667" t="s">
        <v>23</v>
      </c>
      <c r="D667" t="s">
        <v>28</v>
      </c>
      <c r="E667" t="s">
        <v>15</v>
      </c>
      <c r="F667">
        <v>438.03</v>
      </c>
      <c r="G667">
        <v>2023</v>
      </c>
    </row>
    <row r="668" spans="1:7" x14ac:dyDescent="0.3">
      <c r="A668" t="s">
        <v>119</v>
      </c>
      <c r="B668" t="s">
        <v>30</v>
      </c>
      <c r="C668" t="s">
        <v>13</v>
      </c>
      <c r="D668" t="s">
        <v>14</v>
      </c>
      <c r="E668" t="s">
        <v>10</v>
      </c>
      <c r="F668">
        <v>2291.7800000000002</v>
      </c>
      <c r="G668">
        <v>2022</v>
      </c>
    </row>
    <row r="669" spans="1:7" x14ac:dyDescent="0.3">
      <c r="A669" t="s">
        <v>42</v>
      </c>
      <c r="B669" t="s">
        <v>30</v>
      </c>
      <c r="C669" t="s">
        <v>13</v>
      </c>
      <c r="D669" t="s">
        <v>28</v>
      </c>
      <c r="E669" t="s">
        <v>10</v>
      </c>
      <c r="F669">
        <v>4099.03</v>
      </c>
      <c r="G669">
        <v>2022</v>
      </c>
    </row>
    <row r="670" spans="1:7" x14ac:dyDescent="0.3">
      <c r="A670" t="s">
        <v>122</v>
      </c>
      <c r="B670" t="s">
        <v>19</v>
      </c>
      <c r="C670" t="s">
        <v>23</v>
      </c>
      <c r="D670" t="s">
        <v>9</v>
      </c>
      <c r="E670" t="s">
        <v>10</v>
      </c>
      <c r="F670">
        <v>2713.32</v>
      </c>
      <c r="G670">
        <v>2023</v>
      </c>
    </row>
    <row r="671" spans="1:7" x14ac:dyDescent="0.3">
      <c r="A671" t="s">
        <v>25</v>
      </c>
      <c r="B671" t="s">
        <v>19</v>
      </c>
      <c r="C671" t="s">
        <v>13</v>
      </c>
      <c r="D671" t="s">
        <v>14</v>
      </c>
      <c r="E671" t="s">
        <v>15</v>
      </c>
      <c r="F671">
        <v>769.84</v>
      </c>
      <c r="G671">
        <v>2022</v>
      </c>
    </row>
    <row r="672" spans="1:7" x14ac:dyDescent="0.3">
      <c r="A672" t="s">
        <v>100</v>
      </c>
      <c r="B672" t="s">
        <v>7</v>
      </c>
      <c r="C672" t="s">
        <v>23</v>
      </c>
      <c r="D672" t="s">
        <v>28</v>
      </c>
      <c r="E672" t="s">
        <v>10</v>
      </c>
      <c r="F672">
        <v>3217.94</v>
      </c>
      <c r="G672">
        <v>2023</v>
      </c>
    </row>
    <row r="673" spans="1:7" x14ac:dyDescent="0.3">
      <c r="A673" t="s">
        <v>179</v>
      </c>
      <c r="B673" t="s">
        <v>7</v>
      </c>
      <c r="C673" t="s">
        <v>23</v>
      </c>
      <c r="D673" t="s">
        <v>9</v>
      </c>
      <c r="E673" t="s">
        <v>15</v>
      </c>
      <c r="F673">
        <v>3817.75</v>
      </c>
      <c r="G673">
        <v>2023</v>
      </c>
    </row>
    <row r="674" spans="1:7" x14ac:dyDescent="0.3">
      <c r="A674" t="s">
        <v>160</v>
      </c>
      <c r="B674" t="s">
        <v>30</v>
      </c>
      <c r="C674" t="s">
        <v>34</v>
      </c>
      <c r="D674" t="s">
        <v>14</v>
      </c>
      <c r="E674" t="s">
        <v>10</v>
      </c>
      <c r="F674">
        <v>3796.86</v>
      </c>
      <c r="G674">
        <v>2023</v>
      </c>
    </row>
    <row r="675" spans="1:7" x14ac:dyDescent="0.3">
      <c r="A675" t="s">
        <v>163</v>
      </c>
      <c r="B675" t="s">
        <v>19</v>
      </c>
      <c r="C675" t="s">
        <v>8</v>
      </c>
      <c r="D675" t="s">
        <v>28</v>
      </c>
      <c r="E675" t="s">
        <v>15</v>
      </c>
      <c r="F675">
        <v>1722.54</v>
      </c>
      <c r="G675">
        <v>2022</v>
      </c>
    </row>
    <row r="676" spans="1:7" x14ac:dyDescent="0.3">
      <c r="A676" t="s">
        <v>190</v>
      </c>
      <c r="B676" t="s">
        <v>17</v>
      </c>
      <c r="C676" t="s">
        <v>23</v>
      </c>
      <c r="D676" t="s">
        <v>14</v>
      </c>
      <c r="E676" t="s">
        <v>24</v>
      </c>
      <c r="F676">
        <v>2472.08</v>
      </c>
      <c r="G676">
        <v>2023</v>
      </c>
    </row>
    <row r="677" spans="1:7" x14ac:dyDescent="0.3">
      <c r="A677" t="s">
        <v>129</v>
      </c>
      <c r="B677" t="s">
        <v>17</v>
      </c>
      <c r="C677" t="s">
        <v>34</v>
      </c>
      <c r="D677" t="s">
        <v>28</v>
      </c>
      <c r="E677" t="s">
        <v>24</v>
      </c>
      <c r="F677">
        <v>3592.6</v>
      </c>
      <c r="G677">
        <v>2023</v>
      </c>
    </row>
    <row r="678" spans="1:7" x14ac:dyDescent="0.3">
      <c r="A678" t="s">
        <v>80</v>
      </c>
      <c r="B678" t="s">
        <v>17</v>
      </c>
      <c r="C678" t="s">
        <v>34</v>
      </c>
      <c r="D678" t="s">
        <v>28</v>
      </c>
      <c r="E678" t="s">
        <v>15</v>
      </c>
      <c r="F678">
        <v>4482.0600000000004</v>
      </c>
      <c r="G678">
        <v>2023</v>
      </c>
    </row>
    <row r="679" spans="1:7" x14ac:dyDescent="0.3">
      <c r="A679" t="s">
        <v>156</v>
      </c>
      <c r="B679" t="s">
        <v>17</v>
      </c>
      <c r="C679" t="s">
        <v>23</v>
      </c>
      <c r="D679" t="s">
        <v>9</v>
      </c>
      <c r="E679" t="s">
        <v>15</v>
      </c>
      <c r="F679">
        <v>3888.63</v>
      </c>
      <c r="G679">
        <v>2023</v>
      </c>
    </row>
    <row r="680" spans="1:7" x14ac:dyDescent="0.3">
      <c r="A680" t="s">
        <v>204</v>
      </c>
      <c r="B680" t="s">
        <v>30</v>
      </c>
      <c r="C680" t="s">
        <v>34</v>
      </c>
      <c r="D680" t="s">
        <v>9</v>
      </c>
      <c r="E680" t="s">
        <v>15</v>
      </c>
      <c r="F680">
        <v>1035.25</v>
      </c>
      <c r="G680">
        <v>2023</v>
      </c>
    </row>
    <row r="681" spans="1:7" x14ac:dyDescent="0.3">
      <c r="A681" t="s">
        <v>107</v>
      </c>
      <c r="B681" t="s">
        <v>30</v>
      </c>
      <c r="C681" t="s">
        <v>34</v>
      </c>
      <c r="D681" t="s">
        <v>14</v>
      </c>
      <c r="E681" t="s">
        <v>15</v>
      </c>
      <c r="F681">
        <v>93.17</v>
      </c>
      <c r="G681">
        <v>2023</v>
      </c>
    </row>
    <row r="682" spans="1:7" x14ac:dyDescent="0.3">
      <c r="A682" t="s">
        <v>64</v>
      </c>
      <c r="B682" t="s">
        <v>30</v>
      </c>
      <c r="C682" t="s">
        <v>8</v>
      </c>
      <c r="D682" t="s">
        <v>14</v>
      </c>
      <c r="E682" t="s">
        <v>15</v>
      </c>
      <c r="F682">
        <v>489.88</v>
      </c>
      <c r="G682">
        <v>2022</v>
      </c>
    </row>
    <row r="683" spans="1:7" x14ac:dyDescent="0.3">
      <c r="A683" t="s">
        <v>42</v>
      </c>
      <c r="B683" t="s">
        <v>30</v>
      </c>
      <c r="C683" t="s">
        <v>8</v>
      </c>
      <c r="D683" t="s">
        <v>28</v>
      </c>
      <c r="E683" t="s">
        <v>24</v>
      </c>
      <c r="F683">
        <v>627.29999999999995</v>
      </c>
      <c r="G683">
        <v>2022</v>
      </c>
    </row>
    <row r="684" spans="1:7" x14ac:dyDescent="0.3">
      <c r="A684" t="s">
        <v>169</v>
      </c>
      <c r="B684" t="s">
        <v>12</v>
      </c>
      <c r="C684" t="s">
        <v>23</v>
      </c>
      <c r="D684" t="s">
        <v>28</v>
      </c>
      <c r="E684" t="s">
        <v>24</v>
      </c>
      <c r="F684">
        <v>4443.8500000000004</v>
      </c>
      <c r="G684">
        <v>2023</v>
      </c>
    </row>
    <row r="685" spans="1:7" x14ac:dyDescent="0.3">
      <c r="A685" t="s">
        <v>188</v>
      </c>
      <c r="B685" t="s">
        <v>19</v>
      </c>
      <c r="C685" t="s">
        <v>8</v>
      </c>
      <c r="D685" t="s">
        <v>14</v>
      </c>
      <c r="E685" t="s">
        <v>15</v>
      </c>
      <c r="F685">
        <v>2192.52</v>
      </c>
      <c r="G685">
        <v>2022</v>
      </c>
    </row>
    <row r="686" spans="1:7" x14ac:dyDescent="0.3">
      <c r="A686" t="s">
        <v>35</v>
      </c>
      <c r="B686" t="s">
        <v>19</v>
      </c>
      <c r="C686" t="s">
        <v>34</v>
      </c>
      <c r="D686" t="s">
        <v>9</v>
      </c>
      <c r="E686" t="s">
        <v>15</v>
      </c>
      <c r="F686">
        <v>1166.77</v>
      </c>
      <c r="G686">
        <v>2023</v>
      </c>
    </row>
    <row r="687" spans="1:7" x14ac:dyDescent="0.3">
      <c r="A687" t="s">
        <v>156</v>
      </c>
      <c r="B687" t="s">
        <v>17</v>
      </c>
      <c r="C687" t="s">
        <v>8</v>
      </c>
      <c r="D687" t="s">
        <v>9</v>
      </c>
      <c r="E687" t="s">
        <v>10</v>
      </c>
      <c r="F687">
        <v>3803.96</v>
      </c>
      <c r="G687">
        <v>2022</v>
      </c>
    </row>
    <row r="688" spans="1:7" x14ac:dyDescent="0.3">
      <c r="A688" t="s">
        <v>48</v>
      </c>
      <c r="B688" t="s">
        <v>19</v>
      </c>
      <c r="C688" t="s">
        <v>8</v>
      </c>
      <c r="D688" t="s">
        <v>14</v>
      </c>
      <c r="E688" t="s">
        <v>24</v>
      </c>
      <c r="F688">
        <v>4902.53</v>
      </c>
      <c r="G688">
        <v>2022</v>
      </c>
    </row>
    <row r="689" spans="1:7" x14ac:dyDescent="0.3">
      <c r="A689" t="s">
        <v>193</v>
      </c>
      <c r="B689" t="s">
        <v>12</v>
      </c>
      <c r="C689" t="s">
        <v>23</v>
      </c>
      <c r="D689" t="s">
        <v>28</v>
      </c>
      <c r="E689" t="s">
        <v>24</v>
      </c>
      <c r="F689">
        <v>1144.49</v>
      </c>
      <c r="G689">
        <v>2023</v>
      </c>
    </row>
    <row r="690" spans="1:7" x14ac:dyDescent="0.3">
      <c r="A690" t="s">
        <v>67</v>
      </c>
      <c r="B690" t="s">
        <v>7</v>
      </c>
      <c r="C690" t="s">
        <v>13</v>
      </c>
      <c r="D690" t="s">
        <v>9</v>
      </c>
      <c r="E690" t="s">
        <v>15</v>
      </c>
      <c r="F690">
        <v>4243.1099999999997</v>
      </c>
      <c r="G690">
        <v>2022</v>
      </c>
    </row>
    <row r="691" spans="1:7" x14ac:dyDescent="0.3">
      <c r="A691" t="s">
        <v>22</v>
      </c>
      <c r="B691" t="s">
        <v>12</v>
      </c>
      <c r="C691" t="s">
        <v>8</v>
      </c>
      <c r="D691" t="s">
        <v>28</v>
      </c>
      <c r="E691" t="s">
        <v>24</v>
      </c>
      <c r="F691">
        <v>2303.31</v>
      </c>
      <c r="G691">
        <v>2022</v>
      </c>
    </row>
    <row r="692" spans="1:7" x14ac:dyDescent="0.3">
      <c r="A692" t="s">
        <v>95</v>
      </c>
      <c r="B692" t="s">
        <v>30</v>
      </c>
      <c r="C692" t="s">
        <v>23</v>
      </c>
      <c r="D692" t="s">
        <v>14</v>
      </c>
      <c r="E692" t="s">
        <v>10</v>
      </c>
      <c r="F692">
        <v>3192.9</v>
      </c>
      <c r="G692">
        <v>2023</v>
      </c>
    </row>
    <row r="693" spans="1:7" x14ac:dyDescent="0.3">
      <c r="A693" t="s">
        <v>71</v>
      </c>
      <c r="B693" t="s">
        <v>7</v>
      </c>
      <c r="C693" t="s">
        <v>13</v>
      </c>
      <c r="D693" t="s">
        <v>28</v>
      </c>
      <c r="E693" t="s">
        <v>15</v>
      </c>
      <c r="F693">
        <v>3601.52</v>
      </c>
      <c r="G693">
        <v>2022</v>
      </c>
    </row>
    <row r="694" spans="1:7" x14ac:dyDescent="0.3">
      <c r="A694" t="s">
        <v>95</v>
      </c>
      <c r="B694" t="s">
        <v>30</v>
      </c>
      <c r="C694" t="s">
        <v>13</v>
      </c>
      <c r="D694" t="s">
        <v>14</v>
      </c>
      <c r="E694" t="s">
        <v>15</v>
      </c>
      <c r="F694">
        <v>4964.3100000000004</v>
      </c>
      <c r="G694">
        <v>2022</v>
      </c>
    </row>
    <row r="695" spans="1:7" x14ac:dyDescent="0.3">
      <c r="A695" t="s">
        <v>59</v>
      </c>
      <c r="B695" t="s">
        <v>17</v>
      </c>
      <c r="C695" t="s">
        <v>23</v>
      </c>
      <c r="D695" t="s">
        <v>14</v>
      </c>
      <c r="E695" t="s">
        <v>15</v>
      </c>
      <c r="F695">
        <v>2143.7399999999998</v>
      </c>
      <c r="G695">
        <v>2023</v>
      </c>
    </row>
    <row r="696" spans="1:7" x14ac:dyDescent="0.3">
      <c r="A696" t="s">
        <v>164</v>
      </c>
      <c r="B696" t="s">
        <v>19</v>
      </c>
      <c r="C696" t="s">
        <v>13</v>
      </c>
      <c r="D696" t="s">
        <v>14</v>
      </c>
      <c r="E696" t="s">
        <v>15</v>
      </c>
      <c r="F696">
        <v>563.55999999999995</v>
      </c>
      <c r="G696">
        <v>2022</v>
      </c>
    </row>
    <row r="697" spans="1:7" x14ac:dyDescent="0.3">
      <c r="A697" t="s">
        <v>95</v>
      </c>
      <c r="B697" t="s">
        <v>30</v>
      </c>
      <c r="C697" t="s">
        <v>13</v>
      </c>
      <c r="D697" t="s">
        <v>9</v>
      </c>
      <c r="E697" t="s">
        <v>15</v>
      </c>
      <c r="F697">
        <v>1541.86</v>
      </c>
      <c r="G697">
        <v>2022</v>
      </c>
    </row>
    <row r="698" spans="1:7" x14ac:dyDescent="0.3">
      <c r="A698" t="s">
        <v>46</v>
      </c>
      <c r="B698" t="s">
        <v>30</v>
      </c>
      <c r="C698" t="s">
        <v>23</v>
      </c>
      <c r="D698" t="s">
        <v>14</v>
      </c>
      <c r="E698" t="s">
        <v>10</v>
      </c>
      <c r="F698">
        <v>2191.88</v>
      </c>
      <c r="G698">
        <v>2023</v>
      </c>
    </row>
    <row r="699" spans="1:7" x14ac:dyDescent="0.3">
      <c r="A699" t="s">
        <v>45</v>
      </c>
      <c r="B699" t="s">
        <v>7</v>
      </c>
      <c r="C699" t="s">
        <v>34</v>
      </c>
      <c r="D699" t="s">
        <v>28</v>
      </c>
      <c r="E699" t="s">
        <v>15</v>
      </c>
      <c r="F699">
        <v>4804.76</v>
      </c>
      <c r="G699">
        <v>2023</v>
      </c>
    </row>
    <row r="700" spans="1:7" x14ac:dyDescent="0.3">
      <c r="A700" t="s">
        <v>212</v>
      </c>
      <c r="B700" t="s">
        <v>7</v>
      </c>
      <c r="C700" t="s">
        <v>13</v>
      </c>
      <c r="D700" t="s">
        <v>14</v>
      </c>
      <c r="E700" t="s">
        <v>10</v>
      </c>
      <c r="F700">
        <v>4966.99</v>
      </c>
      <c r="G700">
        <v>2022</v>
      </c>
    </row>
    <row r="701" spans="1:7" x14ac:dyDescent="0.3">
      <c r="A701" t="s">
        <v>99</v>
      </c>
      <c r="B701" t="s">
        <v>19</v>
      </c>
      <c r="C701" t="s">
        <v>8</v>
      </c>
      <c r="D701" t="s">
        <v>28</v>
      </c>
      <c r="E701" t="s">
        <v>15</v>
      </c>
      <c r="F701">
        <v>2346.08</v>
      </c>
      <c r="G701">
        <v>2022</v>
      </c>
    </row>
    <row r="702" spans="1:7" x14ac:dyDescent="0.3">
      <c r="A702" t="s">
        <v>140</v>
      </c>
      <c r="B702" t="s">
        <v>17</v>
      </c>
      <c r="C702" t="s">
        <v>34</v>
      </c>
      <c r="D702" t="s">
        <v>28</v>
      </c>
      <c r="E702" t="s">
        <v>15</v>
      </c>
      <c r="F702">
        <v>278.14</v>
      </c>
      <c r="G702">
        <v>2023</v>
      </c>
    </row>
    <row r="703" spans="1:7" x14ac:dyDescent="0.3">
      <c r="A703" t="s">
        <v>111</v>
      </c>
      <c r="B703" t="s">
        <v>19</v>
      </c>
      <c r="C703" t="s">
        <v>34</v>
      </c>
      <c r="D703" t="s">
        <v>28</v>
      </c>
      <c r="E703" t="s">
        <v>10</v>
      </c>
      <c r="F703">
        <v>3551.91</v>
      </c>
      <c r="G703">
        <v>2023</v>
      </c>
    </row>
    <row r="704" spans="1:7" x14ac:dyDescent="0.3">
      <c r="A704" t="s">
        <v>119</v>
      </c>
      <c r="B704" t="s">
        <v>30</v>
      </c>
      <c r="C704" t="s">
        <v>34</v>
      </c>
      <c r="D704" t="s">
        <v>28</v>
      </c>
      <c r="E704" t="s">
        <v>10</v>
      </c>
      <c r="F704">
        <v>3834.95</v>
      </c>
      <c r="G704">
        <v>2023</v>
      </c>
    </row>
    <row r="705" spans="1:7" x14ac:dyDescent="0.3">
      <c r="A705" t="s">
        <v>22</v>
      </c>
      <c r="B705" t="s">
        <v>12</v>
      </c>
      <c r="C705" t="s">
        <v>13</v>
      </c>
      <c r="D705" t="s">
        <v>14</v>
      </c>
      <c r="E705" t="s">
        <v>10</v>
      </c>
      <c r="F705">
        <v>4076.77</v>
      </c>
      <c r="G705">
        <v>2022</v>
      </c>
    </row>
    <row r="706" spans="1:7" x14ac:dyDescent="0.3">
      <c r="A706" t="s">
        <v>101</v>
      </c>
      <c r="B706" t="s">
        <v>19</v>
      </c>
      <c r="C706" t="s">
        <v>13</v>
      </c>
      <c r="D706" t="s">
        <v>14</v>
      </c>
      <c r="E706" t="s">
        <v>15</v>
      </c>
      <c r="F706">
        <v>1402.07</v>
      </c>
      <c r="G706">
        <v>2022</v>
      </c>
    </row>
    <row r="707" spans="1:7" x14ac:dyDescent="0.3">
      <c r="A707" t="s">
        <v>93</v>
      </c>
      <c r="B707" t="s">
        <v>30</v>
      </c>
      <c r="C707" t="s">
        <v>8</v>
      </c>
      <c r="D707" t="s">
        <v>14</v>
      </c>
      <c r="E707" t="s">
        <v>15</v>
      </c>
      <c r="F707">
        <v>2817.03</v>
      </c>
      <c r="G707">
        <v>2022</v>
      </c>
    </row>
    <row r="708" spans="1:7" x14ac:dyDescent="0.3">
      <c r="A708" t="s">
        <v>94</v>
      </c>
      <c r="B708" t="s">
        <v>7</v>
      </c>
      <c r="C708" t="s">
        <v>34</v>
      </c>
      <c r="D708" t="s">
        <v>14</v>
      </c>
      <c r="E708" t="s">
        <v>24</v>
      </c>
      <c r="F708">
        <v>4610.1499999999996</v>
      </c>
      <c r="G708">
        <v>2023</v>
      </c>
    </row>
    <row r="709" spans="1:7" x14ac:dyDescent="0.3">
      <c r="A709" t="s">
        <v>191</v>
      </c>
      <c r="B709" t="s">
        <v>12</v>
      </c>
      <c r="C709" t="s">
        <v>23</v>
      </c>
      <c r="D709" t="s">
        <v>9</v>
      </c>
      <c r="E709" t="s">
        <v>24</v>
      </c>
      <c r="F709">
        <v>1197.68</v>
      </c>
      <c r="G709">
        <v>2023</v>
      </c>
    </row>
    <row r="710" spans="1:7" x14ac:dyDescent="0.3">
      <c r="A710" t="s">
        <v>80</v>
      </c>
      <c r="B710" t="s">
        <v>17</v>
      </c>
      <c r="C710" t="s">
        <v>23</v>
      </c>
      <c r="D710" t="s">
        <v>14</v>
      </c>
      <c r="E710" t="s">
        <v>24</v>
      </c>
      <c r="F710">
        <v>2154.8200000000002</v>
      </c>
      <c r="G710">
        <v>2023</v>
      </c>
    </row>
    <row r="711" spans="1:7" x14ac:dyDescent="0.3">
      <c r="A711" t="s">
        <v>71</v>
      </c>
      <c r="B711" t="s">
        <v>7</v>
      </c>
      <c r="C711" t="s">
        <v>23</v>
      </c>
      <c r="D711" t="s">
        <v>28</v>
      </c>
      <c r="E711" t="s">
        <v>15</v>
      </c>
      <c r="F711">
        <v>1398.72</v>
      </c>
      <c r="G711">
        <v>2023</v>
      </c>
    </row>
    <row r="712" spans="1:7" x14ac:dyDescent="0.3">
      <c r="A712" t="s">
        <v>18</v>
      </c>
      <c r="B712" t="s">
        <v>19</v>
      </c>
      <c r="C712" t="s">
        <v>23</v>
      </c>
      <c r="D712" t="s">
        <v>14</v>
      </c>
      <c r="E712" t="s">
        <v>15</v>
      </c>
      <c r="F712">
        <v>2433.64</v>
      </c>
      <c r="G712">
        <v>2023</v>
      </c>
    </row>
    <row r="713" spans="1:7" x14ac:dyDescent="0.3">
      <c r="A713" t="s">
        <v>52</v>
      </c>
      <c r="B713" t="s">
        <v>19</v>
      </c>
      <c r="C713" t="s">
        <v>23</v>
      </c>
      <c r="D713" t="s">
        <v>14</v>
      </c>
      <c r="E713" t="s">
        <v>10</v>
      </c>
      <c r="F713">
        <v>1785.88</v>
      </c>
      <c r="G713">
        <v>2023</v>
      </c>
    </row>
    <row r="714" spans="1:7" x14ac:dyDescent="0.3">
      <c r="A714" t="s">
        <v>65</v>
      </c>
      <c r="B714" t="s">
        <v>30</v>
      </c>
      <c r="C714" t="s">
        <v>8</v>
      </c>
      <c r="D714" t="s">
        <v>9</v>
      </c>
      <c r="E714" t="s">
        <v>10</v>
      </c>
      <c r="F714">
        <v>4694.88</v>
      </c>
      <c r="G714">
        <v>2022</v>
      </c>
    </row>
    <row r="715" spans="1:7" x14ac:dyDescent="0.3">
      <c r="A715" t="s">
        <v>71</v>
      </c>
      <c r="B715" t="s">
        <v>7</v>
      </c>
      <c r="C715" t="s">
        <v>8</v>
      </c>
      <c r="D715" t="s">
        <v>14</v>
      </c>
      <c r="E715" t="s">
        <v>10</v>
      </c>
      <c r="F715">
        <v>3069.11</v>
      </c>
      <c r="G715">
        <v>2022</v>
      </c>
    </row>
    <row r="716" spans="1:7" x14ac:dyDescent="0.3">
      <c r="A716" t="s">
        <v>196</v>
      </c>
      <c r="B716" t="s">
        <v>30</v>
      </c>
      <c r="C716" t="s">
        <v>13</v>
      </c>
      <c r="D716" t="s">
        <v>14</v>
      </c>
      <c r="E716" t="s">
        <v>15</v>
      </c>
      <c r="F716">
        <v>2819.92</v>
      </c>
      <c r="G716">
        <v>2022</v>
      </c>
    </row>
    <row r="717" spans="1:7" x14ac:dyDescent="0.3">
      <c r="A717" t="s">
        <v>95</v>
      </c>
      <c r="B717" t="s">
        <v>30</v>
      </c>
      <c r="C717" t="s">
        <v>13</v>
      </c>
      <c r="D717" t="s">
        <v>28</v>
      </c>
      <c r="E717" t="s">
        <v>24</v>
      </c>
      <c r="F717">
        <v>1772.23</v>
      </c>
      <c r="G717">
        <v>2022</v>
      </c>
    </row>
    <row r="718" spans="1:7" x14ac:dyDescent="0.3">
      <c r="A718" t="s">
        <v>57</v>
      </c>
      <c r="B718" t="s">
        <v>19</v>
      </c>
      <c r="C718" t="s">
        <v>8</v>
      </c>
      <c r="D718" t="s">
        <v>14</v>
      </c>
      <c r="E718" t="s">
        <v>24</v>
      </c>
      <c r="F718">
        <v>2502.25</v>
      </c>
      <c r="G718">
        <v>2022</v>
      </c>
    </row>
    <row r="719" spans="1:7" x14ac:dyDescent="0.3">
      <c r="A719" t="s">
        <v>74</v>
      </c>
      <c r="B719" t="s">
        <v>19</v>
      </c>
      <c r="C719" t="s">
        <v>8</v>
      </c>
      <c r="D719" t="s">
        <v>9</v>
      </c>
      <c r="E719" t="s">
        <v>15</v>
      </c>
      <c r="F719">
        <v>3851.93</v>
      </c>
      <c r="G719">
        <v>2022</v>
      </c>
    </row>
    <row r="720" spans="1:7" x14ac:dyDescent="0.3">
      <c r="A720" t="s">
        <v>114</v>
      </c>
      <c r="B720" t="s">
        <v>30</v>
      </c>
      <c r="C720" t="s">
        <v>13</v>
      </c>
      <c r="D720" t="s">
        <v>28</v>
      </c>
      <c r="E720" t="s">
        <v>24</v>
      </c>
      <c r="F720">
        <v>3031.48</v>
      </c>
      <c r="G720">
        <v>2022</v>
      </c>
    </row>
    <row r="721" spans="1:7" x14ac:dyDescent="0.3">
      <c r="A721" t="s">
        <v>78</v>
      </c>
      <c r="B721" t="s">
        <v>7</v>
      </c>
      <c r="C721" t="s">
        <v>23</v>
      </c>
      <c r="D721" t="s">
        <v>9</v>
      </c>
      <c r="E721" t="s">
        <v>24</v>
      </c>
      <c r="F721">
        <v>601.62</v>
      </c>
      <c r="G721">
        <v>2023</v>
      </c>
    </row>
    <row r="722" spans="1:7" x14ac:dyDescent="0.3">
      <c r="A722" t="s">
        <v>73</v>
      </c>
      <c r="B722" t="s">
        <v>30</v>
      </c>
      <c r="C722" t="s">
        <v>8</v>
      </c>
      <c r="D722" t="s">
        <v>28</v>
      </c>
      <c r="E722" t="s">
        <v>24</v>
      </c>
      <c r="F722">
        <v>2060.17</v>
      </c>
      <c r="G722">
        <v>2022</v>
      </c>
    </row>
    <row r="723" spans="1:7" x14ac:dyDescent="0.3">
      <c r="A723" t="s">
        <v>99</v>
      </c>
      <c r="B723" t="s">
        <v>19</v>
      </c>
      <c r="C723" t="s">
        <v>13</v>
      </c>
      <c r="D723" t="s">
        <v>28</v>
      </c>
      <c r="E723" t="s">
        <v>10</v>
      </c>
      <c r="F723">
        <v>2452.0300000000002</v>
      </c>
      <c r="G723">
        <v>2022</v>
      </c>
    </row>
    <row r="724" spans="1:7" x14ac:dyDescent="0.3">
      <c r="A724" t="s">
        <v>56</v>
      </c>
      <c r="B724" t="s">
        <v>19</v>
      </c>
      <c r="C724" t="s">
        <v>8</v>
      </c>
      <c r="D724" t="s">
        <v>28</v>
      </c>
      <c r="E724" t="s">
        <v>10</v>
      </c>
      <c r="F724">
        <v>1782.21</v>
      </c>
      <c r="G724">
        <v>2022</v>
      </c>
    </row>
    <row r="725" spans="1:7" x14ac:dyDescent="0.3">
      <c r="A725" t="s">
        <v>123</v>
      </c>
      <c r="B725" t="s">
        <v>30</v>
      </c>
      <c r="C725" t="s">
        <v>23</v>
      </c>
      <c r="D725" t="s">
        <v>9</v>
      </c>
      <c r="E725" t="s">
        <v>15</v>
      </c>
      <c r="F725">
        <v>103.31</v>
      </c>
      <c r="G725">
        <v>2023</v>
      </c>
    </row>
    <row r="726" spans="1:7" x14ac:dyDescent="0.3">
      <c r="A726" t="s">
        <v>171</v>
      </c>
      <c r="B726" t="s">
        <v>17</v>
      </c>
      <c r="C726" t="s">
        <v>13</v>
      </c>
      <c r="D726" t="s">
        <v>14</v>
      </c>
      <c r="E726" t="s">
        <v>15</v>
      </c>
      <c r="F726">
        <v>3568.05</v>
      </c>
      <c r="G726">
        <v>2022</v>
      </c>
    </row>
    <row r="727" spans="1:7" x14ac:dyDescent="0.3">
      <c r="A727" t="s">
        <v>67</v>
      </c>
      <c r="B727" t="s">
        <v>7</v>
      </c>
      <c r="C727" t="s">
        <v>23</v>
      </c>
      <c r="D727" t="s">
        <v>9</v>
      </c>
      <c r="E727" t="s">
        <v>15</v>
      </c>
      <c r="F727">
        <v>2290.64</v>
      </c>
      <c r="G727">
        <v>2023</v>
      </c>
    </row>
    <row r="728" spans="1:7" x14ac:dyDescent="0.3">
      <c r="A728" t="s">
        <v>105</v>
      </c>
      <c r="B728" t="s">
        <v>30</v>
      </c>
      <c r="C728" t="s">
        <v>23</v>
      </c>
      <c r="D728" t="s">
        <v>14</v>
      </c>
      <c r="E728" t="s">
        <v>24</v>
      </c>
      <c r="F728">
        <v>4937.24</v>
      </c>
      <c r="G728">
        <v>2023</v>
      </c>
    </row>
    <row r="729" spans="1:7" x14ac:dyDescent="0.3">
      <c r="A729" t="s">
        <v>150</v>
      </c>
      <c r="B729" t="s">
        <v>30</v>
      </c>
      <c r="C729" t="s">
        <v>23</v>
      </c>
      <c r="D729" t="s">
        <v>9</v>
      </c>
      <c r="E729" t="s">
        <v>15</v>
      </c>
      <c r="F729">
        <v>1728.81</v>
      </c>
      <c r="G729">
        <v>2023</v>
      </c>
    </row>
    <row r="730" spans="1:7" x14ac:dyDescent="0.3">
      <c r="A730" t="s">
        <v>213</v>
      </c>
      <c r="B730" t="s">
        <v>12</v>
      </c>
      <c r="C730" t="s">
        <v>13</v>
      </c>
      <c r="D730" t="s">
        <v>14</v>
      </c>
      <c r="E730" t="s">
        <v>10</v>
      </c>
      <c r="F730">
        <v>372.7</v>
      </c>
      <c r="G730">
        <v>2022</v>
      </c>
    </row>
    <row r="731" spans="1:7" x14ac:dyDescent="0.3">
      <c r="A731" t="s">
        <v>80</v>
      </c>
      <c r="B731" t="s">
        <v>17</v>
      </c>
      <c r="C731" t="s">
        <v>8</v>
      </c>
      <c r="D731" t="s">
        <v>14</v>
      </c>
      <c r="E731" t="s">
        <v>24</v>
      </c>
      <c r="F731">
        <v>3677.7</v>
      </c>
      <c r="G731">
        <v>2022</v>
      </c>
    </row>
    <row r="732" spans="1:7" x14ac:dyDescent="0.3">
      <c r="A732" t="s">
        <v>20</v>
      </c>
      <c r="B732" t="s">
        <v>17</v>
      </c>
      <c r="C732" t="s">
        <v>34</v>
      </c>
      <c r="D732" t="s">
        <v>28</v>
      </c>
      <c r="E732" t="s">
        <v>10</v>
      </c>
      <c r="F732">
        <v>2576.7800000000002</v>
      </c>
      <c r="G732">
        <v>2023</v>
      </c>
    </row>
    <row r="733" spans="1:7" x14ac:dyDescent="0.3">
      <c r="A733" t="s">
        <v>111</v>
      </c>
      <c r="B733" t="s">
        <v>19</v>
      </c>
      <c r="C733" t="s">
        <v>8</v>
      </c>
      <c r="D733" t="s">
        <v>28</v>
      </c>
      <c r="E733" t="s">
        <v>10</v>
      </c>
      <c r="F733">
        <v>2972.77</v>
      </c>
      <c r="G733">
        <v>2022</v>
      </c>
    </row>
    <row r="734" spans="1:7" x14ac:dyDescent="0.3">
      <c r="A734" t="s">
        <v>87</v>
      </c>
      <c r="B734" t="s">
        <v>12</v>
      </c>
      <c r="C734" t="s">
        <v>23</v>
      </c>
      <c r="D734" t="s">
        <v>28</v>
      </c>
      <c r="E734" t="s">
        <v>24</v>
      </c>
      <c r="F734">
        <v>3995.86</v>
      </c>
      <c r="G734">
        <v>2023</v>
      </c>
    </row>
    <row r="735" spans="1:7" x14ac:dyDescent="0.3">
      <c r="A735" t="s">
        <v>84</v>
      </c>
      <c r="B735" t="s">
        <v>30</v>
      </c>
      <c r="C735" t="s">
        <v>13</v>
      </c>
      <c r="D735" t="s">
        <v>14</v>
      </c>
      <c r="E735" t="s">
        <v>15</v>
      </c>
      <c r="F735">
        <v>2798.95</v>
      </c>
      <c r="G735">
        <v>2022</v>
      </c>
    </row>
    <row r="736" spans="1:7" x14ac:dyDescent="0.3">
      <c r="A736" t="s">
        <v>36</v>
      </c>
      <c r="B736" t="s">
        <v>12</v>
      </c>
      <c r="C736" t="s">
        <v>8</v>
      </c>
      <c r="D736" t="s">
        <v>28</v>
      </c>
      <c r="E736" t="s">
        <v>15</v>
      </c>
      <c r="F736">
        <v>204.44</v>
      </c>
      <c r="G736">
        <v>2022</v>
      </c>
    </row>
    <row r="737" spans="1:7" x14ac:dyDescent="0.3">
      <c r="A737" t="s">
        <v>179</v>
      </c>
      <c r="B737" t="s">
        <v>7</v>
      </c>
      <c r="C737" t="s">
        <v>8</v>
      </c>
      <c r="D737" t="s">
        <v>14</v>
      </c>
      <c r="E737" t="s">
        <v>15</v>
      </c>
      <c r="F737">
        <v>2646.82</v>
      </c>
      <c r="G737">
        <v>2022</v>
      </c>
    </row>
    <row r="738" spans="1:7" x14ac:dyDescent="0.3">
      <c r="A738" t="s">
        <v>50</v>
      </c>
      <c r="B738" t="s">
        <v>19</v>
      </c>
      <c r="C738" t="s">
        <v>13</v>
      </c>
      <c r="D738" t="s">
        <v>14</v>
      </c>
      <c r="E738" t="s">
        <v>15</v>
      </c>
      <c r="F738">
        <v>2960.39</v>
      </c>
      <c r="G738">
        <v>2022</v>
      </c>
    </row>
    <row r="739" spans="1:7" x14ac:dyDescent="0.3">
      <c r="A739" t="s">
        <v>78</v>
      </c>
      <c r="B739" t="s">
        <v>7</v>
      </c>
      <c r="C739" t="s">
        <v>13</v>
      </c>
      <c r="D739" t="s">
        <v>14</v>
      </c>
      <c r="E739" t="s">
        <v>24</v>
      </c>
      <c r="F739">
        <v>1696.88</v>
      </c>
      <c r="G739">
        <v>2022</v>
      </c>
    </row>
    <row r="740" spans="1:7" x14ac:dyDescent="0.3">
      <c r="A740" t="s">
        <v>214</v>
      </c>
      <c r="B740" t="s">
        <v>30</v>
      </c>
      <c r="C740" t="s">
        <v>13</v>
      </c>
      <c r="D740" t="s">
        <v>9</v>
      </c>
      <c r="E740" t="s">
        <v>24</v>
      </c>
      <c r="F740">
        <v>623</v>
      </c>
      <c r="G740">
        <v>2022</v>
      </c>
    </row>
    <row r="741" spans="1:7" x14ac:dyDescent="0.3">
      <c r="A741" t="s">
        <v>128</v>
      </c>
      <c r="B741" t="s">
        <v>12</v>
      </c>
      <c r="C741" t="s">
        <v>23</v>
      </c>
      <c r="D741" t="s">
        <v>14</v>
      </c>
      <c r="E741" t="s">
        <v>24</v>
      </c>
      <c r="F741">
        <v>1684.41</v>
      </c>
      <c r="G741">
        <v>2023</v>
      </c>
    </row>
    <row r="742" spans="1:7" x14ac:dyDescent="0.3">
      <c r="A742" t="s">
        <v>68</v>
      </c>
      <c r="B742" t="s">
        <v>12</v>
      </c>
      <c r="C742" t="s">
        <v>34</v>
      </c>
      <c r="D742" t="s">
        <v>14</v>
      </c>
      <c r="E742" t="s">
        <v>24</v>
      </c>
      <c r="F742">
        <v>3307.16</v>
      </c>
      <c r="G742">
        <v>2023</v>
      </c>
    </row>
    <row r="743" spans="1:7" x14ac:dyDescent="0.3">
      <c r="A743" t="s">
        <v>38</v>
      </c>
      <c r="B743" t="s">
        <v>30</v>
      </c>
      <c r="C743" t="s">
        <v>34</v>
      </c>
      <c r="D743" t="s">
        <v>9</v>
      </c>
      <c r="E743" t="s">
        <v>10</v>
      </c>
      <c r="F743">
        <v>2731.17</v>
      </c>
      <c r="G743">
        <v>2023</v>
      </c>
    </row>
    <row r="744" spans="1:7" x14ac:dyDescent="0.3">
      <c r="A744" t="s">
        <v>29</v>
      </c>
      <c r="B744" t="s">
        <v>30</v>
      </c>
      <c r="C744" t="s">
        <v>13</v>
      </c>
      <c r="D744" t="s">
        <v>28</v>
      </c>
      <c r="E744" t="s">
        <v>24</v>
      </c>
      <c r="F744">
        <v>2861.41</v>
      </c>
      <c r="G744">
        <v>2022</v>
      </c>
    </row>
    <row r="745" spans="1:7" x14ac:dyDescent="0.3">
      <c r="A745" t="s">
        <v>117</v>
      </c>
      <c r="B745" t="s">
        <v>7</v>
      </c>
      <c r="C745" t="s">
        <v>34</v>
      </c>
      <c r="D745" t="s">
        <v>14</v>
      </c>
      <c r="E745" t="s">
        <v>15</v>
      </c>
      <c r="F745">
        <v>2409.39</v>
      </c>
      <c r="G745">
        <v>2023</v>
      </c>
    </row>
    <row r="746" spans="1:7" x14ac:dyDescent="0.3">
      <c r="A746" t="s">
        <v>125</v>
      </c>
      <c r="B746" t="s">
        <v>7</v>
      </c>
      <c r="C746" t="s">
        <v>13</v>
      </c>
      <c r="D746" t="s">
        <v>28</v>
      </c>
      <c r="E746" t="s">
        <v>24</v>
      </c>
      <c r="F746">
        <v>1958.41</v>
      </c>
      <c r="G746">
        <v>2022</v>
      </c>
    </row>
    <row r="747" spans="1:7" x14ac:dyDescent="0.3">
      <c r="A747" t="s">
        <v>87</v>
      </c>
      <c r="B747" t="s">
        <v>12</v>
      </c>
      <c r="C747" t="s">
        <v>8</v>
      </c>
      <c r="D747" t="s">
        <v>28</v>
      </c>
      <c r="E747" t="s">
        <v>10</v>
      </c>
      <c r="F747">
        <v>2816.97</v>
      </c>
      <c r="G747">
        <v>2022</v>
      </c>
    </row>
    <row r="748" spans="1:7" x14ac:dyDescent="0.3">
      <c r="A748" t="s">
        <v>164</v>
      </c>
      <c r="B748" t="s">
        <v>19</v>
      </c>
      <c r="C748" t="s">
        <v>8</v>
      </c>
      <c r="D748" t="s">
        <v>14</v>
      </c>
      <c r="E748" t="s">
        <v>24</v>
      </c>
      <c r="F748">
        <v>4263.92</v>
      </c>
      <c r="G748">
        <v>2022</v>
      </c>
    </row>
    <row r="749" spans="1:7" x14ac:dyDescent="0.3">
      <c r="A749" t="s">
        <v>163</v>
      </c>
      <c r="B749" t="s">
        <v>19</v>
      </c>
      <c r="C749" t="s">
        <v>34</v>
      </c>
      <c r="D749" t="s">
        <v>14</v>
      </c>
      <c r="E749" t="s">
        <v>24</v>
      </c>
      <c r="F749">
        <v>1867.58</v>
      </c>
      <c r="G749">
        <v>2023</v>
      </c>
    </row>
    <row r="750" spans="1:7" x14ac:dyDescent="0.3">
      <c r="A750" t="s">
        <v>54</v>
      </c>
      <c r="B750" t="s">
        <v>12</v>
      </c>
      <c r="C750" t="s">
        <v>23</v>
      </c>
      <c r="D750" t="s">
        <v>9</v>
      </c>
      <c r="E750" t="s">
        <v>10</v>
      </c>
      <c r="F750">
        <v>3447.61</v>
      </c>
      <c r="G750">
        <v>2023</v>
      </c>
    </row>
    <row r="751" spans="1:7" x14ac:dyDescent="0.3">
      <c r="A751" t="s">
        <v>75</v>
      </c>
      <c r="B751" t="s">
        <v>19</v>
      </c>
      <c r="C751" t="s">
        <v>34</v>
      </c>
      <c r="D751" t="s">
        <v>9</v>
      </c>
      <c r="E751" t="s">
        <v>15</v>
      </c>
      <c r="F751">
        <v>4785.58</v>
      </c>
      <c r="G751">
        <v>2023</v>
      </c>
    </row>
    <row r="752" spans="1:7" x14ac:dyDescent="0.3">
      <c r="A752" t="s">
        <v>68</v>
      </c>
      <c r="B752" t="s">
        <v>12</v>
      </c>
      <c r="C752" t="s">
        <v>23</v>
      </c>
      <c r="D752" t="s">
        <v>14</v>
      </c>
      <c r="E752" t="s">
        <v>15</v>
      </c>
      <c r="F752">
        <v>3739.05</v>
      </c>
      <c r="G752">
        <v>2023</v>
      </c>
    </row>
    <row r="753" spans="1:7" x14ac:dyDescent="0.3">
      <c r="A753" t="s">
        <v>25</v>
      </c>
      <c r="B753" t="s">
        <v>19</v>
      </c>
      <c r="C753" t="s">
        <v>34</v>
      </c>
      <c r="D753" t="s">
        <v>14</v>
      </c>
      <c r="E753" t="s">
        <v>10</v>
      </c>
      <c r="F753">
        <v>4330.71</v>
      </c>
      <c r="G753">
        <v>2023</v>
      </c>
    </row>
    <row r="754" spans="1:7" x14ac:dyDescent="0.3">
      <c r="A754" t="s">
        <v>156</v>
      </c>
      <c r="B754" t="s">
        <v>17</v>
      </c>
      <c r="C754" t="s">
        <v>13</v>
      </c>
      <c r="D754" t="s">
        <v>9</v>
      </c>
      <c r="E754" t="s">
        <v>24</v>
      </c>
      <c r="F754">
        <v>1947.42</v>
      </c>
      <c r="G754">
        <v>2022</v>
      </c>
    </row>
    <row r="755" spans="1:7" x14ac:dyDescent="0.3">
      <c r="A755" t="s">
        <v>119</v>
      </c>
      <c r="B755" t="s">
        <v>30</v>
      </c>
      <c r="C755" t="s">
        <v>23</v>
      </c>
      <c r="D755" t="s">
        <v>14</v>
      </c>
      <c r="E755" t="s">
        <v>24</v>
      </c>
      <c r="F755">
        <v>2840.62</v>
      </c>
      <c r="G755">
        <v>2023</v>
      </c>
    </row>
    <row r="756" spans="1:7" x14ac:dyDescent="0.3">
      <c r="A756" t="s">
        <v>117</v>
      </c>
      <c r="B756" t="s">
        <v>7</v>
      </c>
      <c r="C756" t="s">
        <v>8</v>
      </c>
      <c r="D756" t="s">
        <v>28</v>
      </c>
      <c r="E756" t="s">
        <v>24</v>
      </c>
      <c r="F756">
        <v>2415.5100000000002</v>
      </c>
      <c r="G756">
        <v>2022</v>
      </c>
    </row>
    <row r="757" spans="1:7" x14ac:dyDescent="0.3">
      <c r="A757" t="s">
        <v>140</v>
      </c>
      <c r="B757" t="s">
        <v>17</v>
      </c>
      <c r="C757" t="s">
        <v>34</v>
      </c>
      <c r="D757" t="s">
        <v>9</v>
      </c>
      <c r="E757" t="s">
        <v>10</v>
      </c>
      <c r="F757">
        <v>5161.46</v>
      </c>
      <c r="G757">
        <v>2023</v>
      </c>
    </row>
    <row r="758" spans="1:7" x14ac:dyDescent="0.3">
      <c r="A758" t="s">
        <v>141</v>
      </c>
      <c r="B758" t="s">
        <v>7</v>
      </c>
      <c r="C758" t="s">
        <v>23</v>
      </c>
      <c r="D758" t="s">
        <v>14</v>
      </c>
      <c r="E758" t="s">
        <v>24</v>
      </c>
      <c r="F758">
        <v>2359.52</v>
      </c>
      <c r="G758">
        <v>2023</v>
      </c>
    </row>
    <row r="759" spans="1:7" x14ac:dyDescent="0.3">
      <c r="A759" t="s">
        <v>180</v>
      </c>
      <c r="B759" t="s">
        <v>30</v>
      </c>
      <c r="C759" t="s">
        <v>34</v>
      </c>
      <c r="D759" t="s">
        <v>14</v>
      </c>
      <c r="E759" t="s">
        <v>15</v>
      </c>
      <c r="F759">
        <v>4799.96</v>
      </c>
      <c r="G759">
        <v>2023</v>
      </c>
    </row>
    <row r="760" spans="1:7" x14ac:dyDescent="0.3">
      <c r="A760" t="s">
        <v>140</v>
      </c>
      <c r="B760" t="s">
        <v>17</v>
      </c>
      <c r="C760" t="s">
        <v>34</v>
      </c>
      <c r="D760" t="s">
        <v>28</v>
      </c>
      <c r="E760" t="s">
        <v>10</v>
      </c>
      <c r="F760">
        <v>152.66999999999999</v>
      </c>
      <c r="G760">
        <v>2023</v>
      </c>
    </row>
    <row r="761" spans="1:7" x14ac:dyDescent="0.3">
      <c r="A761" t="s">
        <v>199</v>
      </c>
      <c r="B761" t="s">
        <v>17</v>
      </c>
      <c r="C761" t="s">
        <v>13</v>
      </c>
      <c r="D761" t="s">
        <v>9</v>
      </c>
      <c r="E761" t="s">
        <v>24</v>
      </c>
      <c r="F761">
        <v>2461.89</v>
      </c>
      <c r="G761">
        <v>2022</v>
      </c>
    </row>
    <row r="762" spans="1:7" x14ac:dyDescent="0.3">
      <c r="A762" t="s">
        <v>126</v>
      </c>
      <c r="B762" t="s">
        <v>30</v>
      </c>
      <c r="C762" t="s">
        <v>23</v>
      </c>
      <c r="D762" t="s">
        <v>14</v>
      </c>
      <c r="E762" t="s">
        <v>15</v>
      </c>
      <c r="F762">
        <v>3223.43</v>
      </c>
      <c r="G762">
        <v>2023</v>
      </c>
    </row>
    <row r="763" spans="1:7" x14ac:dyDescent="0.3">
      <c r="A763" t="s">
        <v>58</v>
      </c>
      <c r="B763" t="s">
        <v>17</v>
      </c>
      <c r="C763" t="s">
        <v>34</v>
      </c>
      <c r="D763" t="s">
        <v>28</v>
      </c>
      <c r="E763" t="s">
        <v>15</v>
      </c>
      <c r="F763">
        <v>3987.54</v>
      </c>
      <c r="G763">
        <v>2023</v>
      </c>
    </row>
    <row r="764" spans="1:7" x14ac:dyDescent="0.3">
      <c r="A764" t="s">
        <v>32</v>
      </c>
      <c r="B764" t="s">
        <v>7</v>
      </c>
      <c r="C764" t="s">
        <v>23</v>
      </c>
      <c r="D764" t="s">
        <v>14</v>
      </c>
      <c r="E764" t="s">
        <v>24</v>
      </c>
      <c r="F764">
        <v>2592.73</v>
      </c>
      <c r="G764">
        <v>2023</v>
      </c>
    </row>
    <row r="765" spans="1:7" x14ac:dyDescent="0.3">
      <c r="A765" t="s">
        <v>48</v>
      </c>
      <c r="B765" t="s">
        <v>19</v>
      </c>
      <c r="C765" t="s">
        <v>8</v>
      </c>
      <c r="D765" t="s">
        <v>28</v>
      </c>
      <c r="E765" t="s">
        <v>10</v>
      </c>
      <c r="F765">
        <v>3770.78</v>
      </c>
      <c r="G765">
        <v>2022</v>
      </c>
    </row>
    <row r="766" spans="1:7" x14ac:dyDescent="0.3">
      <c r="A766" t="s">
        <v>54</v>
      </c>
      <c r="B766" t="s">
        <v>12</v>
      </c>
      <c r="C766" t="s">
        <v>34</v>
      </c>
      <c r="D766" t="s">
        <v>14</v>
      </c>
      <c r="E766" t="s">
        <v>10</v>
      </c>
      <c r="F766">
        <v>348.87</v>
      </c>
      <c r="G766">
        <v>2023</v>
      </c>
    </row>
    <row r="767" spans="1:7" x14ac:dyDescent="0.3">
      <c r="A767" t="s">
        <v>189</v>
      </c>
      <c r="B767" t="s">
        <v>19</v>
      </c>
      <c r="C767" t="s">
        <v>13</v>
      </c>
      <c r="D767" t="s">
        <v>14</v>
      </c>
      <c r="E767" t="s">
        <v>15</v>
      </c>
      <c r="F767">
        <v>2278.9499999999998</v>
      </c>
      <c r="G767">
        <v>2022</v>
      </c>
    </row>
    <row r="768" spans="1:7" x14ac:dyDescent="0.3">
      <c r="A768" t="s">
        <v>85</v>
      </c>
      <c r="B768" t="s">
        <v>30</v>
      </c>
      <c r="C768" t="s">
        <v>8</v>
      </c>
      <c r="D768" t="s">
        <v>28</v>
      </c>
      <c r="E768" t="s">
        <v>10</v>
      </c>
      <c r="F768">
        <v>2550.35</v>
      </c>
      <c r="G768">
        <v>2022</v>
      </c>
    </row>
    <row r="769" spans="1:7" x14ac:dyDescent="0.3">
      <c r="A769" t="s">
        <v>107</v>
      </c>
      <c r="B769" t="s">
        <v>30</v>
      </c>
      <c r="C769" t="s">
        <v>23</v>
      </c>
      <c r="D769" t="s">
        <v>14</v>
      </c>
      <c r="E769" t="s">
        <v>15</v>
      </c>
      <c r="F769">
        <v>2694.43</v>
      </c>
      <c r="G769">
        <v>2023</v>
      </c>
    </row>
    <row r="770" spans="1:7" x14ac:dyDescent="0.3">
      <c r="A770" t="s">
        <v>114</v>
      </c>
      <c r="B770" t="s">
        <v>30</v>
      </c>
      <c r="C770" t="s">
        <v>13</v>
      </c>
      <c r="D770" t="s">
        <v>28</v>
      </c>
      <c r="E770" t="s">
        <v>10</v>
      </c>
      <c r="F770">
        <v>3868.63</v>
      </c>
      <c r="G770">
        <v>2022</v>
      </c>
    </row>
    <row r="771" spans="1:7" x14ac:dyDescent="0.3">
      <c r="A771" t="s">
        <v>70</v>
      </c>
      <c r="B771" t="s">
        <v>19</v>
      </c>
      <c r="C771" t="s">
        <v>8</v>
      </c>
      <c r="D771" t="s">
        <v>9</v>
      </c>
      <c r="E771" t="s">
        <v>10</v>
      </c>
      <c r="F771">
        <v>297.69</v>
      </c>
      <c r="G771">
        <v>2022</v>
      </c>
    </row>
    <row r="772" spans="1:7" x14ac:dyDescent="0.3">
      <c r="A772" t="s">
        <v>119</v>
      </c>
      <c r="B772" t="s">
        <v>30</v>
      </c>
      <c r="C772" t="s">
        <v>8</v>
      </c>
      <c r="D772" t="s">
        <v>28</v>
      </c>
      <c r="E772" t="s">
        <v>24</v>
      </c>
      <c r="F772">
        <v>579.69000000000005</v>
      </c>
      <c r="G772">
        <v>2022</v>
      </c>
    </row>
    <row r="773" spans="1:7" x14ac:dyDescent="0.3">
      <c r="A773" t="s">
        <v>197</v>
      </c>
      <c r="B773" t="s">
        <v>30</v>
      </c>
      <c r="C773" t="s">
        <v>8</v>
      </c>
      <c r="D773" t="s">
        <v>28</v>
      </c>
      <c r="E773" t="s">
        <v>10</v>
      </c>
      <c r="F773">
        <v>1933.86</v>
      </c>
      <c r="G773">
        <v>2022</v>
      </c>
    </row>
    <row r="774" spans="1:7" x14ac:dyDescent="0.3">
      <c r="A774" t="s">
        <v>191</v>
      </c>
      <c r="B774" t="s">
        <v>12</v>
      </c>
      <c r="C774" t="s">
        <v>13</v>
      </c>
      <c r="D774" t="s">
        <v>28</v>
      </c>
      <c r="E774" t="s">
        <v>15</v>
      </c>
      <c r="F774">
        <v>2753.65</v>
      </c>
      <c r="G774">
        <v>2022</v>
      </c>
    </row>
    <row r="775" spans="1:7" x14ac:dyDescent="0.3">
      <c r="A775" t="s">
        <v>122</v>
      </c>
      <c r="B775" t="s">
        <v>19</v>
      </c>
      <c r="C775" t="s">
        <v>13</v>
      </c>
      <c r="D775" t="s">
        <v>14</v>
      </c>
      <c r="E775" t="s">
        <v>15</v>
      </c>
      <c r="F775">
        <v>1643.04</v>
      </c>
      <c r="G775">
        <v>2022</v>
      </c>
    </row>
    <row r="776" spans="1:7" x14ac:dyDescent="0.3">
      <c r="A776" t="s">
        <v>109</v>
      </c>
      <c r="B776" t="s">
        <v>12</v>
      </c>
      <c r="C776" t="s">
        <v>13</v>
      </c>
      <c r="D776" t="s">
        <v>14</v>
      </c>
      <c r="E776" t="s">
        <v>15</v>
      </c>
      <c r="F776">
        <v>4614.76</v>
      </c>
      <c r="G776">
        <v>2022</v>
      </c>
    </row>
    <row r="777" spans="1:7" x14ac:dyDescent="0.3">
      <c r="A777" t="s">
        <v>184</v>
      </c>
      <c r="B777" t="s">
        <v>30</v>
      </c>
      <c r="C777" t="s">
        <v>23</v>
      </c>
      <c r="D777" t="s">
        <v>28</v>
      </c>
      <c r="E777" t="s">
        <v>10</v>
      </c>
      <c r="F777">
        <v>1222.43</v>
      </c>
      <c r="G777">
        <v>2023</v>
      </c>
    </row>
    <row r="778" spans="1:7" x14ac:dyDescent="0.3">
      <c r="A778" t="s">
        <v>213</v>
      </c>
      <c r="B778" t="s">
        <v>12</v>
      </c>
      <c r="C778" t="s">
        <v>8</v>
      </c>
      <c r="D778" t="s">
        <v>9</v>
      </c>
      <c r="E778" t="s">
        <v>24</v>
      </c>
      <c r="F778">
        <v>2583.2199999999998</v>
      </c>
      <c r="G778">
        <v>2022</v>
      </c>
    </row>
    <row r="779" spans="1:7" x14ac:dyDescent="0.3">
      <c r="A779" t="s">
        <v>54</v>
      </c>
      <c r="B779" t="s">
        <v>12</v>
      </c>
      <c r="C779" t="s">
        <v>8</v>
      </c>
      <c r="D779" t="s">
        <v>28</v>
      </c>
      <c r="E779" t="s">
        <v>15</v>
      </c>
      <c r="F779">
        <v>1562.45</v>
      </c>
      <c r="G779">
        <v>2022</v>
      </c>
    </row>
    <row r="780" spans="1:7" x14ac:dyDescent="0.3">
      <c r="A780" t="s">
        <v>18</v>
      </c>
      <c r="B780" t="s">
        <v>19</v>
      </c>
      <c r="C780" t="s">
        <v>34</v>
      </c>
      <c r="D780" t="s">
        <v>9</v>
      </c>
      <c r="E780" t="s">
        <v>24</v>
      </c>
      <c r="F780">
        <v>3844.34</v>
      </c>
      <c r="G780">
        <v>2023</v>
      </c>
    </row>
    <row r="781" spans="1:7" x14ac:dyDescent="0.3">
      <c r="A781" t="s">
        <v>98</v>
      </c>
      <c r="B781" t="s">
        <v>19</v>
      </c>
      <c r="C781" t="s">
        <v>23</v>
      </c>
      <c r="D781" t="s">
        <v>9</v>
      </c>
      <c r="E781" t="s">
        <v>10</v>
      </c>
      <c r="F781">
        <v>695.19</v>
      </c>
      <c r="G781">
        <v>2023</v>
      </c>
    </row>
    <row r="782" spans="1:7" x14ac:dyDescent="0.3">
      <c r="A782" t="s">
        <v>214</v>
      </c>
      <c r="B782" t="s">
        <v>30</v>
      </c>
      <c r="C782" t="s">
        <v>34</v>
      </c>
      <c r="D782" t="s">
        <v>28</v>
      </c>
      <c r="E782" t="s">
        <v>15</v>
      </c>
      <c r="F782">
        <v>4607.08</v>
      </c>
      <c r="G782">
        <v>2023</v>
      </c>
    </row>
    <row r="783" spans="1:7" x14ac:dyDescent="0.3">
      <c r="A783" t="s">
        <v>76</v>
      </c>
      <c r="B783" t="s">
        <v>17</v>
      </c>
      <c r="C783" t="s">
        <v>13</v>
      </c>
      <c r="D783" t="s">
        <v>9</v>
      </c>
      <c r="E783" t="s">
        <v>10</v>
      </c>
      <c r="F783">
        <v>2391.3200000000002</v>
      </c>
      <c r="G783">
        <v>2022</v>
      </c>
    </row>
    <row r="784" spans="1:7" x14ac:dyDescent="0.3">
      <c r="A784" t="s">
        <v>186</v>
      </c>
      <c r="B784" t="s">
        <v>30</v>
      </c>
      <c r="C784" t="s">
        <v>13</v>
      </c>
      <c r="D784" t="s">
        <v>14</v>
      </c>
      <c r="E784" t="s">
        <v>15</v>
      </c>
      <c r="F784">
        <v>4313.43</v>
      </c>
      <c r="G784">
        <v>2022</v>
      </c>
    </row>
    <row r="785" spans="1:7" x14ac:dyDescent="0.3">
      <c r="A785" t="s">
        <v>107</v>
      </c>
      <c r="B785" t="s">
        <v>30</v>
      </c>
      <c r="C785" t="s">
        <v>13</v>
      </c>
      <c r="D785" t="s">
        <v>14</v>
      </c>
      <c r="E785" t="s">
        <v>10</v>
      </c>
      <c r="F785">
        <v>1094.0999999999999</v>
      </c>
      <c r="G785">
        <v>2022</v>
      </c>
    </row>
    <row r="786" spans="1:7" x14ac:dyDescent="0.3">
      <c r="A786" t="s">
        <v>202</v>
      </c>
      <c r="B786" t="s">
        <v>12</v>
      </c>
      <c r="C786" t="s">
        <v>13</v>
      </c>
      <c r="D786" t="s">
        <v>9</v>
      </c>
      <c r="E786" t="s">
        <v>10</v>
      </c>
      <c r="F786">
        <v>5193.72</v>
      </c>
      <c r="G786">
        <v>2022</v>
      </c>
    </row>
    <row r="787" spans="1:7" x14ac:dyDescent="0.3">
      <c r="A787" t="s">
        <v>184</v>
      </c>
      <c r="B787" t="s">
        <v>30</v>
      </c>
      <c r="C787" t="s">
        <v>13</v>
      </c>
      <c r="D787" t="s">
        <v>28</v>
      </c>
      <c r="E787" t="s">
        <v>24</v>
      </c>
      <c r="F787">
        <v>3352.59</v>
      </c>
      <c r="G787">
        <v>2022</v>
      </c>
    </row>
    <row r="788" spans="1:7" x14ac:dyDescent="0.3">
      <c r="A788" t="s">
        <v>123</v>
      </c>
      <c r="B788" t="s">
        <v>30</v>
      </c>
      <c r="C788" t="s">
        <v>23</v>
      </c>
      <c r="D788" t="s">
        <v>9</v>
      </c>
      <c r="E788" t="s">
        <v>10</v>
      </c>
      <c r="F788">
        <v>3888.52</v>
      </c>
      <c r="G788">
        <v>2023</v>
      </c>
    </row>
    <row r="789" spans="1:7" x14ac:dyDescent="0.3">
      <c r="A789" t="s">
        <v>108</v>
      </c>
      <c r="B789" t="s">
        <v>7</v>
      </c>
      <c r="C789" t="s">
        <v>23</v>
      </c>
      <c r="D789" t="s">
        <v>28</v>
      </c>
      <c r="E789" t="s">
        <v>15</v>
      </c>
      <c r="F789">
        <v>3140.95</v>
      </c>
      <c r="G789">
        <v>2023</v>
      </c>
    </row>
    <row r="790" spans="1:7" x14ac:dyDescent="0.3">
      <c r="A790" t="s">
        <v>57</v>
      </c>
      <c r="B790" t="s">
        <v>19</v>
      </c>
      <c r="C790" t="s">
        <v>13</v>
      </c>
      <c r="D790" t="s">
        <v>9</v>
      </c>
      <c r="E790" t="s">
        <v>24</v>
      </c>
      <c r="F790">
        <v>1260.77</v>
      </c>
      <c r="G790">
        <v>2022</v>
      </c>
    </row>
    <row r="791" spans="1:7" x14ac:dyDescent="0.3">
      <c r="A791" t="s">
        <v>156</v>
      </c>
      <c r="B791" t="s">
        <v>17</v>
      </c>
      <c r="C791" t="s">
        <v>23</v>
      </c>
      <c r="D791" t="s">
        <v>14</v>
      </c>
      <c r="E791" t="s">
        <v>24</v>
      </c>
      <c r="F791">
        <v>416.29</v>
      </c>
      <c r="G791">
        <v>2023</v>
      </c>
    </row>
    <row r="792" spans="1:7" x14ac:dyDescent="0.3">
      <c r="A792" t="s">
        <v>143</v>
      </c>
      <c r="B792" t="s">
        <v>17</v>
      </c>
      <c r="C792" t="s">
        <v>8</v>
      </c>
      <c r="D792" t="s">
        <v>14</v>
      </c>
      <c r="E792" t="s">
        <v>15</v>
      </c>
      <c r="F792">
        <v>96.09</v>
      </c>
      <c r="G792">
        <v>2022</v>
      </c>
    </row>
    <row r="793" spans="1:7" x14ac:dyDescent="0.3">
      <c r="A793" t="s">
        <v>130</v>
      </c>
      <c r="B793" t="s">
        <v>12</v>
      </c>
      <c r="C793" t="s">
        <v>23</v>
      </c>
      <c r="D793" t="s">
        <v>28</v>
      </c>
      <c r="E793" t="s">
        <v>15</v>
      </c>
      <c r="F793">
        <v>1224.1099999999999</v>
      </c>
      <c r="G793">
        <v>2023</v>
      </c>
    </row>
    <row r="794" spans="1:7" x14ac:dyDescent="0.3">
      <c r="A794" t="s">
        <v>37</v>
      </c>
      <c r="B794" t="s">
        <v>17</v>
      </c>
      <c r="C794" t="s">
        <v>34</v>
      </c>
      <c r="D794" t="s">
        <v>14</v>
      </c>
      <c r="E794" t="s">
        <v>15</v>
      </c>
      <c r="F794">
        <v>3899.81</v>
      </c>
      <c r="G794">
        <v>2023</v>
      </c>
    </row>
    <row r="795" spans="1:7" x14ac:dyDescent="0.3">
      <c r="A795" t="s">
        <v>117</v>
      </c>
      <c r="B795" t="s">
        <v>7</v>
      </c>
      <c r="C795" t="s">
        <v>13</v>
      </c>
      <c r="D795" t="s">
        <v>28</v>
      </c>
      <c r="E795" t="s">
        <v>15</v>
      </c>
      <c r="F795">
        <v>1065.82</v>
      </c>
      <c r="G795">
        <v>2022</v>
      </c>
    </row>
    <row r="796" spans="1:7" x14ac:dyDescent="0.3">
      <c r="A796" t="s">
        <v>177</v>
      </c>
      <c r="B796" t="s">
        <v>7</v>
      </c>
      <c r="C796" t="s">
        <v>34</v>
      </c>
      <c r="D796" t="s">
        <v>28</v>
      </c>
      <c r="E796" t="s">
        <v>15</v>
      </c>
      <c r="F796">
        <v>4448.1899999999996</v>
      </c>
      <c r="G796">
        <v>2023</v>
      </c>
    </row>
    <row r="797" spans="1:7" x14ac:dyDescent="0.3">
      <c r="A797" t="s">
        <v>43</v>
      </c>
      <c r="B797" t="s">
        <v>17</v>
      </c>
      <c r="C797" t="s">
        <v>23</v>
      </c>
      <c r="D797" t="s">
        <v>9</v>
      </c>
      <c r="E797" t="s">
        <v>24</v>
      </c>
      <c r="F797">
        <v>2211.09</v>
      </c>
      <c r="G797">
        <v>2023</v>
      </c>
    </row>
    <row r="798" spans="1:7" x14ac:dyDescent="0.3">
      <c r="A798" t="s">
        <v>140</v>
      </c>
      <c r="B798" t="s">
        <v>17</v>
      </c>
      <c r="C798" t="s">
        <v>23</v>
      </c>
      <c r="D798" t="s">
        <v>9</v>
      </c>
      <c r="E798" t="s">
        <v>24</v>
      </c>
      <c r="F798">
        <v>3199.41</v>
      </c>
      <c r="G798">
        <v>2023</v>
      </c>
    </row>
    <row r="799" spans="1:7" x14ac:dyDescent="0.3">
      <c r="A799" t="s">
        <v>212</v>
      </c>
      <c r="B799" t="s">
        <v>7</v>
      </c>
      <c r="C799" t="s">
        <v>34</v>
      </c>
      <c r="D799" t="s">
        <v>14</v>
      </c>
      <c r="E799" t="s">
        <v>24</v>
      </c>
      <c r="F799">
        <v>2263.6999999999998</v>
      </c>
      <c r="G799">
        <v>2023</v>
      </c>
    </row>
    <row r="800" spans="1:7" x14ac:dyDescent="0.3">
      <c r="A800" t="s">
        <v>49</v>
      </c>
      <c r="B800" t="s">
        <v>19</v>
      </c>
      <c r="C800" t="s">
        <v>13</v>
      </c>
      <c r="D800" t="s">
        <v>14</v>
      </c>
      <c r="E800" t="s">
        <v>15</v>
      </c>
      <c r="F800">
        <v>4326.03</v>
      </c>
      <c r="G800">
        <v>2022</v>
      </c>
    </row>
    <row r="801" spans="1:7" x14ac:dyDescent="0.3">
      <c r="A801" t="s">
        <v>203</v>
      </c>
      <c r="B801" t="s">
        <v>12</v>
      </c>
      <c r="C801" t="s">
        <v>34</v>
      </c>
      <c r="D801" t="s">
        <v>9</v>
      </c>
      <c r="E801" t="s">
        <v>24</v>
      </c>
      <c r="F801">
        <v>4352.74</v>
      </c>
      <c r="G801">
        <v>2023</v>
      </c>
    </row>
    <row r="802" spans="1:7" x14ac:dyDescent="0.3">
      <c r="A802" t="s">
        <v>32</v>
      </c>
      <c r="B802" t="s">
        <v>7</v>
      </c>
      <c r="C802" t="s">
        <v>13</v>
      </c>
      <c r="D802" t="s">
        <v>9</v>
      </c>
      <c r="E802" t="s">
        <v>15</v>
      </c>
      <c r="F802">
        <v>4294.79</v>
      </c>
      <c r="G802">
        <v>2022</v>
      </c>
    </row>
    <row r="803" spans="1:7" x14ac:dyDescent="0.3">
      <c r="A803" t="s">
        <v>132</v>
      </c>
      <c r="B803" t="s">
        <v>19</v>
      </c>
      <c r="C803" t="s">
        <v>23</v>
      </c>
      <c r="D803" t="s">
        <v>14</v>
      </c>
      <c r="E803" t="s">
        <v>15</v>
      </c>
      <c r="F803">
        <v>2678.48</v>
      </c>
      <c r="G803">
        <v>2023</v>
      </c>
    </row>
    <row r="804" spans="1:7" x14ac:dyDescent="0.3">
      <c r="A804" t="s">
        <v>73</v>
      </c>
      <c r="B804" t="s">
        <v>30</v>
      </c>
      <c r="C804" t="s">
        <v>8</v>
      </c>
      <c r="D804" t="s">
        <v>14</v>
      </c>
      <c r="E804" t="s">
        <v>15</v>
      </c>
      <c r="F804">
        <v>2267.79</v>
      </c>
      <c r="G804">
        <v>2022</v>
      </c>
    </row>
    <row r="805" spans="1:7" x14ac:dyDescent="0.3">
      <c r="A805" t="s">
        <v>93</v>
      </c>
      <c r="B805" t="s">
        <v>30</v>
      </c>
      <c r="C805" t="s">
        <v>8</v>
      </c>
      <c r="D805" t="s">
        <v>14</v>
      </c>
      <c r="E805" t="s">
        <v>24</v>
      </c>
      <c r="F805">
        <v>2496.0100000000002</v>
      </c>
      <c r="G805">
        <v>2022</v>
      </c>
    </row>
    <row r="806" spans="1:7" x14ac:dyDescent="0.3">
      <c r="A806" t="s">
        <v>16</v>
      </c>
      <c r="B806" t="s">
        <v>17</v>
      </c>
      <c r="C806" t="s">
        <v>13</v>
      </c>
      <c r="D806" t="s">
        <v>14</v>
      </c>
      <c r="E806" t="s">
        <v>15</v>
      </c>
      <c r="F806">
        <v>4601.71</v>
      </c>
      <c r="G806">
        <v>2022</v>
      </c>
    </row>
    <row r="807" spans="1:7" x14ac:dyDescent="0.3">
      <c r="A807" t="s">
        <v>211</v>
      </c>
      <c r="B807" t="s">
        <v>7</v>
      </c>
      <c r="C807" t="s">
        <v>34</v>
      </c>
      <c r="D807" t="s">
        <v>28</v>
      </c>
      <c r="E807" t="s">
        <v>24</v>
      </c>
      <c r="F807">
        <v>2739.77</v>
      </c>
      <c r="G807">
        <v>2023</v>
      </c>
    </row>
    <row r="808" spans="1:7" x14ac:dyDescent="0.3">
      <c r="A808" t="s">
        <v>99</v>
      </c>
      <c r="B808" t="s">
        <v>19</v>
      </c>
      <c r="C808" t="s">
        <v>23</v>
      </c>
      <c r="D808" t="s">
        <v>9</v>
      </c>
      <c r="E808" t="s">
        <v>10</v>
      </c>
      <c r="F808">
        <v>1410.4</v>
      </c>
      <c r="G808">
        <v>2023</v>
      </c>
    </row>
    <row r="809" spans="1:7" x14ac:dyDescent="0.3">
      <c r="A809" t="s">
        <v>171</v>
      </c>
      <c r="B809" t="s">
        <v>17</v>
      </c>
      <c r="C809" t="s">
        <v>8</v>
      </c>
      <c r="D809" t="s">
        <v>9</v>
      </c>
      <c r="E809" t="s">
        <v>24</v>
      </c>
      <c r="F809">
        <v>2563.09</v>
      </c>
      <c r="G809">
        <v>2022</v>
      </c>
    </row>
    <row r="810" spans="1:7" x14ac:dyDescent="0.3">
      <c r="A810" t="s">
        <v>208</v>
      </c>
      <c r="B810" t="s">
        <v>19</v>
      </c>
      <c r="C810" t="s">
        <v>23</v>
      </c>
      <c r="D810" t="s">
        <v>14</v>
      </c>
      <c r="E810" t="s">
        <v>24</v>
      </c>
      <c r="F810">
        <v>886.98</v>
      </c>
      <c r="G810">
        <v>2023</v>
      </c>
    </row>
    <row r="811" spans="1:7" x14ac:dyDescent="0.3">
      <c r="A811" t="s">
        <v>73</v>
      </c>
      <c r="B811" t="s">
        <v>30</v>
      </c>
      <c r="C811" t="s">
        <v>23</v>
      </c>
      <c r="D811" t="s">
        <v>14</v>
      </c>
      <c r="E811" t="s">
        <v>15</v>
      </c>
      <c r="F811">
        <v>4317.26</v>
      </c>
      <c r="G811">
        <v>2023</v>
      </c>
    </row>
    <row r="812" spans="1:7" x14ac:dyDescent="0.3">
      <c r="A812" t="s">
        <v>70</v>
      </c>
      <c r="B812" t="s">
        <v>19</v>
      </c>
      <c r="C812" t="s">
        <v>13</v>
      </c>
      <c r="D812" t="s">
        <v>28</v>
      </c>
      <c r="E812" t="s">
        <v>15</v>
      </c>
      <c r="F812">
        <v>1597.82</v>
      </c>
      <c r="G812">
        <v>2022</v>
      </c>
    </row>
    <row r="813" spans="1:7" x14ac:dyDescent="0.3">
      <c r="A813" t="s">
        <v>154</v>
      </c>
      <c r="B813" t="s">
        <v>12</v>
      </c>
      <c r="C813" t="s">
        <v>8</v>
      </c>
      <c r="D813" t="s">
        <v>14</v>
      </c>
      <c r="E813" t="s">
        <v>10</v>
      </c>
      <c r="F813">
        <v>3825.5</v>
      </c>
      <c r="G813">
        <v>2022</v>
      </c>
    </row>
    <row r="814" spans="1:7" x14ac:dyDescent="0.3">
      <c r="A814" t="s">
        <v>202</v>
      </c>
      <c r="B814" t="s">
        <v>12</v>
      </c>
      <c r="C814" t="s">
        <v>8</v>
      </c>
      <c r="D814" t="s">
        <v>9</v>
      </c>
      <c r="E814" t="s">
        <v>10</v>
      </c>
      <c r="F814">
        <v>3766.34</v>
      </c>
      <c r="G814">
        <v>2022</v>
      </c>
    </row>
    <row r="815" spans="1:7" x14ac:dyDescent="0.3">
      <c r="A815" t="s">
        <v>51</v>
      </c>
      <c r="B815" t="s">
        <v>30</v>
      </c>
      <c r="C815" t="s">
        <v>13</v>
      </c>
      <c r="D815" t="s">
        <v>9</v>
      </c>
      <c r="E815" t="s">
        <v>15</v>
      </c>
      <c r="F815">
        <v>4885.66</v>
      </c>
      <c r="G815">
        <v>2022</v>
      </c>
    </row>
    <row r="816" spans="1:7" x14ac:dyDescent="0.3">
      <c r="A816" t="s">
        <v>39</v>
      </c>
      <c r="B816" t="s">
        <v>7</v>
      </c>
      <c r="C816" t="s">
        <v>23</v>
      </c>
      <c r="D816" t="s">
        <v>9</v>
      </c>
      <c r="E816" t="s">
        <v>24</v>
      </c>
      <c r="F816">
        <v>2013.05</v>
      </c>
      <c r="G816">
        <v>2023</v>
      </c>
    </row>
    <row r="817" spans="1:7" x14ac:dyDescent="0.3">
      <c r="A817" t="s">
        <v>89</v>
      </c>
      <c r="B817" t="s">
        <v>17</v>
      </c>
      <c r="C817" t="s">
        <v>34</v>
      </c>
      <c r="D817" t="s">
        <v>9</v>
      </c>
      <c r="E817" t="s">
        <v>24</v>
      </c>
      <c r="F817">
        <v>2140.42</v>
      </c>
      <c r="G817">
        <v>2023</v>
      </c>
    </row>
    <row r="818" spans="1:7" x14ac:dyDescent="0.3">
      <c r="A818" t="s">
        <v>182</v>
      </c>
      <c r="B818" t="s">
        <v>12</v>
      </c>
      <c r="C818" t="s">
        <v>13</v>
      </c>
      <c r="D818" t="s">
        <v>28</v>
      </c>
      <c r="E818" t="s">
        <v>10</v>
      </c>
      <c r="F818">
        <v>707.7</v>
      </c>
      <c r="G818">
        <v>2022</v>
      </c>
    </row>
    <row r="819" spans="1:7" x14ac:dyDescent="0.3">
      <c r="A819" t="s">
        <v>57</v>
      </c>
      <c r="B819" t="s">
        <v>19</v>
      </c>
      <c r="C819" t="s">
        <v>23</v>
      </c>
      <c r="D819" t="s">
        <v>28</v>
      </c>
      <c r="E819" t="s">
        <v>24</v>
      </c>
      <c r="F819">
        <v>1703.95</v>
      </c>
      <c r="G819">
        <v>2023</v>
      </c>
    </row>
    <row r="820" spans="1:7" x14ac:dyDescent="0.3">
      <c r="A820" t="s">
        <v>199</v>
      </c>
      <c r="B820" t="s">
        <v>17</v>
      </c>
      <c r="C820" t="s">
        <v>8</v>
      </c>
      <c r="D820" t="s">
        <v>28</v>
      </c>
      <c r="E820" t="s">
        <v>10</v>
      </c>
      <c r="F820">
        <v>3023.57</v>
      </c>
      <c r="G820">
        <v>2022</v>
      </c>
    </row>
    <row r="821" spans="1:7" x14ac:dyDescent="0.3">
      <c r="A821" t="s">
        <v>11</v>
      </c>
      <c r="B821" t="s">
        <v>12</v>
      </c>
      <c r="C821" t="s">
        <v>23</v>
      </c>
      <c r="D821" t="s">
        <v>28</v>
      </c>
      <c r="E821" t="s">
        <v>24</v>
      </c>
      <c r="F821">
        <v>2101.7199999999998</v>
      </c>
      <c r="G821">
        <v>2023</v>
      </c>
    </row>
    <row r="822" spans="1:7" x14ac:dyDescent="0.3">
      <c r="A822" t="s">
        <v>215</v>
      </c>
      <c r="B822" t="s">
        <v>17</v>
      </c>
      <c r="C822" t="s">
        <v>34</v>
      </c>
      <c r="D822" t="s">
        <v>14</v>
      </c>
      <c r="E822" t="s">
        <v>15</v>
      </c>
      <c r="F822">
        <v>72.97</v>
      </c>
      <c r="G822">
        <v>2023</v>
      </c>
    </row>
    <row r="823" spans="1:7" x14ac:dyDescent="0.3">
      <c r="A823" t="s">
        <v>107</v>
      </c>
      <c r="B823" t="s">
        <v>30</v>
      </c>
      <c r="C823" t="s">
        <v>34</v>
      </c>
      <c r="D823" t="s">
        <v>28</v>
      </c>
      <c r="E823" t="s">
        <v>10</v>
      </c>
      <c r="F823">
        <v>1271.98</v>
      </c>
      <c r="G823">
        <v>2023</v>
      </c>
    </row>
    <row r="824" spans="1:7" x14ac:dyDescent="0.3">
      <c r="A824" t="s">
        <v>201</v>
      </c>
      <c r="B824" t="s">
        <v>12</v>
      </c>
      <c r="C824" t="s">
        <v>8</v>
      </c>
      <c r="D824" t="s">
        <v>14</v>
      </c>
      <c r="E824" t="s">
        <v>10</v>
      </c>
      <c r="F824">
        <v>1645.13</v>
      </c>
      <c r="G824">
        <v>2022</v>
      </c>
    </row>
    <row r="825" spans="1:7" x14ac:dyDescent="0.3">
      <c r="A825" t="s">
        <v>201</v>
      </c>
      <c r="B825" t="s">
        <v>12</v>
      </c>
      <c r="C825" t="s">
        <v>8</v>
      </c>
      <c r="D825" t="s">
        <v>14</v>
      </c>
      <c r="E825" t="s">
        <v>15</v>
      </c>
      <c r="F825">
        <v>1271.48</v>
      </c>
      <c r="G825">
        <v>2022</v>
      </c>
    </row>
    <row r="826" spans="1:7" x14ac:dyDescent="0.3">
      <c r="A826" t="s">
        <v>134</v>
      </c>
      <c r="B826" t="s">
        <v>7</v>
      </c>
      <c r="C826" t="s">
        <v>23</v>
      </c>
      <c r="D826" t="s">
        <v>28</v>
      </c>
      <c r="E826" t="s">
        <v>15</v>
      </c>
      <c r="F826">
        <v>1183.23</v>
      </c>
      <c r="G826">
        <v>2023</v>
      </c>
    </row>
    <row r="827" spans="1:7" x14ac:dyDescent="0.3">
      <c r="A827" t="s">
        <v>164</v>
      </c>
      <c r="B827" t="s">
        <v>19</v>
      </c>
      <c r="C827" t="s">
        <v>13</v>
      </c>
      <c r="D827" t="s">
        <v>9</v>
      </c>
      <c r="E827" t="s">
        <v>10</v>
      </c>
      <c r="F827">
        <v>3135.29</v>
      </c>
      <c r="G827">
        <v>2022</v>
      </c>
    </row>
    <row r="828" spans="1:7" x14ac:dyDescent="0.3">
      <c r="A828" t="s">
        <v>124</v>
      </c>
      <c r="B828" t="s">
        <v>12</v>
      </c>
      <c r="C828" t="s">
        <v>23</v>
      </c>
      <c r="D828" t="s">
        <v>14</v>
      </c>
      <c r="E828" t="s">
        <v>15</v>
      </c>
      <c r="F828">
        <v>2647.47</v>
      </c>
      <c r="G828">
        <v>2023</v>
      </c>
    </row>
    <row r="829" spans="1:7" x14ac:dyDescent="0.3">
      <c r="A829" t="s">
        <v>174</v>
      </c>
      <c r="B829" t="s">
        <v>19</v>
      </c>
      <c r="C829" t="s">
        <v>13</v>
      </c>
      <c r="D829" t="s">
        <v>14</v>
      </c>
      <c r="E829" t="s">
        <v>15</v>
      </c>
      <c r="F829">
        <v>1670.25</v>
      </c>
      <c r="G829">
        <v>2022</v>
      </c>
    </row>
    <row r="830" spans="1:7" x14ac:dyDescent="0.3">
      <c r="A830" t="s">
        <v>105</v>
      </c>
      <c r="B830" t="s">
        <v>30</v>
      </c>
      <c r="C830" t="s">
        <v>13</v>
      </c>
      <c r="D830" t="s">
        <v>9</v>
      </c>
      <c r="E830" t="s">
        <v>15</v>
      </c>
      <c r="F830">
        <v>3796.74</v>
      </c>
      <c r="G830">
        <v>2022</v>
      </c>
    </row>
    <row r="831" spans="1:7" x14ac:dyDescent="0.3">
      <c r="A831" t="s">
        <v>127</v>
      </c>
      <c r="B831" t="s">
        <v>17</v>
      </c>
      <c r="C831" t="s">
        <v>8</v>
      </c>
      <c r="D831" t="s">
        <v>14</v>
      </c>
      <c r="E831" t="s">
        <v>15</v>
      </c>
      <c r="F831">
        <v>2430.6999999999998</v>
      </c>
      <c r="G831">
        <v>2022</v>
      </c>
    </row>
    <row r="832" spans="1:7" x14ac:dyDescent="0.3">
      <c r="A832" t="s">
        <v>100</v>
      </c>
      <c r="B832" t="s">
        <v>7</v>
      </c>
      <c r="C832" t="s">
        <v>8</v>
      </c>
      <c r="D832" t="s">
        <v>9</v>
      </c>
      <c r="E832" t="s">
        <v>10</v>
      </c>
      <c r="F832">
        <v>4664.5200000000004</v>
      </c>
      <c r="G832">
        <v>2022</v>
      </c>
    </row>
    <row r="833" spans="1:7" x14ac:dyDescent="0.3">
      <c r="A833" t="s">
        <v>70</v>
      </c>
      <c r="B833" t="s">
        <v>19</v>
      </c>
      <c r="C833" t="s">
        <v>8</v>
      </c>
      <c r="D833" t="s">
        <v>14</v>
      </c>
      <c r="E833" t="s">
        <v>10</v>
      </c>
      <c r="F833">
        <v>2563.5500000000002</v>
      </c>
      <c r="G833">
        <v>2022</v>
      </c>
    </row>
    <row r="834" spans="1:7" x14ac:dyDescent="0.3">
      <c r="A834" t="s">
        <v>62</v>
      </c>
      <c r="B834" t="s">
        <v>30</v>
      </c>
      <c r="C834" t="s">
        <v>13</v>
      </c>
      <c r="D834" t="s">
        <v>14</v>
      </c>
      <c r="E834" t="s">
        <v>24</v>
      </c>
      <c r="F834">
        <v>2866.4</v>
      </c>
      <c r="G834">
        <v>2022</v>
      </c>
    </row>
    <row r="835" spans="1:7" x14ac:dyDescent="0.3">
      <c r="A835" t="s">
        <v>35</v>
      </c>
      <c r="B835" t="s">
        <v>19</v>
      </c>
      <c r="C835" t="s">
        <v>34</v>
      </c>
      <c r="D835" t="s">
        <v>14</v>
      </c>
      <c r="E835" t="s">
        <v>10</v>
      </c>
      <c r="F835">
        <v>4646.07</v>
      </c>
      <c r="G835">
        <v>2023</v>
      </c>
    </row>
    <row r="836" spans="1:7" x14ac:dyDescent="0.3">
      <c r="A836" t="s">
        <v>73</v>
      </c>
      <c r="B836" t="s">
        <v>30</v>
      </c>
      <c r="C836" t="s">
        <v>23</v>
      </c>
      <c r="D836" t="s">
        <v>9</v>
      </c>
      <c r="E836" t="s">
        <v>10</v>
      </c>
      <c r="F836">
        <v>858.76</v>
      </c>
      <c r="G836">
        <v>2023</v>
      </c>
    </row>
    <row r="837" spans="1:7" x14ac:dyDescent="0.3">
      <c r="A837" t="s">
        <v>111</v>
      </c>
      <c r="B837" t="s">
        <v>19</v>
      </c>
      <c r="C837" t="s">
        <v>34</v>
      </c>
      <c r="D837" t="s">
        <v>14</v>
      </c>
      <c r="E837" t="s">
        <v>10</v>
      </c>
      <c r="F837">
        <v>2645.6</v>
      </c>
      <c r="G837">
        <v>2023</v>
      </c>
    </row>
    <row r="838" spans="1:7" x14ac:dyDescent="0.3">
      <c r="A838" t="s">
        <v>153</v>
      </c>
      <c r="B838" t="s">
        <v>7</v>
      </c>
      <c r="C838" t="s">
        <v>23</v>
      </c>
      <c r="D838" t="s">
        <v>9</v>
      </c>
      <c r="E838" t="s">
        <v>10</v>
      </c>
      <c r="F838">
        <v>4396.45</v>
      </c>
      <c r="G838">
        <v>2023</v>
      </c>
    </row>
    <row r="839" spans="1:7" x14ac:dyDescent="0.3">
      <c r="A839" t="s">
        <v>64</v>
      </c>
      <c r="B839" t="s">
        <v>30</v>
      </c>
      <c r="C839" t="s">
        <v>8</v>
      </c>
      <c r="D839" t="s">
        <v>9</v>
      </c>
      <c r="E839" t="s">
        <v>15</v>
      </c>
      <c r="F839">
        <v>2468.89</v>
      </c>
      <c r="G839">
        <v>2022</v>
      </c>
    </row>
    <row r="840" spans="1:7" x14ac:dyDescent="0.3">
      <c r="A840" t="s">
        <v>108</v>
      </c>
      <c r="B840" t="s">
        <v>7</v>
      </c>
      <c r="C840" t="s">
        <v>13</v>
      </c>
      <c r="D840" t="s">
        <v>14</v>
      </c>
      <c r="E840" t="s">
        <v>24</v>
      </c>
      <c r="F840">
        <v>3901.9</v>
      </c>
      <c r="G840">
        <v>2022</v>
      </c>
    </row>
    <row r="841" spans="1:7" x14ac:dyDescent="0.3">
      <c r="A841" t="s">
        <v>193</v>
      </c>
      <c r="B841" t="s">
        <v>12</v>
      </c>
      <c r="C841" t="s">
        <v>23</v>
      </c>
      <c r="D841" t="s">
        <v>9</v>
      </c>
      <c r="E841" t="s">
        <v>24</v>
      </c>
      <c r="F841">
        <v>2711</v>
      </c>
      <c r="G841">
        <v>2023</v>
      </c>
    </row>
    <row r="842" spans="1:7" x14ac:dyDescent="0.3">
      <c r="A842" t="s">
        <v>110</v>
      </c>
      <c r="B842" t="s">
        <v>12</v>
      </c>
      <c r="C842" t="s">
        <v>13</v>
      </c>
      <c r="D842" t="s">
        <v>9</v>
      </c>
      <c r="E842" t="s">
        <v>24</v>
      </c>
      <c r="F842">
        <v>1971.3</v>
      </c>
      <c r="G842">
        <v>2022</v>
      </c>
    </row>
    <row r="843" spans="1:7" x14ac:dyDescent="0.3">
      <c r="A843" t="s">
        <v>189</v>
      </c>
      <c r="B843" t="s">
        <v>19</v>
      </c>
      <c r="C843" t="s">
        <v>13</v>
      </c>
      <c r="D843" t="s">
        <v>14</v>
      </c>
      <c r="E843" t="s">
        <v>24</v>
      </c>
      <c r="F843">
        <v>4296.74</v>
      </c>
      <c r="G843">
        <v>2022</v>
      </c>
    </row>
    <row r="844" spans="1:7" x14ac:dyDescent="0.3">
      <c r="A844" t="s">
        <v>87</v>
      </c>
      <c r="B844" t="s">
        <v>12</v>
      </c>
      <c r="C844" t="s">
        <v>23</v>
      </c>
      <c r="D844" t="s">
        <v>28</v>
      </c>
      <c r="E844" t="s">
        <v>24</v>
      </c>
      <c r="F844">
        <v>3792.89</v>
      </c>
      <c r="G844">
        <v>2023</v>
      </c>
    </row>
    <row r="845" spans="1:7" x14ac:dyDescent="0.3">
      <c r="A845" t="s">
        <v>99</v>
      </c>
      <c r="B845" t="s">
        <v>19</v>
      </c>
      <c r="C845" t="s">
        <v>34</v>
      </c>
      <c r="D845" t="s">
        <v>28</v>
      </c>
      <c r="E845" t="s">
        <v>15</v>
      </c>
      <c r="F845">
        <v>1486.21</v>
      </c>
      <c r="G845">
        <v>2023</v>
      </c>
    </row>
    <row r="846" spans="1:7" x14ac:dyDescent="0.3">
      <c r="A846" t="s">
        <v>216</v>
      </c>
      <c r="B846" t="s">
        <v>17</v>
      </c>
      <c r="C846" t="s">
        <v>34</v>
      </c>
      <c r="D846" t="s">
        <v>28</v>
      </c>
      <c r="E846" t="s">
        <v>15</v>
      </c>
      <c r="F846">
        <v>2653.12</v>
      </c>
      <c r="G846">
        <v>2023</v>
      </c>
    </row>
    <row r="847" spans="1:7" x14ac:dyDescent="0.3">
      <c r="A847" t="s">
        <v>181</v>
      </c>
      <c r="B847" t="s">
        <v>30</v>
      </c>
      <c r="C847" t="s">
        <v>23</v>
      </c>
      <c r="D847" t="s">
        <v>14</v>
      </c>
      <c r="E847" t="s">
        <v>15</v>
      </c>
      <c r="F847">
        <v>4329.05</v>
      </c>
      <c r="G847">
        <v>2023</v>
      </c>
    </row>
    <row r="848" spans="1:7" x14ac:dyDescent="0.3">
      <c r="A848" t="s">
        <v>184</v>
      </c>
      <c r="B848" t="s">
        <v>30</v>
      </c>
      <c r="C848" t="s">
        <v>13</v>
      </c>
      <c r="D848" t="s">
        <v>9</v>
      </c>
      <c r="E848" t="s">
        <v>10</v>
      </c>
      <c r="F848">
        <v>3438.48</v>
      </c>
      <c r="G848">
        <v>2022</v>
      </c>
    </row>
    <row r="849" spans="1:7" x14ac:dyDescent="0.3">
      <c r="A849" t="s">
        <v>211</v>
      </c>
      <c r="B849" t="s">
        <v>7</v>
      </c>
      <c r="C849" t="s">
        <v>34</v>
      </c>
      <c r="D849" t="s">
        <v>9</v>
      </c>
      <c r="E849" t="s">
        <v>24</v>
      </c>
      <c r="F849">
        <v>4297.03</v>
      </c>
      <c r="G849">
        <v>2023</v>
      </c>
    </row>
    <row r="850" spans="1:7" x14ac:dyDescent="0.3">
      <c r="A850" t="s">
        <v>200</v>
      </c>
      <c r="B850" t="s">
        <v>30</v>
      </c>
      <c r="C850" t="s">
        <v>34</v>
      </c>
      <c r="D850" t="s">
        <v>9</v>
      </c>
      <c r="E850" t="s">
        <v>10</v>
      </c>
      <c r="F850">
        <v>1748.19</v>
      </c>
      <c r="G850">
        <v>2023</v>
      </c>
    </row>
    <row r="851" spans="1:7" x14ac:dyDescent="0.3">
      <c r="A851" t="s">
        <v>185</v>
      </c>
      <c r="B851" t="s">
        <v>30</v>
      </c>
      <c r="C851" t="s">
        <v>34</v>
      </c>
      <c r="D851" t="s">
        <v>9</v>
      </c>
      <c r="E851" t="s">
        <v>15</v>
      </c>
      <c r="F851">
        <v>2629.36</v>
      </c>
      <c r="G851">
        <v>2023</v>
      </c>
    </row>
    <row r="852" spans="1:7" x14ac:dyDescent="0.3">
      <c r="A852" t="s">
        <v>94</v>
      </c>
      <c r="B852" t="s">
        <v>7</v>
      </c>
      <c r="C852" t="s">
        <v>13</v>
      </c>
      <c r="D852" t="s">
        <v>9</v>
      </c>
      <c r="E852" t="s">
        <v>10</v>
      </c>
      <c r="F852">
        <v>4350.96</v>
      </c>
      <c r="G852">
        <v>2022</v>
      </c>
    </row>
    <row r="853" spans="1:7" x14ac:dyDescent="0.3">
      <c r="A853" t="s">
        <v>142</v>
      </c>
      <c r="B853" t="s">
        <v>17</v>
      </c>
      <c r="C853" t="s">
        <v>34</v>
      </c>
      <c r="D853" t="s">
        <v>14</v>
      </c>
      <c r="E853" t="s">
        <v>10</v>
      </c>
      <c r="F853">
        <v>400</v>
      </c>
      <c r="G853">
        <v>2023</v>
      </c>
    </row>
    <row r="854" spans="1:7" x14ac:dyDescent="0.3">
      <c r="A854" t="s">
        <v>144</v>
      </c>
      <c r="B854" t="s">
        <v>30</v>
      </c>
      <c r="C854" t="s">
        <v>23</v>
      </c>
      <c r="D854" t="s">
        <v>28</v>
      </c>
      <c r="E854" t="s">
        <v>15</v>
      </c>
      <c r="F854">
        <v>4737.45</v>
      </c>
      <c r="G854">
        <v>2023</v>
      </c>
    </row>
    <row r="855" spans="1:7" x14ac:dyDescent="0.3">
      <c r="A855" t="s">
        <v>217</v>
      </c>
      <c r="B855" t="s">
        <v>19</v>
      </c>
      <c r="C855" t="s">
        <v>23</v>
      </c>
      <c r="D855" t="s">
        <v>28</v>
      </c>
      <c r="E855" t="s">
        <v>24</v>
      </c>
      <c r="F855">
        <v>2400.9</v>
      </c>
      <c r="G855">
        <v>2023</v>
      </c>
    </row>
    <row r="856" spans="1:7" x14ac:dyDescent="0.3">
      <c r="A856" t="s">
        <v>88</v>
      </c>
      <c r="B856" t="s">
        <v>7</v>
      </c>
      <c r="C856" t="s">
        <v>34</v>
      </c>
      <c r="D856" t="s">
        <v>14</v>
      </c>
      <c r="E856" t="s">
        <v>10</v>
      </c>
      <c r="F856">
        <v>3887.35</v>
      </c>
      <c r="G856">
        <v>2023</v>
      </c>
    </row>
    <row r="857" spans="1:7" x14ac:dyDescent="0.3">
      <c r="A857" t="s">
        <v>31</v>
      </c>
      <c r="B857" t="s">
        <v>30</v>
      </c>
      <c r="C857" t="s">
        <v>13</v>
      </c>
      <c r="D857" t="s">
        <v>14</v>
      </c>
      <c r="E857" t="s">
        <v>10</v>
      </c>
      <c r="F857">
        <v>3231.03</v>
      </c>
      <c r="G857">
        <v>2022</v>
      </c>
    </row>
    <row r="858" spans="1:7" x14ac:dyDescent="0.3">
      <c r="A858" t="s">
        <v>85</v>
      </c>
      <c r="B858" t="s">
        <v>30</v>
      </c>
      <c r="C858" t="s">
        <v>34</v>
      </c>
      <c r="D858" t="s">
        <v>28</v>
      </c>
      <c r="E858" t="s">
        <v>24</v>
      </c>
      <c r="F858">
        <v>1139.33</v>
      </c>
      <c r="G858">
        <v>2023</v>
      </c>
    </row>
    <row r="859" spans="1:7" x14ac:dyDescent="0.3">
      <c r="A859" t="s">
        <v>171</v>
      </c>
      <c r="B859" t="s">
        <v>17</v>
      </c>
      <c r="C859" t="s">
        <v>34</v>
      </c>
      <c r="D859" t="s">
        <v>14</v>
      </c>
      <c r="E859" t="s">
        <v>15</v>
      </c>
      <c r="F859">
        <v>4799</v>
      </c>
      <c r="G859">
        <v>2023</v>
      </c>
    </row>
    <row r="860" spans="1:7" x14ac:dyDescent="0.3">
      <c r="A860" t="s">
        <v>26</v>
      </c>
      <c r="B860" t="s">
        <v>17</v>
      </c>
      <c r="C860" t="s">
        <v>8</v>
      </c>
      <c r="D860" t="s">
        <v>14</v>
      </c>
      <c r="E860" t="s">
        <v>24</v>
      </c>
      <c r="F860">
        <v>3657.83</v>
      </c>
      <c r="G860">
        <v>2022</v>
      </c>
    </row>
    <row r="861" spans="1:7" x14ac:dyDescent="0.3">
      <c r="A861" t="s">
        <v>195</v>
      </c>
      <c r="B861" t="s">
        <v>7</v>
      </c>
      <c r="C861" t="s">
        <v>23</v>
      </c>
      <c r="D861" t="s">
        <v>9</v>
      </c>
      <c r="E861" t="s">
        <v>10</v>
      </c>
      <c r="F861">
        <v>2571.46</v>
      </c>
      <c r="G861">
        <v>2023</v>
      </c>
    </row>
    <row r="862" spans="1:7" x14ac:dyDescent="0.3">
      <c r="A862" t="s">
        <v>154</v>
      </c>
      <c r="B862" t="s">
        <v>12</v>
      </c>
      <c r="C862" t="s">
        <v>8</v>
      </c>
      <c r="D862" t="s">
        <v>14</v>
      </c>
      <c r="E862" t="s">
        <v>24</v>
      </c>
      <c r="F862">
        <v>3338</v>
      </c>
      <c r="G862">
        <v>2022</v>
      </c>
    </row>
    <row r="863" spans="1:7" x14ac:dyDescent="0.3">
      <c r="A863" t="s">
        <v>115</v>
      </c>
      <c r="B863" t="s">
        <v>19</v>
      </c>
      <c r="C863" t="s">
        <v>13</v>
      </c>
      <c r="D863" t="s">
        <v>28</v>
      </c>
      <c r="E863" t="s">
        <v>24</v>
      </c>
      <c r="F863">
        <v>4623.8100000000004</v>
      </c>
      <c r="G863">
        <v>2022</v>
      </c>
    </row>
    <row r="864" spans="1:7" x14ac:dyDescent="0.3">
      <c r="A864" t="s">
        <v>140</v>
      </c>
      <c r="B864" t="s">
        <v>17</v>
      </c>
      <c r="C864" t="s">
        <v>13</v>
      </c>
      <c r="D864" t="s">
        <v>28</v>
      </c>
      <c r="E864" t="s">
        <v>15</v>
      </c>
      <c r="F864">
        <v>3591.86</v>
      </c>
      <c r="G864">
        <v>2022</v>
      </c>
    </row>
    <row r="865" spans="1:7" x14ac:dyDescent="0.3">
      <c r="A865" t="s">
        <v>128</v>
      </c>
      <c r="B865" t="s">
        <v>12</v>
      </c>
      <c r="C865" t="s">
        <v>8</v>
      </c>
      <c r="D865" t="s">
        <v>9</v>
      </c>
      <c r="E865" t="s">
        <v>15</v>
      </c>
      <c r="F865">
        <v>2370.4499999999998</v>
      </c>
      <c r="G865">
        <v>2022</v>
      </c>
    </row>
    <row r="866" spans="1:7" x14ac:dyDescent="0.3">
      <c r="A866" t="s">
        <v>76</v>
      </c>
      <c r="B866" t="s">
        <v>17</v>
      </c>
      <c r="C866" t="s">
        <v>34</v>
      </c>
      <c r="D866" t="s">
        <v>9</v>
      </c>
      <c r="E866" t="s">
        <v>10</v>
      </c>
      <c r="F866">
        <v>3703.06</v>
      </c>
      <c r="G866">
        <v>2023</v>
      </c>
    </row>
    <row r="867" spans="1:7" x14ac:dyDescent="0.3">
      <c r="A867" t="s">
        <v>6</v>
      </c>
      <c r="B867" t="s">
        <v>7</v>
      </c>
      <c r="C867" t="s">
        <v>34</v>
      </c>
      <c r="D867" t="s">
        <v>14</v>
      </c>
      <c r="E867" t="s">
        <v>15</v>
      </c>
      <c r="F867">
        <v>2135.3200000000002</v>
      </c>
      <c r="G867">
        <v>2023</v>
      </c>
    </row>
    <row r="868" spans="1:7" x14ac:dyDescent="0.3">
      <c r="A868" t="s">
        <v>179</v>
      </c>
      <c r="B868" t="s">
        <v>7</v>
      </c>
      <c r="C868" t="s">
        <v>23</v>
      </c>
      <c r="D868" t="s">
        <v>9</v>
      </c>
      <c r="E868" t="s">
        <v>15</v>
      </c>
      <c r="F868">
        <v>4016.48</v>
      </c>
      <c r="G868">
        <v>2023</v>
      </c>
    </row>
    <row r="869" spans="1:7" x14ac:dyDescent="0.3">
      <c r="A869" t="s">
        <v>210</v>
      </c>
      <c r="B869" t="s">
        <v>7</v>
      </c>
      <c r="C869" t="s">
        <v>8</v>
      </c>
      <c r="D869" t="s">
        <v>28</v>
      </c>
      <c r="E869" t="s">
        <v>24</v>
      </c>
      <c r="F869">
        <v>2536.5</v>
      </c>
      <c r="G869">
        <v>2022</v>
      </c>
    </row>
    <row r="870" spans="1:7" x14ac:dyDescent="0.3">
      <c r="A870" t="s">
        <v>88</v>
      </c>
      <c r="B870" t="s">
        <v>7</v>
      </c>
      <c r="C870" t="s">
        <v>13</v>
      </c>
      <c r="D870" t="s">
        <v>14</v>
      </c>
      <c r="E870" t="s">
        <v>15</v>
      </c>
      <c r="F870">
        <v>4254.34</v>
      </c>
      <c r="G870">
        <v>2022</v>
      </c>
    </row>
    <row r="871" spans="1:7" x14ac:dyDescent="0.3">
      <c r="A871" t="s">
        <v>82</v>
      </c>
      <c r="B871" t="s">
        <v>17</v>
      </c>
      <c r="C871" t="s">
        <v>34</v>
      </c>
      <c r="D871" t="s">
        <v>14</v>
      </c>
      <c r="E871" t="s">
        <v>15</v>
      </c>
      <c r="F871">
        <v>1897.31</v>
      </c>
      <c r="G871">
        <v>2023</v>
      </c>
    </row>
    <row r="872" spans="1:7" x14ac:dyDescent="0.3">
      <c r="A872" t="s">
        <v>82</v>
      </c>
      <c r="B872" t="s">
        <v>17</v>
      </c>
      <c r="C872" t="s">
        <v>8</v>
      </c>
      <c r="D872" t="s">
        <v>14</v>
      </c>
      <c r="E872" t="s">
        <v>15</v>
      </c>
      <c r="F872">
        <v>4286.67</v>
      </c>
      <c r="G872">
        <v>2022</v>
      </c>
    </row>
    <row r="873" spans="1:7" x14ac:dyDescent="0.3">
      <c r="A873" t="s">
        <v>83</v>
      </c>
      <c r="B873" t="s">
        <v>17</v>
      </c>
      <c r="C873" t="s">
        <v>8</v>
      </c>
      <c r="D873" t="s">
        <v>28</v>
      </c>
      <c r="E873" t="s">
        <v>15</v>
      </c>
      <c r="F873">
        <v>2709.88</v>
      </c>
      <c r="G873">
        <v>2022</v>
      </c>
    </row>
    <row r="874" spans="1:7" x14ac:dyDescent="0.3">
      <c r="A874" t="s">
        <v>91</v>
      </c>
      <c r="B874" t="s">
        <v>30</v>
      </c>
      <c r="C874" t="s">
        <v>13</v>
      </c>
      <c r="D874" t="s">
        <v>28</v>
      </c>
      <c r="E874" t="s">
        <v>15</v>
      </c>
      <c r="F874">
        <v>4482.51</v>
      </c>
      <c r="G874">
        <v>2022</v>
      </c>
    </row>
    <row r="875" spans="1:7" x14ac:dyDescent="0.3">
      <c r="A875" t="s">
        <v>62</v>
      </c>
      <c r="B875" t="s">
        <v>30</v>
      </c>
      <c r="C875" t="s">
        <v>34</v>
      </c>
      <c r="D875" t="s">
        <v>28</v>
      </c>
      <c r="E875" t="s">
        <v>24</v>
      </c>
      <c r="F875">
        <v>4156</v>
      </c>
      <c r="G875">
        <v>2023</v>
      </c>
    </row>
    <row r="876" spans="1:7" x14ac:dyDescent="0.3">
      <c r="A876" t="s">
        <v>41</v>
      </c>
      <c r="B876" t="s">
        <v>30</v>
      </c>
      <c r="C876" t="s">
        <v>34</v>
      </c>
      <c r="D876" t="s">
        <v>9</v>
      </c>
      <c r="E876" t="s">
        <v>10</v>
      </c>
      <c r="F876">
        <v>2731.89</v>
      </c>
      <c r="G876">
        <v>2023</v>
      </c>
    </row>
    <row r="877" spans="1:7" x14ac:dyDescent="0.3">
      <c r="A877" t="s">
        <v>180</v>
      </c>
      <c r="B877" t="s">
        <v>30</v>
      </c>
      <c r="C877" t="s">
        <v>8</v>
      </c>
      <c r="D877" t="s">
        <v>9</v>
      </c>
      <c r="E877" t="s">
        <v>24</v>
      </c>
      <c r="F877">
        <v>84.4</v>
      </c>
      <c r="G877">
        <v>2022</v>
      </c>
    </row>
    <row r="878" spans="1:7" x14ac:dyDescent="0.3">
      <c r="A878" t="s">
        <v>166</v>
      </c>
      <c r="B878" t="s">
        <v>7</v>
      </c>
      <c r="C878" t="s">
        <v>34</v>
      </c>
      <c r="D878" t="s">
        <v>14</v>
      </c>
      <c r="E878" t="s">
        <v>15</v>
      </c>
      <c r="F878">
        <v>84.55</v>
      </c>
      <c r="G878">
        <v>2023</v>
      </c>
    </row>
    <row r="879" spans="1:7" x14ac:dyDescent="0.3">
      <c r="A879" t="s">
        <v>129</v>
      </c>
      <c r="B879" t="s">
        <v>17</v>
      </c>
      <c r="C879" t="s">
        <v>23</v>
      </c>
      <c r="D879" t="s">
        <v>14</v>
      </c>
      <c r="E879" t="s">
        <v>10</v>
      </c>
      <c r="F879">
        <v>3865.97</v>
      </c>
      <c r="G879">
        <v>2023</v>
      </c>
    </row>
    <row r="880" spans="1:7" x14ac:dyDescent="0.3">
      <c r="A880" t="s">
        <v>70</v>
      </c>
      <c r="B880" t="s">
        <v>19</v>
      </c>
      <c r="C880" t="s">
        <v>13</v>
      </c>
      <c r="D880" t="s">
        <v>28</v>
      </c>
      <c r="E880" t="s">
        <v>24</v>
      </c>
      <c r="F880">
        <v>4994.79</v>
      </c>
      <c r="G880">
        <v>2022</v>
      </c>
    </row>
    <row r="881" spans="1:7" x14ac:dyDescent="0.3">
      <c r="A881" t="s">
        <v>65</v>
      </c>
      <c r="B881" t="s">
        <v>30</v>
      </c>
      <c r="C881" t="s">
        <v>8</v>
      </c>
      <c r="D881" t="s">
        <v>9</v>
      </c>
      <c r="E881" t="s">
        <v>24</v>
      </c>
      <c r="F881">
        <v>4341.67</v>
      </c>
      <c r="G881">
        <v>2022</v>
      </c>
    </row>
    <row r="882" spans="1:7" x14ac:dyDescent="0.3">
      <c r="A882" t="s">
        <v>165</v>
      </c>
      <c r="B882" t="s">
        <v>7</v>
      </c>
      <c r="C882" t="s">
        <v>34</v>
      </c>
      <c r="D882" t="s">
        <v>28</v>
      </c>
      <c r="E882" t="s">
        <v>10</v>
      </c>
      <c r="F882">
        <v>4845.8500000000004</v>
      </c>
      <c r="G882">
        <v>2023</v>
      </c>
    </row>
    <row r="883" spans="1:7" x14ac:dyDescent="0.3">
      <c r="A883" t="s">
        <v>22</v>
      </c>
      <c r="B883" t="s">
        <v>12</v>
      </c>
      <c r="C883" t="s">
        <v>23</v>
      </c>
      <c r="D883" t="s">
        <v>14</v>
      </c>
      <c r="E883" t="s">
        <v>15</v>
      </c>
      <c r="F883">
        <v>695.8</v>
      </c>
      <c r="G883">
        <v>2023</v>
      </c>
    </row>
    <row r="884" spans="1:7" x14ac:dyDescent="0.3">
      <c r="A884" t="s">
        <v>131</v>
      </c>
      <c r="B884" t="s">
        <v>17</v>
      </c>
      <c r="C884" t="s">
        <v>23</v>
      </c>
      <c r="D884" t="s">
        <v>9</v>
      </c>
      <c r="E884" t="s">
        <v>24</v>
      </c>
      <c r="F884">
        <v>2429.6999999999998</v>
      </c>
      <c r="G884">
        <v>2023</v>
      </c>
    </row>
    <row r="885" spans="1:7" x14ac:dyDescent="0.3">
      <c r="A885" t="s">
        <v>84</v>
      </c>
      <c r="B885" t="s">
        <v>30</v>
      </c>
      <c r="C885" t="s">
        <v>23</v>
      </c>
      <c r="D885" t="s">
        <v>28</v>
      </c>
      <c r="E885" t="s">
        <v>10</v>
      </c>
      <c r="F885">
        <v>3517.31</v>
      </c>
      <c r="G885">
        <v>2023</v>
      </c>
    </row>
    <row r="886" spans="1:7" x14ac:dyDescent="0.3">
      <c r="A886" t="s">
        <v>56</v>
      </c>
      <c r="B886" t="s">
        <v>19</v>
      </c>
      <c r="C886" t="s">
        <v>23</v>
      </c>
      <c r="D886" t="s">
        <v>28</v>
      </c>
      <c r="E886" t="s">
        <v>10</v>
      </c>
      <c r="F886">
        <v>2893</v>
      </c>
      <c r="G886">
        <v>2023</v>
      </c>
    </row>
    <row r="887" spans="1:7" x14ac:dyDescent="0.3">
      <c r="A887" t="s">
        <v>213</v>
      </c>
      <c r="B887" t="s">
        <v>12</v>
      </c>
      <c r="C887" t="s">
        <v>13</v>
      </c>
      <c r="D887" t="s">
        <v>14</v>
      </c>
      <c r="E887" t="s">
        <v>10</v>
      </c>
      <c r="F887">
        <v>4115.76</v>
      </c>
      <c r="G887">
        <v>2022</v>
      </c>
    </row>
    <row r="888" spans="1:7" x14ac:dyDescent="0.3">
      <c r="A888" t="s">
        <v>6</v>
      </c>
      <c r="B888" t="s">
        <v>7</v>
      </c>
      <c r="C888" t="s">
        <v>34</v>
      </c>
      <c r="D888" t="s">
        <v>28</v>
      </c>
      <c r="E888" t="s">
        <v>15</v>
      </c>
      <c r="F888">
        <v>1917.42</v>
      </c>
      <c r="G888">
        <v>2023</v>
      </c>
    </row>
    <row r="889" spans="1:7" x14ac:dyDescent="0.3">
      <c r="A889" t="s">
        <v>127</v>
      </c>
      <c r="B889" t="s">
        <v>17</v>
      </c>
      <c r="C889" t="s">
        <v>34</v>
      </c>
      <c r="D889" t="s">
        <v>28</v>
      </c>
      <c r="E889" t="s">
        <v>10</v>
      </c>
      <c r="F889">
        <v>1203.1300000000001</v>
      </c>
      <c r="G889">
        <v>2023</v>
      </c>
    </row>
    <row r="890" spans="1:7" x14ac:dyDescent="0.3">
      <c r="A890" t="s">
        <v>123</v>
      </c>
      <c r="B890" t="s">
        <v>30</v>
      </c>
      <c r="C890" t="s">
        <v>34</v>
      </c>
      <c r="D890" t="s">
        <v>14</v>
      </c>
      <c r="E890" t="s">
        <v>10</v>
      </c>
      <c r="F890">
        <v>3085.38</v>
      </c>
      <c r="G890">
        <v>2023</v>
      </c>
    </row>
    <row r="891" spans="1:7" x14ac:dyDescent="0.3">
      <c r="A891" t="s">
        <v>72</v>
      </c>
      <c r="B891" t="s">
        <v>19</v>
      </c>
      <c r="C891" t="s">
        <v>34</v>
      </c>
      <c r="D891" t="s">
        <v>14</v>
      </c>
      <c r="E891" t="s">
        <v>24</v>
      </c>
      <c r="F891">
        <v>1942.8</v>
      </c>
      <c r="G891">
        <v>2023</v>
      </c>
    </row>
    <row r="892" spans="1:7" x14ac:dyDescent="0.3">
      <c r="A892" t="s">
        <v>124</v>
      </c>
      <c r="B892" t="s">
        <v>12</v>
      </c>
      <c r="C892" t="s">
        <v>13</v>
      </c>
      <c r="D892" t="s">
        <v>14</v>
      </c>
      <c r="E892" t="s">
        <v>10</v>
      </c>
      <c r="F892">
        <v>3632.78</v>
      </c>
      <c r="G892">
        <v>2022</v>
      </c>
    </row>
    <row r="893" spans="1:7" x14ac:dyDescent="0.3">
      <c r="A893" t="s">
        <v>54</v>
      </c>
      <c r="B893" t="s">
        <v>12</v>
      </c>
      <c r="C893" t="s">
        <v>23</v>
      </c>
      <c r="D893" t="s">
        <v>14</v>
      </c>
      <c r="E893" t="s">
        <v>15</v>
      </c>
      <c r="F893">
        <v>4435.1000000000004</v>
      </c>
      <c r="G893">
        <v>2023</v>
      </c>
    </row>
    <row r="894" spans="1:7" x14ac:dyDescent="0.3">
      <c r="A894" t="s">
        <v>201</v>
      </c>
      <c r="B894" t="s">
        <v>12</v>
      </c>
      <c r="C894" t="s">
        <v>13</v>
      </c>
      <c r="D894" t="s">
        <v>14</v>
      </c>
      <c r="E894" t="s">
        <v>24</v>
      </c>
      <c r="F894">
        <v>3104.04</v>
      </c>
      <c r="G894">
        <v>2022</v>
      </c>
    </row>
    <row r="895" spans="1:7" x14ac:dyDescent="0.3">
      <c r="A895" t="s">
        <v>162</v>
      </c>
      <c r="B895" t="s">
        <v>30</v>
      </c>
      <c r="C895" t="s">
        <v>13</v>
      </c>
      <c r="D895" t="s">
        <v>14</v>
      </c>
      <c r="E895" t="s">
        <v>24</v>
      </c>
      <c r="F895">
        <v>1562.42</v>
      </c>
      <c r="G895">
        <v>2022</v>
      </c>
    </row>
    <row r="896" spans="1:7" x14ac:dyDescent="0.3">
      <c r="A896" t="s">
        <v>143</v>
      </c>
      <c r="B896" t="s">
        <v>17</v>
      </c>
      <c r="C896" t="s">
        <v>23</v>
      </c>
      <c r="D896" t="s">
        <v>9</v>
      </c>
      <c r="E896" t="s">
        <v>15</v>
      </c>
      <c r="F896">
        <v>3968.02</v>
      </c>
      <c r="G896">
        <v>2023</v>
      </c>
    </row>
    <row r="897" spans="1:7" x14ac:dyDescent="0.3">
      <c r="A897" t="s">
        <v>98</v>
      </c>
      <c r="B897" t="s">
        <v>19</v>
      </c>
      <c r="C897" t="s">
        <v>23</v>
      </c>
      <c r="D897" t="s">
        <v>28</v>
      </c>
      <c r="E897" t="s">
        <v>10</v>
      </c>
      <c r="F897">
        <v>3813.14</v>
      </c>
      <c r="G897">
        <v>2023</v>
      </c>
    </row>
    <row r="898" spans="1:7" x14ac:dyDescent="0.3">
      <c r="A898" t="s">
        <v>189</v>
      </c>
      <c r="B898" t="s">
        <v>19</v>
      </c>
      <c r="C898" t="s">
        <v>8</v>
      </c>
      <c r="D898" t="s">
        <v>14</v>
      </c>
      <c r="E898" t="s">
        <v>10</v>
      </c>
      <c r="F898">
        <v>1512.54</v>
      </c>
      <c r="G898">
        <v>2022</v>
      </c>
    </row>
    <row r="899" spans="1:7" x14ac:dyDescent="0.3">
      <c r="A899" t="s">
        <v>74</v>
      </c>
      <c r="B899" t="s">
        <v>19</v>
      </c>
      <c r="C899" t="s">
        <v>13</v>
      </c>
      <c r="D899" t="s">
        <v>9</v>
      </c>
      <c r="E899" t="s">
        <v>24</v>
      </c>
      <c r="F899">
        <v>4044.95</v>
      </c>
      <c r="G899">
        <v>2022</v>
      </c>
    </row>
    <row r="900" spans="1:7" x14ac:dyDescent="0.3">
      <c r="A900" t="s">
        <v>200</v>
      </c>
      <c r="B900" t="s">
        <v>30</v>
      </c>
      <c r="C900" t="s">
        <v>34</v>
      </c>
      <c r="D900" t="s">
        <v>14</v>
      </c>
      <c r="E900" t="s">
        <v>15</v>
      </c>
      <c r="F900">
        <v>193.32</v>
      </c>
      <c r="G900">
        <v>2023</v>
      </c>
    </row>
    <row r="901" spans="1:7" x14ac:dyDescent="0.3">
      <c r="A901" t="s">
        <v>178</v>
      </c>
      <c r="B901" t="s">
        <v>30</v>
      </c>
      <c r="C901" t="s">
        <v>23</v>
      </c>
      <c r="D901" t="s">
        <v>28</v>
      </c>
      <c r="E901" t="s">
        <v>24</v>
      </c>
      <c r="F901">
        <v>2881.41</v>
      </c>
      <c r="G901">
        <v>2023</v>
      </c>
    </row>
    <row r="902" spans="1:7" x14ac:dyDescent="0.3">
      <c r="A902" t="s">
        <v>38</v>
      </c>
      <c r="B902" t="s">
        <v>30</v>
      </c>
      <c r="C902" t="s">
        <v>13</v>
      </c>
      <c r="D902" t="s">
        <v>28</v>
      </c>
      <c r="E902" t="s">
        <v>15</v>
      </c>
      <c r="F902">
        <v>1949.55</v>
      </c>
      <c r="G902">
        <v>2022</v>
      </c>
    </row>
    <row r="903" spans="1:7" x14ac:dyDescent="0.3">
      <c r="A903" t="s">
        <v>142</v>
      </c>
      <c r="B903" t="s">
        <v>17</v>
      </c>
      <c r="C903" t="s">
        <v>8</v>
      </c>
      <c r="D903" t="s">
        <v>28</v>
      </c>
      <c r="E903" t="s">
        <v>24</v>
      </c>
      <c r="F903">
        <v>2729.42</v>
      </c>
      <c r="G903">
        <v>2022</v>
      </c>
    </row>
    <row r="904" spans="1:7" x14ac:dyDescent="0.3">
      <c r="A904" t="s">
        <v>150</v>
      </c>
      <c r="B904" t="s">
        <v>30</v>
      </c>
      <c r="C904" t="s">
        <v>34</v>
      </c>
      <c r="D904" t="s">
        <v>14</v>
      </c>
      <c r="E904" t="s">
        <v>10</v>
      </c>
      <c r="F904">
        <v>4965.24</v>
      </c>
      <c r="G904">
        <v>2023</v>
      </c>
    </row>
    <row r="905" spans="1:7" x14ac:dyDescent="0.3">
      <c r="A905" t="s">
        <v>215</v>
      </c>
      <c r="B905" t="s">
        <v>17</v>
      </c>
      <c r="C905" t="s">
        <v>34</v>
      </c>
      <c r="D905" t="s">
        <v>14</v>
      </c>
      <c r="E905" t="s">
        <v>24</v>
      </c>
      <c r="F905">
        <v>968.64</v>
      </c>
      <c r="G905">
        <v>2023</v>
      </c>
    </row>
    <row r="906" spans="1:7" x14ac:dyDescent="0.3">
      <c r="A906" t="s">
        <v>71</v>
      </c>
      <c r="B906" t="s">
        <v>7</v>
      </c>
      <c r="C906" t="s">
        <v>23</v>
      </c>
      <c r="D906" t="s">
        <v>28</v>
      </c>
      <c r="E906" t="s">
        <v>10</v>
      </c>
      <c r="F906">
        <v>2778.34</v>
      </c>
      <c r="G906">
        <v>2023</v>
      </c>
    </row>
    <row r="907" spans="1:7" x14ac:dyDescent="0.3">
      <c r="A907" t="s">
        <v>88</v>
      </c>
      <c r="B907" t="s">
        <v>7</v>
      </c>
      <c r="C907" t="s">
        <v>13</v>
      </c>
      <c r="D907" t="s">
        <v>28</v>
      </c>
      <c r="E907" t="s">
        <v>10</v>
      </c>
      <c r="F907">
        <v>901.71</v>
      </c>
      <c r="G907">
        <v>2022</v>
      </c>
    </row>
    <row r="908" spans="1:7" x14ac:dyDescent="0.3">
      <c r="A908" t="s">
        <v>44</v>
      </c>
      <c r="B908" t="s">
        <v>19</v>
      </c>
      <c r="C908" t="s">
        <v>34</v>
      </c>
      <c r="D908" t="s">
        <v>14</v>
      </c>
      <c r="E908" t="s">
        <v>10</v>
      </c>
      <c r="F908">
        <v>4031.94</v>
      </c>
      <c r="G908">
        <v>2023</v>
      </c>
    </row>
    <row r="909" spans="1:7" x14ac:dyDescent="0.3">
      <c r="A909" t="s">
        <v>124</v>
      </c>
      <c r="B909" t="s">
        <v>12</v>
      </c>
      <c r="C909" t="s">
        <v>8</v>
      </c>
      <c r="D909" t="s">
        <v>28</v>
      </c>
      <c r="E909" t="s">
        <v>24</v>
      </c>
      <c r="F909">
        <v>3868.62</v>
      </c>
      <c r="G909">
        <v>2022</v>
      </c>
    </row>
    <row r="910" spans="1:7" x14ac:dyDescent="0.3">
      <c r="A910" t="s">
        <v>135</v>
      </c>
      <c r="B910" t="s">
        <v>12</v>
      </c>
      <c r="C910" t="s">
        <v>34</v>
      </c>
      <c r="D910" t="s">
        <v>14</v>
      </c>
      <c r="E910" t="s">
        <v>24</v>
      </c>
      <c r="F910">
        <v>2670.34</v>
      </c>
      <c r="G910">
        <v>2023</v>
      </c>
    </row>
    <row r="911" spans="1:7" x14ac:dyDescent="0.3">
      <c r="A911" t="s">
        <v>57</v>
      </c>
      <c r="B911" t="s">
        <v>19</v>
      </c>
      <c r="C911" t="s">
        <v>13</v>
      </c>
      <c r="D911" t="s">
        <v>28</v>
      </c>
      <c r="E911" t="s">
        <v>10</v>
      </c>
      <c r="F911">
        <v>4061.97</v>
      </c>
      <c r="G911">
        <v>2022</v>
      </c>
    </row>
    <row r="912" spans="1:7" x14ac:dyDescent="0.3">
      <c r="A912" t="s">
        <v>61</v>
      </c>
      <c r="B912" t="s">
        <v>30</v>
      </c>
      <c r="C912" t="s">
        <v>23</v>
      </c>
      <c r="D912" t="s">
        <v>14</v>
      </c>
      <c r="E912" t="s">
        <v>15</v>
      </c>
      <c r="F912">
        <v>279.14</v>
      </c>
      <c r="G912">
        <v>2023</v>
      </c>
    </row>
    <row r="913" spans="1:7" x14ac:dyDescent="0.3">
      <c r="A913" t="s">
        <v>168</v>
      </c>
      <c r="B913" t="s">
        <v>17</v>
      </c>
      <c r="C913" t="s">
        <v>23</v>
      </c>
      <c r="D913" t="s">
        <v>9</v>
      </c>
      <c r="E913" t="s">
        <v>24</v>
      </c>
      <c r="F913">
        <v>936.92</v>
      </c>
      <c r="G913">
        <v>2023</v>
      </c>
    </row>
    <row r="914" spans="1:7" x14ac:dyDescent="0.3">
      <c r="A914" t="s">
        <v>65</v>
      </c>
      <c r="B914" t="s">
        <v>30</v>
      </c>
      <c r="C914" t="s">
        <v>8</v>
      </c>
      <c r="D914" t="s">
        <v>9</v>
      </c>
      <c r="E914" t="s">
        <v>24</v>
      </c>
      <c r="F914">
        <v>1890.57</v>
      </c>
      <c r="G914">
        <v>2022</v>
      </c>
    </row>
    <row r="915" spans="1:7" x14ac:dyDescent="0.3">
      <c r="A915" t="s">
        <v>78</v>
      </c>
      <c r="B915" t="s">
        <v>7</v>
      </c>
      <c r="C915" t="s">
        <v>13</v>
      </c>
      <c r="D915" t="s">
        <v>9</v>
      </c>
      <c r="E915" t="s">
        <v>10</v>
      </c>
      <c r="F915">
        <v>4697.92</v>
      </c>
      <c r="G915">
        <v>2022</v>
      </c>
    </row>
    <row r="916" spans="1:7" x14ac:dyDescent="0.3">
      <c r="A916" t="s">
        <v>52</v>
      </c>
      <c r="B916" t="s">
        <v>19</v>
      </c>
      <c r="C916" t="s">
        <v>34</v>
      </c>
      <c r="D916" t="s">
        <v>28</v>
      </c>
      <c r="E916" t="s">
        <v>24</v>
      </c>
      <c r="F916">
        <v>3192.85</v>
      </c>
      <c r="G916">
        <v>2023</v>
      </c>
    </row>
    <row r="917" spans="1:7" x14ac:dyDescent="0.3">
      <c r="A917" t="s">
        <v>160</v>
      </c>
      <c r="B917" t="s">
        <v>30</v>
      </c>
      <c r="C917" t="s">
        <v>13</v>
      </c>
      <c r="D917" t="s">
        <v>9</v>
      </c>
      <c r="E917" t="s">
        <v>10</v>
      </c>
      <c r="F917">
        <v>3010.17</v>
      </c>
      <c r="G917">
        <v>2022</v>
      </c>
    </row>
    <row r="918" spans="1:7" x14ac:dyDescent="0.3">
      <c r="A918" t="s">
        <v>188</v>
      </c>
      <c r="B918" t="s">
        <v>19</v>
      </c>
      <c r="C918" t="s">
        <v>23</v>
      </c>
      <c r="D918" t="s">
        <v>9</v>
      </c>
      <c r="E918" t="s">
        <v>24</v>
      </c>
      <c r="F918">
        <v>4348.8599999999997</v>
      </c>
      <c r="G918">
        <v>2023</v>
      </c>
    </row>
    <row r="919" spans="1:7" x14ac:dyDescent="0.3">
      <c r="A919" t="s">
        <v>22</v>
      </c>
      <c r="B919" t="s">
        <v>12</v>
      </c>
      <c r="C919" t="s">
        <v>8</v>
      </c>
      <c r="D919" t="s">
        <v>9</v>
      </c>
      <c r="E919" t="s">
        <v>10</v>
      </c>
      <c r="F919">
        <v>4115.1499999999996</v>
      </c>
      <c r="G919">
        <v>2022</v>
      </c>
    </row>
    <row r="920" spans="1:7" x14ac:dyDescent="0.3">
      <c r="A920" t="s">
        <v>195</v>
      </c>
      <c r="B920" t="s">
        <v>7</v>
      </c>
      <c r="C920" t="s">
        <v>8</v>
      </c>
      <c r="D920" t="s">
        <v>28</v>
      </c>
      <c r="E920" t="s">
        <v>15</v>
      </c>
      <c r="F920">
        <v>4352.3</v>
      </c>
      <c r="G920">
        <v>2022</v>
      </c>
    </row>
    <row r="921" spans="1:7" x14ac:dyDescent="0.3">
      <c r="A921" t="s">
        <v>56</v>
      </c>
      <c r="B921" t="s">
        <v>19</v>
      </c>
      <c r="C921" t="s">
        <v>13</v>
      </c>
      <c r="D921" t="s">
        <v>9</v>
      </c>
      <c r="E921" t="s">
        <v>15</v>
      </c>
      <c r="F921">
        <v>3591.33</v>
      </c>
      <c r="G921">
        <v>2022</v>
      </c>
    </row>
    <row r="922" spans="1:7" x14ac:dyDescent="0.3">
      <c r="A922" t="s">
        <v>87</v>
      </c>
      <c r="B922" t="s">
        <v>12</v>
      </c>
      <c r="C922" t="s">
        <v>8</v>
      </c>
      <c r="D922" t="s">
        <v>28</v>
      </c>
      <c r="E922" t="s">
        <v>15</v>
      </c>
      <c r="F922">
        <v>3260.39</v>
      </c>
      <c r="G922">
        <v>2022</v>
      </c>
    </row>
    <row r="923" spans="1:7" x14ac:dyDescent="0.3">
      <c r="A923" t="s">
        <v>91</v>
      </c>
      <c r="B923" t="s">
        <v>30</v>
      </c>
      <c r="C923" t="s">
        <v>23</v>
      </c>
      <c r="D923" t="s">
        <v>14</v>
      </c>
      <c r="E923" t="s">
        <v>24</v>
      </c>
      <c r="F923">
        <v>1083.03</v>
      </c>
      <c r="G923">
        <v>2023</v>
      </c>
    </row>
    <row r="924" spans="1:7" x14ac:dyDescent="0.3">
      <c r="A924" t="s">
        <v>215</v>
      </c>
      <c r="B924" t="s">
        <v>17</v>
      </c>
      <c r="C924" t="s">
        <v>13</v>
      </c>
      <c r="D924" t="s">
        <v>28</v>
      </c>
      <c r="E924" t="s">
        <v>10</v>
      </c>
      <c r="F924">
        <v>2051.69</v>
      </c>
      <c r="G924">
        <v>2022</v>
      </c>
    </row>
    <row r="925" spans="1:7" x14ac:dyDescent="0.3">
      <c r="A925" t="s">
        <v>33</v>
      </c>
      <c r="B925" t="s">
        <v>19</v>
      </c>
      <c r="C925" t="s">
        <v>23</v>
      </c>
      <c r="D925" t="s">
        <v>28</v>
      </c>
      <c r="E925" t="s">
        <v>10</v>
      </c>
      <c r="F925">
        <v>2402.8200000000002</v>
      </c>
      <c r="G925">
        <v>2023</v>
      </c>
    </row>
    <row r="926" spans="1:7" x14ac:dyDescent="0.3">
      <c r="A926" t="s">
        <v>168</v>
      </c>
      <c r="B926" t="s">
        <v>17</v>
      </c>
      <c r="C926" t="s">
        <v>13</v>
      </c>
      <c r="D926" t="s">
        <v>9</v>
      </c>
      <c r="E926" t="s">
        <v>10</v>
      </c>
      <c r="F926">
        <v>1465.51</v>
      </c>
      <c r="G926">
        <v>2022</v>
      </c>
    </row>
    <row r="927" spans="1:7" x14ac:dyDescent="0.3">
      <c r="A927" t="s">
        <v>129</v>
      </c>
      <c r="B927" t="s">
        <v>17</v>
      </c>
      <c r="C927" t="s">
        <v>8</v>
      </c>
      <c r="D927" t="s">
        <v>9</v>
      </c>
      <c r="E927" t="s">
        <v>10</v>
      </c>
      <c r="F927">
        <v>4841.54</v>
      </c>
      <c r="G927">
        <v>2022</v>
      </c>
    </row>
    <row r="928" spans="1:7" x14ac:dyDescent="0.3">
      <c r="A928" t="s">
        <v>206</v>
      </c>
      <c r="B928" t="s">
        <v>19</v>
      </c>
      <c r="C928" t="s">
        <v>34</v>
      </c>
      <c r="D928" t="s">
        <v>28</v>
      </c>
      <c r="E928" t="s">
        <v>10</v>
      </c>
      <c r="F928">
        <v>3187.8</v>
      </c>
      <c r="G928">
        <v>2023</v>
      </c>
    </row>
    <row r="929" spans="1:7" x14ac:dyDescent="0.3">
      <c r="A929" t="s">
        <v>129</v>
      </c>
      <c r="B929" t="s">
        <v>17</v>
      </c>
      <c r="C929" t="s">
        <v>34</v>
      </c>
      <c r="D929" t="s">
        <v>28</v>
      </c>
      <c r="E929" t="s">
        <v>24</v>
      </c>
      <c r="F929">
        <v>4547.92</v>
      </c>
      <c r="G929">
        <v>2023</v>
      </c>
    </row>
    <row r="930" spans="1:7" x14ac:dyDescent="0.3">
      <c r="A930" t="s">
        <v>135</v>
      </c>
      <c r="B930" t="s">
        <v>12</v>
      </c>
      <c r="C930" t="s">
        <v>13</v>
      </c>
      <c r="D930" t="s">
        <v>9</v>
      </c>
      <c r="E930" t="s">
        <v>10</v>
      </c>
      <c r="F930">
        <v>4751.75</v>
      </c>
      <c r="G930">
        <v>2022</v>
      </c>
    </row>
    <row r="931" spans="1:7" x14ac:dyDescent="0.3">
      <c r="A931" t="s">
        <v>49</v>
      </c>
      <c r="B931" t="s">
        <v>19</v>
      </c>
      <c r="C931" t="s">
        <v>13</v>
      </c>
      <c r="D931" t="s">
        <v>28</v>
      </c>
      <c r="E931" t="s">
        <v>10</v>
      </c>
      <c r="F931">
        <v>3218.33</v>
      </c>
      <c r="G931">
        <v>2022</v>
      </c>
    </row>
    <row r="932" spans="1:7" x14ac:dyDescent="0.3">
      <c r="A932" t="s">
        <v>177</v>
      </c>
      <c r="B932" t="s">
        <v>7</v>
      </c>
      <c r="C932" t="s">
        <v>23</v>
      </c>
      <c r="D932" t="s">
        <v>14</v>
      </c>
      <c r="E932" t="s">
        <v>24</v>
      </c>
      <c r="F932">
        <v>107.49</v>
      </c>
      <c r="G932">
        <v>2023</v>
      </c>
    </row>
    <row r="933" spans="1:7" x14ac:dyDescent="0.3">
      <c r="A933" t="s">
        <v>159</v>
      </c>
      <c r="B933" t="s">
        <v>7</v>
      </c>
      <c r="C933" t="s">
        <v>8</v>
      </c>
      <c r="D933" t="s">
        <v>28</v>
      </c>
      <c r="E933" t="s">
        <v>15</v>
      </c>
      <c r="F933">
        <v>4162.1899999999996</v>
      </c>
      <c r="G933">
        <v>2022</v>
      </c>
    </row>
    <row r="934" spans="1:7" x14ac:dyDescent="0.3">
      <c r="A934" t="s">
        <v>172</v>
      </c>
      <c r="B934" t="s">
        <v>7</v>
      </c>
      <c r="C934" t="s">
        <v>13</v>
      </c>
      <c r="D934" t="s">
        <v>14</v>
      </c>
      <c r="E934" t="s">
        <v>10</v>
      </c>
      <c r="F934">
        <v>1795.35</v>
      </c>
      <c r="G934">
        <v>2022</v>
      </c>
    </row>
    <row r="935" spans="1:7" x14ac:dyDescent="0.3">
      <c r="A935" t="s">
        <v>163</v>
      </c>
      <c r="B935" t="s">
        <v>19</v>
      </c>
      <c r="C935" t="s">
        <v>13</v>
      </c>
      <c r="D935" t="s">
        <v>14</v>
      </c>
      <c r="E935" t="s">
        <v>24</v>
      </c>
      <c r="F935">
        <v>930.97</v>
      </c>
      <c r="G935">
        <v>2022</v>
      </c>
    </row>
    <row r="936" spans="1:7" x14ac:dyDescent="0.3">
      <c r="A936" t="s">
        <v>143</v>
      </c>
      <c r="B936" t="s">
        <v>17</v>
      </c>
      <c r="C936" t="s">
        <v>23</v>
      </c>
      <c r="D936" t="s">
        <v>9</v>
      </c>
      <c r="E936" t="s">
        <v>10</v>
      </c>
      <c r="F936">
        <v>1962.97</v>
      </c>
      <c r="G936">
        <v>2023</v>
      </c>
    </row>
    <row r="937" spans="1:7" x14ac:dyDescent="0.3">
      <c r="A937" t="s">
        <v>181</v>
      </c>
      <c r="B937" t="s">
        <v>30</v>
      </c>
      <c r="C937" t="s">
        <v>23</v>
      </c>
      <c r="D937" t="s">
        <v>14</v>
      </c>
      <c r="E937" t="s">
        <v>10</v>
      </c>
      <c r="F937">
        <v>4615.88</v>
      </c>
      <c r="G937">
        <v>2023</v>
      </c>
    </row>
    <row r="938" spans="1:7" x14ac:dyDescent="0.3">
      <c r="A938" t="s">
        <v>146</v>
      </c>
      <c r="B938" t="s">
        <v>7</v>
      </c>
      <c r="C938" t="s">
        <v>34</v>
      </c>
      <c r="D938" t="s">
        <v>28</v>
      </c>
      <c r="E938" t="s">
        <v>15</v>
      </c>
      <c r="F938">
        <v>1530.83</v>
      </c>
      <c r="G938">
        <v>2023</v>
      </c>
    </row>
    <row r="939" spans="1:7" x14ac:dyDescent="0.3">
      <c r="A939" t="s">
        <v>173</v>
      </c>
      <c r="B939" t="s">
        <v>30</v>
      </c>
      <c r="C939" t="s">
        <v>23</v>
      </c>
      <c r="D939" t="s">
        <v>9</v>
      </c>
      <c r="E939" t="s">
        <v>10</v>
      </c>
      <c r="F939">
        <v>2440.9899999999998</v>
      </c>
      <c r="G939">
        <v>2023</v>
      </c>
    </row>
    <row r="940" spans="1:7" x14ac:dyDescent="0.3">
      <c r="A940" t="s">
        <v>121</v>
      </c>
      <c r="B940" t="s">
        <v>30</v>
      </c>
      <c r="C940" t="s">
        <v>8</v>
      </c>
      <c r="D940" t="s">
        <v>28</v>
      </c>
      <c r="E940" t="s">
        <v>24</v>
      </c>
      <c r="F940">
        <v>1674.72</v>
      </c>
      <c r="G940">
        <v>2022</v>
      </c>
    </row>
    <row r="941" spans="1:7" x14ac:dyDescent="0.3">
      <c r="A941" t="s">
        <v>50</v>
      </c>
      <c r="B941" t="s">
        <v>19</v>
      </c>
      <c r="C941" t="s">
        <v>13</v>
      </c>
      <c r="D941" t="s">
        <v>28</v>
      </c>
      <c r="E941" t="s">
        <v>15</v>
      </c>
      <c r="F941">
        <v>3245.74</v>
      </c>
      <c r="G941">
        <v>2022</v>
      </c>
    </row>
    <row r="942" spans="1:7" x14ac:dyDescent="0.3">
      <c r="A942" t="s">
        <v>214</v>
      </c>
      <c r="B942" t="s">
        <v>30</v>
      </c>
      <c r="C942" t="s">
        <v>8</v>
      </c>
      <c r="D942" t="s">
        <v>28</v>
      </c>
      <c r="E942" t="s">
        <v>15</v>
      </c>
      <c r="F942">
        <v>3114.72</v>
      </c>
      <c r="G942">
        <v>2022</v>
      </c>
    </row>
    <row r="943" spans="1:7" x14ac:dyDescent="0.3">
      <c r="A943" t="s">
        <v>101</v>
      </c>
      <c r="B943" t="s">
        <v>19</v>
      </c>
      <c r="C943" t="s">
        <v>13</v>
      </c>
      <c r="D943" t="s">
        <v>14</v>
      </c>
      <c r="E943" t="s">
        <v>15</v>
      </c>
      <c r="F943">
        <v>2078.6799999999998</v>
      </c>
      <c r="G943">
        <v>2022</v>
      </c>
    </row>
    <row r="944" spans="1:7" x14ac:dyDescent="0.3">
      <c r="A944" t="s">
        <v>137</v>
      </c>
      <c r="B944" t="s">
        <v>17</v>
      </c>
      <c r="C944" t="s">
        <v>8</v>
      </c>
      <c r="D944" t="s">
        <v>28</v>
      </c>
      <c r="E944" t="s">
        <v>15</v>
      </c>
      <c r="F944">
        <v>2458.83</v>
      </c>
      <c r="G944">
        <v>2022</v>
      </c>
    </row>
    <row r="945" spans="1:7" x14ac:dyDescent="0.3">
      <c r="A945" t="s">
        <v>126</v>
      </c>
      <c r="B945" t="s">
        <v>30</v>
      </c>
      <c r="C945" t="s">
        <v>23</v>
      </c>
      <c r="D945" t="s">
        <v>14</v>
      </c>
      <c r="E945" t="s">
        <v>15</v>
      </c>
      <c r="F945">
        <v>3902.33</v>
      </c>
      <c r="G945">
        <v>2023</v>
      </c>
    </row>
    <row r="946" spans="1:7" x14ac:dyDescent="0.3">
      <c r="A946" t="s">
        <v>22</v>
      </c>
      <c r="B946" t="s">
        <v>12</v>
      </c>
      <c r="C946" t="s">
        <v>23</v>
      </c>
      <c r="D946" t="s">
        <v>9</v>
      </c>
      <c r="E946" t="s">
        <v>10</v>
      </c>
      <c r="F946">
        <v>3436.69</v>
      </c>
      <c r="G946">
        <v>2023</v>
      </c>
    </row>
    <row r="947" spans="1:7" x14ac:dyDescent="0.3">
      <c r="A947" t="s">
        <v>133</v>
      </c>
      <c r="B947" t="s">
        <v>17</v>
      </c>
      <c r="C947" t="s">
        <v>23</v>
      </c>
      <c r="D947" t="s">
        <v>28</v>
      </c>
      <c r="E947" t="s">
        <v>24</v>
      </c>
      <c r="F947">
        <v>3373.97</v>
      </c>
      <c r="G947">
        <v>2023</v>
      </c>
    </row>
    <row r="948" spans="1:7" x14ac:dyDescent="0.3">
      <c r="A948" t="s">
        <v>202</v>
      </c>
      <c r="B948" t="s">
        <v>12</v>
      </c>
      <c r="C948" t="s">
        <v>8</v>
      </c>
      <c r="D948" t="s">
        <v>14</v>
      </c>
      <c r="E948" t="s">
        <v>15</v>
      </c>
      <c r="F948">
        <v>2524.3200000000002</v>
      </c>
      <c r="G948">
        <v>2022</v>
      </c>
    </row>
    <row r="949" spans="1:7" x14ac:dyDescent="0.3">
      <c r="A949" t="s">
        <v>67</v>
      </c>
      <c r="B949" t="s">
        <v>7</v>
      </c>
      <c r="C949" t="s">
        <v>13</v>
      </c>
      <c r="D949" t="s">
        <v>28</v>
      </c>
      <c r="E949" t="s">
        <v>24</v>
      </c>
      <c r="F949">
        <v>4152.62</v>
      </c>
      <c r="G949">
        <v>2022</v>
      </c>
    </row>
    <row r="950" spans="1:7" x14ac:dyDescent="0.3">
      <c r="A950" t="s">
        <v>159</v>
      </c>
      <c r="B950" t="s">
        <v>7</v>
      </c>
      <c r="C950" t="s">
        <v>13</v>
      </c>
      <c r="D950" t="s">
        <v>9</v>
      </c>
      <c r="E950" t="s">
        <v>15</v>
      </c>
      <c r="F950">
        <v>5429.12</v>
      </c>
      <c r="G950">
        <v>2022</v>
      </c>
    </row>
    <row r="951" spans="1:7" x14ac:dyDescent="0.3">
      <c r="A951" t="s">
        <v>193</v>
      </c>
      <c r="B951" t="s">
        <v>12</v>
      </c>
      <c r="C951" t="s">
        <v>23</v>
      </c>
      <c r="D951" t="s">
        <v>9</v>
      </c>
      <c r="E951" t="s">
        <v>24</v>
      </c>
      <c r="F951">
        <v>4835.42</v>
      </c>
      <c r="G951">
        <v>2023</v>
      </c>
    </row>
    <row r="952" spans="1:7" x14ac:dyDescent="0.3">
      <c r="A952" t="s">
        <v>101</v>
      </c>
      <c r="B952" t="s">
        <v>19</v>
      </c>
      <c r="C952" t="s">
        <v>23</v>
      </c>
      <c r="D952" t="s">
        <v>28</v>
      </c>
      <c r="E952" t="s">
        <v>15</v>
      </c>
      <c r="F952">
        <v>783.3</v>
      </c>
      <c r="G952">
        <v>2023</v>
      </c>
    </row>
    <row r="953" spans="1:7" x14ac:dyDescent="0.3">
      <c r="A953" t="s">
        <v>112</v>
      </c>
      <c r="B953" t="s">
        <v>30</v>
      </c>
      <c r="C953" t="s">
        <v>8</v>
      </c>
      <c r="D953" t="s">
        <v>28</v>
      </c>
      <c r="E953" t="s">
        <v>24</v>
      </c>
      <c r="F953">
        <v>4038.18</v>
      </c>
      <c r="G953">
        <v>2022</v>
      </c>
    </row>
    <row r="954" spans="1:7" x14ac:dyDescent="0.3">
      <c r="A954" t="s">
        <v>140</v>
      </c>
      <c r="B954" t="s">
        <v>17</v>
      </c>
      <c r="C954" t="s">
        <v>13</v>
      </c>
      <c r="D954" t="s">
        <v>9</v>
      </c>
      <c r="E954" t="s">
        <v>10</v>
      </c>
      <c r="F954">
        <v>4925.53</v>
      </c>
      <c r="G954">
        <v>2022</v>
      </c>
    </row>
    <row r="955" spans="1:7" x14ac:dyDescent="0.3">
      <c r="A955" t="s">
        <v>20</v>
      </c>
      <c r="B955" t="s">
        <v>17</v>
      </c>
      <c r="C955" t="s">
        <v>23</v>
      </c>
      <c r="D955" t="s">
        <v>9</v>
      </c>
      <c r="E955" t="s">
        <v>10</v>
      </c>
      <c r="F955">
        <v>2926.75</v>
      </c>
      <c r="G955">
        <v>2023</v>
      </c>
    </row>
    <row r="956" spans="1:7" x14ac:dyDescent="0.3">
      <c r="A956" t="s">
        <v>170</v>
      </c>
      <c r="B956" t="s">
        <v>12</v>
      </c>
      <c r="C956" t="s">
        <v>8</v>
      </c>
      <c r="D956" t="s">
        <v>28</v>
      </c>
      <c r="E956" t="s">
        <v>15</v>
      </c>
      <c r="F956">
        <v>1931.14</v>
      </c>
      <c r="G956">
        <v>2022</v>
      </c>
    </row>
    <row r="957" spans="1:7" x14ac:dyDescent="0.3">
      <c r="A957" t="s">
        <v>80</v>
      </c>
      <c r="B957" t="s">
        <v>17</v>
      </c>
      <c r="C957" t="s">
        <v>13</v>
      </c>
      <c r="D957" t="s">
        <v>9</v>
      </c>
      <c r="E957" t="s">
        <v>24</v>
      </c>
      <c r="F957">
        <v>3586.91</v>
      </c>
      <c r="G957">
        <v>2022</v>
      </c>
    </row>
    <row r="958" spans="1:7" x14ac:dyDescent="0.3">
      <c r="A958" t="s">
        <v>217</v>
      </c>
      <c r="B958" t="s">
        <v>19</v>
      </c>
      <c r="C958" t="s">
        <v>34</v>
      </c>
      <c r="D958" t="s">
        <v>14</v>
      </c>
      <c r="E958" t="s">
        <v>15</v>
      </c>
      <c r="F958">
        <v>2192.19</v>
      </c>
      <c r="G958">
        <v>2023</v>
      </c>
    </row>
    <row r="959" spans="1:7" x14ac:dyDescent="0.3">
      <c r="A959" t="s">
        <v>55</v>
      </c>
      <c r="B959" t="s">
        <v>12</v>
      </c>
      <c r="C959" t="s">
        <v>34</v>
      </c>
      <c r="D959" t="s">
        <v>28</v>
      </c>
      <c r="E959" t="s">
        <v>15</v>
      </c>
      <c r="F959">
        <v>3113.98</v>
      </c>
      <c r="G959">
        <v>2023</v>
      </c>
    </row>
    <row r="960" spans="1:7" x14ac:dyDescent="0.3">
      <c r="A960" t="s">
        <v>142</v>
      </c>
      <c r="B960" t="s">
        <v>17</v>
      </c>
      <c r="C960" t="s">
        <v>34</v>
      </c>
      <c r="D960" t="s">
        <v>9</v>
      </c>
      <c r="E960" t="s">
        <v>10</v>
      </c>
      <c r="F960">
        <v>4943.08</v>
      </c>
      <c r="G960">
        <v>2023</v>
      </c>
    </row>
    <row r="961" spans="1:7" x14ac:dyDescent="0.3">
      <c r="A961" t="s">
        <v>214</v>
      </c>
      <c r="B961" t="s">
        <v>30</v>
      </c>
      <c r="C961" t="s">
        <v>8</v>
      </c>
      <c r="D961" t="s">
        <v>14</v>
      </c>
      <c r="E961" t="s">
        <v>15</v>
      </c>
      <c r="F961">
        <v>4608.99</v>
      </c>
      <c r="G961">
        <v>2022</v>
      </c>
    </row>
    <row r="962" spans="1:7" x14ac:dyDescent="0.3">
      <c r="A962" t="s">
        <v>56</v>
      </c>
      <c r="B962" t="s">
        <v>19</v>
      </c>
      <c r="C962" t="s">
        <v>13</v>
      </c>
      <c r="D962" t="s">
        <v>28</v>
      </c>
      <c r="E962" t="s">
        <v>15</v>
      </c>
      <c r="F962">
        <v>548.27</v>
      </c>
      <c r="G962">
        <v>2022</v>
      </c>
    </row>
    <row r="963" spans="1:7" x14ac:dyDescent="0.3">
      <c r="A963" t="s">
        <v>61</v>
      </c>
      <c r="B963" t="s">
        <v>30</v>
      </c>
      <c r="C963" t="s">
        <v>8</v>
      </c>
      <c r="D963" t="s">
        <v>9</v>
      </c>
      <c r="E963" t="s">
        <v>10</v>
      </c>
      <c r="F963">
        <v>2949.12</v>
      </c>
      <c r="G963">
        <v>2022</v>
      </c>
    </row>
    <row r="964" spans="1:7" x14ac:dyDescent="0.3">
      <c r="A964" t="s">
        <v>41</v>
      </c>
      <c r="B964" t="s">
        <v>30</v>
      </c>
      <c r="C964" t="s">
        <v>34</v>
      </c>
      <c r="D964" t="s">
        <v>9</v>
      </c>
      <c r="E964" t="s">
        <v>24</v>
      </c>
      <c r="F964">
        <v>2617.0700000000002</v>
      </c>
      <c r="G964">
        <v>2023</v>
      </c>
    </row>
    <row r="965" spans="1:7" x14ac:dyDescent="0.3">
      <c r="A965" t="s">
        <v>92</v>
      </c>
      <c r="B965" t="s">
        <v>30</v>
      </c>
      <c r="C965" t="s">
        <v>34</v>
      </c>
      <c r="D965" t="s">
        <v>14</v>
      </c>
      <c r="E965" t="s">
        <v>15</v>
      </c>
      <c r="F965">
        <v>4990.76</v>
      </c>
      <c r="G965">
        <v>2023</v>
      </c>
    </row>
    <row r="966" spans="1:7" x14ac:dyDescent="0.3">
      <c r="A966" t="s">
        <v>182</v>
      </c>
      <c r="B966" t="s">
        <v>12</v>
      </c>
      <c r="C966" t="s">
        <v>34</v>
      </c>
      <c r="D966" t="s">
        <v>28</v>
      </c>
      <c r="E966" t="s">
        <v>15</v>
      </c>
      <c r="F966">
        <v>922.25</v>
      </c>
      <c r="G966">
        <v>2023</v>
      </c>
    </row>
    <row r="967" spans="1:7" x14ac:dyDescent="0.3">
      <c r="A967" t="s">
        <v>68</v>
      </c>
      <c r="B967" t="s">
        <v>12</v>
      </c>
      <c r="C967" t="s">
        <v>23</v>
      </c>
      <c r="D967" t="s">
        <v>14</v>
      </c>
      <c r="E967" t="s">
        <v>15</v>
      </c>
      <c r="F967">
        <v>1919.35</v>
      </c>
      <c r="G967">
        <v>2023</v>
      </c>
    </row>
    <row r="968" spans="1:7" x14ac:dyDescent="0.3">
      <c r="A968" t="s">
        <v>192</v>
      </c>
      <c r="B968" t="s">
        <v>19</v>
      </c>
      <c r="C968" t="s">
        <v>34</v>
      </c>
      <c r="D968" t="s">
        <v>9</v>
      </c>
      <c r="E968" t="s">
        <v>24</v>
      </c>
      <c r="F968">
        <v>3296.98</v>
      </c>
      <c r="G968">
        <v>2023</v>
      </c>
    </row>
    <row r="969" spans="1:7" x14ac:dyDescent="0.3">
      <c r="A969" t="s">
        <v>102</v>
      </c>
      <c r="B969" t="s">
        <v>19</v>
      </c>
      <c r="C969" t="s">
        <v>13</v>
      </c>
      <c r="D969" t="s">
        <v>28</v>
      </c>
      <c r="E969" t="s">
        <v>24</v>
      </c>
      <c r="F969">
        <v>3879.07</v>
      </c>
      <c r="G969">
        <v>2022</v>
      </c>
    </row>
    <row r="970" spans="1:7" x14ac:dyDescent="0.3">
      <c r="A970" t="s">
        <v>177</v>
      </c>
      <c r="B970" t="s">
        <v>7</v>
      </c>
      <c r="C970" t="s">
        <v>23</v>
      </c>
      <c r="D970" t="s">
        <v>9</v>
      </c>
      <c r="E970" t="s">
        <v>15</v>
      </c>
      <c r="F970">
        <v>3326.96</v>
      </c>
      <c r="G970">
        <v>2023</v>
      </c>
    </row>
    <row r="971" spans="1:7" x14ac:dyDescent="0.3">
      <c r="A971" t="s">
        <v>113</v>
      </c>
      <c r="B971" t="s">
        <v>30</v>
      </c>
      <c r="C971" t="s">
        <v>13</v>
      </c>
      <c r="D971" t="s">
        <v>9</v>
      </c>
      <c r="E971" t="s">
        <v>15</v>
      </c>
      <c r="F971">
        <v>2620.38</v>
      </c>
      <c r="G971">
        <v>2022</v>
      </c>
    </row>
    <row r="972" spans="1:7" x14ac:dyDescent="0.3">
      <c r="A972" t="s">
        <v>100</v>
      </c>
      <c r="B972" t="s">
        <v>7</v>
      </c>
      <c r="C972" t="s">
        <v>23</v>
      </c>
      <c r="D972" t="s">
        <v>28</v>
      </c>
      <c r="E972" t="s">
        <v>10</v>
      </c>
      <c r="F972">
        <v>3511.53</v>
      </c>
      <c r="G972">
        <v>2023</v>
      </c>
    </row>
    <row r="973" spans="1:7" x14ac:dyDescent="0.3">
      <c r="A973" t="s">
        <v>200</v>
      </c>
      <c r="B973" t="s">
        <v>30</v>
      </c>
      <c r="C973" t="s">
        <v>8</v>
      </c>
      <c r="D973" t="s">
        <v>28</v>
      </c>
      <c r="E973" t="s">
        <v>15</v>
      </c>
      <c r="F973">
        <v>402.68</v>
      </c>
      <c r="G973">
        <v>2022</v>
      </c>
    </row>
    <row r="974" spans="1:7" x14ac:dyDescent="0.3">
      <c r="A974" t="s">
        <v>147</v>
      </c>
      <c r="B974" t="s">
        <v>17</v>
      </c>
      <c r="C974" t="s">
        <v>34</v>
      </c>
      <c r="D974" t="s">
        <v>14</v>
      </c>
      <c r="E974" t="s">
        <v>10</v>
      </c>
      <c r="F974">
        <v>3834.83</v>
      </c>
      <c r="G974">
        <v>2023</v>
      </c>
    </row>
    <row r="975" spans="1:7" x14ac:dyDescent="0.3">
      <c r="A975" t="s">
        <v>123</v>
      </c>
      <c r="B975" t="s">
        <v>30</v>
      </c>
      <c r="C975" t="s">
        <v>13</v>
      </c>
      <c r="D975" t="s">
        <v>14</v>
      </c>
      <c r="E975" t="s">
        <v>15</v>
      </c>
      <c r="F975">
        <v>2705.01</v>
      </c>
      <c r="G975">
        <v>2022</v>
      </c>
    </row>
    <row r="976" spans="1:7" x14ac:dyDescent="0.3">
      <c r="A976" t="s">
        <v>151</v>
      </c>
      <c r="B976" t="s">
        <v>12</v>
      </c>
      <c r="C976" t="s">
        <v>13</v>
      </c>
      <c r="D976" t="s">
        <v>14</v>
      </c>
      <c r="E976" t="s">
        <v>15</v>
      </c>
      <c r="F976">
        <v>2242.38</v>
      </c>
      <c r="G976">
        <v>2022</v>
      </c>
    </row>
    <row r="977" spans="1:7" x14ac:dyDescent="0.3">
      <c r="A977" t="s">
        <v>58</v>
      </c>
      <c r="B977" t="s">
        <v>17</v>
      </c>
      <c r="C977" t="s">
        <v>34</v>
      </c>
      <c r="D977" t="s">
        <v>9</v>
      </c>
      <c r="E977" t="s">
        <v>15</v>
      </c>
      <c r="F977">
        <v>1860.74</v>
      </c>
      <c r="G977">
        <v>2023</v>
      </c>
    </row>
    <row r="978" spans="1:7" x14ac:dyDescent="0.3">
      <c r="A978" t="s">
        <v>66</v>
      </c>
      <c r="B978" t="s">
        <v>30</v>
      </c>
      <c r="C978" t="s">
        <v>8</v>
      </c>
      <c r="D978" t="s">
        <v>28</v>
      </c>
      <c r="E978" t="s">
        <v>24</v>
      </c>
      <c r="F978">
        <v>2978.15</v>
      </c>
      <c r="G978">
        <v>2022</v>
      </c>
    </row>
    <row r="979" spans="1:7" x14ac:dyDescent="0.3">
      <c r="A979" t="s">
        <v>197</v>
      </c>
      <c r="B979" t="s">
        <v>30</v>
      </c>
      <c r="C979" t="s">
        <v>23</v>
      </c>
      <c r="D979" t="s">
        <v>28</v>
      </c>
      <c r="E979" t="s">
        <v>10</v>
      </c>
      <c r="F979">
        <v>1338.04</v>
      </c>
      <c r="G979">
        <v>2023</v>
      </c>
    </row>
    <row r="980" spans="1:7" x14ac:dyDescent="0.3">
      <c r="A980" t="s">
        <v>65</v>
      </c>
      <c r="B980" t="s">
        <v>30</v>
      </c>
      <c r="C980" t="s">
        <v>34</v>
      </c>
      <c r="D980" t="s">
        <v>28</v>
      </c>
      <c r="E980" t="s">
        <v>24</v>
      </c>
      <c r="F980">
        <v>2538.44</v>
      </c>
      <c r="G980">
        <v>2023</v>
      </c>
    </row>
    <row r="981" spans="1:7" x14ac:dyDescent="0.3">
      <c r="A981" t="s">
        <v>210</v>
      </c>
      <c r="B981" t="s">
        <v>7</v>
      </c>
      <c r="C981" t="s">
        <v>13</v>
      </c>
      <c r="D981" t="s">
        <v>28</v>
      </c>
      <c r="E981" t="s">
        <v>24</v>
      </c>
      <c r="F981">
        <v>1644.11</v>
      </c>
      <c r="G981">
        <v>2022</v>
      </c>
    </row>
    <row r="982" spans="1:7" x14ac:dyDescent="0.3">
      <c r="A982" t="s">
        <v>166</v>
      </c>
      <c r="B982" t="s">
        <v>7</v>
      </c>
      <c r="C982" t="s">
        <v>13</v>
      </c>
      <c r="D982" t="s">
        <v>14</v>
      </c>
      <c r="E982" t="s">
        <v>15</v>
      </c>
      <c r="F982">
        <v>3858.7</v>
      </c>
      <c r="G982">
        <v>2022</v>
      </c>
    </row>
    <row r="983" spans="1:7" x14ac:dyDescent="0.3">
      <c r="A983" t="s">
        <v>112</v>
      </c>
      <c r="B983" t="s">
        <v>30</v>
      </c>
      <c r="C983" t="s">
        <v>34</v>
      </c>
      <c r="D983" t="s">
        <v>28</v>
      </c>
      <c r="E983" t="s">
        <v>24</v>
      </c>
      <c r="F983">
        <v>2079.69</v>
      </c>
      <c r="G983">
        <v>2023</v>
      </c>
    </row>
    <row r="984" spans="1:7" x14ac:dyDescent="0.3">
      <c r="A984" t="s">
        <v>77</v>
      </c>
      <c r="B984" t="s">
        <v>30</v>
      </c>
      <c r="C984" t="s">
        <v>8</v>
      </c>
      <c r="D984" t="s">
        <v>28</v>
      </c>
      <c r="E984" t="s">
        <v>15</v>
      </c>
      <c r="F984">
        <v>439.97</v>
      </c>
      <c r="G984">
        <v>2022</v>
      </c>
    </row>
    <row r="985" spans="1:7" x14ac:dyDescent="0.3">
      <c r="A985" t="s">
        <v>176</v>
      </c>
      <c r="B985" t="s">
        <v>19</v>
      </c>
      <c r="C985" t="s">
        <v>23</v>
      </c>
      <c r="D985" t="s">
        <v>28</v>
      </c>
      <c r="E985" t="s">
        <v>10</v>
      </c>
      <c r="F985">
        <v>1486</v>
      </c>
      <c r="G985">
        <v>2023</v>
      </c>
    </row>
    <row r="986" spans="1:7" x14ac:dyDescent="0.3">
      <c r="A986" t="s">
        <v>179</v>
      </c>
      <c r="B986" t="s">
        <v>7</v>
      </c>
      <c r="C986" t="s">
        <v>23</v>
      </c>
      <c r="D986" t="s">
        <v>9</v>
      </c>
      <c r="E986" t="s">
        <v>24</v>
      </c>
      <c r="F986">
        <v>396.7</v>
      </c>
      <c r="G986">
        <v>2023</v>
      </c>
    </row>
    <row r="987" spans="1:7" x14ac:dyDescent="0.3">
      <c r="A987" t="s">
        <v>135</v>
      </c>
      <c r="B987" t="s">
        <v>12</v>
      </c>
      <c r="C987" t="s">
        <v>13</v>
      </c>
      <c r="D987" t="s">
        <v>9</v>
      </c>
      <c r="E987" t="s">
        <v>15</v>
      </c>
      <c r="F987">
        <v>1724.46</v>
      </c>
      <c r="G987">
        <v>2022</v>
      </c>
    </row>
    <row r="988" spans="1:7" x14ac:dyDescent="0.3">
      <c r="A988" t="s">
        <v>77</v>
      </c>
      <c r="B988" t="s">
        <v>30</v>
      </c>
      <c r="C988" t="s">
        <v>23</v>
      </c>
      <c r="D988" t="s">
        <v>28</v>
      </c>
      <c r="E988" t="s">
        <v>15</v>
      </c>
      <c r="F988">
        <v>3569.77</v>
      </c>
      <c r="G988">
        <v>2023</v>
      </c>
    </row>
    <row r="989" spans="1:7" x14ac:dyDescent="0.3">
      <c r="A989" t="s">
        <v>151</v>
      </c>
      <c r="B989" t="s">
        <v>12</v>
      </c>
      <c r="C989" t="s">
        <v>8</v>
      </c>
      <c r="D989" t="s">
        <v>14</v>
      </c>
      <c r="E989" t="s">
        <v>10</v>
      </c>
      <c r="F989">
        <v>1244.99</v>
      </c>
      <c r="G989">
        <v>2022</v>
      </c>
    </row>
    <row r="990" spans="1:7" x14ac:dyDescent="0.3">
      <c r="A990" t="s">
        <v>218</v>
      </c>
      <c r="B990" t="s">
        <v>17</v>
      </c>
      <c r="C990" t="s">
        <v>13</v>
      </c>
      <c r="D990" t="s">
        <v>9</v>
      </c>
      <c r="E990" t="s">
        <v>10</v>
      </c>
      <c r="F990">
        <v>4645.6400000000003</v>
      </c>
      <c r="G990">
        <v>2022</v>
      </c>
    </row>
    <row r="991" spans="1:7" x14ac:dyDescent="0.3">
      <c r="A991" t="s">
        <v>106</v>
      </c>
      <c r="B991" t="s">
        <v>12</v>
      </c>
      <c r="C991" t="s">
        <v>8</v>
      </c>
      <c r="D991" t="s">
        <v>9</v>
      </c>
      <c r="E991" t="s">
        <v>24</v>
      </c>
      <c r="F991">
        <v>3635.37</v>
      </c>
      <c r="G991">
        <v>2022</v>
      </c>
    </row>
    <row r="992" spans="1:7" x14ac:dyDescent="0.3">
      <c r="A992" t="s">
        <v>87</v>
      </c>
      <c r="B992" t="s">
        <v>12</v>
      </c>
      <c r="C992" t="s">
        <v>13</v>
      </c>
      <c r="D992" t="s">
        <v>9</v>
      </c>
      <c r="E992" t="s">
        <v>24</v>
      </c>
      <c r="F992">
        <v>4563.12</v>
      </c>
      <c r="G992">
        <v>2022</v>
      </c>
    </row>
    <row r="993" spans="1:7" x14ac:dyDescent="0.3">
      <c r="A993" t="s">
        <v>20</v>
      </c>
      <c r="B993" t="s">
        <v>17</v>
      </c>
      <c r="C993" t="s">
        <v>8</v>
      </c>
      <c r="D993" t="s">
        <v>9</v>
      </c>
      <c r="E993" t="s">
        <v>15</v>
      </c>
      <c r="F993">
        <v>1337.44</v>
      </c>
      <c r="G993">
        <v>2022</v>
      </c>
    </row>
    <row r="994" spans="1:7" x14ac:dyDescent="0.3">
      <c r="A994" t="s">
        <v>136</v>
      </c>
      <c r="B994" t="s">
        <v>17</v>
      </c>
      <c r="C994" t="s">
        <v>23</v>
      </c>
      <c r="D994" t="s">
        <v>9</v>
      </c>
      <c r="E994" t="s">
        <v>24</v>
      </c>
      <c r="F994">
        <v>527.42999999999995</v>
      </c>
      <c r="G994">
        <v>2023</v>
      </c>
    </row>
    <row r="995" spans="1:7" x14ac:dyDescent="0.3">
      <c r="A995" t="s">
        <v>190</v>
      </c>
      <c r="B995" t="s">
        <v>17</v>
      </c>
      <c r="C995" t="s">
        <v>34</v>
      </c>
      <c r="D995" t="s">
        <v>14</v>
      </c>
      <c r="E995" t="s">
        <v>10</v>
      </c>
      <c r="F995">
        <v>1979.48</v>
      </c>
      <c r="G995">
        <v>2023</v>
      </c>
    </row>
    <row r="996" spans="1:7" x14ac:dyDescent="0.3">
      <c r="A996" t="s">
        <v>99</v>
      </c>
      <c r="B996" t="s">
        <v>19</v>
      </c>
      <c r="C996" t="s">
        <v>23</v>
      </c>
      <c r="D996" t="s">
        <v>9</v>
      </c>
      <c r="E996" t="s">
        <v>15</v>
      </c>
      <c r="F996">
        <v>2025.95</v>
      </c>
      <c r="G996">
        <v>2023</v>
      </c>
    </row>
    <row r="997" spans="1:7" x14ac:dyDescent="0.3">
      <c r="A997" t="s">
        <v>20</v>
      </c>
      <c r="B997" t="s">
        <v>17</v>
      </c>
      <c r="C997" t="s">
        <v>13</v>
      </c>
      <c r="D997" t="s">
        <v>28</v>
      </c>
      <c r="E997" t="s">
        <v>15</v>
      </c>
      <c r="F997">
        <v>4195.17</v>
      </c>
      <c r="G997">
        <v>2022</v>
      </c>
    </row>
    <row r="998" spans="1:7" x14ac:dyDescent="0.3">
      <c r="A998" t="s">
        <v>125</v>
      </c>
      <c r="B998" t="s">
        <v>7</v>
      </c>
      <c r="C998" t="s">
        <v>8</v>
      </c>
      <c r="D998" t="s">
        <v>28</v>
      </c>
      <c r="E998" t="s">
        <v>24</v>
      </c>
      <c r="F998">
        <v>2104.08</v>
      </c>
      <c r="G998">
        <v>2022</v>
      </c>
    </row>
    <row r="999" spans="1:7" x14ac:dyDescent="0.3">
      <c r="A999" t="s">
        <v>49</v>
      </c>
      <c r="B999" t="s">
        <v>19</v>
      </c>
      <c r="C999" t="s">
        <v>8</v>
      </c>
      <c r="D999" t="s">
        <v>28</v>
      </c>
      <c r="E999" t="s">
        <v>15</v>
      </c>
      <c r="F999">
        <v>4229.93</v>
      </c>
      <c r="G999">
        <v>2022</v>
      </c>
    </row>
    <row r="1000" spans="1:7" x14ac:dyDescent="0.3">
      <c r="A1000" t="s">
        <v>143</v>
      </c>
      <c r="B1000" t="s">
        <v>17</v>
      </c>
      <c r="C1000" t="s">
        <v>8</v>
      </c>
      <c r="D1000" t="s">
        <v>14</v>
      </c>
      <c r="E1000" t="s">
        <v>15</v>
      </c>
      <c r="F1000">
        <v>3136.15</v>
      </c>
      <c r="G1000">
        <v>2022</v>
      </c>
    </row>
    <row r="1001" spans="1:7" x14ac:dyDescent="0.3">
      <c r="A1001" t="s">
        <v>182</v>
      </c>
      <c r="B1001" t="s">
        <v>12</v>
      </c>
      <c r="C1001" t="s">
        <v>34</v>
      </c>
      <c r="D1001" t="s">
        <v>9</v>
      </c>
      <c r="E1001" t="s">
        <v>24</v>
      </c>
      <c r="F1001">
        <v>1959.33</v>
      </c>
      <c r="G1001">
        <v>2023</v>
      </c>
    </row>
    <row r="1002" spans="1:7" x14ac:dyDescent="0.3">
      <c r="A1002" t="s">
        <v>134</v>
      </c>
      <c r="B1002" t="s">
        <v>7</v>
      </c>
      <c r="C1002" t="s">
        <v>8</v>
      </c>
      <c r="D1002" t="s">
        <v>9</v>
      </c>
      <c r="E1002" t="s">
        <v>24</v>
      </c>
      <c r="F1002">
        <v>1221.95</v>
      </c>
      <c r="G1002">
        <v>2022</v>
      </c>
    </row>
    <row r="1003" spans="1:7" x14ac:dyDescent="0.3">
      <c r="A1003" t="s">
        <v>92</v>
      </c>
      <c r="B1003" t="s">
        <v>30</v>
      </c>
      <c r="C1003" t="s">
        <v>13</v>
      </c>
      <c r="D1003" t="s">
        <v>28</v>
      </c>
      <c r="E1003" t="s">
        <v>10</v>
      </c>
      <c r="F1003">
        <v>300.75</v>
      </c>
      <c r="G1003">
        <v>2022</v>
      </c>
    </row>
    <row r="1004" spans="1:7" x14ac:dyDescent="0.3">
      <c r="A1004" t="s">
        <v>107</v>
      </c>
      <c r="B1004" t="s">
        <v>30</v>
      </c>
      <c r="C1004" t="s">
        <v>23</v>
      </c>
      <c r="D1004" t="s">
        <v>28</v>
      </c>
      <c r="E1004" t="s">
        <v>24</v>
      </c>
      <c r="F1004">
        <v>4099.18</v>
      </c>
      <c r="G1004">
        <v>2023</v>
      </c>
    </row>
    <row r="1005" spans="1:7" x14ac:dyDescent="0.3">
      <c r="A1005" t="s">
        <v>50</v>
      </c>
      <c r="B1005" t="s">
        <v>19</v>
      </c>
      <c r="C1005" t="s">
        <v>13</v>
      </c>
      <c r="D1005" t="s">
        <v>14</v>
      </c>
      <c r="E1005" t="s">
        <v>10</v>
      </c>
      <c r="F1005">
        <v>104.53</v>
      </c>
      <c r="G1005">
        <v>2022</v>
      </c>
    </row>
    <row r="1006" spans="1:7" x14ac:dyDescent="0.3">
      <c r="A1006" t="s">
        <v>172</v>
      </c>
      <c r="B1006" t="s">
        <v>7</v>
      </c>
      <c r="C1006" t="s">
        <v>34</v>
      </c>
      <c r="D1006" t="s">
        <v>14</v>
      </c>
      <c r="E1006" t="s">
        <v>24</v>
      </c>
      <c r="F1006">
        <v>2781</v>
      </c>
      <c r="G1006">
        <v>2023</v>
      </c>
    </row>
    <row r="1007" spans="1:7" x14ac:dyDescent="0.3">
      <c r="A1007" t="s">
        <v>20</v>
      </c>
      <c r="B1007" t="s">
        <v>17</v>
      </c>
      <c r="C1007" t="s">
        <v>23</v>
      </c>
      <c r="D1007" t="s">
        <v>9</v>
      </c>
      <c r="E1007" t="s">
        <v>24</v>
      </c>
      <c r="F1007">
        <v>3597.3</v>
      </c>
      <c r="G1007">
        <v>2023</v>
      </c>
    </row>
    <row r="1008" spans="1:7" x14ac:dyDescent="0.3">
      <c r="A1008" t="s">
        <v>174</v>
      </c>
      <c r="B1008" t="s">
        <v>19</v>
      </c>
      <c r="C1008" t="s">
        <v>23</v>
      </c>
      <c r="D1008" t="s">
        <v>28</v>
      </c>
      <c r="E1008" t="s">
        <v>24</v>
      </c>
      <c r="F1008">
        <v>2055.7399999999998</v>
      </c>
      <c r="G1008">
        <v>2023</v>
      </c>
    </row>
    <row r="1009" spans="1:7" x14ac:dyDescent="0.3">
      <c r="A1009" t="s">
        <v>167</v>
      </c>
      <c r="B1009" t="s">
        <v>30</v>
      </c>
      <c r="C1009" t="s">
        <v>23</v>
      </c>
      <c r="D1009" t="s">
        <v>14</v>
      </c>
      <c r="E1009" t="s">
        <v>10</v>
      </c>
      <c r="F1009">
        <v>437.58</v>
      </c>
      <c r="G1009">
        <v>2023</v>
      </c>
    </row>
    <row r="1010" spans="1:7" x14ac:dyDescent="0.3">
      <c r="A1010" t="s">
        <v>185</v>
      </c>
      <c r="B1010" t="s">
        <v>30</v>
      </c>
      <c r="C1010" t="s">
        <v>13</v>
      </c>
      <c r="D1010" t="s">
        <v>28</v>
      </c>
      <c r="E1010" t="s">
        <v>10</v>
      </c>
      <c r="F1010">
        <v>3087.52</v>
      </c>
      <c r="G1010">
        <v>2022</v>
      </c>
    </row>
    <row r="1011" spans="1:7" x14ac:dyDescent="0.3">
      <c r="A1011" t="s">
        <v>190</v>
      </c>
      <c r="B1011" t="s">
        <v>17</v>
      </c>
      <c r="C1011" t="s">
        <v>13</v>
      </c>
      <c r="D1011" t="s">
        <v>9</v>
      </c>
      <c r="E1011" t="s">
        <v>10</v>
      </c>
      <c r="F1011">
        <v>2226.37</v>
      </c>
      <c r="G1011">
        <v>2022</v>
      </c>
    </row>
    <row r="1012" spans="1:7" x14ac:dyDescent="0.3">
      <c r="A1012" t="s">
        <v>211</v>
      </c>
      <c r="B1012" t="s">
        <v>7</v>
      </c>
      <c r="C1012" t="s">
        <v>8</v>
      </c>
      <c r="D1012" t="s">
        <v>28</v>
      </c>
      <c r="E1012" t="s">
        <v>10</v>
      </c>
      <c r="F1012">
        <v>769.29</v>
      </c>
      <c r="G1012">
        <v>2022</v>
      </c>
    </row>
    <row r="1013" spans="1:7" x14ac:dyDescent="0.3">
      <c r="A1013" t="s">
        <v>27</v>
      </c>
      <c r="B1013" t="s">
        <v>12</v>
      </c>
      <c r="C1013" t="s">
        <v>23</v>
      </c>
      <c r="D1013" t="s">
        <v>28</v>
      </c>
      <c r="E1013" t="s">
        <v>24</v>
      </c>
      <c r="F1013">
        <v>3008.89</v>
      </c>
      <c r="G1013">
        <v>2023</v>
      </c>
    </row>
    <row r="1014" spans="1:7" x14ac:dyDescent="0.3">
      <c r="A1014" t="s">
        <v>121</v>
      </c>
      <c r="B1014" t="s">
        <v>30</v>
      </c>
      <c r="C1014" t="s">
        <v>34</v>
      </c>
      <c r="D1014" t="s">
        <v>9</v>
      </c>
      <c r="E1014" t="s">
        <v>10</v>
      </c>
      <c r="F1014">
        <v>1802.3</v>
      </c>
      <c r="G1014">
        <v>2023</v>
      </c>
    </row>
    <row r="1015" spans="1:7" x14ac:dyDescent="0.3">
      <c r="A1015" t="s">
        <v>121</v>
      </c>
      <c r="B1015" t="s">
        <v>30</v>
      </c>
      <c r="C1015" t="s">
        <v>34</v>
      </c>
      <c r="D1015" t="s">
        <v>28</v>
      </c>
      <c r="E1015" t="s">
        <v>10</v>
      </c>
      <c r="F1015">
        <v>3707.94</v>
      </c>
      <c r="G1015">
        <v>2023</v>
      </c>
    </row>
    <row r="1016" spans="1:7" x14ac:dyDescent="0.3">
      <c r="A1016" t="s">
        <v>128</v>
      </c>
      <c r="B1016" t="s">
        <v>12</v>
      </c>
      <c r="C1016" t="s">
        <v>13</v>
      </c>
      <c r="D1016" t="s">
        <v>9</v>
      </c>
      <c r="E1016" t="s">
        <v>10</v>
      </c>
      <c r="F1016">
        <v>3134.24</v>
      </c>
      <c r="G1016">
        <v>2022</v>
      </c>
    </row>
    <row r="1017" spans="1:7" x14ac:dyDescent="0.3">
      <c r="A1017" t="s">
        <v>29</v>
      </c>
      <c r="B1017" t="s">
        <v>30</v>
      </c>
      <c r="C1017" t="s">
        <v>23</v>
      </c>
      <c r="D1017" t="s">
        <v>28</v>
      </c>
      <c r="E1017" t="s">
        <v>15</v>
      </c>
      <c r="F1017">
        <v>1671.05</v>
      </c>
      <c r="G1017">
        <v>2023</v>
      </c>
    </row>
    <row r="1018" spans="1:7" x14ac:dyDescent="0.3">
      <c r="A1018" t="s">
        <v>90</v>
      </c>
      <c r="B1018" t="s">
        <v>19</v>
      </c>
      <c r="C1018" t="s">
        <v>8</v>
      </c>
      <c r="D1018" t="s">
        <v>9</v>
      </c>
      <c r="E1018" t="s">
        <v>15</v>
      </c>
      <c r="F1018">
        <v>456.6</v>
      </c>
      <c r="G1018">
        <v>2022</v>
      </c>
    </row>
    <row r="1019" spans="1:7" x14ac:dyDescent="0.3">
      <c r="A1019" t="s">
        <v>140</v>
      </c>
      <c r="B1019" t="s">
        <v>17</v>
      </c>
      <c r="C1019" t="s">
        <v>8</v>
      </c>
      <c r="D1019" t="s">
        <v>14</v>
      </c>
      <c r="E1019" t="s">
        <v>10</v>
      </c>
      <c r="F1019">
        <v>4237.93</v>
      </c>
      <c r="G1019">
        <v>2022</v>
      </c>
    </row>
    <row r="1020" spans="1:7" x14ac:dyDescent="0.3">
      <c r="A1020" t="s">
        <v>203</v>
      </c>
      <c r="B1020" t="s">
        <v>12</v>
      </c>
      <c r="C1020" t="s">
        <v>23</v>
      </c>
      <c r="D1020" t="s">
        <v>9</v>
      </c>
      <c r="E1020" t="s">
        <v>24</v>
      </c>
      <c r="F1020">
        <v>4750.1899999999996</v>
      </c>
      <c r="G1020">
        <v>2023</v>
      </c>
    </row>
    <row r="1021" spans="1:7" x14ac:dyDescent="0.3">
      <c r="A1021" t="s">
        <v>215</v>
      </c>
      <c r="B1021" t="s">
        <v>17</v>
      </c>
      <c r="C1021" t="s">
        <v>23</v>
      </c>
      <c r="D1021" t="s">
        <v>28</v>
      </c>
      <c r="E1021" t="s">
        <v>10</v>
      </c>
      <c r="F1021">
        <v>3912.43</v>
      </c>
      <c r="G1021">
        <v>2023</v>
      </c>
    </row>
    <row r="1022" spans="1:7" x14ac:dyDescent="0.3">
      <c r="A1022" t="s">
        <v>50</v>
      </c>
      <c r="B1022" t="s">
        <v>19</v>
      </c>
      <c r="C1022" t="s">
        <v>23</v>
      </c>
      <c r="D1022" t="s">
        <v>14</v>
      </c>
      <c r="E1022" t="s">
        <v>15</v>
      </c>
      <c r="F1022">
        <v>349.13</v>
      </c>
      <c r="G1022">
        <v>2023</v>
      </c>
    </row>
    <row r="1023" spans="1:7" x14ac:dyDescent="0.3">
      <c r="A1023" t="s">
        <v>35</v>
      </c>
      <c r="B1023" t="s">
        <v>19</v>
      </c>
      <c r="C1023" t="s">
        <v>13</v>
      </c>
      <c r="D1023" t="s">
        <v>28</v>
      </c>
      <c r="E1023" t="s">
        <v>24</v>
      </c>
      <c r="F1023">
        <v>3133.74</v>
      </c>
      <c r="G1023">
        <v>2022</v>
      </c>
    </row>
    <row r="1024" spans="1:7" x14ac:dyDescent="0.3">
      <c r="A1024" t="s">
        <v>50</v>
      </c>
      <c r="B1024" t="s">
        <v>19</v>
      </c>
      <c r="C1024" t="s">
        <v>34</v>
      </c>
      <c r="D1024" t="s">
        <v>28</v>
      </c>
      <c r="E1024" t="s">
        <v>10</v>
      </c>
      <c r="F1024">
        <v>228.22</v>
      </c>
      <c r="G1024">
        <v>2023</v>
      </c>
    </row>
    <row r="1025" spans="1:7" x14ac:dyDescent="0.3">
      <c r="A1025" t="s">
        <v>123</v>
      </c>
      <c r="B1025" t="s">
        <v>30</v>
      </c>
      <c r="C1025" t="s">
        <v>8</v>
      </c>
      <c r="D1025" t="s">
        <v>28</v>
      </c>
      <c r="E1025" t="s">
        <v>15</v>
      </c>
      <c r="F1025">
        <v>1437.79</v>
      </c>
      <c r="G1025">
        <v>2022</v>
      </c>
    </row>
    <row r="1026" spans="1:7" x14ac:dyDescent="0.3">
      <c r="A1026" t="s">
        <v>83</v>
      </c>
      <c r="B1026" t="s">
        <v>17</v>
      </c>
      <c r="C1026" t="s">
        <v>34</v>
      </c>
      <c r="D1026" t="s">
        <v>28</v>
      </c>
      <c r="E1026" t="s">
        <v>24</v>
      </c>
      <c r="F1026">
        <v>3734.66</v>
      </c>
      <c r="G1026">
        <v>2023</v>
      </c>
    </row>
    <row r="1027" spans="1:7" x14ac:dyDescent="0.3">
      <c r="A1027" t="s">
        <v>40</v>
      </c>
      <c r="B1027" t="s">
        <v>19</v>
      </c>
      <c r="C1027" t="s">
        <v>13</v>
      </c>
      <c r="D1027" t="s">
        <v>28</v>
      </c>
      <c r="E1027" t="s">
        <v>15</v>
      </c>
      <c r="F1027">
        <v>923.68</v>
      </c>
      <c r="G1027">
        <v>2022</v>
      </c>
    </row>
    <row r="1028" spans="1:7" x14ac:dyDescent="0.3">
      <c r="A1028" t="s">
        <v>163</v>
      </c>
      <c r="B1028" t="s">
        <v>19</v>
      </c>
      <c r="C1028" t="s">
        <v>34</v>
      </c>
      <c r="D1028" t="s">
        <v>28</v>
      </c>
      <c r="E1028" t="s">
        <v>24</v>
      </c>
      <c r="F1028">
        <v>1962.58</v>
      </c>
      <c r="G1028">
        <v>2023</v>
      </c>
    </row>
    <row r="1029" spans="1:7" x14ac:dyDescent="0.3">
      <c r="A1029" t="s">
        <v>180</v>
      </c>
      <c r="B1029" t="s">
        <v>30</v>
      </c>
      <c r="C1029" t="s">
        <v>8</v>
      </c>
      <c r="D1029" t="s">
        <v>14</v>
      </c>
      <c r="E1029" t="s">
        <v>15</v>
      </c>
      <c r="F1029">
        <v>690.6</v>
      </c>
      <c r="G1029">
        <v>2022</v>
      </c>
    </row>
    <row r="1030" spans="1:7" x14ac:dyDescent="0.3">
      <c r="A1030" t="s">
        <v>175</v>
      </c>
      <c r="B1030" t="s">
        <v>7</v>
      </c>
      <c r="C1030" t="s">
        <v>34</v>
      </c>
      <c r="D1030" t="s">
        <v>9</v>
      </c>
      <c r="E1030" t="s">
        <v>10</v>
      </c>
      <c r="F1030">
        <v>1785.82</v>
      </c>
      <c r="G1030">
        <v>2023</v>
      </c>
    </row>
    <row r="1031" spans="1:7" x14ac:dyDescent="0.3">
      <c r="A1031" t="s">
        <v>38</v>
      </c>
      <c r="B1031" t="s">
        <v>30</v>
      </c>
      <c r="C1031" t="s">
        <v>23</v>
      </c>
      <c r="D1031" t="s">
        <v>28</v>
      </c>
      <c r="E1031" t="s">
        <v>24</v>
      </c>
      <c r="F1031">
        <v>4949.3</v>
      </c>
      <c r="G1031">
        <v>2023</v>
      </c>
    </row>
    <row r="1032" spans="1:7" x14ac:dyDescent="0.3">
      <c r="A1032" t="s">
        <v>92</v>
      </c>
      <c r="B1032" t="s">
        <v>30</v>
      </c>
      <c r="C1032" t="s">
        <v>23</v>
      </c>
      <c r="D1032" t="s">
        <v>9</v>
      </c>
      <c r="E1032" t="s">
        <v>10</v>
      </c>
      <c r="F1032">
        <v>3153.34</v>
      </c>
      <c r="G1032">
        <v>2023</v>
      </c>
    </row>
    <row r="1033" spans="1:7" x14ac:dyDescent="0.3">
      <c r="A1033" t="s">
        <v>129</v>
      </c>
      <c r="B1033" t="s">
        <v>17</v>
      </c>
      <c r="C1033" t="s">
        <v>34</v>
      </c>
      <c r="D1033" t="s">
        <v>14</v>
      </c>
      <c r="E1033" t="s">
        <v>15</v>
      </c>
      <c r="F1033">
        <v>919.35</v>
      </c>
      <c r="G1033">
        <v>2023</v>
      </c>
    </row>
    <row r="1034" spans="1:7" x14ac:dyDescent="0.3">
      <c r="A1034" t="s">
        <v>123</v>
      </c>
      <c r="B1034" t="s">
        <v>30</v>
      </c>
      <c r="C1034" t="s">
        <v>34</v>
      </c>
      <c r="D1034" t="s">
        <v>14</v>
      </c>
      <c r="E1034" t="s">
        <v>15</v>
      </c>
      <c r="F1034">
        <v>2465.21</v>
      </c>
      <c r="G1034">
        <v>2023</v>
      </c>
    </row>
    <row r="1035" spans="1:7" x14ac:dyDescent="0.3">
      <c r="A1035" t="s">
        <v>147</v>
      </c>
      <c r="B1035" t="s">
        <v>17</v>
      </c>
      <c r="C1035" t="s">
        <v>23</v>
      </c>
      <c r="D1035" t="s">
        <v>14</v>
      </c>
      <c r="E1035" t="s">
        <v>10</v>
      </c>
      <c r="F1035">
        <v>2956.74</v>
      </c>
      <c r="G1035">
        <v>2023</v>
      </c>
    </row>
    <row r="1036" spans="1:7" x14ac:dyDescent="0.3">
      <c r="A1036" t="s">
        <v>125</v>
      </c>
      <c r="B1036" t="s">
        <v>7</v>
      </c>
      <c r="C1036" t="s">
        <v>34</v>
      </c>
      <c r="D1036" t="s">
        <v>9</v>
      </c>
      <c r="E1036" t="s">
        <v>10</v>
      </c>
      <c r="F1036">
        <v>1174.6300000000001</v>
      </c>
      <c r="G1036">
        <v>2023</v>
      </c>
    </row>
    <row r="1037" spans="1:7" x14ac:dyDescent="0.3">
      <c r="A1037" t="s">
        <v>130</v>
      </c>
      <c r="B1037" t="s">
        <v>12</v>
      </c>
      <c r="C1037" t="s">
        <v>34</v>
      </c>
      <c r="D1037" t="s">
        <v>14</v>
      </c>
      <c r="E1037" t="s">
        <v>24</v>
      </c>
      <c r="F1037">
        <v>1574.82</v>
      </c>
      <c r="G1037">
        <v>2023</v>
      </c>
    </row>
    <row r="1038" spans="1:7" x14ac:dyDescent="0.3">
      <c r="A1038" t="s">
        <v>102</v>
      </c>
      <c r="B1038" t="s">
        <v>19</v>
      </c>
      <c r="C1038" t="s">
        <v>8</v>
      </c>
      <c r="D1038" t="s">
        <v>9</v>
      </c>
      <c r="E1038" t="s">
        <v>10</v>
      </c>
      <c r="F1038">
        <v>922.32</v>
      </c>
      <c r="G1038">
        <v>2022</v>
      </c>
    </row>
    <row r="1039" spans="1:7" x14ac:dyDescent="0.3">
      <c r="A1039" t="s">
        <v>73</v>
      </c>
      <c r="B1039" t="s">
        <v>30</v>
      </c>
      <c r="C1039" t="s">
        <v>23</v>
      </c>
      <c r="D1039" t="s">
        <v>9</v>
      </c>
      <c r="E1039" t="s">
        <v>10</v>
      </c>
      <c r="F1039">
        <v>842.92</v>
      </c>
      <c r="G1039">
        <v>2023</v>
      </c>
    </row>
    <row r="1040" spans="1:7" x14ac:dyDescent="0.3">
      <c r="A1040" t="s">
        <v>110</v>
      </c>
      <c r="B1040" t="s">
        <v>12</v>
      </c>
      <c r="C1040" t="s">
        <v>8</v>
      </c>
      <c r="D1040" t="s">
        <v>14</v>
      </c>
      <c r="E1040" t="s">
        <v>10</v>
      </c>
      <c r="F1040">
        <v>3132.1</v>
      </c>
      <c r="G1040">
        <v>2022</v>
      </c>
    </row>
    <row r="1041" spans="1:7" x14ac:dyDescent="0.3">
      <c r="A1041" t="s">
        <v>109</v>
      </c>
      <c r="B1041" t="s">
        <v>12</v>
      </c>
      <c r="C1041" t="s">
        <v>13</v>
      </c>
      <c r="D1041" t="s">
        <v>9</v>
      </c>
      <c r="E1041" t="s">
        <v>10</v>
      </c>
      <c r="F1041">
        <v>3613.5</v>
      </c>
      <c r="G1041">
        <v>2022</v>
      </c>
    </row>
    <row r="1042" spans="1:7" x14ac:dyDescent="0.3">
      <c r="A1042" t="s">
        <v>45</v>
      </c>
      <c r="B1042" t="s">
        <v>7</v>
      </c>
      <c r="C1042" t="s">
        <v>34</v>
      </c>
      <c r="D1042" t="s">
        <v>9</v>
      </c>
      <c r="E1042" t="s">
        <v>24</v>
      </c>
      <c r="F1042">
        <v>1968.52</v>
      </c>
      <c r="G1042">
        <v>2023</v>
      </c>
    </row>
    <row r="1043" spans="1:7" x14ac:dyDescent="0.3">
      <c r="A1043" t="s">
        <v>179</v>
      </c>
      <c r="B1043" t="s">
        <v>7</v>
      </c>
      <c r="C1043" t="s">
        <v>23</v>
      </c>
      <c r="D1043" t="s">
        <v>14</v>
      </c>
      <c r="E1043" t="s">
        <v>10</v>
      </c>
      <c r="F1043">
        <v>70.83</v>
      </c>
      <c r="G1043">
        <v>2023</v>
      </c>
    </row>
    <row r="1044" spans="1:7" x14ac:dyDescent="0.3">
      <c r="A1044" t="s">
        <v>179</v>
      </c>
      <c r="B1044" t="s">
        <v>7</v>
      </c>
      <c r="C1044" t="s">
        <v>13</v>
      </c>
      <c r="D1044" t="s">
        <v>14</v>
      </c>
      <c r="E1044" t="s">
        <v>15</v>
      </c>
      <c r="F1044">
        <v>1698.04</v>
      </c>
      <c r="G1044">
        <v>2022</v>
      </c>
    </row>
    <row r="1045" spans="1:7" x14ac:dyDescent="0.3">
      <c r="A1045" t="s">
        <v>173</v>
      </c>
      <c r="B1045" t="s">
        <v>30</v>
      </c>
      <c r="C1045" t="s">
        <v>23</v>
      </c>
      <c r="D1045" t="s">
        <v>28</v>
      </c>
      <c r="E1045" t="s">
        <v>10</v>
      </c>
      <c r="F1045">
        <v>4151.2</v>
      </c>
      <c r="G1045">
        <v>2023</v>
      </c>
    </row>
    <row r="1046" spans="1:7" x14ac:dyDescent="0.3">
      <c r="A1046" t="s">
        <v>122</v>
      </c>
      <c r="B1046" t="s">
        <v>19</v>
      </c>
      <c r="C1046" t="s">
        <v>34</v>
      </c>
      <c r="D1046" t="s">
        <v>28</v>
      </c>
      <c r="E1046" t="s">
        <v>15</v>
      </c>
      <c r="F1046">
        <v>4411.01</v>
      </c>
      <c r="G1046">
        <v>2023</v>
      </c>
    </row>
    <row r="1047" spans="1:7" x14ac:dyDescent="0.3">
      <c r="A1047" t="s">
        <v>155</v>
      </c>
      <c r="B1047" t="s">
        <v>7</v>
      </c>
      <c r="C1047" t="s">
        <v>13</v>
      </c>
      <c r="D1047" t="s">
        <v>28</v>
      </c>
      <c r="E1047" t="s">
        <v>15</v>
      </c>
      <c r="F1047">
        <v>284.04000000000002</v>
      </c>
      <c r="G1047">
        <v>2022</v>
      </c>
    </row>
    <row r="1048" spans="1:7" x14ac:dyDescent="0.3">
      <c r="A1048" t="s">
        <v>200</v>
      </c>
      <c r="B1048" t="s">
        <v>30</v>
      </c>
      <c r="C1048" t="s">
        <v>8</v>
      </c>
      <c r="D1048" t="s">
        <v>9</v>
      </c>
      <c r="E1048" t="s">
        <v>24</v>
      </c>
      <c r="F1048">
        <v>3725.85</v>
      </c>
      <c r="G1048">
        <v>2022</v>
      </c>
    </row>
    <row r="1049" spans="1:7" x14ac:dyDescent="0.3">
      <c r="A1049" t="s">
        <v>191</v>
      </c>
      <c r="B1049" t="s">
        <v>12</v>
      </c>
      <c r="C1049" t="s">
        <v>13</v>
      </c>
      <c r="D1049" t="s">
        <v>28</v>
      </c>
      <c r="E1049" t="s">
        <v>24</v>
      </c>
      <c r="F1049">
        <v>324.83999999999997</v>
      </c>
      <c r="G1049">
        <v>2022</v>
      </c>
    </row>
    <row r="1050" spans="1:7" x14ac:dyDescent="0.3">
      <c r="A1050" t="s">
        <v>51</v>
      </c>
      <c r="B1050" t="s">
        <v>30</v>
      </c>
      <c r="C1050" t="s">
        <v>13</v>
      </c>
      <c r="D1050" t="s">
        <v>28</v>
      </c>
      <c r="E1050" t="s">
        <v>24</v>
      </c>
      <c r="F1050">
        <v>574.69000000000005</v>
      </c>
      <c r="G1050">
        <v>2022</v>
      </c>
    </row>
    <row r="1051" spans="1:7" x14ac:dyDescent="0.3">
      <c r="A1051" t="s">
        <v>198</v>
      </c>
      <c r="B1051" t="s">
        <v>12</v>
      </c>
      <c r="C1051" t="s">
        <v>34</v>
      </c>
      <c r="D1051" t="s">
        <v>9</v>
      </c>
      <c r="E1051" t="s">
        <v>24</v>
      </c>
      <c r="F1051">
        <v>3034.33</v>
      </c>
      <c r="G1051">
        <v>2023</v>
      </c>
    </row>
    <row r="1052" spans="1:7" x14ac:dyDescent="0.3">
      <c r="A1052" t="s">
        <v>116</v>
      </c>
      <c r="B1052" t="s">
        <v>17</v>
      </c>
      <c r="C1052" t="s">
        <v>34</v>
      </c>
      <c r="D1052" t="s">
        <v>28</v>
      </c>
      <c r="E1052" t="s">
        <v>24</v>
      </c>
      <c r="F1052">
        <v>169.73</v>
      </c>
      <c r="G1052">
        <v>2023</v>
      </c>
    </row>
    <row r="1053" spans="1:7" x14ac:dyDescent="0.3">
      <c r="A1053" t="s">
        <v>142</v>
      </c>
      <c r="B1053" t="s">
        <v>17</v>
      </c>
      <c r="C1053" t="s">
        <v>13</v>
      </c>
      <c r="D1053" t="s">
        <v>14</v>
      </c>
      <c r="E1053" t="s">
        <v>24</v>
      </c>
      <c r="F1053">
        <v>1309.6199999999999</v>
      </c>
      <c r="G1053">
        <v>2022</v>
      </c>
    </row>
    <row r="1054" spans="1:7" x14ac:dyDescent="0.3">
      <c r="A1054" t="s">
        <v>149</v>
      </c>
      <c r="B1054" t="s">
        <v>17</v>
      </c>
      <c r="C1054" t="s">
        <v>8</v>
      </c>
      <c r="D1054" t="s">
        <v>28</v>
      </c>
      <c r="E1054" t="s">
        <v>24</v>
      </c>
      <c r="F1054">
        <v>2624.96</v>
      </c>
      <c r="G1054">
        <v>2022</v>
      </c>
    </row>
    <row r="1055" spans="1:7" x14ac:dyDescent="0.3">
      <c r="A1055" t="s">
        <v>113</v>
      </c>
      <c r="B1055" t="s">
        <v>30</v>
      </c>
      <c r="C1055" t="s">
        <v>8</v>
      </c>
      <c r="D1055" t="s">
        <v>14</v>
      </c>
      <c r="E1055" t="s">
        <v>15</v>
      </c>
      <c r="F1055">
        <v>1753.99</v>
      </c>
      <c r="G1055">
        <v>2022</v>
      </c>
    </row>
    <row r="1056" spans="1:7" x14ac:dyDescent="0.3">
      <c r="A1056" t="s">
        <v>94</v>
      </c>
      <c r="B1056" t="s">
        <v>7</v>
      </c>
      <c r="C1056" t="s">
        <v>13</v>
      </c>
      <c r="D1056" t="s">
        <v>9</v>
      </c>
      <c r="E1056" t="s">
        <v>10</v>
      </c>
      <c r="F1056">
        <v>4506.3500000000004</v>
      </c>
      <c r="G1056">
        <v>2022</v>
      </c>
    </row>
    <row r="1057" spans="1:7" x14ac:dyDescent="0.3">
      <c r="A1057" t="s">
        <v>154</v>
      </c>
      <c r="B1057" t="s">
        <v>12</v>
      </c>
      <c r="C1057" t="s">
        <v>13</v>
      </c>
      <c r="D1057" t="s">
        <v>9</v>
      </c>
      <c r="E1057" t="s">
        <v>24</v>
      </c>
      <c r="F1057">
        <v>1399.94</v>
      </c>
      <c r="G1057">
        <v>2022</v>
      </c>
    </row>
    <row r="1058" spans="1:7" x14ac:dyDescent="0.3">
      <c r="A1058" t="s">
        <v>103</v>
      </c>
      <c r="B1058" t="s">
        <v>19</v>
      </c>
      <c r="C1058" t="s">
        <v>23</v>
      </c>
      <c r="D1058" t="s">
        <v>9</v>
      </c>
      <c r="E1058" t="s">
        <v>15</v>
      </c>
      <c r="F1058">
        <v>3722.06</v>
      </c>
      <c r="G1058">
        <v>2023</v>
      </c>
    </row>
    <row r="1059" spans="1:7" x14ac:dyDescent="0.3">
      <c r="A1059" t="s">
        <v>66</v>
      </c>
      <c r="B1059" t="s">
        <v>30</v>
      </c>
      <c r="C1059" t="s">
        <v>23</v>
      </c>
      <c r="D1059" t="s">
        <v>9</v>
      </c>
      <c r="E1059" t="s">
        <v>24</v>
      </c>
      <c r="F1059">
        <v>4854.66</v>
      </c>
      <c r="G1059">
        <v>2023</v>
      </c>
    </row>
    <row r="1060" spans="1:7" x14ac:dyDescent="0.3">
      <c r="A1060" t="s">
        <v>168</v>
      </c>
      <c r="B1060" t="s">
        <v>17</v>
      </c>
      <c r="C1060" t="s">
        <v>13</v>
      </c>
      <c r="D1060" t="s">
        <v>9</v>
      </c>
      <c r="E1060" t="s">
        <v>24</v>
      </c>
      <c r="F1060">
        <v>3995.71</v>
      </c>
      <c r="G1060">
        <v>2022</v>
      </c>
    </row>
    <row r="1061" spans="1:7" x14ac:dyDescent="0.3">
      <c r="A1061" t="s">
        <v>183</v>
      </c>
      <c r="B1061" t="s">
        <v>7</v>
      </c>
      <c r="C1061" t="s">
        <v>23</v>
      </c>
      <c r="D1061" t="s">
        <v>9</v>
      </c>
      <c r="E1061" t="s">
        <v>10</v>
      </c>
      <c r="F1061">
        <v>1233.93</v>
      </c>
      <c r="G1061">
        <v>2023</v>
      </c>
    </row>
    <row r="1062" spans="1:7" x14ac:dyDescent="0.3">
      <c r="A1062" t="s">
        <v>159</v>
      </c>
      <c r="B1062" t="s">
        <v>7</v>
      </c>
      <c r="C1062" t="s">
        <v>23</v>
      </c>
      <c r="D1062" t="s">
        <v>14</v>
      </c>
      <c r="E1062" t="s">
        <v>15</v>
      </c>
      <c r="F1062">
        <v>2802.78</v>
      </c>
      <c r="G1062">
        <v>2023</v>
      </c>
    </row>
    <row r="1063" spans="1:7" x14ac:dyDescent="0.3">
      <c r="A1063" t="s">
        <v>211</v>
      </c>
      <c r="B1063" t="s">
        <v>7</v>
      </c>
      <c r="C1063" t="s">
        <v>8</v>
      </c>
      <c r="D1063" t="s">
        <v>14</v>
      </c>
      <c r="E1063" t="s">
        <v>15</v>
      </c>
      <c r="F1063">
        <v>2330.0300000000002</v>
      </c>
      <c r="G1063">
        <v>2022</v>
      </c>
    </row>
    <row r="1064" spans="1:7" x14ac:dyDescent="0.3">
      <c r="A1064" t="s">
        <v>214</v>
      </c>
      <c r="B1064" t="s">
        <v>30</v>
      </c>
      <c r="C1064" t="s">
        <v>8</v>
      </c>
      <c r="D1064" t="s">
        <v>28</v>
      </c>
      <c r="E1064" t="s">
        <v>24</v>
      </c>
      <c r="F1064">
        <v>4895.2700000000004</v>
      </c>
      <c r="G1064">
        <v>2022</v>
      </c>
    </row>
    <row r="1065" spans="1:7" x14ac:dyDescent="0.3">
      <c r="A1065" t="s">
        <v>52</v>
      </c>
      <c r="B1065" t="s">
        <v>19</v>
      </c>
      <c r="C1065" t="s">
        <v>13</v>
      </c>
      <c r="D1065" t="s">
        <v>14</v>
      </c>
      <c r="E1065" t="s">
        <v>24</v>
      </c>
      <c r="F1065">
        <v>804.58</v>
      </c>
      <c r="G1065">
        <v>2022</v>
      </c>
    </row>
    <row r="1066" spans="1:7" x14ac:dyDescent="0.3">
      <c r="A1066" t="s">
        <v>61</v>
      </c>
      <c r="B1066" t="s">
        <v>30</v>
      </c>
      <c r="C1066" t="s">
        <v>13</v>
      </c>
      <c r="D1066" t="s">
        <v>9</v>
      </c>
      <c r="E1066" t="s">
        <v>10</v>
      </c>
      <c r="F1066">
        <v>5233.95</v>
      </c>
      <c r="G1066">
        <v>2022</v>
      </c>
    </row>
    <row r="1067" spans="1:7" x14ac:dyDescent="0.3">
      <c r="A1067" t="s">
        <v>182</v>
      </c>
      <c r="B1067" t="s">
        <v>12</v>
      </c>
      <c r="C1067" t="s">
        <v>23</v>
      </c>
      <c r="D1067" t="s">
        <v>14</v>
      </c>
      <c r="E1067" t="s">
        <v>10</v>
      </c>
      <c r="F1067">
        <v>2997.09</v>
      </c>
      <c r="G1067">
        <v>2023</v>
      </c>
    </row>
    <row r="1068" spans="1:7" x14ac:dyDescent="0.3">
      <c r="A1068" t="s">
        <v>161</v>
      </c>
      <c r="B1068" t="s">
        <v>7</v>
      </c>
      <c r="C1068" t="s">
        <v>8</v>
      </c>
      <c r="D1068" t="s">
        <v>9</v>
      </c>
      <c r="E1068" t="s">
        <v>10</v>
      </c>
      <c r="F1068">
        <v>964.92</v>
      </c>
      <c r="G1068">
        <v>2022</v>
      </c>
    </row>
    <row r="1069" spans="1:7" x14ac:dyDescent="0.3">
      <c r="A1069" t="s">
        <v>180</v>
      </c>
      <c r="B1069" t="s">
        <v>30</v>
      </c>
      <c r="C1069" t="s">
        <v>8</v>
      </c>
      <c r="D1069" t="s">
        <v>9</v>
      </c>
      <c r="E1069" t="s">
        <v>24</v>
      </c>
      <c r="F1069">
        <v>3145.31</v>
      </c>
      <c r="G1069">
        <v>2022</v>
      </c>
    </row>
    <row r="1070" spans="1:7" x14ac:dyDescent="0.3">
      <c r="A1070" t="s">
        <v>38</v>
      </c>
      <c r="B1070" t="s">
        <v>30</v>
      </c>
      <c r="C1070" t="s">
        <v>13</v>
      </c>
      <c r="D1070" t="s">
        <v>28</v>
      </c>
      <c r="E1070" t="s">
        <v>15</v>
      </c>
      <c r="F1070">
        <v>2135.2800000000002</v>
      </c>
      <c r="G1070">
        <v>2022</v>
      </c>
    </row>
    <row r="1071" spans="1:7" x14ac:dyDescent="0.3">
      <c r="A1071" t="s">
        <v>128</v>
      </c>
      <c r="B1071" t="s">
        <v>12</v>
      </c>
      <c r="C1071" t="s">
        <v>34</v>
      </c>
      <c r="D1071" t="s">
        <v>9</v>
      </c>
      <c r="E1071" t="s">
        <v>24</v>
      </c>
      <c r="F1071">
        <v>4359.51</v>
      </c>
      <c r="G1071">
        <v>2023</v>
      </c>
    </row>
    <row r="1072" spans="1:7" x14ac:dyDescent="0.3">
      <c r="A1072" t="s">
        <v>99</v>
      </c>
      <c r="B1072" t="s">
        <v>19</v>
      </c>
      <c r="C1072" t="s">
        <v>23</v>
      </c>
      <c r="D1072" t="s">
        <v>14</v>
      </c>
      <c r="E1072" t="s">
        <v>15</v>
      </c>
      <c r="F1072">
        <v>4094.25</v>
      </c>
      <c r="G1072">
        <v>2023</v>
      </c>
    </row>
    <row r="1073" spans="1:7" x14ac:dyDescent="0.3">
      <c r="A1073" t="s">
        <v>183</v>
      </c>
      <c r="B1073" t="s">
        <v>7</v>
      </c>
      <c r="C1073" t="s">
        <v>34</v>
      </c>
      <c r="D1073" t="s">
        <v>9</v>
      </c>
      <c r="E1073" t="s">
        <v>15</v>
      </c>
      <c r="F1073">
        <v>1200.6199999999999</v>
      </c>
      <c r="G1073">
        <v>2023</v>
      </c>
    </row>
    <row r="1074" spans="1:7" x14ac:dyDescent="0.3">
      <c r="A1074" t="s">
        <v>205</v>
      </c>
      <c r="B1074" t="s">
        <v>17</v>
      </c>
      <c r="C1074" t="s">
        <v>23</v>
      </c>
      <c r="D1074" t="s">
        <v>9</v>
      </c>
      <c r="E1074" t="s">
        <v>24</v>
      </c>
      <c r="F1074">
        <v>2599.94</v>
      </c>
      <c r="G1074">
        <v>2023</v>
      </c>
    </row>
    <row r="1075" spans="1:7" x14ac:dyDescent="0.3">
      <c r="A1075" t="s">
        <v>199</v>
      </c>
      <c r="B1075" t="s">
        <v>17</v>
      </c>
      <c r="C1075" t="s">
        <v>34</v>
      </c>
      <c r="D1075" t="s">
        <v>14</v>
      </c>
      <c r="E1075" t="s">
        <v>10</v>
      </c>
      <c r="F1075">
        <v>3672.52</v>
      </c>
      <c r="G1075">
        <v>2023</v>
      </c>
    </row>
    <row r="1076" spans="1:7" x14ac:dyDescent="0.3">
      <c r="A1076" t="s">
        <v>196</v>
      </c>
      <c r="B1076" t="s">
        <v>30</v>
      </c>
      <c r="C1076" t="s">
        <v>23</v>
      </c>
      <c r="D1076" t="s">
        <v>28</v>
      </c>
      <c r="E1076" t="s">
        <v>24</v>
      </c>
      <c r="F1076">
        <v>787.76</v>
      </c>
      <c r="G1076">
        <v>2023</v>
      </c>
    </row>
    <row r="1077" spans="1:7" x14ac:dyDescent="0.3">
      <c r="A1077" t="s">
        <v>154</v>
      </c>
      <c r="B1077" t="s">
        <v>12</v>
      </c>
      <c r="C1077" t="s">
        <v>8</v>
      </c>
      <c r="D1077" t="s">
        <v>14</v>
      </c>
      <c r="E1077" t="s">
        <v>10</v>
      </c>
      <c r="F1077">
        <v>4418.3</v>
      </c>
      <c r="G1077">
        <v>2022</v>
      </c>
    </row>
    <row r="1078" spans="1:7" x14ac:dyDescent="0.3">
      <c r="A1078" t="s">
        <v>145</v>
      </c>
      <c r="B1078" t="s">
        <v>7</v>
      </c>
      <c r="C1078" t="s">
        <v>23</v>
      </c>
      <c r="D1078" t="s">
        <v>28</v>
      </c>
      <c r="E1078" t="s">
        <v>24</v>
      </c>
      <c r="F1078">
        <v>1918.45</v>
      </c>
      <c r="G1078">
        <v>2023</v>
      </c>
    </row>
    <row r="1079" spans="1:7" x14ac:dyDescent="0.3">
      <c r="A1079" t="s">
        <v>208</v>
      </c>
      <c r="B1079" t="s">
        <v>19</v>
      </c>
      <c r="C1079" t="s">
        <v>23</v>
      </c>
      <c r="D1079" t="s">
        <v>28</v>
      </c>
      <c r="E1079" t="s">
        <v>10</v>
      </c>
      <c r="F1079">
        <v>4411.78</v>
      </c>
      <c r="G1079">
        <v>2023</v>
      </c>
    </row>
    <row r="1080" spans="1:7" x14ac:dyDescent="0.3">
      <c r="A1080" t="s">
        <v>177</v>
      </c>
      <c r="B1080" t="s">
        <v>7</v>
      </c>
      <c r="C1080" t="s">
        <v>23</v>
      </c>
      <c r="D1080" t="s">
        <v>9</v>
      </c>
      <c r="E1080" t="s">
        <v>10</v>
      </c>
      <c r="F1080">
        <v>755.84</v>
      </c>
      <c r="G1080">
        <v>2023</v>
      </c>
    </row>
    <row r="1081" spans="1:7" x14ac:dyDescent="0.3">
      <c r="A1081" t="s">
        <v>166</v>
      </c>
      <c r="B1081" t="s">
        <v>7</v>
      </c>
      <c r="C1081" t="s">
        <v>13</v>
      </c>
      <c r="D1081" t="s">
        <v>9</v>
      </c>
      <c r="E1081" t="s">
        <v>10</v>
      </c>
      <c r="F1081">
        <v>868.51</v>
      </c>
      <c r="G1081">
        <v>2022</v>
      </c>
    </row>
    <row r="1082" spans="1:7" x14ac:dyDescent="0.3">
      <c r="A1082" t="s">
        <v>26</v>
      </c>
      <c r="B1082" t="s">
        <v>17</v>
      </c>
      <c r="C1082" t="s">
        <v>34</v>
      </c>
      <c r="D1082" t="s">
        <v>14</v>
      </c>
      <c r="E1082" t="s">
        <v>10</v>
      </c>
      <c r="F1082">
        <v>3296.99</v>
      </c>
      <c r="G1082">
        <v>2023</v>
      </c>
    </row>
    <row r="1083" spans="1:7" x14ac:dyDescent="0.3">
      <c r="A1083" t="s">
        <v>101</v>
      </c>
      <c r="B1083" t="s">
        <v>19</v>
      </c>
      <c r="C1083" t="s">
        <v>34</v>
      </c>
      <c r="D1083" t="s">
        <v>28</v>
      </c>
      <c r="E1083" t="s">
        <v>24</v>
      </c>
      <c r="F1083">
        <v>4240.42</v>
      </c>
      <c r="G1083">
        <v>2023</v>
      </c>
    </row>
    <row r="1084" spans="1:7" x14ac:dyDescent="0.3">
      <c r="A1084" t="s">
        <v>194</v>
      </c>
      <c r="B1084" t="s">
        <v>17</v>
      </c>
      <c r="C1084" t="s">
        <v>13</v>
      </c>
      <c r="D1084" t="s">
        <v>9</v>
      </c>
      <c r="E1084" t="s">
        <v>10</v>
      </c>
      <c r="F1084">
        <v>1409.82</v>
      </c>
      <c r="G1084">
        <v>2022</v>
      </c>
    </row>
    <row r="1085" spans="1:7" x14ac:dyDescent="0.3">
      <c r="A1085" t="s">
        <v>122</v>
      </c>
      <c r="B1085" t="s">
        <v>19</v>
      </c>
      <c r="C1085" t="s">
        <v>34</v>
      </c>
      <c r="D1085" t="s">
        <v>14</v>
      </c>
      <c r="E1085" t="s">
        <v>10</v>
      </c>
      <c r="F1085">
        <v>3970.76</v>
      </c>
      <c r="G1085">
        <v>2023</v>
      </c>
    </row>
    <row r="1086" spans="1:7" x14ac:dyDescent="0.3">
      <c r="A1086" t="s">
        <v>102</v>
      </c>
      <c r="B1086" t="s">
        <v>19</v>
      </c>
      <c r="C1086" t="s">
        <v>8</v>
      </c>
      <c r="D1086" t="s">
        <v>28</v>
      </c>
      <c r="E1086" t="s">
        <v>15</v>
      </c>
      <c r="F1086">
        <v>549.77</v>
      </c>
      <c r="G1086">
        <v>2022</v>
      </c>
    </row>
    <row r="1087" spans="1:7" x14ac:dyDescent="0.3">
      <c r="A1087" t="s">
        <v>69</v>
      </c>
      <c r="B1087" t="s">
        <v>7</v>
      </c>
      <c r="C1087" t="s">
        <v>13</v>
      </c>
      <c r="D1087" t="s">
        <v>14</v>
      </c>
      <c r="E1087" t="s">
        <v>10</v>
      </c>
      <c r="F1087">
        <v>104.29</v>
      </c>
      <c r="G1087">
        <v>2022</v>
      </c>
    </row>
    <row r="1088" spans="1:7" x14ac:dyDescent="0.3">
      <c r="A1088" t="s">
        <v>212</v>
      </c>
      <c r="B1088" t="s">
        <v>7</v>
      </c>
      <c r="C1088" t="s">
        <v>13</v>
      </c>
      <c r="D1088" t="s">
        <v>14</v>
      </c>
      <c r="E1088" t="s">
        <v>10</v>
      </c>
      <c r="F1088">
        <v>1468.86</v>
      </c>
      <c r="G1088">
        <v>2022</v>
      </c>
    </row>
    <row r="1089" spans="1:7" x14ac:dyDescent="0.3">
      <c r="A1089" t="s">
        <v>163</v>
      </c>
      <c r="B1089" t="s">
        <v>19</v>
      </c>
      <c r="C1089" t="s">
        <v>13</v>
      </c>
      <c r="D1089" t="s">
        <v>14</v>
      </c>
      <c r="E1089" t="s">
        <v>15</v>
      </c>
      <c r="F1089">
        <v>2876.13</v>
      </c>
      <c r="G1089">
        <v>2022</v>
      </c>
    </row>
    <row r="1090" spans="1:7" x14ac:dyDescent="0.3">
      <c r="A1090" t="s">
        <v>154</v>
      </c>
      <c r="B1090" t="s">
        <v>12</v>
      </c>
      <c r="C1090" t="s">
        <v>13</v>
      </c>
      <c r="D1090" t="s">
        <v>28</v>
      </c>
      <c r="E1090" t="s">
        <v>24</v>
      </c>
      <c r="F1090">
        <v>1825.34</v>
      </c>
      <c r="G1090">
        <v>2022</v>
      </c>
    </row>
    <row r="1091" spans="1:7" x14ac:dyDescent="0.3">
      <c r="A1091" t="s">
        <v>124</v>
      </c>
      <c r="B1091" t="s">
        <v>12</v>
      </c>
      <c r="C1091" t="s">
        <v>23</v>
      </c>
      <c r="D1091" t="s">
        <v>14</v>
      </c>
      <c r="E1091" t="s">
        <v>15</v>
      </c>
      <c r="F1091">
        <v>3246.39</v>
      </c>
      <c r="G1091">
        <v>2023</v>
      </c>
    </row>
    <row r="1092" spans="1:7" x14ac:dyDescent="0.3">
      <c r="A1092" t="s">
        <v>42</v>
      </c>
      <c r="B1092" t="s">
        <v>30</v>
      </c>
      <c r="C1092" t="s">
        <v>8</v>
      </c>
      <c r="D1092" t="s">
        <v>28</v>
      </c>
      <c r="E1092" t="s">
        <v>10</v>
      </c>
      <c r="F1092">
        <v>1846.98</v>
      </c>
      <c r="G1092">
        <v>2022</v>
      </c>
    </row>
    <row r="1093" spans="1:7" x14ac:dyDescent="0.3">
      <c r="A1093" t="s">
        <v>134</v>
      </c>
      <c r="B1093" t="s">
        <v>7</v>
      </c>
      <c r="C1093" t="s">
        <v>23</v>
      </c>
      <c r="D1093" t="s">
        <v>14</v>
      </c>
      <c r="E1093" t="s">
        <v>24</v>
      </c>
      <c r="F1093">
        <v>4193.53</v>
      </c>
      <c r="G1093">
        <v>2023</v>
      </c>
    </row>
    <row r="1094" spans="1:7" x14ac:dyDescent="0.3">
      <c r="A1094" t="s">
        <v>135</v>
      </c>
      <c r="B1094" t="s">
        <v>12</v>
      </c>
      <c r="C1094" t="s">
        <v>34</v>
      </c>
      <c r="D1094" t="s">
        <v>28</v>
      </c>
      <c r="E1094" t="s">
        <v>10</v>
      </c>
      <c r="F1094">
        <v>1402.57</v>
      </c>
      <c r="G1094">
        <v>2023</v>
      </c>
    </row>
    <row r="1095" spans="1:7" x14ac:dyDescent="0.3">
      <c r="A1095" t="s">
        <v>80</v>
      </c>
      <c r="B1095" t="s">
        <v>17</v>
      </c>
      <c r="C1095" t="s">
        <v>8</v>
      </c>
      <c r="D1095" t="s">
        <v>9</v>
      </c>
      <c r="E1095" t="s">
        <v>10</v>
      </c>
      <c r="F1095">
        <v>2860.15</v>
      </c>
      <c r="G1095">
        <v>2022</v>
      </c>
    </row>
    <row r="1096" spans="1:7" x14ac:dyDescent="0.3">
      <c r="A1096" t="s">
        <v>62</v>
      </c>
      <c r="B1096" t="s">
        <v>30</v>
      </c>
      <c r="C1096" t="s">
        <v>13</v>
      </c>
      <c r="D1096" t="s">
        <v>28</v>
      </c>
      <c r="E1096" t="s">
        <v>15</v>
      </c>
      <c r="F1096">
        <v>1019.13</v>
      </c>
      <c r="G1096">
        <v>2022</v>
      </c>
    </row>
    <row r="1097" spans="1:7" x14ac:dyDescent="0.3">
      <c r="A1097" t="s">
        <v>188</v>
      </c>
      <c r="B1097" t="s">
        <v>19</v>
      </c>
      <c r="C1097" t="s">
        <v>8</v>
      </c>
      <c r="D1097" t="s">
        <v>28</v>
      </c>
      <c r="E1097" t="s">
        <v>15</v>
      </c>
      <c r="F1097">
        <v>3886.16</v>
      </c>
      <c r="G1097">
        <v>2022</v>
      </c>
    </row>
    <row r="1098" spans="1:7" x14ac:dyDescent="0.3">
      <c r="A1098" t="s">
        <v>125</v>
      </c>
      <c r="B1098" t="s">
        <v>7</v>
      </c>
      <c r="C1098" t="s">
        <v>34</v>
      </c>
      <c r="D1098" t="s">
        <v>9</v>
      </c>
      <c r="E1098" t="s">
        <v>15</v>
      </c>
      <c r="F1098">
        <v>2913.93</v>
      </c>
      <c r="G1098">
        <v>2023</v>
      </c>
    </row>
    <row r="1099" spans="1:7" x14ac:dyDescent="0.3">
      <c r="A1099" t="s">
        <v>35</v>
      </c>
      <c r="B1099" t="s">
        <v>19</v>
      </c>
      <c r="C1099" t="s">
        <v>8</v>
      </c>
      <c r="D1099" t="s">
        <v>14</v>
      </c>
      <c r="E1099" t="s">
        <v>10</v>
      </c>
      <c r="F1099">
        <v>4929.24</v>
      </c>
      <c r="G1099">
        <v>2022</v>
      </c>
    </row>
    <row r="1100" spans="1:7" x14ac:dyDescent="0.3">
      <c r="A1100" t="s">
        <v>48</v>
      </c>
      <c r="B1100" t="s">
        <v>19</v>
      </c>
      <c r="C1100" t="s">
        <v>13</v>
      </c>
      <c r="D1100" t="s">
        <v>14</v>
      </c>
      <c r="E1100" t="s">
        <v>10</v>
      </c>
      <c r="F1100">
        <v>197.22</v>
      </c>
      <c r="G1100">
        <v>2022</v>
      </c>
    </row>
    <row r="1101" spans="1:7" x14ac:dyDescent="0.3">
      <c r="A1101" t="s">
        <v>205</v>
      </c>
      <c r="B1101" t="s">
        <v>17</v>
      </c>
      <c r="C1101" t="s">
        <v>34</v>
      </c>
      <c r="D1101" t="s">
        <v>28</v>
      </c>
      <c r="E1101" t="s">
        <v>10</v>
      </c>
      <c r="F1101">
        <v>3407.21</v>
      </c>
      <c r="G1101">
        <v>2023</v>
      </c>
    </row>
    <row r="1102" spans="1:7" x14ac:dyDescent="0.3">
      <c r="A1102" t="s">
        <v>145</v>
      </c>
      <c r="B1102" t="s">
        <v>7</v>
      </c>
      <c r="C1102" t="s">
        <v>13</v>
      </c>
      <c r="D1102" t="s">
        <v>28</v>
      </c>
      <c r="E1102" t="s">
        <v>24</v>
      </c>
      <c r="F1102">
        <v>538.5</v>
      </c>
      <c r="G1102">
        <v>2022</v>
      </c>
    </row>
    <row r="1103" spans="1:7" x14ac:dyDescent="0.3">
      <c r="A1103" t="s">
        <v>105</v>
      </c>
      <c r="B1103" t="s">
        <v>30</v>
      </c>
      <c r="C1103" t="s">
        <v>13</v>
      </c>
      <c r="D1103" t="s">
        <v>28</v>
      </c>
      <c r="E1103" t="s">
        <v>10</v>
      </c>
      <c r="F1103">
        <v>4976.37</v>
      </c>
      <c r="G1103">
        <v>2022</v>
      </c>
    </row>
    <row r="1104" spans="1:7" x14ac:dyDescent="0.3">
      <c r="A1104" t="s">
        <v>131</v>
      </c>
      <c r="B1104" t="s">
        <v>17</v>
      </c>
      <c r="C1104" t="s">
        <v>8</v>
      </c>
      <c r="D1104" t="s">
        <v>14</v>
      </c>
      <c r="E1104" t="s">
        <v>24</v>
      </c>
      <c r="F1104">
        <v>1334.36</v>
      </c>
      <c r="G1104">
        <v>2022</v>
      </c>
    </row>
    <row r="1105" spans="1:7" x14ac:dyDescent="0.3">
      <c r="A1105" t="s">
        <v>172</v>
      </c>
      <c r="B1105" t="s">
        <v>7</v>
      </c>
      <c r="C1105" t="s">
        <v>23</v>
      </c>
      <c r="D1105" t="s">
        <v>14</v>
      </c>
      <c r="E1105" t="s">
        <v>10</v>
      </c>
      <c r="F1105">
        <v>2641.31</v>
      </c>
      <c r="G1105">
        <v>2023</v>
      </c>
    </row>
    <row r="1106" spans="1:7" x14ac:dyDescent="0.3">
      <c r="A1106" t="s">
        <v>196</v>
      </c>
      <c r="B1106" t="s">
        <v>30</v>
      </c>
      <c r="C1106" t="s">
        <v>13</v>
      </c>
      <c r="D1106" t="s">
        <v>9</v>
      </c>
      <c r="E1106" t="s">
        <v>24</v>
      </c>
      <c r="F1106">
        <v>3466.63</v>
      </c>
      <c r="G1106">
        <v>2022</v>
      </c>
    </row>
    <row r="1107" spans="1:7" x14ac:dyDescent="0.3">
      <c r="A1107" t="s">
        <v>152</v>
      </c>
      <c r="B1107" t="s">
        <v>30</v>
      </c>
      <c r="C1107" t="s">
        <v>8</v>
      </c>
      <c r="D1107" t="s">
        <v>14</v>
      </c>
      <c r="E1107" t="s">
        <v>24</v>
      </c>
      <c r="F1107">
        <v>4682.5600000000004</v>
      </c>
      <c r="G1107">
        <v>2022</v>
      </c>
    </row>
    <row r="1108" spans="1:7" x14ac:dyDescent="0.3">
      <c r="A1108" t="s">
        <v>202</v>
      </c>
      <c r="B1108" t="s">
        <v>12</v>
      </c>
      <c r="C1108" t="s">
        <v>13</v>
      </c>
      <c r="D1108" t="s">
        <v>14</v>
      </c>
      <c r="E1108" t="s">
        <v>24</v>
      </c>
      <c r="F1108">
        <v>272.64</v>
      </c>
      <c r="G1108">
        <v>2022</v>
      </c>
    </row>
    <row r="1109" spans="1:7" x14ac:dyDescent="0.3">
      <c r="A1109" t="s">
        <v>116</v>
      </c>
      <c r="B1109" t="s">
        <v>17</v>
      </c>
      <c r="C1109" t="s">
        <v>23</v>
      </c>
      <c r="D1109" t="s">
        <v>14</v>
      </c>
      <c r="E1109" t="s">
        <v>24</v>
      </c>
      <c r="F1109">
        <v>4584.96</v>
      </c>
      <c r="G1109">
        <v>2023</v>
      </c>
    </row>
    <row r="1110" spans="1:7" x14ac:dyDescent="0.3">
      <c r="A1110" t="s">
        <v>175</v>
      </c>
      <c r="B1110" t="s">
        <v>7</v>
      </c>
      <c r="C1110" t="s">
        <v>23</v>
      </c>
      <c r="D1110" t="s">
        <v>14</v>
      </c>
      <c r="E1110" t="s">
        <v>15</v>
      </c>
      <c r="F1110">
        <v>3965.06</v>
      </c>
      <c r="G1110">
        <v>2023</v>
      </c>
    </row>
    <row r="1111" spans="1:7" x14ac:dyDescent="0.3">
      <c r="A1111" t="s">
        <v>68</v>
      </c>
      <c r="B1111" t="s">
        <v>12</v>
      </c>
      <c r="C1111" t="s">
        <v>8</v>
      </c>
      <c r="D1111" t="s">
        <v>9</v>
      </c>
      <c r="E1111" t="s">
        <v>24</v>
      </c>
      <c r="F1111">
        <v>1855</v>
      </c>
      <c r="G1111">
        <v>2022</v>
      </c>
    </row>
    <row r="1112" spans="1:7" x14ac:dyDescent="0.3">
      <c r="A1112" t="s">
        <v>58</v>
      </c>
      <c r="B1112" t="s">
        <v>17</v>
      </c>
      <c r="C1112" t="s">
        <v>34</v>
      </c>
      <c r="D1112" t="s">
        <v>9</v>
      </c>
      <c r="E1112" t="s">
        <v>10</v>
      </c>
      <c r="F1112">
        <v>1170.49</v>
      </c>
      <c r="G1112">
        <v>2023</v>
      </c>
    </row>
    <row r="1113" spans="1:7" x14ac:dyDescent="0.3">
      <c r="A1113" t="s">
        <v>90</v>
      </c>
      <c r="B1113" t="s">
        <v>19</v>
      </c>
      <c r="C1113" t="s">
        <v>23</v>
      </c>
      <c r="D1113" t="s">
        <v>14</v>
      </c>
      <c r="E1113" t="s">
        <v>10</v>
      </c>
      <c r="F1113">
        <v>2881.56</v>
      </c>
      <c r="G1113">
        <v>2023</v>
      </c>
    </row>
    <row r="1114" spans="1:7" x14ac:dyDescent="0.3">
      <c r="A1114" t="s">
        <v>73</v>
      </c>
      <c r="B1114" t="s">
        <v>30</v>
      </c>
      <c r="C1114" t="s">
        <v>34</v>
      </c>
      <c r="D1114" t="s">
        <v>14</v>
      </c>
      <c r="E1114" t="s">
        <v>24</v>
      </c>
      <c r="F1114">
        <v>4820.21</v>
      </c>
      <c r="G1114">
        <v>2023</v>
      </c>
    </row>
    <row r="1115" spans="1:7" x14ac:dyDescent="0.3">
      <c r="A1115" t="s">
        <v>122</v>
      </c>
      <c r="B1115" t="s">
        <v>19</v>
      </c>
      <c r="C1115" t="s">
        <v>8</v>
      </c>
      <c r="D1115" t="s">
        <v>14</v>
      </c>
      <c r="E1115" t="s">
        <v>15</v>
      </c>
      <c r="F1115">
        <v>2635.84</v>
      </c>
      <c r="G1115">
        <v>2022</v>
      </c>
    </row>
    <row r="1116" spans="1:7" x14ac:dyDescent="0.3">
      <c r="A1116" t="s">
        <v>25</v>
      </c>
      <c r="B1116" t="s">
        <v>19</v>
      </c>
      <c r="C1116" t="s">
        <v>34</v>
      </c>
      <c r="D1116" t="s">
        <v>28</v>
      </c>
      <c r="E1116" t="s">
        <v>15</v>
      </c>
      <c r="F1116">
        <v>3933.16</v>
      </c>
      <c r="G1116">
        <v>2023</v>
      </c>
    </row>
    <row r="1117" spans="1:7" x14ac:dyDescent="0.3">
      <c r="A1117" t="s">
        <v>33</v>
      </c>
      <c r="B1117" t="s">
        <v>19</v>
      </c>
      <c r="C1117" t="s">
        <v>23</v>
      </c>
      <c r="D1117" t="s">
        <v>14</v>
      </c>
      <c r="E1117" t="s">
        <v>24</v>
      </c>
      <c r="F1117">
        <v>425.14</v>
      </c>
      <c r="G1117">
        <v>2023</v>
      </c>
    </row>
    <row r="1118" spans="1:7" x14ac:dyDescent="0.3">
      <c r="A1118" t="s">
        <v>136</v>
      </c>
      <c r="B1118" t="s">
        <v>17</v>
      </c>
      <c r="C1118" t="s">
        <v>23</v>
      </c>
      <c r="D1118" t="s">
        <v>28</v>
      </c>
      <c r="E1118" t="s">
        <v>24</v>
      </c>
      <c r="F1118">
        <v>3494.61</v>
      </c>
      <c r="G1118">
        <v>2023</v>
      </c>
    </row>
    <row r="1119" spans="1:7" x14ac:dyDescent="0.3">
      <c r="A1119" t="s">
        <v>204</v>
      </c>
      <c r="B1119" t="s">
        <v>30</v>
      </c>
      <c r="C1119" t="s">
        <v>23</v>
      </c>
      <c r="D1119" t="s">
        <v>9</v>
      </c>
      <c r="E1119" t="s">
        <v>10</v>
      </c>
      <c r="F1119">
        <v>3199.76</v>
      </c>
      <c r="G1119">
        <v>2023</v>
      </c>
    </row>
    <row r="1120" spans="1:7" x14ac:dyDescent="0.3">
      <c r="A1120" t="s">
        <v>183</v>
      </c>
      <c r="B1120" t="s">
        <v>7</v>
      </c>
      <c r="C1120" t="s">
        <v>8</v>
      </c>
      <c r="D1120" t="s">
        <v>14</v>
      </c>
      <c r="E1120" t="s">
        <v>15</v>
      </c>
      <c r="F1120">
        <v>290.08999999999997</v>
      </c>
      <c r="G1120">
        <v>2022</v>
      </c>
    </row>
    <row r="1121" spans="1:7" x14ac:dyDescent="0.3">
      <c r="A1121" t="s">
        <v>166</v>
      </c>
      <c r="B1121" t="s">
        <v>7</v>
      </c>
      <c r="C1121" t="s">
        <v>23</v>
      </c>
      <c r="D1121" t="s">
        <v>28</v>
      </c>
      <c r="E1121" t="s">
        <v>15</v>
      </c>
      <c r="F1121">
        <v>1123.56</v>
      </c>
      <c r="G1121">
        <v>2023</v>
      </c>
    </row>
    <row r="1122" spans="1:7" x14ac:dyDescent="0.3">
      <c r="A1122" t="s">
        <v>206</v>
      </c>
      <c r="B1122" t="s">
        <v>19</v>
      </c>
      <c r="C1122" t="s">
        <v>8</v>
      </c>
      <c r="D1122" t="s">
        <v>28</v>
      </c>
      <c r="E1122" t="s">
        <v>10</v>
      </c>
      <c r="F1122">
        <v>1109.47</v>
      </c>
      <c r="G1122">
        <v>2022</v>
      </c>
    </row>
    <row r="1123" spans="1:7" x14ac:dyDescent="0.3">
      <c r="A1123" t="s">
        <v>47</v>
      </c>
      <c r="B1123" t="s">
        <v>30</v>
      </c>
      <c r="C1123" t="s">
        <v>34</v>
      </c>
      <c r="D1123" t="s">
        <v>9</v>
      </c>
      <c r="E1123" t="s">
        <v>10</v>
      </c>
      <c r="F1123">
        <v>1044.92</v>
      </c>
      <c r="G1123">
        <v>2023</v>
      </c>
    </row>
    <row r="1124" spans="1:7" x14ac:dyDescent="0.3">
      <c r="A1124" t="s">
        <v>50</v>
      </c>
      <c r="B1124" t="s">
        <v>19</v>
      </c>
      <c r="C1124" t="s">
        <v>13</v>
      </c>
      <c r="D1124" t="s">
        <v>9</v>
      </c>
      <c r="E1124" t="s">
        <v>15</v>
      </c>
      <c r="F1124">
        <v>5387.67</v>
      </c>
      <c r="G1124">
        <v>2022</v>
      </c>
    </row>
    <row r="1125" spans="1:7" x14ac:dyDescent="0.3">
      <c r="A1125" t="s">
        <v>130</v>
      </c>
      <c r="B1125" t="s">
        <v>12</v>
      </c>
      <c r="C1125" t="s">
        <v>13</v>
      </c>
      <c r="D1125" t="s">
        <v>9</v>
      </c>
      <c r="E1125" t="s">
        <v>10</v>
      </c>
      <c r="F1125">
        <v>3244.17</v>
      </c>
      <c r="G1125">
        <v>2022</v>
      </c>
    </row>
    <row r="1126" spans="1:7" x14ac:dyDescent="0.3">
      <c r="A1126" t="s">
        <v>125</v>
      </c>
      <c r="B1126" t="s">
        <v>7</v>
      </c>
      <c r="C1126" t="s">
        <v>34</v>
      </c>
      <c r="D1126" t="s">
        <v>14</v>
      </c>
      <c r="E1126" t="s">
        <v>15</v>
      </c>
      <c r="F1126">
        <v>3954.01</v>
      </c>
      <c r="G1126">
        <v>2023</v>
      </c>
    </row>
    <row r="1127" spans="1:7" x14ac:dyDescent="0.3">
      <c r="A1127" t="s">
        <v>147</v>
      </c>
      <c r="B1127" t="s">
        <v>17</v>
      </c>
      <c r="C1127" t="s">
        <v>34</v>
      </c>
      <c r="D1127" t="s">
        <v>14</v>
      </c>
      <c r="E1127" t="s">
        <v>24</v>
      </c>
      <c r="F1127">
        <v>1475.99</v>
      </c>
      <c r="G1127">
        <v>2023</v>
      </c>
    </row>
    <row r="1128" spans="1:7" x14ac:dyDescent="0.3">
      <c r="A1128" t="s">
        <v>120</v>
      </c>
      <c r="B1128" t="s">
        <v>30</v>
      </c>
      <c r="C1128" t="s">
        <v>34</v>
      </c>
      <c r="D1128" t="s">
        <v>9</v>
      </c>
      <c r="E1128" t="s">
        <v>24</v>
      </c>
      <c r="F1128">
        <v>4669.9799999999996</v>
      </c>
      <c r="G1128">
        <v>2023</v>
      </c>
    </row>
    <row r="1129" spans="1:7" x14ac:dyDescent="0.3">
      <c r="A1129" t="s">
        <v>138</v>
      </c>
      <c r="B1129" t="s">
        <v>12</v>
      </c>
      <c r="C1129" t="s">
        <v>13</v>
      </c>
      <c r="D1129" t="s">
        <v>9</v>
      </c>
      <c r="E1129" t="s">
        <v>15</v>
      </c>
      <c r="F1129">
        <v>502.57</v>
      </c>
      <c r="G1129">
        <v>2022</v>
      </c>
    </row>
    <row r="1130" spans="1:7" x14ac:dyDescent="0.3">
      <c r="A1130" t="s">
        <v>166</v>
      </c>
      <c r="B1130" t="s">
        <v>7</v>
      </c>
      <c r="C1130" t="s">
        <v>8</v>
      </c>
      <c r="D1130" t="s">
        <v>14</v>
      </c>
      <c r="E1130" t="s">
        <v>10</v>
      </c>
      <c r="F1130">
        <v>2663.13</v>
      </c>
      <c r="G1130">
        <v>2022</v>
      </c>
    </row>
    <row r="1131" spans="1:7" x14ac:dyDescent="0.3">
      <c r="A1131" t="s">
        <v>188</v>
      </c>
      <c r="B1131" t="s">
        <v>19</v>
      </c>
      <c r="C1131" t="s">
        <v>13</v>
      </c>
      <c r="D1131" t="s">
        <v>14</v>
      </c>
      <c r="E1131" t="s">
        <v>15</v>
      </c>
      <c r="F1131">
        <v>3327.22</v>
      </c>
      <c r="G1131">
        <v>2022</v>
      </c>
    </row>
    <row r="1132" spans="1:7" x14ac:dyDescent="0.3">
      <c r="A1132" t="s">
        <v>198</v>
      </c>
      <c r="B1132" t="s">
        <v>12</v>
      </c>
      <c r="C1132" t="s">
        <v>23</v>
      </c>
      <c r="D1132" t="s">
        <v>14</v>
      </c>
      <c r="E1132" t="s">
        <v>10</v>
      </c>
      <c r="F1132">
        <v>441.04</v>
      </c>
      <c r="G1132">
        <v>2023</v>
      </c>
    </row>
    <row r="1133" spans="1:7" x14ac:dyDescent="0.3">
      <c r="A1133" t="s">
        <v>31</v>
      </c>
      <c r="B1133" t="s">
        <v>30</v>
      </c>
      <c r="C1133" t="s">
        <v>13</v>
      </c>
      <c r="D1133" t="s">
        <v>9</v>
      </c>
      <c r="E1133" t="s">
        <v>10</v>
      </c>
      <c r="F1133">
        <v>1466.47</v>
      </c>
      <c r="G1133">
        <v>2022</v>
      </c>
    </row>
    <row r="1134" spans="1:7" x14ac:dyDescent="0.3">
      <c r="A1134" t="s">
        <v>95</v>
      </c>
      <c r="B1134" t="s">
        <v>30</v>
      </c>
      <c r="C1134" t="s">
        <v>34</v>
      </c>
      <c r="D1134" t="s">
        <v>9</v>
      </c>
      <c r="E1134" t="s">
        <v>10</v>
      </c>
      <c r="F1134">
        <v>5076.01</v>
      </c>
      <c r="G1134">
        <v>2023</v>
      </c>
    </row>
    <row r="1135" spans="1:7" x14ac:dyDescent="0.3">
      <c r="A1135" t="s">
        <v>41</v>
      </c>
      <c r="B1135" t="s">
        <v>30</v>
      </c>
      <c r="C1135" t="s">
        <v>34</v>
      </c>
      <c r="D1135" t="s">
        <v>28</v>
      </c>
      <c r="E1135" t="s">
        <v>10</v>
      </c>
      <c r="F1135">
        <v>3971.86</v>
      </c>
      <c r="G1135">
        <v>2023</v>
      </c>
    </row>
    <row r="1136" spans="1:7" x14ac:dyDescent="0.3">
      <c r="A1136" t="s">
        <v>189</v>
      </c>
      <c r="B1136" t="s">
        <v>19</v>
      </c>
      <c r="C1136" t="s">
        <v>23</v>
      </c>
      <c r="D1136" t="s">
        <v>28</v>
      </c>
      <c r="E1136" t="s">
        <v>10</v>
      </c>
      <c r="F1136">
        <v>3120.88</v>
      </c>
      <c r="G1136">
        <v>2023</v>
      </c>
    </row>
    <row r="1137" spans="1:7" x14ac:dyDescent="0.3">
      <c r="A1137" t="s">
        <v>25</v>
      </c>
      <c r="B1137" t="s">
        <v>19</v>
      </c>
      <c r="C1137" t="s">
        <v>23</v>
      </c>
      <c r="D1137" t="s">
        <v>14</v>
      </c>
      <c r="E1137" t="s">
        <v>15</v>
      </c>
      <c r="F1137">
        <v>3407.69</v>
      </c>
      <c r="G1137">
        <v>2023</v>
      </c>
    </row>
    <row r="1138" spans="1:7" x14ac:dyDescent="0.3">
      <c r="A1138" t="s">
        <v>103</v>
      </c>
      <c r="B1138" t="s">
        <v>19</v>
      </c>
      <c r="C1138" t="s">
        <v>8</v>
      </c>
      <c r="D1138" t="s">
        <v>9</v>
      </c>
      <c r="E1138" t="s">
        <v>10</v>
      </c>
      <c r="F1138">
        <v>4867.8900000000003</v>
      </c>
      <c r="G1138">
        <v>2022</v>
      </c>
    </row>
    <row r="1139" spans="1:7" x14ac:dyDescent="0.3">
      <c r="A1139" t="s">
        <v>56</v>
      </c>
      <c r="B1139" t="s">
        <v>19</v>
      </c>
      <c r="C1139" t="s">
        <v>13</v>
      </c>
      <c r="D1139" t="s">
        <v>14</v>
      </c>
      <c r="E1139" t="s">
        <v>15</v>
      </c>
      <c r="F1139">
        <v>1080.8399999999999</v>
      </c>
      <c r="G1139">
        <v>2022</v>
      </c>
    </row>
    <row r="1140" spans="1:7" x14ac:dyDescent="0.3">
      <c r="A1140" t="s">
        <v>171</v>
      </c>
      <c r="B1140" t="s">
        <v>17</v>
      </c>
      <c r="C1140" t="s">
        <v>23</v>
      </c>
      <c r="D1140" t="s">
        <v>9</v>
      </c>
      <c r="E1140" t="s">
        <v>24</v>
      </c>
      <c r="F1140">
        <v>1196.42</v>
      </c>
      <c r="G1140">
        <v>2023</v>
      </c>
    </row>
    <row r="1141" spans="1:7" x14ac:dyDescent="0.3">
      <c r="A1141" t="s">
        <v>176</v>
      </c>
      <c r="B1141" t="s">
        <v>19</v>
      </c>
      <c r="C1141" t="s">
        <v>34</v>
      </c>
      <c r="D1141" t="s">
        <v>14</v>
      </c>
      <c r="E1141" t="s">
        <v>15</v>
      </c>
      <c r="F1141">
        <v>2634.83</v>
      </c>
      <c r="G1141">
        <v>2023</v>
      </c>
    </row>
    <row r="1142" spans="1:7" x14ac:dyDescent="0.3">
      <c r="A1142" t="s">
        <v>181</v>
      </c>
      <c r="B1142" t="s">
        <v>30</v>
      </c>
      <c r="C1142" t="s">
        <v>23</v>
      </c>
      <c r="D1142" t="s">
        <v>9</v>
      </c>
      <c r="E1142" t="s">
        <v>10</v>
      </c>
      <c r="F1142">
        <v>3396.58</v>
      </c>
      <c r="G1142">
        <v>2023</v>
      </c>
    </row>
    <row r="1143" spans="1:7" x14ac:dyDescent="0.3">
      <c r="A1143" t="s">
        <v>186</v>
      </c>
      <c r="B1143" t="s">
        <v>30</v>
      </c>
      <c r="C1143" t="s">
        <v>13</v>
      </c>
      <c r="D1143" t="s">
        <v>14</v>
      </c>
      <c r="E1143" t="s">
        <v>15</v>
      </c>
      <c r="F1143">
        <v>4067.32</v>
      </c>
      <c r="G1143">
        <v>2022</v>
      </c>
    </row>
    <row r="1144" spans="1:7" x14ac:dyDescent="0.3">
      <c r="A1144" t="s">
        <v>183</v>
      </c>
      <c r="B1144" t="s">
        <v>7</v>
      </c>
      <c r="C1144" t="s">
        <v>13</v>
      </c>
      <c r="D1144" t="s">
        <v>9</v>
      </c>
      <c r="E1144" t="s">
        <v>10</v>
      </c>
      <c r="F1144">
        <v>1241.4100000000001</v>
      </c>
      <c r="G1144">
        <v>2022</v>
      </c>
    </row>
    <row r="1145" spans="1:7" x14ac:dyDescent="0.3">
      <c r="A1145" t="s">
        <v>52</v>
      </c>
      <c r="B1145" t="s">
        <v>19</v>
      </c>
      <c r="C1145" t="s">
        <v>23</v>
      </c>
      <c r="D1145" t="s">
        <v>14</v>
      </c>
      <c r="E1145" t="s">
        <v>24</v>
      </c>
      <c r="F1145">
        <v>3737.92</v>
      </c>
      <c r="G1145">
        <v>2023</v>
      </c>
    </row>
    <row r="1146" spans="1:7" x14ac:dyDescent="0.3">
      <c r="A1146" t="s">
        <v>70</v>
      </c>
      <c r="B1146" t="s">
        <v>19</v>
      </c>
      <c r="C1146" t="s">
        <v>34</v>
      </c>
      <c r="D1146" t="s">
        <v>9</v>
      </c>
      <c r="E1146" t="s">
        <v>24</v>
      </c>
      <c r="F1146">
        <v>443.27</v>
      </c>
      <c r="G1146">
        <v>2023</v>
      </c>
    </row>
    <row r="1147" spans="1:7" x14ac:dyDescent="0.3">
      <c r="A1147" t="s">
        <v>175</v>
      </c>
      <c r="B1147" t="s">
        <v>7</v>
      </c>
      <c r="C1147" t="s">
        <v>13</v>
      </c>
      <c r="D1147" t="s">
        <v>14</v>
      </c>
      <c r="E1147" t="s">
        <v>24</v>
      </c>
      <c r="F1147">
        <v>179.8</v>
      </c>
      <c r="G1147">
        <v>2022</v>
      </c>
    </row>
    <row r="1148" spans="1:7" x14ac:dyDescent="0.3">
      <c r="A1148" t="s">
        <v>79</v>
      </c>
      <c r="B1148" t="s">
        <v>17</v>
      </c>
      <c r="C1148" t="s">
        <v>13</v>
      </c>
      <c r="D1148" t="s">
        <v>9</v>
      </c>
      <c r="E1148" t="s">
        <v>15</v>
      </c>
      <c r="F1148">
        <v>253.08</v>
      </c>
      <c r="G1148">
        <v>2022</v>
      </c>
    </row>
    <row r="1149" spans="1:7" x14ac:dyDescent="0.3">
      <c r="A1149" t="s">
        <v>60</v>
      </c>
      <c r="B1149" t="s">
        <v>12</v>
      </c>
      <c r="C1149" t="s">
        <v>8</v>
      </c>
      <c r="D1149" t="s">
        <v>28</v>
      </c>
      <c r="E1149" t="s">
        <v>24</v>
      </c>
      <c r="F1149">
        <v>584.44000000000005</v>
      </c>
      <c r="G1149">
        <v>2022</v>
      </c>
    </row>
    <row r="1150" spans="1:7" x14ac:dyDescent="0.3">
      <c r="A1150" t="s">
        <v>85</v>
      </c>
      <c r="B1150" t="s">
        <v>30</v>
      </c>
      <c r="C1150" t="s">
        <v>8</v>
      </c>
      <c r="D1150" t="s">
        <v>9</v>
      </c>
      <c r="E1150" t="s">
        <v>10</v>
      </c>
      <c r="F1150">
        <v>858.27</v>
      </c>
      <c r="G1150">
        <v>2022</v>
      </c>
    </row>
    <row r="1151" spans="1:7" x14ac:dyDescent="0.3">
      <c r="A1151" t="s">
        <v>31</v>
      </c>
      <c r="B1151" t="s">
        <v>30</v>
      </c>
      <c r="C1151" t="s">
        <v>13</v>
      </c>
      <c r="D1151" t="s">
        <v>28</v>
      </c>
      <c r="E1151" t="s">
        <v>15</v>
      </c>
      <c r="F1151">
        <v>220.63</v>
      </c>
      <c r="G1151">
        <v>2022</v>
      </c>
    </row>
    <row r="1152" spans="1:7" x14ac:dyDescent="0.3">
      <c r="A1152" t="s">
        <v>71</v>
      </c>
      <c r="B1152" t="s">
        <v>7</v>
      </c>
      <c r="C1152" t="s">
        <v>13</v>
      </c>
      <c r="D1152" t="s">
        <v>14</v>
      </c>
      <c r="E1152" t="s">
        <v>24</v>
      </c>
      <c r="F1152">
        <v>4665.38</v>
      </c>
      <c r="G1152">
        <v>2022</v>
      </c>
    </row>
    <row r="1153" spans="1:7" x14ac:dyDescent="0.3">
      <c r="A1153" t="s">
        <v>212</v>
      </c>
      <c r="B1153" t="s">
        <v>7</v>
      </c>
      <c r="C1153" t="s">
        <v>13</v>
      </c>
      <c r="D1153" t="s">
        <v>14</v>
      </c>
      <c r="E1153" t="s">
        <v>15</v>
      </c>
      <c r="F1153">
        <v>3677.45</v>
      </c>
      <c r="G1153">
        <v>2022</v>
      </c>
    </row>
    <row r="1154" spans="1:7" x14ac:dyDescent="0.3">
      <c r="A1154" t="s">
        <v>16</v>
      </c>
      <c r="B1154" t="s">
        <v>17</v>
      </c>
      <c r="C1154" t="s">
        <v>13</v>
      </c>
      <c r="D1154" t="s">
        <v>28</v>
      </c>
      <c r="E1154" t="s">
        <v>10</v>
      </c>
      <c r="F1154">
        <v>3434.59</v>
      </c>
      <c r="G1154">
        <v>2022</v>
      </c>
    </row>
    <row r="1155" spans="1:7" x14ac:dyDescent="0.3">
      <c r="A1155" t="s">
        <v>40</v>
      </c>
      <c r="B1155" t="s">
        <v>19</v>
      </c>
      <c r="C1155" t="s">
        <v>34</v>
      </c>
      <c r="D1155" t="s">
        <v>9</v>
      </c>
      <c r="E1155" t="s">
        <v>24</v>
      </c>
      <c r="F1155">
        <v>1175.5899999999999</v>
      </c>
      <c r="G1155">
        <v>2023</v>
      </c>
    </row>
    <row r="1156" spans="1:7" x14ac:dyDescent="0.3">
      <c r="A1156" t="s">
        <v>208</v>
      </c>
      <c r="B1156" t="s">
        <v>19</v>
      </c>
      <c r="C1156" t="s">
        <v>34</v>
      </c>
      <c r="D1156" t="s">
        <v>9</v>
      </c>
      <c r="E1156" t="s">
        <v>15</v>
      </c>
      <c r="F1156">
        <v>5155.3999999999996</v>
      </c>
      <c r="G1156">
        <v>2023</v>
      </c>
    </row>
    <row r="1157" spans="1:7" x14ac:dyDescent="0.3">
      <c r="A1157" t="s">
        <v>148</v>
      </c>
      <c r="B1157" t="s">
        <v>17</v>
      </c>
      <c r="C1157" t="s">
        <v>34</v>
      </c>
      <c r="D1157" t="s">
        <v>14</v>
      </c>
      <c r="E1157" t="s">
        <v>10</v>
      </c>
      <c r="F1157">
        <v>4426.07</v>
      </c>
      <c r="G1157">
        <v>2023</v>
      </c>
    </row>
    <row r="1158" spans="1:7" x14ac:dyDescent="0.3">
      <c r="A1158" t="s">
        <v>20</v>
      </c>
      <c r="B1158" t="s">
        <v>17</v>
      </c>
      <c r="C1158" t="s">
        <v>8</v>
      </c>
      <c r="D1158" t="s">
        <v>14</v>
      </c>
      <c r="E1158" t="s">
        <v>24</v>
      </c>
      <c r="F1158">
        <v>4487.54</v>
      </c>
      <c r="G1158">
        <v>2022</v>
      </c>
    </row>
    <row r="1159" spans="1:7" x14ac:dyDescent="0.3">
      <c r="A1159" t="s">
        <v>209</v>
      </c>
      <c r="B1159" t="s">
        <v>7</v>
      </c>
      <c r="C1159" t="s">
        <v>13</v>
      </c>
      <c r="D1159" t="s">
        <v>28</v>
      </c>
      <c r="E1159" t="s">
        <v>15</v>
      </c>
      <c r="F1159">
        <v>844.07</v>
      </c>
      <c r="G1159">
        <v>2022</v>
      </c>
    </row>
    <row r="1160" spans="1:7" x14ac:dyDescent="0.3">
      <c r="A1160" t="s">
        <v>157</v>
      </c>
      <c r="B1160" t="s">
        <v>30</v>
      </c>
      <c r="C1160" t="s">
        <v>34</v>
      </c>
      <c r="D1160" t="s">
        <v>28</v>
      </c>
      <c r="E1160" t="s">
        <v>24</v>
      </c>
      <c r="F1160">
        <v>808.96</v>
      </c>
      <c r="G1160">
        <v>2023</v>
      </c>
    </row>
    <row r="1161" spans="1:7" x14ac:dyDescent="0.3">
      <c r="A1161" t="s">
        <v>54</v>
      </c>
      <c r="B1161" t="s">
        <v>12</v>
      </c>
      <c r="C1161" t="s">
        <v>23</v>
      </c>
      <c r="D1161" t="s">
        <v>9</v>
      </c>
      <c r="E1161" t="s">
        <v>10</v>
      </c>
      <c r="F1161">
        <v>4896.92</v>
      </c>
      <c r="G1161">
        <v>2023</v>
      </c>
    </row>
    <row r="1162" spans="1:7" x14ac:dyDescent="0.3">
      <c r="A1162" t="s">
        <v>151</v>
      </c>
      <c r="B1162" t="s">
        <v>12</v>
      </c>
      <c r="C1162" t="s">
        <v>8</v>
      </c>
      <c r="D1162" t="s">
        <v>9</v>
      </c>
      <c r="E1162" t="s">
        <v>10</v>
      </c>
      <c r="F1162">
        <v>191.17</v>
      </c>
      <c r="G1162">
        <v>2022</v>
      </c>
    </row>
    <row r="1163" spans="1:7" x14ac:dyDescent="0.3">
      <c r="A1163" t="s">
        <v>137</v>
      </c>
      <c r="B1163" t="s">
        <v>17</v>
      </c>
      <c r="C1163" t="s">
        <v>34</v>
      </c>
      <c r="D1163" t="s">
        <v>14</v>
      </c>
      <c r="E1163" t="s">
        <v>10</v>
      </c>
      <c r="F1163">
        <v>1697.2</v>
      </c>
      <c r="G1163">
        <v>2023</v>
      </c>
    </row>
    <row r="1164" spans="1:7" x14ac:dyDescent="0.3">
      <c r="A1164" t="s">
        <v>57</v>
      </c>
      <c r="B1164" t="s">
        <v>19</v>
      </c>
      <c r="C1164" t="s">
        <v>8</v>
      </c>
      <c r="D1164" t="s">
        <v>9</v>
      </c>
      <c r="E1164" t="s">
        <v>24</v>
      </c>
      <c r="F1164">
        <v>4105.01</v>
      </c>
      <c r="G1164">
        <v>2022</v>
      </c>
    </row>
    <row r="1165" spans="1:7" x14ac:dyDescent="0.3">
      <c r="A1165" t="s">
        <v>80</v>
      </c>
      <c r="B1165" t="s">
        <v>17</v>
      </c>
      <c r="C1165" t="s">
        <v>13</v>
      </c>
      <c r="D1165" t="s">
        <v>28</v>
      </c>
      <c r="E1165" t="s">
        <v>10</v>
      </c>
      <c r="F1165">
        <v>4095.94</v>
      </c>
      <c r="G1165">
        <v>2022</v>
      </c>
    </row>
    <row r="1166" spans="1:7" x14ac:dyDescent="0.3">
      <c r="A1166" t="s">
        <v>99</v>
      </c>
      <c r="B1166" t="s">
        <v>19</v>
      </c>
      <c r="C1166" t="s">
        <v>8</v>
      </c>
      <c r="D1166" t="s">
        <v>14</v>
      </c>
      <c r="E1166" t="s">
        <v>24</v>
      </c>
      <c r="F1166">
        <v>1094.42</v>
      </c>
      <c r="G1166">
        <v>2022</v>
      </c>
    </row>
    <row r="1167" spans="1:7" x14ac:dyDescent="0.3">
      <c r="A1167" t="s">
        <v>178</v>
      </c>
      <c r="B1167" t="s">
        <v>30</v>
      </c>
      <c r="C1167" t="s">
        <v>34</v>
      </c>
      <c r="D1167" t="s">
        <v>9</v>
      </c>
      <c r="E1167" t="s">
        <v>15</v>
      </c>
      <c r="F1167">
        <v>2501.4699999999998</v>
      </c>
      <c r="G1167">
        <v>2023</v>
      </c>
    </row>
    <row r="1168" spans="1:7" x14ac:dyDescent="0.3">
      <c r="A1168" t="s">
        <v>138</v>
      </c>
      <c r="B1168" t="s">
        <v>12</v>
      </c>
      <c r="C1168" t="s">
        <v>34</v>
      </c>
      <c r="D1168" t="s">
        <v>14</v>
      </c>
      <c r="E1168" t="s">
        <v>24</v>
      </c>
      <c r="F1168">
        <v>1137.71</v>
      </c>
      <c r="G1168">
        <v>2023</v>
      </c>
    </row>
    <row r="1169" spans="1:7" x14ac:dyDescent="0.3">
      <c r="A1169" t="s">
        <v>113</v>
      </c>
      <c r="B1169" t="s">
        <v>30</v>
      </c>
      <c r="C1169" t="s">
        <v>23</v>
      </c>
      <c r="D1169" t="s">
        <v>28</v>
      </c>
      <c r="E1169" t="s">
        <v>15</v>
      </c>
      <c r="F1169">
        <v>2685.34</v>
      </c>
      <c r="G1169">
        <v>2023</v>
      </c>
    </row>
    <row r="1170" spans="1:7" x14ac:dyDescent="0.3">
      <c r="A1170" t="s">
        <v>184</v>
      </c>
      <c r="B1170" t="s">
        <v>30</v>
      </c>
      <c r="C1170" t="s">
        <v>13</v>
      </c>
      <c r="D1170" t="s">
        <v>14</v>
      </c>
      <c r="E1170" t="s">
        <v>24</v>
      </c>
      <c r="F1170">
        <v>3561.14</v>
      </c>
      <c r="G1170">
        <v>2022</v>
      </c>
    </row>
    <row r="1171" spans="1:7" x14ac:dyDescent="0.3">
      <c r="A1171" t="s">
        <v>55</v>
      </c>
      <c r="B1171" t="s">
        <v>12</v>
      </c>
      <c r="C1171" t="s">
        <v>23</v>
      </c>
      <c r="D1171" t="s">
        <v>9</v>
      </c>
      <c r="E1171" t="s">
        <v>10</v>
      </c>
      <c r="F1171">
        <v>135.57</v>
      </c>
      <c r="G1171">
        <v>2023</v>
      </c>
    </row>
    <row r="1172" spans="1:7" x14ac:dyDescent="0.3">
      <c r="A1172" t="s">
        <v>201</v>
      </c>
      <c r="B1172" t="s">
        <v>12</v>
      </c>
      <c r="C1172" t="s">
        <v>8</v>
      </c>
      <c r="D1172" t="s">
        <v>28</v>
      </c>
      <c r="E1172" t="s">
        <v>15</v>
      </c>
      <c r="F1172">
        <v>651.62</v>
      </c>
      <c r="G1172">
        <v>2022</v>
      </c>
    </row>
    <row r="1173" spans="1:7" x14ac:dyDescent="0.3">
      <c r="A1173" t="s">
        <v>189</v>
      </c>
      <c r="B1173" t="s">
        <v>19</v>
      </c>
      <c r="C1173" t="s">
        <v>34</v>
      </c>
      <c r="D1173" t="s">
        <v>9</v>
      </c>
      <c r="E1173" t="s">
        <v>10</v>
      </c>
      <c r="F1173">
        <v>243.88</v>
      </c>
      <c r="G1173">
        <v>2023</v>
      </c>
    </row>
    <row r="1174" spans="1:7" x14ac:dyDescent="0.3">
      <c r="A1174" t="s">
        <v>215</v>
      </c>
      <c r="B1174" t="s">
        <v>17</v>
      </c>
      <c r="C1174" t="s">
        <v>34</v>
      </c>
      <c r="D1174" t="s">
        <v>28</v>
      </c>
      <c r="E1174" t="s">
        <v>24</v>
      </c>
      <c r="F1174">
        <v>2204.12</v>
      </c>
      <c r="G1174">
        <v>2023</v>
      </c>
    </row>
    <row r="1175" spans="1:7" x14ac:dyDescent="0.3">
      <c r="A1175" t="s">
        <v>77</v>
      </c>
      <c r="B1175" t="s">
        <v>30</v>
      </c>
      <c r="C1175" t="s">
        <v>34</v>
      </c>
      <c r="D1175" t="s">
        <v>9</v>
      </c>
      <c r="E1175" t="s">
        <v>24</v>
      </c>
      <c r="F1175">
        <v>4031.31</v>
      </c>
      <c r="G1175">
        <v>2023</v>
      </c>
    </row>
    <row r="1176" spans="1:7" x14ac:dyDescent="0.3">
      <c r="A1176" t="s">
        <v>37</v>
      </c>
      <c r="B1176" t="s">
        <v>17</v>
      </c>
      <c r="C1176" t="s">
        <v>8</v>
      </c>
      <c r="D1176" t="s">
        <v>14</v>
      </c>
      <c r="E1176" t="s">
        <v>24</v>
      </c>
      <c r="F1176">
        <v>1311.25</v>
      </c>
      <c r="G1176">
        <v>2022</v>
      </c>
    </row>
    <row r="1177" spans="1:7" x14ac:dyDescent="0.3">
      <c r="A1177" t="s">
        <v>96</v>
      </c>
      <c r="B1177" t="s">
        <v>19</v>
      </c>
      <c r="C1177" t="s">
        <v>8</v>
      </c>
      <c r="D1177" t="s">
        <v>9</v>
      </c>
      <c r="E1177" t="s">
        <v>10</v>
      </c>
      <c r="F1177">
        <v>496</v>
      </c>
      <c r="G1177">
        <v>2022</v>
      </c>
    </row>
    <row r="1178" spans="1:7" x14ac:dyDescent="0.3">
      <c r="A1178" t="s">
        <v>136</v>
      </c>
      <c r="B1178" t="s">
        <v>17</v>
      </c>
      <c r="C1178" t="s">
        <v>8</v>
      </c>
      <c r="D1178" t="s">
        <v>14</v>
      </c>
      <c r="E1178" t="s">
        <v>10</v>
      </c>
      <c r="F1178">
        <v>3182.6</v>
      </c>
      <c r="G1178">
        <v>2022</v>
      </c>
    </row>
    <row r="1179" spans="1:7" x14ac:dyDescent="0.3">
      <c r="A1179" t="s">
        <v>182</v>
      </c>
      <c r="B1179" t="s">
        <v>12</v>
      </c>
      <c r="C1179" t="s">
        <v>23</v>
      </c>
      <c r="D1179" t="s">
        <v>14</v>
      </c>
      <c r="E1179" t="s">
        <v>15</v>
      </c>
      <c r="F1179">
        <v>1935.31</v>
      </c>
      <c r="G1179">
        <v>2023</v>
      </c>
    </row>
    <row r="1180" spans="1:7" x14ac:dyDescent="0.3">
      <c r="A1180" t="s">
        <v>103</v>
      </c>
      <c r="B1180" t="s">
        <v>19</v>
      </c>
      <c r="C1180" t="s">
        <v>34</v>
      </c>
      <c r="D1180" t="s">
        <v>9</v>
      </c>
      <c r="E1180" t="s">
        <v>10</v>
      </c>
      <c r="F1180">
        <v>4354.08</v>
      </c>
      <c r="G1180">
        <v>2023</v>
      </c>
    </row>
    <row r="1181" spans="1:7" x14ac:dyDescent="0.3">
      <c r="A1181" t="s">
        <v>144</v>
      </c>
      <c r="B1181" t="s">
        <v>30</v>
      </c>
      <c r="C1181" t="s">
        <v>13</v>
      </c>
      <c r="D1181" t="s">
        <v>28</v>
      </c>
      <c r="E1181" t="s">
        <v>15</v>
      </c>
      <c r="F1181">
        <v>4545.6899999999996</v>
      </c>
      <c r="G1181">
        <v>2022</v>
      </c>
    </row>
    <row r="1182" spans="1:7" x14ac:dyDescent="0.3">
      <c r="A1182" t="s">
        <v>126</v>
      </c>
      <c r="B1182" t="s">
        <v>30</v>
      </c>
      <c r="C1182" t="s">
        <v>13</v>
      </c>
      <c r="D1182" t="s">
        <v>28</v>
      </c>
      <c r="E1182" t="s">
        <v>10</v>
      </c>
      <c r="F1182">
        <v>1019.91</v>
      </c>
      <c r="G1182">
        <v>2022</v>
      </c>
    </row>
    <row r="1183" spans="1:7" x14ac:dyDescent="0.3">
      <c r="A1183" t="s">
        <v>205</v>
      </c>
      <c r="B1183" t="s">
        <v>17</v>
      </c>
      <c r="C1183" t="s">
        <v>34</v>
      </c>
      <c r="D1183" t="s">
        <v>9</v>
      </c>
      <c r="E1183" t="s">
        <v>24</v>
      </c>
      <c r="F1183">
        <v>3313.08</v>
      </c>
      <c r="G1183">
        <v>2023</v>
      </c>
    </row>
    <row r="1184" spans="1:7" x14ac:dyDescent="0.3">
      <c r="A1184" t="s">
        <v>72</v>
      </c>
      <c r="B1184" t="s">
        <v>19</v>
      </c>
      <c r="C1184" t="s">
        <v>34</v>
      </c>
      <c r="D1184" t="s">
        <v>28</v>
      </c>
      <c r="E1184" t="s">
        <v>24</v>
      </c>
      <c r="F1184">
        <v>2988.27</v>
      </c>
      <c r="G1184">
        <v>2023</v>
      </c>
    </row>
    <row r="1185" spans="1:7" x14ac:dyDescent="0.3">
      <c r="A1185" t="s">
        <v>146</v>
      </c>
      <c r="B1185" t="s">
        <v>7</v>
      </c>
      <c r="C1185" t="s">
        <v>34</v>
      </c>
      <c r="D1185" t="s">
        <v>9</v>
      </c>
      <c r="E1185" t="s">
        <v>24</v>
      </c>
      <c r="F1185">
        <v>4688.47</v>
      </c>
      <c r="G1185">
        <v>2023</v>
      </c>
    </row>
    <row r="1186" spans="1:7" x14ac:dyDescent="0.3">
      <c r="A1186" t="s">
        <v>76</v>
      </c>
      <c r="B1186" t="s">
        <v>17</v>
      </c>
      <c r="C1186" t="s">
        <v>34</v>
      </c>
      <c r="D1186" t="s">
        <v>9</v>
      </c>
      <c r="E1186" t="s">
        <v>24</v>
      </c>
      <c r="F1186">
        <v>4159.3599999999997</v>
      </c>
      <c r="G1186">
        <v>2023</v>
      </c>
    </row>
    <row r="1187" spans="1:7" x14ac:dyDescent="0.3">
      <c r="A1187" t="s">
        <v>146</v>
      </c>
      <c r="B1187" t="s">
        <v>7</v>
      </c>
      <c r="C1187" t="s">
        <v>13</v>
      </c>
      <c r="D1187" t="s">
        <v>14</v>
      </c>
      <c r="E1187" t="s">
        <v>24</v>
      </c>
      <c r="F1187">
        <v>3142.22</v>
      </c>
      <c r="G1187">
        <v>2022</v>
      </c>
    </row>
    <row r="1188" spans="1:7" x14ac:dyDescent="0.3">
      <c r="A1188" t="s">
        <v>193</v>
      </c>
      <c r="B1188" t="s">
        <v>12</v>
      </c>
      <c r="C1188" t="s">
        <v>34</v>
      </c>
      <c r="D1188" t="s">
        <v>9</v>
      </c>
      <c r="E1188" t="s">
        <v>15</v>
      </c>
      <c r="F1188">
        <v>4654.5600000000004</v>
      </c>
      <c r="G1188">
        <v>2023</v>
      </c>
    </row>
    <row r="1189" spans="1:7" x14ac:dyDescent="0.3">
      <c r="A1189" t="s">
        <v>76</v>
      </c>
      <c r="B1189" t="s">
        <v>17</v>
      </c>
      <c r="C1189" t="s">
        <v>13</v>
      </c>
      <c r="D1189" t="s">
        <v>9</v>
      </c>
      <c r="E1189" t="s">
        <v>15</v>
      </c>
      <c r="F1189">
        <v>348.73</v>
      </c>
      <c r="G1189">
        <v>2022</v>
      </c>
    </row>
    <row r="1190" spans="1:7" x14ac:dyDescent="0.3">
      <c r="A1190" t="s">
        <v>109</v>
      </c>
      <c r="B1190" t="s">
        <v>12</v>
      </c>
      <c r="C1190" t="s">
        <v>23</v>
      </c>
      <c r="D1190" t="s">
        <v>14</v>
      </c>
      <c r="E1190" t="s">
        <v>15</v>
      </c>
      <c r="F1190">
        <v>4243.12</v>
      </c>
      <c r="G1190">
        <v>2023</v>
      </c>
    </row>
    <row r="1191" spans="1:7" x14ac:dyDescent="0.3">
      <c r="A1191" t="s">
        <v>52</v>
      </c>
      <c r="B1191" t="s">
        <v>19</v>
      </c>
      <c r="C1191" t="s">
        <v>8</v>
      </c>
      <c r="D1191" t="s">
        <v>14</v>
      </c>
      <c r="E1191" t="s">
        <v>24</v>
      </c>
      <c r="F1191">
        <v>4673.26</v>
      </c>
      <c r="G1191">
        <v>2022</v>
      </c>
    </row>
    <row r="1192" spans="1:7" x14ac:dyDescent="0.3">
      <c r="A1192" t="s">
        <v>85</v>
      </c>
      <c r="B1192" t="s">
        <v>30</v>
      </c>
      <c r="C1192" t="s">
        <v>8</v>
      </c>
      <c r="D1192" t="s">
        <v>28</v>
      </c>
      <c r="E1192" t="s">
        <v>10</v>
      </c>
      <c r="F1192">
        <v>1127.24</v>
      </c>
      <c r="G1192">
        <v>2022</v>
      </c>
    </row>
    <row r="1193" spans="1:7" x14ac:dyDescent="0.3">
      <c r="A1193" t="s">
        <v>185</v>
      </c>
      <c r="B1193" t="s">
        <v>30</v>
      </c>
      <c r="C1193" t="s">
        <v>34</v>
      </c>
      <c r="D1193" t="s">
        <v>9</v>
      </c>
      <c r="E1193" t="s">
        <v>24</v>
      </c>
      <c r="F1193">
        <v>884.52</v>
      </c>
      <c r="G1193">
        <v>2023</v>
      </c>
    </row>
    <row r="1194" spans="1:7" x14ac:dyDescent="0.3">
      <c r="A1194" t="s">
        <v>131</v>
      </c>
      <c r="B1194" t="s">
        <v>17</v>
      </c>
      <c r="C1194" t="s">
        <v>34</v>
      </c>
      <c r="D1194" t="s">
        <v>9</v>
      </c>
      <c r="E1194" t="s">
        <v>24</v>
      </c>
      <c r="F1194">
        <v>692.69</v>
      </c>
      <c r="G1194">
        <v>2023</v>
      </c>
    </row>
    <row r="1195" spans="1:7" x14ac:dyDescent="0.3">
      <c r="A1195" t="s">
        <v>149</v>
      </c>
      <c r="B1195" t="s">
        <v>17</v>
      </c>
      <c r="C1195" t="s">
        <v>8</v>
      </c>
      <c r="D1195" t="s">
        <v>9</v>
      </c>
      <c r="E1195" t="s">
        <v>15</v>
      </c>
      <c r="F1195">
        <v>1097.77</v>
      </c>
      <c r="G1195">
        <v>2022</v>
      </c>
    </row>
    <row r="1196" spans="1:7" x14ac:dyDescent="0.3">
      <c r="A1196" t="s">
        <v>41</v>
      </c>
      <c r="B1196" t="s">
        <v>30</v>
      </c>
      <c r="C1196" t="s">
        <v>8</v>
      </c>
      <c r="D1196" t="s">
        <v>9</v>
      </c>
      <c r="E1196" t="s">
        <v>15</v>
      </c>
      <c r="F1196">
        <v>3601.71</v>
      </c>
      <c r="G1196">
        <v>2022</v>
      </c>
    </row>
    <row r="1197" spans="1:7" x14ac:dyDescent="0.3">
      <c r="A1197" t="s">
        <v>130</v>
      </c>
      <c r="B1197" t="s">
        <v>12</v>
      </c>
      <c r="C1197" t="s">
        <v>23</v>
      </c>
      <c r="D1197" t="s">
        <v>14</v>
      </c>
      <c r="E1197" t="s">
        <v>15</v>
      </c>
      <c r="F1197">
        <v>4661.5</v>
      </c>
      <c r="G1197">
        <v>2023</v>
      </c>
    </row>
    <row r="1198" spans="1:7" x14ac:dyDescent="0.3">
      <c r="A1198" t="s">
        <v>25</v>
      </c>
      <c r="B1198" t="s">
        <v>19</v>
      </c>
      <c r="C1198" t="s">
        <v>23</v>
      </c>
      <c r="D1198" t="s">
        <v>14</v>
      </c>
      <c r="E1198" t="s">
        <v>10</v>
      </c>
      <c r="F1198">
        <v>4163.95</v>
      </c>
      <c r="G1198">
        <v>2023</v>
      </c>
    </row>
    <row r="1199" spans="1:7" x14ac:dyDescent="0.3">
      <c r="A1199" t="s">
        <v>40</v>
      </c>
      <c r="B1199" t="s">
        <v>19</v>
      </c>
      <c r="C1199" t="s">
        <v>23</v>
      </c>
      <c r="D1199" t="s">
        <v>14</v>
      </c>
      <c r="E1199" t="s">
        <v>15</v>
      </c>
      <c r="F1199">
        <v>2018.59</v>
      </c>
      <c r="G1199">
        <v>2023</v>
      </c>
    </row>
    <row r="1200" spans="1:7" x14ac:dyDescent="0.3">
      <c r="A1200" t="s">
        <v>118</v>
      </c>
      <c r="B1200" t="s">
        <v>30</v>
      </c>
      <c r="C1200" t="s">
        <v>13</v>
      </c>
      <c r="D1200" t="s">
        <v>28</v>
      </c>
      <c r="E1200" t="s">
        <v>10</v>
      </c>
      <c r="F1200">
        <v>1373.09</v>
      </c>
      <c r="G1200">
        <v>2022</v>
      </c>
    </row>
    <row r="1201" spans="1:7" x14ac:dyDescent="0.3">
      <c r="A1201" t="s">
        <v>65</v>
      </c>
      <c r="B1201" t="s">
        <v>30</v>
      </c>
      <c r="C1201" t="s">
        <v>13</v>
      </c>
      <c r="D1201" t="s">
        <v>14</v>
      </c>
      <c r="E1201" t="s">
        <v>10</v>
      </c>
      <c r="F1201">
        <v>1419.59</v>
      </c>
      <c r="G1201">
        <v>2022</v>
      </c>
    </row>
    <row r="1202" spans="1:7" x14ac:dyDescent="0.3">
      <c r="A1202" t="s">
        <v>47</v>
      </c>
      <c r="B1202" t="s">
        <v>30</v>
      </c>
      <c r="C1202" t="s">
        <v>34</v>
      </c>
      <c r="D1202" t="s">
        <v>14</v>
      </c>
      <c r="E1202" t="s">
        <v>24</v>
      </c>
      <c r="F1202">
        <v>3946.93</v>
      </c>
      <c r="G1202">
        <v>2023</v>
      </c>
    </row>
    <row r="1203" spans="1:7" x14ac:dyDescent="0.3">
      <c r="A1203" t="s">
        <v>32</v>
      </c>
      <c r="B1203" t="s">
        <v>7</v>
      </c>
      <c r="C1203" t="s">
        <v>34</v>
      </c>
      <c r="D1203" t="s">
        <v>14</v>
      </c>
      <c r="E1203" t="s">
        <v>24</v>
      </c>
      <c r="F1203">
        <v>685.73</v>
      </c>
      <c r="G1203">
        <v>2023</v>
      </c>
    </row>
    <row r="1204" spans="1:7" x14ac:dyDescent="0.3">
      <c r="A1204" t="s">
        <v>108</v>
      </c>
      <c r="B1204" t="s">
        <v>7</v>
      </c>
      <c r="C1204" t="s">
        <v>8</v>
      </c>
      <c r="D1204" t="s">
        <v>14</v>
      </c>
      <c r="E1204" t="s">
        <v>10</v>
      </c>
      <c r="F1204">
        <v>4879.25</v>
      </c>
      <c r="G1204">
        <v>2022</v>
      </c>
    </row>
    <row r="1205" spans="1:7" x14ac:dyDescent="0.3">
      <c r="A1205" t="s">
        <v>64</v>
      </c>
      <c r="B1205" t="s">
        <v>30</v>
      </c>
      <c r="C1205" t="s">
        <v>8</v>
      </c>
      <c r="D1205" t="s">
        <v>9</v>
      </c>
      <c r="E1205" t="s">
        <v>10</v>
      </c>
      <c r="F1205">
        <v>3667.49</v>
      </c>
      <c r="G1205">
        <v>2022</v>
      </c>
    </row>
    <row r="1206" spans="1:7" x14ac:dyDescent="0.3">
      <c r="A1206" t="s">
        <v>150</v>
      </c>
      <c r="B1206" t="s">
        <v>30</v>
      </c>
      <c r="C1206" t="s">
        <v>13</v>
      </c>
      <c r="D1206" t="s">
        <v>28</v>
      </c>
      <c r="E1206" t="s">
        <v>15</v>
      </c>
      <c r="F1206">
        <v>1085.32</v>
      </c>
      <c r="G1206">
        <v>2022</v>
      </c>
    </row>
    <row r="1207" spans="1:7" x14ac:dyDescent="0.3">
      <c r="A1207" t="s">
        <v>175</v>
      </c>
      <c r="B1207" t="s">
        <v>7</v>
      </c>
      <c r="C1207" t="s">
        <v>23</v>
      </c>
      <c r="D1207" t="s">
        <v>14</v>
      </c>
      <c r="E1207" t="s">
        <v>10</v>
      </c>
      <c r="F1207">
        <v>4510.42</v>
      </c>
      <c r="G1207">
        <v>2023</v>
      </c>
    </row>
    <row r="1208" spans="1:7" x14ac:dyDescent="0.3">
      <c r="A1208" t="s">
        <v>84</v>
      </c>
      <c r="B1208" t="s">
        <v>30</v>
      </c>
      <c r="C1208" t="s">
        <v>34</v>
      </c>
      <c r="D1208" t="s">
        <v>14</v>
      </c>
      <c r="E1208" t="s">
        <v>24</v>
      </c>
      <c r="F1208">
        <v>499.33</v>
      </c>
      <c r="G1208">
        <v>2023</v>
      </c>
    </row>
    <row r="1209" spans="1:7" x14ac:dyDescent="0.3">
      <c r="A1209" t="s">
        <v>153</v>
      </c>
      <c r="B1209" t="s">
        <v>7</v>
      </c>
      <c r="C1209" t="s">
        <v>8</v>
      </c>
      <c r="D1209" t="s">
        <v>9</v>
      </c>
      <c r="E1209" t="s">
        <v>15</v>
      </c>
      <c r="F1209">
        <v>1951.92</v>
      </c>
      <c r="G1209">
        <v>2022</v>
      </c>
    </row>
    <row r="1210" spans="1:7" x14ac:dyDescent="0.3">
      <c r="A1210" t="s">
        <v>93</v>
      </c>
      <c r="B1210" t="s">
        <v>30</v>
      </c>
      <c r="C1210" t="s">
        <v>23</v>
      </c>
      <c r="D1210" t="s">
        <v>9</v>
      </c>
      <c r="E1210" t="s">
        <v>15</v>
      </c>
      <c r="F1210">
        <v>1473.59</v>
      </c>
      <c r="G1210">
        <v>2023</v>
      </c>
    </row>
    <row r="1211" spans="1:7" x14ac:dyDescent="0.3">
      <c r="A1211" t="s">
        <v>97</v>
      </c>
      <c r="B1211" t="s">
        <v>7</v>
      </c>
      <c r="C1211" t="s">
        <v>13</v>
      </c>
      <c r="D1211" t="s">
        <v>14</v>
      </c>
      <c r="E1211" t="s">
        <v>15</v>
      </c>
      <c r="F1211">
        <v>3545.05</v>
      </c>
      <c r="G1211">
        <v>2022</v>
      </c>
    </row>
    <row r="1212" spans="1:7" x14ac:dyDescent="0.3">
      <c r="A1212" t="s">
        <v>115</v>
      </c>
      <c r="B1212" t="s">
        <v>19</v>
      </c>
      <c r="C1212" t="s">
        <v>34</v>
      </c>
      <c r="D1212" t="s">
        <v>28</v>
      </c>
      <c r="E1212" t="s">
        <v>24</v>
      </c>
      <c r="F1212">
        <v>84.78</v>
      </c>
      <c r="G1212">
        <v>2023</v>
      </c>
    </row>
    <row r="1213" spans="1:7" x14ac:dyDescent="0.3">
      <c r="A1213" t="s">
        <v>102</v>
      </c>
      <c r="B1213" t="s">
        <v>19</v>
      </c>
      <c r="C1213" t="s">
        <v>23</v>
      </c>
      <c r="D1213" t="s">
        <v>28</v>
      </c>
      <c r="E1213" t="s">
        <v>10</v>
      </c>
      <c r="F1213">
        <v>1941.65</v>
      </c>
      <c r="G1213">
        <v>2023</v>
      </c>
    </row>
    <row r="1214" spans="1:7" x14ac:dyDescent="0.3">
      <c r="A1214" t="s">
        <v>191</v>
      </c>
      <c r="B1214" t="s">
        <v>12</v>
      </c>
      <c r="C1214" t="s">
        <v>34</v>
      </c>
      <c r="D1214" t="s">
        <v>14</v>
      </c>
      <c r="E1214" t="s">
        <v>10</v>
      </c>
      <c r="F1214">
        <v>2646.36</v>
      </c>
      <c r="G1214">
        <v>2023</v>
      </c>
    </row>
    <row r="1215" spans="1:7" x14ac:dyDescent="0.3">
      <c r="A1215" t="s">
        <v>101</v>
      </c>
      <c r="B1215" t="s">
        <v>19</v>
      </c>
      <c r="C1215" t="s">
        <v>23</v>
      </c>
      <c r="D1215" t="s">
        <v>9</v>
      </c>
      <c r="E1215" t="s">
        <v>24</v>
      </c>
      <c r="F1215">
        <v>1257.08</v>
      </c>
      <c r="G1215">
        <v>2023</v>
      </c>
    </row>
    <row r="1216" spans="1:7" x14ac:dyDescent="0.3">
      <c r="A1216" t="s">
        <v>49</v>
      </c>
      <c r="B1216" t="s">
        <v>19</v>
      </c>
      <c r="C1216" t="s">
        <v>13</v>
      </c>
      <c r="D1216" t="s">
        <v>14</v>
      </c>
      <c r="E1216" t="s">
        <v>10</v>
      </c>
      <c r="F1216">
        <v>4445.1499999999996</v>
      </c>
      <c r="G1216">
        <v>2022</v>
      </c>
    </row>
    <row r="1217" spans="1:7" x14ac:dyDescent="0.3">
      <c r="A1217" t="s">
        <v>84</v>
      </c>
      <c r="B1217" t="s">
        <v>30</v>
      </c>
      <c r="C1217" t="s">
        <v>13</v>
      </c>
      <c r="D1217" t="s">
        <v>28</v>
      </c>
      <c r="E1217" t="s">
        <v>15</v>
      </c>
      <c r="F1217">
        <v>3717.99</v>
      </c>
      <c r="G1217">
        <v>2022</v>
      </c>
    </row>
    <row r="1218" spans="1:7" x14ac:dyDescent="0.3">
      <c r="A1218" t="s">
        <v>196</v>
      </c>
      <c r="B1218" t="s">
        <v>30</v>
      </c>
      <c r="C1218" t="s">
        <v>23</v>
      </c>
      <c r="D1218" t="s">
        <v>9</v>
      </c>
      <c r="E1218" t="s">
        <v>24</v>
      </c>
      <c r="F1218">
        <v>4588.6400000000003</v>
      </c>
      <c r="G1218">
        <v>2023</v>
      </c>
    </row>
    <row r="1219" spans="1:7" x14ac:dyDescent="0.3">
      <c r="A1219" t="s">
        <v>161</v>
      </c>
      <c r="B1219" t="s">
        <v>7</v>
      </c>
      <c r="C1219" t="s">
        <v>8</v>
      </c>
      <c r="D1219" t="s">
        <v>9</v>
      </c>
      <c r="E1219" t="s">
        <v>10</v>
      </c>
      <c r="F1219">
        <v>1806.88</v>
      </c>
      <c r="G1219">
        <v>2022</v>
      </c>
    </row>
    <row r="1220" spans="1:7" x14ac:dyDescent="0.3">
      <c r="A1220" t="s">
        <v>83</v>
      </c>
      <c r="B1220" t="s">
        <v>17</v>
      </c>
      <c r="C1220" t="s">
        <v>8</v>
      </c>
      <c r="D1220" t="s">
        <v>9</v>
      </c>
      <c r="E1220" t="s">
        <v>15</v>
      </c>
      <c r="F1220">
        <v>1893.45</v>
      </c>
      <c r="G1220">
        <v>2022</v>
      </c>
    </row>
    <row r="1221" spans="1:7" x14ac:dyDescent="0.3">
      <c r="A1221" t="s">
        <v>87</v>
      </c>
      <c r="B1221" t="s">
        <v>12</v>
      </c>
      <c r="C1221" t="s">
        <v>23</v>
      </c>
      <c r="D1221" t="s">
        <v>28</v>
      </c>
      <c r="E1221" t="s">
        <v>15</v>
      </c>
      <c r="F1221">
        <v>2906.15</v>
      </c>
      <c r="G1221">
        <v>2023</v>
      </c>
    </row>
    <row r="1222" spans="1:7" x14ac:dyDescent="0.3">
      <c r="A1222" t="s">
        <v>205</v>
      </c>
      <c r="B1222" t="s">
        <v>17</v>
      </c>
      <c r="C1222" t="s">
        <v>23</v>
      </c>
      <c r="D1222" t="s">
        <v>9</v>
      </c>
      <c r="E1222" t="s">
        <v>10</v>
      </c>
      <c r="F1222">
        <v>4352.62</v>
      </c>
      <c r="G1222">
        <v>2023</v>
      </c>
    </row>
    <row r="1223" spans="1:7" x14ac:dyDescent="0.3">
      <c r="A1223" t="s">
        <v>40</v>
      </c>
      <c r="B1223" t="s">
        <v>19</v>
      </c>
      <c r="C1223" t="s">
        <v>8</v>
      </c>
      <c r="D1223" t="s">
        <v>14</v>
      </c>
      <c r="E1223" t="s">
        <v>10</v>
      </c>
      <c r="F1223">
        <v>750.01</v>
      </c>
      <c r="G1223">
        <v>2022</v>
      </c>
    </row>
    <row r="1224" spans="1:7" x14ac:dyDescent="0.3">
      <c r="A1224" t="s">
        <v>78</v>
      </c>
      <c r="B1224" t="s">
        <v>7</v>
      </c>
      <c r="C1224" t="s">
        <v>13</v>
      </c>
      <c r="D1224" t="s">
        <v>28</v>
      </c>
      <c r="E1224" t="s">
        <v>15</v>
      </c>
      <c r="F1224">
        <v>1435.13</v>
      </c>
      <c r="G1224">
        <v>2022</v>
      </c>
    </row>
    <row r="1225" spans="1:7" x14ac:dyDescent="0.3">
      <c r="A1225" t="s">
        <v>181</v>
      </c>
      <c r="B1225" t="s">
        <v>30</v>
      </c>
      <c r="C1225" t="s">
        <v>13</v>
      </c>
      <c r="D1225" t="s">
        <v>14</v>
      </c>
      <c r="E1225" t="s">
        <v>24</v>
      </c>
      <c r="F1225">
        <v>3346.28</v>
      </c>
      <c r="G1225">
        <v>2022</v>
      </c>
    </row>
    <row r="1226" spans="1:7" x14ac:dyDescent="0.3">
      <c r="A1226" t="s">
        <v>74</v>
      </c>
      <c r="B1226" t="s">
        <v>19</v>
      </c>
      <c r="C1226" t="s">
        <v>8</v>
      </c>
      <c r="D1226" t="s">
        <v>9</v>
      </c>
      <c r="E1226" t="s">
        <v>15</v>
      </c>
      <c r="F1226">
        <v>3975.69</v>
      </c>
      <c r="G1226">
        <v>2022</v>
      </c>
    </row>
    <row r="1227" spans="1:7" x14ac:dyDescent="0.3">
      <c r="A1227" t="s">
        <v>88</v>
      </c>
      <c r="B1227" t="s">
        <v>7</v>
      </c>
      <c r="C1227" t="s">
        <v>23</v>
      </c>
      <c r="D1227" t="s">
        <v>14</v>
      </c>
      <c r="E1227" t="s">
        <v>24</v>
      </c>
      <c r="F1227">
        <v>3453.13</v>
      </c>
      <c r="G1227">
        <v>2023</v>
      </c>
    </row>
    <row r="1228" spans="1:7" x14ac:dyDescent="0.3">
      <c r="A1228" t="s">
        <v>151</v>
      </c>
      <c r="B1228" t="s">
        <v>12</v>
      </c>
      <c r="C1228" t="s">
        <v>34</v>
      </c>
      <c r="D1228" t="s">
        <v>9</v>
      </c>
      <c r="E1228" t="s">
        <v>24</v>
      </c>
      <c r="F1228">
        <v>626.03</v>
      </c>
      <c r="G1228">
        <v>2023</v>
      </c>
    </row>
    <row r="1229" spans="1:7" x14ac:dyDescent="0.3">
      <c r="A1229" t="s">
        <v>123</v>
      </c>
      <c r="B1229" t="s">
        <v>30</v>
      </c>
      <c r="C1229" t="s">
        <v>13</v>
      </c>
      <c r="D1229" t="s">
        <v>14</v>
      </c>
      <c r="E1229" t="s">
        <v>15</v>
      </c>
      <c r="F1229">
        <v>3255.93</v>
      </c>
      <c r="G1229">
        <v>2022</v>
      </c>
    </row>
    <row r="1230" spans="1:7" x14ac:dyDescent="0.3">
      <c r="A1230" t="s">
        <v>219</v>
      </c>
      <c r="B1230" t="s">
        <v>12</v>
      </c>
      <c r="C1230" t="s">
        <v>8</v>
      </c>
      <c r="D1230" t="s">
        <v>28</v>
      </c>
      <c r="E1230" t="s">
        <v>24</v>
      </c>
      <c r="F1230">
        <v>4437.74</v>
      </c>
      <c r="G1230">
        <v>2022</v>
      </c>
    </row>
    <row r="1231" spans="1:7" x14ac:dyDescent="0.3">
      <c r="A1231" t="s">
        <v>62</v>
      </c>
      <c r="B1231" t="s">
        <v>30</v>
      </c>
      <c r="C1231" t="s">
        <v>23</v>
      </c>
      <c r="D1231" t="s">
        <v>28</v>
      </c>
      <c r="E1231" t="s">
        <v>10</v>
      </c>
      <c r="F1231">
        <v>1531</v>
      </c>
      <c r="G1231">
        <v>2023</v>
      </c>
    </row>
    <row r="1232" spans="1:7" x14ac:dyDescent="0.3">
      <c r="A1232" t="s">
        <v>142</v>
      </c>
      <c r="B1232" t="s">
        <v>17</v>
      </c>
      <c r="C1232" t="s">
        <v>8</v>
      </c>
      <c r="D1232" t="s">
        <v>28</v>
      </c>
      <c r="E1232" t="s">
        <v>24</v>
      </c>
      <c r="F1232">
        <v>3938.07</v>
      </c>
      <c r="G1232">
        <v>2022</v>
      </c>
    </row>
    <row r="1233" spans="1:7" x14ac:dyDescent="0.3">
      <c r="A1233" t="s">
        <v>141</v>
      </c>
      <c r="B1233" t="s">
        <v>7</v>
      </c>
      <c r="C1233" t="s">
        <v>13</v>
      </c>
      <c r="D1233" t="s">
        <v>14</v>
      </c>
      <c r="E1233" t="s">
        <v>10</v>
      </c>
      <c r="F1233">
        <v>1999.93</v>
      </c>
      <c r="G1233">
        <v>2022</v>
      </c>
    </row>
    <row r="1234" spans="1:7" x14ac:dyDescent="0.3">
      <c r="A1234" t="s">
        <v>214</v>
      </c>
      <c r="B1234" t="s">
        <v>30</v>
      </c>
      <c r="C1234" t="s">
        <v>13</v>
      </c>
      <c r="D1234" t="s">
        <v>9</v>
      </c>
      <c r="E1234" t="s">
        <v>15</v>
      </c>
      <c r="F1234">
        <v>379.85</v>
      </c>
      <c r="G1234">
        <v>2022</v>
      </c>
    </row>
    <row r="1235" spans="1:7" x14ac:dyDescent="0.3">
      <c r="A1235" t="s">
        <v>55</v>
      </c>
      <c r="B1235" t="s">
        <v>12</v>
      </c>
      <c r="C1235" t="s">
        <v>13</v>
      </c>
      <c r="D1235" t="s">
        <v>9</v>
      </c>
      <c r="E1235" t="s">
        <v>24</v>
      </c>
      <c r="F1235">
        <v>4069.54</v>
      </c>
      <c r="G1235">
        <v>2022</v>
      </c>
    </row>
    <row r="1236" spans="1:7" x14ac:dyDescent="0.3">
      <c r="A1236" t="s">
        <v>171</v>
      </c>
      <c r="B1236" t="s">
        <v>17</v>
      </c>
      <c r="C1236" t="s">
        <v>34</v>
      </c>
      <c r="D1236" t="s">
        <v>28</v>
      </c>
      <c r="E1236" t="s">
        <v>15</v>
      </c>
      <c r="F1236">
        <v>2664.95</v>
      </c>
      <c r="G1236">
        <v>2023</v>
      </c>
    </row>
    <row r="1237" spans="1:7" x14ac:dyDescent="0.3">
      <c r="A1237" t="s">
        <v>160</v>
      </c>
      <c r="B1237" t="s">
        <v>30</v>
      </c>
      <c r="C1237" t="s">
        <v>34</v>
      </c>
      <c r="D1237" t="s">
        <v>9</v>
      </c>
      <c r="E1237" t="s">
        <v>15</v>
      </c>
      <c r="F1237">
        <v>1975.28</v>
      </c>
      <c r="G1237">
        <v>2023</v>
      </c>
    </row>
    <row r="1238" spans="1:7" x14ac:dyDescent="0.3">
      <c r="A1238" t="s">
        <v>215</v>
      </c>
      <c r="B1238" t="s">
        <v>17</v>
      </c>
      <c r="C1238" t="s">
        <v>8</v>
      </c>
      <c r="D1238" t="s">
        <v>14</v>
      </c>
      <c r="E1238" t="s">
        <v>24</v>
      </c>
      <c r="F1238">
        <v>4697.13</v>
      </c>
      <c r="G1238">
        <v>2022</v>
      </c>
    </row>
    <row r="1239" spans="1:7" x14ac:dyDescent="0.3">
      <c r="A1239" t="s">
        <v>204</v>
      </c>
      <c r="B1239" t="s">
        <v>30</v>
      </c>
      <c r="C1239" t="s">
        <v>13</v>
      </c>
      <c r="D1239" t="s">
        <v>14</v>
      </c>
      <c r="E1239" t="s">
        <v>15</v>
      </c>
      <c r="F1239">
        <v>2932.94</v>
      </c>
      <c r="G1239">
        <v>2022</v>
      </c>
    </row>
    <row r="1240" spans="1:7" x14ac:dyDescent="0.3">
      <c r="A1240" t="s">
        <v>190</v>
      </c>
      <c r="B1240" t="s">
        <v>17</v>
      </c>
      <c r="C1240" t="s">
        <v>8</v>
      </c>
      <c r="D1240" t="s">
        <v>28</v>
      </c>
      <c r="E1240" t="s">
        <v>15</v>
      </c>
      <c r="F1240">
        <v>1869.13</v>
      </c>
      <c r="G1240">
        <v>2022</v>
      </c>
    </row>
    <row r="1241" spans="1:7" x14ac:dyDescent="0.3">
      <c r="A1241" t="s">
        <v>87</v>
      </c>
      <c r="B1241" t="s">
        <v>12</v>
      </c>
      <c r="C1241" t="s">
        <v>8</v>
      </c>
      <c r="D1241" t="s">
        <v>14</v>
      </c>
      <c r="E1241" t="s">
        <v>15</v>
      </c>
      <c r="F1241">
        <v>3433.46</v>
      </c>
      <c r="G1241">
        <v>2022</v>
      </c>
    </row>
    <row r="1242" spans="1:7" x14ac:dyDescent="0.3">
      <c r="A1242" t="s">
        <v>218</v>
      </c>
      <c r="B1242" t="s">
        <v>17</v>
      </c>
      <c r="C1242" t="s">
        <v>23</v>
      </c>
      <c r="D1242" t="s">
        <v>14</v>
      </c>
      <c r="E1242" t="s">
        <v>10</v>
      </c>
      <c r="F1242">
        <v>3234.84</v>
      </c>
      <c r="G1242">
        <v>2023</v>
      </c>
    </row>
    <row r="1243" spans="1:7" x14ac:dyDescent="0.3">
      <c r="A1243" t="s">
        <v>31</v>
      </c>
      <c r="B1243" t="s">
        <v>30</v>
      </c>
      <c r="C1243" t="s">
        <v>8</v>
      </c>
      <c r="D1243" t="s">
        <v>14</v>
      </c>
      <c r="E1243" t="s">
        <v>24</v>
      </c>
      <c r="F1243">
        <v>2947.36</v>
      </c>
      <c r="G1243">
        <v>2022</v>
      </c>
    </row>
    <row r="1244" spans="1:7" x14ac:dyDescent="0.3">
      <c r="A1244" t="s">
        <v>204</v>
      </c>
      <c r="B1244" t="s">
        <v>30</v>
      </c>
      <c r="C1244" t="s">
        <v>34</v>
      </c>
      <c r="D1244" t="s">
        <v>9</v>
      </c>
      <c r="E1244" t="s">
        <v>24</v>
      </c>
      <c r="F1244">
        <v>4189.46</v>
      </c>
      <c r="G1244">
        <v>2023</v>
      </c>
    </row>
    <row r="1245" spans="1:7" x14ac:dyDescent="0.3">
      <c r="A1245" t="s">
        <v>31</v>
      </c>
      <c r="B1245" t="s">
        <v>30</v>
      </c>
      <c r="C1245" t="s">
        <v>8</v>
      </c>
      <c r="D1245" t="s">
        <v>14</v>
      </c>
      <c r="E1245" t="s">
        <v>15</v>
      </c>
      <c r="F1245">
        <v>4346.51</v>
      </c>
      <c r="G1245">
        <v>2022</v>
      </c>
    </row>
    <row r="1246" spans="1:7" x14ac:dyDescent="0.3">
      <c r="A1246" t="s">
        <v>124</v>
      </c>
      <c r="B1246" t="s">
        <v>12</v>
      </c>
      <c r="C1246" t="s">
        <v>34</v>
      </c>
      <c r="D1246" t="s">
        <v>14</v>
      </c>
      <c r="E1246" t="s">
        <v>15</v>
      </c>
      <c r="F1246">
        <v>1356.94</v>
      </c>
      <c r="G1246">
        <v>2023</v>
      </c>
    </row>
    <row r="1247" spans="1:7" x14ac:dyDescent="0.3">
      <c r="A1247" t="s">
        <v>197</v>
      </c>
      <c r="B1247" t="s">
        <v>30</v>
      </c>
      <c r="C1247" t="s">
        <v>8</v>
      </c>
      <c r="D1247" t="s">
        <v>28</v>
      </c>
      <c r="E1247" t="s">
        <v>10</v>
      </c>
      <c r="F1247">
        <v>50.06</v>
      </c>
      <c r="G1247">
        <v>2022</v>
      </c>
    </row>
    <row r="1248" spans="1:7" x14ac:dyDescent="0.3">
      <c r="A1248" t="s">
        <v>202</v>
      </c>
      <c r="B1248" t="s">
        <v>12</v>
      </c>
      <c r="C1248" t="s">
        <v>13</v>
      </c>
      <c r="D1248" t="s">
        <v>28</v>
      </c>
      <c r="E1248" t="s">
        <v>15</v>
      </c>
      <c r="F1248">
        <v>3795.55</v>
      </c>
      <c r="G1248">
        <v>2022</v>
      </c>
    </row>
    <row r="1249" spans="1:7" x14ac:dyDescent="0.3">
      <c r="A1249" t="s">
        <v>60</v>
      </c>
      <c r="B1249" t="s">
        <v>12</v>
      </c>
      <c r="C1249" t="s">
        <v>34</v>
      </c>
      <c r="D1249" t="s">
        <v>9</v>
      </c>
      <c r="E1249" t="s">
        <v>10</v>
      </c>
      <c r="F1249">
        <v>4134.21</v>
      </c>
      <c r="G1249">
        <v>2023</v>
      </c>
    </row>
    <row r="1250" spans="1:7" x14ac:dyDescent="0.3">
      <c r="A1250" t="s">
        <v>214</v>
      </c>
      <c r="B1250" t="s">
        <v>30</v>
      </c>
      <c r="C1250" t="s">
        <v>34</v>
      </c>
      <c r="D1250" t="s">
        <v>9</v>
      </c>
      <c r="E1250" t="s">
        <v>24</v>
      </c>
      <c r="F1250">
        <v>2597.36</v>
      </c>
      <c r="G1250">
        <v>2023</v>
      </c>
    </row>
    <row r="1251" spans="1:7" x14ac:dyDescent="0.3">
      <c r="A1251" t="s">
        <v>219</v>
      </c>
      <c r="B1251" t="s">
        <v>12</v>
      </c>
      <c r="C1251" t="s">
        <v>8</v>
      </c>
      <c r="D1251" t="s">
        <v>14</v>
      </c>
      <c r="E1251" t="s">
        <v>24</v>
      </c>
      <c r="F1251">
        <v>2151.91</v>
      </c>
      <c r="G1251">
        <v>2022</v>
      </c>
    </row>
    <row r="1252" spans="1:7" x14ac:dyDescent="0.3">
      <c r="A1252" t="s">
        <v>164</v>
      </c>
      <c r="B1252" t="s">
        <v>19</v>
      </c>
      <c r="C1252" t="s">
        <v>34</v>
      </c>
      <c r="D1252" t="s">
        <v>14</v>
      </c>
      <c r="E1252" t="s">
        <v>10</v>
      </c>
      <c r="F1252">
        <v>3338.56</v>
      </c>
      <c r="G1252">
        <v>2023</v>
      </c>
    </row>
    <row r="1253" spans="1:7" x14ac:dyDescent="0.3">
      <c r="A1253" t="s">
        <v>123</v>
      </c>
      <c r="B1253" t="s">
        <v>30</v>
      </c>
      <c r="C1253" t="s">
        <v>23</v>
      </c>
      <c r="D1253" t="s">
        <v>9</v>
      </c>
      <c r="E1253" t="s">
        <v>15</v>
      </c>
      <c r="F1253">
        <v>284.86</v>
      </c>
      <c r="G1253">
        <v>2023</v>
      </c>
    </row>
    <row r="1254" spans="1:7" x14ac:dyDescent="0.3">
      <c r="A1254" t="s">
        <v>149</v>
      </c>
      <c r="B1254" t="s">
        <v>17</v>
      </c>
      <c r="C1254" t="s">
        <v>34</v>
      </c>
      <c r="D1254" t="s">
        <v>14</v>
      </c>
      <c r="E1254" t="s">
        <v>15</v>
      </c>
      <c r="F1254">
        <v>4418.62</v>
      </c>
      <c r="G1254">
        <v>2023</v>
      </c>
    </row>
    <row r="1255" spans="1:7" x14ac:dyDescent="0.3">
      <c r="A1255" t="s">
        <v>194</v>
      </c>
      <c r="B1255" t="s">
        <v>17</v>
      </c>
      <c r="C1255" t="s">
        <v>23</v>
      </c>
      <c r="D1255" t="s">
        <v>14</v>
      </c>
      <c r="E1255" t="s">
        <v>24</v>
      </c>
      <c r="F1255">
        <v>1452.21</v>
      </c>
      <c r="G1255">
        <v>2023</v>
      </c>
    </row>
    <row r="1256" spans="1:7" x14ac:dyDescent="0.3">
      <c r="A1256" t="s">
        <v>35</v>
      </c>
      <c r="B1256" t="s">
        <v>19</v>
      </c>
      <c r="C1256" t="s">
        <v>23</v>
      </c>
      <c r="D1256" t="s">
        <v>28</v>
      </c>
      <c r="E1256" t="s">
        <v>15</v>
      </c>
      <c r="F1256">
        <v>1001.43</v>
      </c>
      <c r="G1256">
        <v>2023</v>
      </c>
    </row>
    <row r="1257" spans="1:7" x14ac:dyDescent="0.3">
      <c r="A1257" t="s">
        <v>123</v>
      </c>
      <c r="B1257" t="s">
        <v>30</v>
      </c>
      <c r="C1257" t="s">
        <v>8</v>
      </c>
      <c r="D1257" t="s">
        <v>28</v>
      </c>
      <c r="E1257" t="s">
        <v>15</v>
      </c>
      <c r="F1257">
        <v>3280.78</v>
      </c>
      <c r="G1257">
        <v>2022</v>
      </c>
    </row>
    <row r="1258" spans="1:7" x14ac:dyDescent="0.3">
      <c r="A1258" t="s">
        <v>209</v>
      </c>
      <c r="B1258" t="s">
        <v>7</v>
      </c>
      <c r="C1258" t="s">
        <v>8</v>
      </c>
      <c r="D1258" t="s">
        <v>14</v>
      </c>
      <c r="E1258" t="s">
        <v>24</v>
      </c>
      <c r="F1258">
        <v>2429.6</v>
      </c>
      <c r="G1258">
        <v>2022</v>
      </c>
    </row>
    <row r="1259" spans="1:7" x14ac:dyDescent="0.3">
      <c r="A1259" t="s">
        <v>103</v>
      </c>
      <c r="B1259" t="s">
        <v>19</v>
      </c>
      <c r="C1259" t="s">
        <v>13</v>
      </c>
      <c r="D1259" t="s">
        <v>9</v>
      </c>
      <c r="E1259" t="s">
        <v>10</v>
      </c>
      <c r="F1259">
        <v>4025.99</v>
      </c>
      <c r="G1259">
        <v>2022</v>
      </c>
    </row>
    <row r="1260" spans="1:7" x14ac:dyDescent="0.3">
      <c r="A1260" t="s">
        <v>209</v>
      </c>
      <c r="B1260" t="s">
        <v>7</v>
      </c>
      <c r="C1260" t="s">
        <v>13</v>
      </c>
      <c r="D1260" t="s">
        <v>14</v>
      </c>
      <c r="E1260" t="s">
        <v>15</v>
      </c>
      <c r="F1260">
        <v>1880.25</v>
      </c>
      <c r="G1260">
        <v>2022</v>
      </c>
    </row>
    <row r="1261" spans="1:7" x14ac:dyDescent="0.3">
      <c r="A1261" t="s">
        <v>132</v>
      </c>
      <c r="B1261" t="s">
        <v>19</v>
      </c>
      <c r="C1261" t="s">
        <v>23</v>
      </c>
      <c r="D1261" t="s">
        <v>28</v>
      </c>
      <c r="E1261" t="s">
        <v>15</v>
      </c>
      <c r="F1261">
        <v>3107.51</v>
      </c>
      <c r="G1261">
        <v>2023</v>
      </c>
    </row>
    <row r="1262" spans="1:7" x14ac:dyDescent="0.3">
      <c r="A1262" t="s">
        <v>107</v>
      </c>
      <c r="B1262" t="s">
        <v>30</v>
      </c>
      <c r="C1262" t="s">
        <v>23</v>
      </c>
      <c r="D1262" t="s">
        <v>9</v>
      </c>
      <c r="E1262" t="s">
        <v>15</v>
      </c>
      <c r="F1262">
        <v>1430.94</v>
      </c>
      <c r="G1262">
        <v>2023</v>
      </c>
    </row>
    <row r="1263" spans="1:7" x14ac:dyDescent="0.3">
      <c r="A1263" t="s">
        <v>169</v>
      </c>
      <c r="B1263" t="s">
        <v>12</v>
      </c>
      <c r="C1263" t="s">
        <v>34</v>
      </c>
      <c r="D1263" t="s">
        <v>28</v>
      </c>
      <c r="E1263" t="s">
        <v>15</v>
      </c>
      <c r="F1263">
        <v>4735.9399999999996</v>
      </c>
      <c r="G1263">
        <v>2023</v>
      </c>
    </row>
    <row r="1264" spans="1:7" x14ac:dyDescent="0.3">
      <c r="A1264" t="s">
        <v>177</v>
      </c>
      <c r="B1264" t="s">
        <v>7</v>
      </c>
      <c r="C1264" t="s">
        <v>8</v>
      </c>
      <c r="D1264" t="s">
        <v>28</v>
      </c>
      <c r="E1264" t="s">
        <v>15</v>
      </c>
      <c r="F1264">
        <v>419.21</v>
      </c>
      <c r="G1264">
        <v>2022</v>
      </c>
    </row>
    <row r="1265" spans="1:7" x14ac:dyDescent="0.3">
      <c r="A1265" t="s">
        <v>208</v>
      </c>
      <c r="B1265" t="s">
        <v>19</v>
      </c>
      <c r="C1265" t="s">
        <v>34</v>
      </c>
      <c r="D1265" t="s">
        <v>9</v>
      </c>
      <c r="E1265" t="s">
        <v>24</v>
      </c>
      <c r="F1265">
        <v>3952.79</v>
      </c>
      <c r="G1265">
        <v>2023</v>
      </c>
    </row>
    <row r="1266" spans="1:7" x14ac:dyDescent="0.3">
      <c r="A1266" t="s">
        <v>170</v>
      </c>
      <c r="B1266" t="s">
        <v>12</v>
      </c>
      <c r="C1266" t="s">
        <v>8</v>
      </c>
      <c r="D1266" t="s">
        <v>28</v>
      </c>
      <c r="E1266" t="s">
        <v>10</v>
      </c>
      <c r="F1266">
        <v>2905.28</v>
      </c>
      <c r="G1266">
        <v>2022</v>
      </c>
    </row>
    <row r="1267" spans="1:7" x14ac:dyDescent="0.3">
      <c r="A1267" t="s">
        <v>101</v>
      </c>
      <c r="B1267" t="s">
        <v>19</v>
      </c>
      <c r="C1267" t="s">
        <v>13</v>
      </c>
      <c r="D1267" t="s">
        <v>28</v>
      </c>
      <c r="E1267" t="s">
        <v>24</v>
      </c>
      <c r="F1267">
        <v>2595.02</v>
      </c>
      <c r="G1267">
        <v>2022</v>
      </c>
    </row>
    <row r="1268" spans="1:7" x14ac:dyDescent="0.3">
      <c r="A1268" t="s">
        <v>93</v>
      </c>
      <c r="B1268" t="s">
        <v>30</v>
      </c>
      <c r="C1268" t="s">
        <v>34</v>
      </c>
      <c r="D1268" t="s">
        <v>9</v>
      </c>
      <c r="E1268" t="s">
        <v>15</v>
      </c>
      <c r="F1268">
        <v>4395.49</v>
      </c>
      <c r="G1268">
        <v>2023</v>
      </c>
    </row>
    <row r="1269" spans="1:7" x14ac:dyDescent="0.3">
      <c r="A1269" t="s">
        <v>91</v>
      </c>
      <c r="B1269" t="s">
        <v>30</v>
      </c>
      <c r="C1269" t="s">
        <v>23</v>
      </c>
      <c r="D1269" t="s">
        <v>14</v>
      </c>
      <c r="E1269" t="s">
        <v>24</v>
      </c>
      <c r="F1269">
        <v>969.03</v>
      </c>
      <c r="G1269">
        <v>2023</v>
      </c>
    </row>
    <row r="1270" spans="1:7" x14ac:dyDescent="0.3">
      <c r="A1270" t="s">
        <v>218</v>
      </c>
      <c r="B1270" t="s">
        <v>17</v>
      </c>
      <c r="C1270" t="s">
        <v>34</v>
      </c>
      <c r="D1270" t="s">
        <v>14</v>
      </c>
      <c r="E1270" t="s">
        <v>15</v>
      </c>
      <c r="F1270">
        <v>4736.7</v>
      </c>
      <c r="G1270">
        <v>2023</v>
      </c>
    </row>
    <row r="1271" spans="1:7" x14ac:dyDescent="0.3">
      <c r="A1271" t="s">
        <v>67</v>
      </c>
      <c r="B1271" t="s">
        <v>7</v>
      </c>
      <c r="C1271" t="s">
        <v>8</v>
      </c>
      <c r="D1271" t="s">
        <v>9</v>
      </c>
      <c r="E1271" t="s">
        <v>15</v>
      </c>
      <c r="F1271">
        <v>3116.27</v>
      </c>
      <c r="G1271">
        <v>2022</v>
      </c>
    </row>
    <row r="1272" spans="1:7" x14ac:dyDescent="0.3">
      <c r="A1272" t="s">
        <v>150</v>
      </c>
      <c r="B1272" t="s">
        <v>30</v>
      </c>
      <c r="C1272" t="s">
        <v>34</v>
      </c>
      <c r="D1272" t="s">
        <v>28</v>
      </c>
      <c r="E1272" t="s">
        <v>15</v>
      </c>
      <c r="F1272">
        <v>3048.92</v>
      </c>
      <c r="G1272">
        <v>2023</v>
      </c>
    </row>
    <row r="1273" spans="1:7" x14ac:dyDescent="0.3">
      <c r="A1273" t="s">
        <v>75</v>
      </c>
      <c r="B1273" t="s">
        <v>19</v>
      </c>
      <c r="C1273" t="s">
        <v>34</v>
      </c>
      <c r="D1273" t="s">
        <v>9</v>
      </c>
      <c r="E1273" t="s">
        <v>15</v>
      </c>
      <c r="F1273">
        <v>4792.2</v>
      </c>
      <c r="G1273">
        <v>2023</v>
      </c>
    </row>
    <row r="1274" spans="1:7" x14ac:dyDescent="0.3">
      <c r="A1274" t="s">
        <v>205</v>
      </c>
      <c r="B1274" t="s">
        <v>17</v>
      </c>
      <c r="C1274" t="s">
        <v>34</v>
      </c>
      <c r="D1274" t="s">
        <v>14</v>
      </c>
      <c r="E1274" t="s">
        <v>15</v>
      </c>
      <c r="F1274">
        <v>1851.08</v>
      </c>
      <c r="G1274">
        <v>2023</v>
      </c>
    </row>
    <row r="1275" spans="1:7" x14ac:dyDescent="0.3">
      <c r="A1275" t="s">
        <v>79</v>
      </c>
      <c r="B1275" t="s">
        <v>17</v>
      </c>
      <c r="C1275" t="s">
        <v>34</v>
      </c>
      <c r="D1275" t="s">
        <v>14</v>
      </c>
      <c r="E1275" t="s">
        <v>10</v>
      </c>
      <c r="F1275">
        <v>331.53</v>
      </c>
      <c r="G1275">
        <v>2023</v>
      </c>
    </row>
    <row r="1276" spans="1:7" x14ac:dyDescent="0.3">
      <c r="A1276" t="s">
        <v>179</v>
      </c>
      <c r="B1276" t="s">
        <v>7</v>
      </c>
      <c r="C1276" t="s">
        <v>13</v>
      </c>
      <c r="D1276" t="s">
        <v>28</v>
      </c>
      <c r="E1276" t="s">
        <v>24</v>
      </c>
      <c r="F1276">
        <v>2756.07</v>
      </c>
      <c r="G1276">
        <v>2022</v>
      </c>
    </row>
    <row r="1277" spans="1:7" x14ac:dyDescent="0.3">
      <c r="A1277" t="s">
        <v>138</v>
      </c>
      <c r="B1277" t="s">
        <v>12</v>
      </c>
      <c r="C1277" t="s">
        <v>13</v>
      </c>
      <c r="D1277" t="s">
        <v>9</v>
      </c>
      <c r="E1277" t="s">
        <v>15</v>
      </c>
      <c r="F1277">
        <v>1185.1400000000001</v>
      </c>
      <c r="G1277">
        <v>2022</v>
      </c>
    </row>
    <row r="1278" spans="1:7" x14ac:dyDescent="0.3">
      <c r="A1278" t="s">
        <v>31</v>
      </c>
      <c r="B1278" t="s">
        <v>30</v>
      </c>
      <c r="C1278" t="s">
        <v>13</v>
      </c>
      <c r="D1278" t="s">
        <v>14</v>
      </c>
      <c r="E1278" t="s">
        <v>15</v>
      </c>
      <c r="F1278">
        <v>770.82</v>
      </c>
      <c r="G1278">
        <v>2022</v>
      </c>
    </row>
    <row r="1279" spans="1:7" x14ac:dyDescent="0.3">
      <c r="A1279" t="s">
        <v>69</v>
      </c>
      <c r="B1279" t="s">
        <v>7</v>
      </c>
      <c r="C1279" t="s">
        <v>8</v>
      </c>
      <c r="D1279" t="s">
        <v>14</v>
      </c>
      <c r="E1279" t="s">
        <v>24</v>
      </c>
      <c r="F1279">
        <v>1735.38</v>
      </c>
      <c r="G1279">
        <v>2022</v>
      </c>
    </row>
    <row r="1280" spans="1:7" x14ac:dyDescent="0.3">
      <c r="A1280" t="s">
        <v>211</v>
      </c>
      <c r="B1280" t="s">
        <v>7</v>
      </c>
      <c r="C1280" t="s">
        <v>8</v>
      </c>
      <c r="D1280" t="s">
        <v>9</v>
      </c>
      <c r="E1280" t="s">
        <v>15</v>
      </c>
      <c r="F1280">
        <v>2191.31</v>
      </c>
      <c r="G1280">
        <v>2022</v>
      </c>
    </row>
    <row r="1281" spans="1:7" x14ac:dyDescent="0.3">
      <c r="A1281" t="s">
        <v>212</v>
      </c>
      <c r="B1281" t="s">
        <v>7</v>
      </c>
      <c r="C1281" t="s">
        <v>13</v>
      </c>
      <c r="D1281" t="s">
        <v>28</v>
      </c>
      <c r="E1281" t="s">
        <v>15</v>
      </c>
      <c r="F1281">
        <v>759.32</v>
      </c>
      <c r="G1281">
        <v>2022</v>
      </c>
    </row>
    <row r="1282" spans="1:7" x14ac:dyDescent="0.3">
      <c r="A1282" t="s">
        <v>207</v>
      </c>
      <c r="B1282" t="s">
        <v>17</v>
      </c>
      <c r="C1282" t="s">
        <v>23</v>
      </c>
      <c r="D1282" t="s">
        <v>14</v>
      </c>
      <c r="E1282" t="s">
        <v>15</v>
      </c>
      <c r="F1282">
        <v>1954.05</v>
      </c>
      <c r="G1282">
        <v>2023</v>
      </c>
    </row>
    <row r="1283" spans="1:7" x14ac:dyDescent="0.3">
      <c r="A1283" t="s">
        <v>144</v>
      </c>
      <c r="B1283" t="s">
        <v>30</v>
      </c>
      <c r="C1283" t="s">
        <v>34</v>
      </c>
      <c r="D1283" t="s">
        <v>9</v>
      </c>
      <c r="E1283" t="s">
        <v>15</v>
      </c>
      <c r="F1283">
        <v>4153</v>
      </c>
      <c r="G1283">
        <v>2023</v>
      </c>
    </row>
    <row r="1284" spans="1:7" x14ac:dyDescent="0.3">
      <c r="A1284" t="s">
        <v>71</v>
      </c>
      <c r="B1284" t="s">
        <v>7</v>
      </c>
      <c r="C1284" t="s">
        <v>23</v>
      </c>
      <c r="D1284" t="s">
        <v>9</v>
      </c>
      <c r="E1284" t="s">
        <v>15</v>
      </c>
      <c r="F1284">
        <v>3571.76</v>
      </c>
      <c r="G1284">
        <v>2023</v>
      </c>
    </row>
    <row r="1285" spans="1:7" x14ac:dyDescent="0.3">
      <c r="A1285" t="s">
        <v>193</v>
      </c>
      <c r="B1285" t="s">
        <v>12</v>
      </c>
      <c r="C1285" t="s">
        <v>8</v>
      </c>
      <c r="D1285" t="s">
        <v>28</v>
      </c>
      <c r="E1285" t="s">
        <v>24</v>
      </c>
      <c r="F1285">
        <v>3705.85</v>
      </c>
      <c r="G1285">
        <v>2022</v>
      </c>
    </row>
    <row r="1286" spans="1:7" x14ac:dyDescent="0.3">
      <c r="A1286" t="s">
        <v>158</v>
      </c>
      <c r="B1286" t="s">
        <v>30</v>
      </c>
      <c r="C1286" t="s">
        <v>13</v>
      </c>
      <c r="D1286" t="s">
        <v>14</v>
      </c>
      <c r="E1286" t="s">
        <v>15</v>
      </c>
      <c r="F1286">
        <v>4393.54</v>
      </c>
      <c r="G1286">
        <v>2022</v>
      </c>
    </row>
    <row r="1287" spans="1:7" x14ac:dyDescent="0.3">
      <c r="A1287" t="s">
        <v>121</v>
      </c>
      <c r="B1287" t="s">
        <v>30</v>
      </c>
      <c r="C1287" t="s">
        <v>8</v>
      </c>
      <c r="D1287" t="s">
        <v>9</v>
      </c>
      <c r="E1287" t="s">
        <v>24</v>
      </c>
      <c r="F1287">
        <v>1303.24</v>
      </c>
      <c r="G1287">
        <v>2022</v>
      </c>
    </row>
    <row r="1288" spans="1:7" x14ac:dyDescent="0.3">
      <c r="A1288" t="s">
        <v>42</v>
      </c>
      <c r="B1288" t="s">
        <v>30</v>
      </c>
      <c r="C1288" t="s">
        <v>8</v>
      </c>
      <c r="D1288" t="s">
        <v>28</v>
      </c>
      <c r="E1288" t="s">
        <v>15</v>
      </c>
      <c r="F1288">
        <v>1709.14</v>
      </c>
      <c r="G1288">
        <v>2022</v>
      </c>
    </row>
    <row r="1289" spans="1:7" x14ac:dyDescent="0.3">
      <c r="A1289" t="s">
        <v>144</v>
      </c>
      <c r="B1289" t="s">
        <v>30</v>
      </c>
      <c r="C1289" t="s">
        <v>34</v>
      </c>
      <c r="D1289" t="s">
        <v>9</v>
      </c>
      <c r="E1289" t="s">
        <v>15</v>
      </c>
      <c r="F1289">
        <v>4816.54</v>
      </c>
      <c r="G1289">
        <v>2023</v>
      </c>
    </row>
    <row r="1290" spans="1:7" x14ac:dyDescent="0.3">
      <c r="A1290" t="s">
        <v>157</v>
      </c>
      <c r="B1290" t="s">
        <v>30</v>
      </c>
      <c r="C1290" t="s">
        <v>23</v>
      </c>
      <c r="D1290" t="s">
        <v>9</v>
      </c>
      <c r="E1290" t="s">
        <v>24</v>
      </c>
      <c r="F1290">
        <v>4237.91</v>
      </c>
      <c r="G1290">
        <v>2023</v>
      </c>
    </row>
    <row r="1291" spans="1:7" x14ac:dyDescent="0.3">
      <c r="A1291" t="s">
        <v>215</v>
      </c>
      <c r="B1291" t="s">
        <v>17</v>
      </c>
      <c r="C1291" t="s">
        <v>34</v>
      </c>
      <c r="D1291" t="s">
        <v>14</v>
      </c>
      <c r="E1291" t="s">
        <v>24</v>
      </c>
      <c r="F1291">
        <v>2911.32</v>
      </c>
      <c r="G1291">
        <v>2023</v>
      </c>
    </row>
    <row r="1292" spans="1:7" x14ac:dyDescent="0.3">
      <c r="A1292" t="s">
        <v>43</v>
      </c>
      <c r="B1292" t="s">
        <v>17</v>
      </c>
      <c r="C1292" t="s">
        <v>13</v>
      </c>
      <c r="D1292" t="s">
        <v>14</v>
      </c>
      <c r="E1292" t="s">
        <v>10</v>
      </c>
      <c r="F1292">
        <v>1512.18</v>
      </c>
      <c r="G1292">
        <v>2022</v>
      </c>
    </row>
    <row r="1293" spans="1:7" x14ac:dyDescent="0.3">
      <c r="A1293" t="s">
        <v>21</v>
      </c>
      <c r="B1293" t="s">
        <v>19</v>
      </c>
      <c r="C1293" t="s">
        <v>34</v>
      </c>
      <c r="D1293" t="s">
        <v>28</v>
      </c>
      <c r="E1293" t="s">
        <v>15</v>
      </c>
      <c r="F1293">
        <v>2308.83</v>
      </c>
      <c r="G1293">
        <v>2023</v>
      </c>
    </row>
    <row r="1294" spans="1:7" x14ac:dyDescent="0.3">
      <c r="A1294" t="s">
        <v>144</v>
      </c>
      <c r="B1294" t="s">
        <v>30</v>
      </c>
      <c r="C1294" t="s">
        <v>8</v>
      </c>
      <c r="D1294" t="s">
        <v>28</v>
      </c>
      <c r="E1294" t="s">
        <v>15</v>
      </c>
      <c r="F1294">
        <v>4743.8500000000004</v>
      </c>
      <c r="G1294">
        <v>2022</v>
      </c>
    </row>
    <row r="1295" spans="1:7" x14ac:dyDescent="0.3">
      <c r="A1295" t="s">
        <v>123</v>
      </c>
      <c r="B1295" t="s">
        <v>30</v>
      </c>
      <c r="C1295" t="s">
        <v>23</v>
      </c>
      <c r="D1295" t="s">
        <v>9</v>
      </c>
      <c r="E1295" t="s">
        <v>24</v>
      </c>
      <c r="F1295">
        <v>3863.8</v>
      </c>
      <c r="G1295">
        <v>2023</v>
      </c>
    </row>
    <row r="1296" spans="1:7" x14ac:dyDescent="0.3">
      <c r="A1296" t="s">
        <v>151</v>
      </c>
      <c r="B1296" t="s">
        <v>12</v>
      </c>
      <c r="C1296" t="s">
        <v>34</v>
      </c>
      <c r="D1296" t="s">
        <v>14</v>
      </c>
      <c r="E1296" t="s">
        <v>10</v>
      </c>
      <c r="F1296">
        <v>1928.39</v>
      </c>
      <c r="G1296">
        <v>2023</v>
      </c>
    </row>
    <row r="1297" spans="1:7" x14ac:dyDescent="0.3">
      <c r="A1297" t="s">
        <v>116</v>
      </c>
      <c r="B1297" t="s">
        <v>17</v>
      </c>
      <c r="C1297" t="s">
        <v>23</v>
      </c>
      <c r="D1297" t="s">
        <v>28</v>
      </c>
      <c r="E1297" t="s">
        <v>24</v>
      </c>
      <c r="F1297">
        <v>2001.66</v>
      </c>
      <c r="G1297">
        <v>2023</v>
      </c>
    </row>
    <row r="1298" spans="1:7" x14ac:dyDescent="0.3">
      <c r="A1298" t="s">
        <v>167</v>
      </c>
      <c r="B1298" t="s">
        <v>30</v>
      </c>
      <c r="C1298" t="s">
        <v>23</v>
      </c>
      <c r="D1298" t="s">
        <v>14</v>
      </c>
      <c r="E1298" t="s">
        <v>10</v>
      </c>
      <c r="F1298">
        <v>1031.08</v>
      </c>
      <c r="G1298">
        <v>2023</v>
      </c>
    </row>
    <row r="1299" spans="1:7" x14ac:dyDescent="0.3">
      <c r="A1299" t="s">
        <v>182</v>
      </c>
      <c r="B1299" t="s">
        <v>12</v>
      </c>
      <c r="C1299" t="s">
        <v>34</v>
      </c>
      <c r="D1299" t="s">
        <v>14</v>
      </c>
      <c r="E1299" t="s">
        <v>10</v>
      </c>
      <c r="F1299">
        <v>4637.72</v>
      </c>
      <c r="G1299">
        <v>2023</v>
      </c>
    </row>
    <row r="1300" spans="1:7" x14ac:dyDescent="0.3">
      <c r="A1300" t="s">
        <v>25</v>
      </c>
      <c r="B1300" t="s">
        <v>19</v>
      </c>
      <c r="C1300" t="s">
        <v>34</v>
      </c>
      <c r="D1300" t="s">
        <v>14</v>
      </c>
      <c r="E1300" t="s">
        <v>15</v>
      </c>
      <c r="F1300">
        <v>2119.1</v>
      </c>
      <c r="G1300">
        <v>2023</v>
      </c>
    </row>
    <row r="1301" spans="1:7" x14ac:dyDescent="0.3">
      <c r="A1301" t="s">
        <v>172</v>
      </c>
      <c r="B1301" t="s">
        <v>7</v>
      </c>
      <c r="C1301" t="s">
        <v>8</v>
      </c>
      <c r="D1301" t="s">
        <v>9</v>
      </c>
      <c r="E1301" t="s">
        <v>10</v>
      </c>
      <c r="F1301">
        <v>672.59</v>
      </c>
      <c r="G1301">
        <v>2022</v>
      </c>
    </row>
    <row r="1302" spans="1:7" x14ac:dyDescent="0.3">
      <c r="A1302" t="s">
        <v>120</v>
      </c>
      <c r="B1302" t="s">
        <v>30</v>
      </c>
      <c r="C1302" t="s">
        <v>8</v>
      </c>
      <c r="D1302" t="s">
        <v>9</v>
      </c>
      <c r="E1302" t="s">
        <v>15</v>
      </c>
      <c r="F1302">
        <v>1187.17</v>
      </c>
      <c r="G1302">
        <v>2022</v>
      </c>
    </row>
    <row r="1303" spans="1:7" x14ac:dyDescent="0.3">
      <c r="A1303" t="s">
        <v>80</v>
      </c>
      <c r="B1303" t="s">
        <v>17</v>
      </c>
      <c r="C1303" t="s">
        <v>13</v>
      </c>
      <c r="D1303" t="s">
        <v>14</v>
      </c>
      <c r="E1303" t="s">
        <v>15</v>
      </c>
      <c r="F1303">
        <v>3253.86</v>
      </c>
      <c r="G1303">
        <v>2022</v>
      </c>
    </row>
    <row r="1304" spans="1:7" x14ac:dyDescent="0.3">
      <c r="A1304" t="s">
        <v>26</v>
      </c>
      <c r="B1304" t="s">
        <v>17</v>
      </c>
      <c r="C1304" t="s">
        <v>23</v>
      </c>
      <c r="D1304" t="s">
        <v>14</v>
      </c>
      <c r="E1304" t="s">
        <v>10</v>
      </c>
      <c r="F1304">
        <v>276.16000000000003</v>
      </c>
      <c r="G1304">
        <v>2023</v>
      </c>
    </row>
    <row r="1305" spans="1:7" x14ac:dyDescent="0.3">
      <c r="A1305" t="s">
        <v>51</v>
      </c>
      <c r="B1305" t="s">
        <v>30</v>
      </c>
      <c r="C1305" t="s">
        <v>34</v>
      </c>
      <c r="D1305" t="s">
        <v>9</v>
      </c>
      <c r="E1305" t="s">
        <v>15</v>
      </c>
      <c r="F1305">
        <v>1988.31</v>
      </c>
      <c r="G1305">
        <v>2023</v>
      </c>
    </row>
    <row r="1306" spans="1:7" x14ac:dyDescent="0.3">
      <c r="A1306" t="s">
        <v>67</v>
      </c>
      <c r="B1306" t="s">
        <v>7</v>
      </c>
      <c r="C1306" t="s">
        <v>13</v>
      </c>
      <c r="D1306" t="s">
        <v>28</v>
      </c>
      <c r="E1306" t="s">
        <v>10</v>
      </c>
      <c r="F1306">
        <v>1459.49</v>
      </c>
      <c r="G1306">
        <v>2022</v>
      </c>
    </row>
    <row r="1307" spans="1:7" x14ac:dyDescent="0.3">
      <c r="A1307" t="s">
        <v>113</v>
      </c>
      <c r="B1307" t="s">
        <v>30</v>
      </c>
      <c r="C1307" t="s">
        <v>13</v>
      </c>
      <c r="D1307" t="s">
        <v>14</v>
      </c>
      <c r="E1307" t="s">
        <v>15</v>
      </c>
      <c r="F1307">
        <v>4054.68</v>
      </c>
      <c r="G1307">
        <v>2022</v>
      </c>
    </row>
    <row r="1308" spans="1:7" x14ac:dyDescent="0.3">
      <c r="A1308" t="s">
        <v>47</v>
      </c>
      <c r="B1308" t="s">
        <v>30</v>
      </c>
      <c r="C1308" t="s">
        <v>13</v>
      </c>
      <c r="D1308" t="s">
        <v>14</v>
      </c>
      <c r="E1308" t="s">
        <v>24</v>
      </c>
      <c r="F1308">
        <v>270.88</v>
      </c>
      <c r="G1308">
        <v>2022</v>
      </c>
    </row>
    <row r="1309" spans="1:7" x14ac:dyDescent="0.3">
      <c r="A1309" t="s">
        <v>33</v>
      </c>
      <c r="B1309" t="s">
        <v>19</v>
      </c>
      <c r="C1309" t="s">
        <v>8</v>
      </c>
      <c r="D1309" t="s">
        <v>14</v>
      </c>
      <c r="E1309" t="s">
        <v>10</v>
      </c>
      <c r="F1309">
        <v>1234.77</v>
      </c>
      <c r="G1309">
        <v>2022</v>
      </c>
    </row>
    <row r="1310" spans="1:7" x14ac:dyDescent="0.3">
      <c r="A1310" t="s">
        <v>6</v>
      </c>
      <c r="B1310" t="s">
        <v>7</v>
      </c>
      <c r="C1310" t="s">
        <v>23</v>
      </c>
      <c r="D1310" t="s">
        <v>14</v>
      </c>
      <c r="E1310" t="s">
        <v>15</v>
      </c>
      <c r="F1310">
        <v>4028.89</v>
      </c>
      <c r="G1310">
        <v>2023</v>
      </c>
    </row>
    <row r="1311" spans="1:7" x14ac:dyDescent="0.3">
      <c r="A1311" t="s">
        <v>101</v>
      </c>
      <c r="B1311" t="s">
        <v>19</v>
      </c>
      <c r="C1311" t="s">
        <v>23</v>
      </c>
      <c r="D1311" t="s">
        <v>9</v>
      </c>
      <c r="E1311" t="s">
        <v>15</v>
      </c>
      <c r="F1311">
        <v>4303.8500000000004</v>
      </c>
      <c r="G1311">
        <v>2023</v>
      </c>
    </row>
    <row r="1312" spans="1:7" x14ac:dyDescent="0.3">
      <c r="A1312" t="s">
        <v>173</v>
      </c>
      <c r="B1312" t="s">
        <v>30</v>
      </c>
      <c r="C1312" t="s">
        <v>34</v>
      </c>
      <c r="D1312" t="s">
        <v>14</v>
      </c>
      <c r="E1312" t="s">
        <v>24</v>
      </c>
      <c r="F1312">
        <v>2941.43</v>
      </c>
      <c r="G1312">
        <v>2023</v>
      </c>
    </row>
    <row r="1313" spans="1:7" x14ac:dyDescent="0.3">
      <c r="A1313" t="s">
        <v>192</v>
      </c>
      <c r="B1313" t="s">
        <v>19</v>
      </c>
      <c r="C1313" t="s">
        <v>8</v>
      </c>
      <c r="D1313" t="s">
        <v>14</v>
      </c>
      <c r="E1313" t="s">
        <v>24</v>
      </c>
      <c r="F1313">
        <v>125.18</v>
      </c>
      <c r="G1313">
        <v>2022</v>
      </c>
    </row>
    <row r="1314" spans="1:7" x14ac:dyDescent="0.3">
      <c r="A1314" t="s">
        <v>150</v>
      </c>
      <c r="B1314" t="s">
        <v>30</v>
      </c>
      <c r="C1314" t="s">
        <v>34</v>
      </c>
      <c r="D1314" t="s">
        <v>14</v>
      </c>
      <c r="E1314" t="s">
        <v>15</v>
      </c>
      <c r="F1314">
        <v>2302.58</v>
      </c>
      <c r="G1314">
        <v>2023</v>
      </c>
    </row>
    <row r="1315" spans="1:7" x14ac:dyDescent="0.3">
      <c r="A1315" t="s">
        <v>177</v>
      </c>
      <c r="B1315" t="s">
        <v>7</v>
      </c>
      <c r="C1315" t="s">
        <v>23</v>
      </c>
      <c r="D1315" t="s">
        <v>14</v>
      </c>
      <c r="E1315" t="s">
        <v>10</v>
      </c>
      <c r="F1315">
        <v>365.22</v>
      </c>
      <c r="G1315">
        <v>2023</v>
      </c>
    </row>
    <row r="1316" spans="1:7" x14ac:dyDescent="0.3">
      <c r="A1316" t="s">
        <v>131</v>
      </c>
      <c r="B1316" t="s">
        <v>17</v>
      </c>
      <c r="C1316" t="s">
        <v>34</v>
      </c>
      <c r="D1316" t="s">
        <v>28</v>
      </c>
      <c r="E1316" t="s">
        <v>24</v>
      </c>
      <c r="F1316">
        <v>93.15</v>
      </c>
      <c r="G1316">
        <v>2023</v>
      </c>
    </row>
    <row r="1317" spans="1:7" x14ac:dyDescent="0.3">
      <c r="A1317" t="s">
        <v>170</v>
      </c>
      <c r="B1317" t="s">
        <v>12</v>
      </c>
      <c r="C1317" t="s">
        <v>13</v>
      </c>
      <c r="D1317" t="s">
        <v>28</v>
      </c>
      <c r="E1317" t="s">
        <v>15</v>
      </c>
      <c r="F1317">
        <v>807.86</v>
      </c>
      <c r="G1317">
        <v>2022</v>
      </c>
    </row>
    <row r="1318" spans="1:7" x14ac:dyDescent="0.3">
      <c r="A1318" t="s">
        <v>203</v>
      </c>
      <c r="B1318" t="s">
        <v>12</v>
      </c>
      <c r="C1318" t="s">
        <v>8</v>
      </c>
      <c r="D1318" t="s">
        <v>28</v>
      </c>
      <c r="E1318" t="s">
        <v>24</v>
      </c>
      <c r="F1318">
        <v>3779.13</v>
      </c>
      <c r="G1318">
        <v>2022</v>
      </c>
    </row>
    <row r="1319" spans="1:7" x14ac:dyDescent="0.3">
      <c r="A1319" t="s">
        <v>206</v>
      </c>
      <c r="B1319" t="s">
        <v>19</v>
      </c>
      <c r="C1319" t="s">
        <v>13</v>
      </c>
      <c r="D1319" t="s">
        <v>9</v>
      </c>
      <c r="E1319" t="s">
        <v>10</v>
      </c>
      <c r="F1319">
        <v>4998.3900000000003</v>
      </c>
      <c r="G1319">
        <v>2022</v>
      </c>
    </row>
    <row r="1320" spans="1:7" x14ac:dyDescent="0.3">
      <c r="A1320" t="s">
        <v>16</v>
      </c>
      <c r="B1320" t="s">
        <v>17</v>
      </c>
      <c r="C1320" t="s">
        <v>34</v>
      </c>
      <c r="D1320" t="s">
        <v>14</v>
      </c>
      <c r="E1320" t="s">
        <v>24</v>
      </c>
      <c r="F1320">
        <v>2268.11</v>
      </c>
      <c r="G1320">
        <v>2023</v>
      </c>
    </row>
    <row r="1321" spans="1:7" x14ac:dyDescent="0.3">
      <c r="A1321" t="s">
        <v>189</v>
      </c>
      <c r="B1321" t="s">
        <v>19</v>
      </c>
      <c r="C1321" t="s">
        <v>8</v>
      </c>
      <c r="D1321" t="s">
        <v>14</v>
      </c>
      <c r="E1321" t="s">
        <v>24</v>
      </c>
      <c r="F1321">
        <v>1247.71</v>
      </c>
      <c r="G1321">
        <v>2022</v>
      </c>
    </row>
    <row r="1322" spans="1:7" x14ac:dyDescent="0.3">
      <c r="A1322" t="s">
        <v>138</v>
      </c>
      <c r="B1322" t="s">
        <v>12</v>
      </c>
      <c r="C1322" t="s">
        <v>34</v>
      </c>
      <c r="D1322" t="s">
        <v>28</v>
      </c>
      <c r="E1322" t="s">
        <v>24</v>
      </c>
      <c r="F1322">
        <v>2941.25</v>
      </c>
      <c r="G1322">
        <v>2023</v>
      </c>
    </row>
    <row r="1323" spans="1:7" x14ac:dyDescent="0.3">
      <c r="A1323" t="s">
        <v>63</v>
      </c>
      <c r="B1323" t="s">
        <v>12</v>
      </c>
      <c r="C1323" t="s">
        <v>13</v>
      </c>
      <c r="D1323" t="s">
        <v>28</v>
      </c>
      <c r="E1323" t="s">
        <v>24</v>
      </c>
      <c r="F1323">
        <v>1210.07</v>
      </c>
      <c r="G1323">
        <v>2022</v>
      </c>
    </row>
    <row r="1324" spans="1:7" x14ac:dyDescent="0.3">
      <c r="A1324" t="s">
        <v>25</v>
      </c>
      <c r="B1324" t="s">
        <v>19</v>
      </c>
      <c r="C1324" t="s">
        <v>34</v>
      </c>
      <c r="D1324" t="s">
        <v>28</v>
      </c>
      <c r="E1324" t="s">
        <v>15</v>
      </c>
      <c r="F1324">
        <v>4451</v>
      </c>
      <c r="G1324">
        <v>2023</v>
      </c>
    </row>
    <row r="1325" spans="1:7" x14ac:dyDescent="0.3">
      <c r="A1325" t="s">
        <v>20</v>
      </c>
      <c r="B1325" t="s">
        <v>17</v>
      </c>
      <c r="C1325" t="s">
        <v>23</v>
      </c>
      <c r="D1325" t="s">
        <v>28</v>
      </c>
      <c r="E1325" t="s">
        <v>24</v>
      </c>
      <c r="F1325">
        <v>867.35</v>
      </c>
      <c r="G1325">
        <v>2023</v>
      </c>
    </row>
    <row r="1326" spans="1:7" x14ac:dyDescent="0.3">
      <c r="A1326" t="s">
        <v>85</v>
      </c>
      <c r="B1326" t="s">
        <v>30</v>
      </c>
      <c r="C1326" t="s">
        <v>23</v>
      </c>
      <c r="D1326" t="s">
        <v>14</v>
      </c>
      <c r="E1326" t="s">
        <v>10</v>
      </c>
      <c r="F1326">
        <v>3856.1</v>
      </c>
      <c r="G1326">
        <v>2023</v>
      </c>
    </row>
    <row r="1327" spans="1:7" x14ac:dyDescent="0.3">
      <c r="A1327" t="s">
        <v>29</v>
      </c>
      <c r="B1327" t="s">
        <v>30</v>
      </c>
      <c r="C1327" t="s">
        <v>34</v>
      </c>
      <c r="D1327" t="s">
        <v>28</v>
      </c>
      <c r="E1327" t="s">
        <v>10</v>
      </c>
      <c r="F1327">
        <v>1963.47</v>
      </c>
      <c r="G1327">
        <v>2023</v>
      </c>
    </row>
    <row r="1328" spans="1:7" x14ac:dyDescent="0.3">
      <c r="A1328" t="s">
        <v>18</v>
      </c>
      <c r="B1328" t="s">
        <v>19</v>
      </c>
      <c r="C1328" t="s">
        <v>13</v>
      </c>
      <c r="D1328" t="s">
        <v>14</v>
      </c>
      <c r="E1328" t="s">
        <v>10</v>
      </c>
      <c r="F1328">
        <v>4776.8</v>
      </c>
      <c r="G1328">
        <v>2022</v>
      </c>
    </row>
    <row r="1329" spans="1:7" x14ac:dyDescent="0.3">
      <c r="A1329" t="s">
        <v>150</v>
      </c>
      <c r="B1329" t="s">
        <v>30</v>
      </c>
      <c r="C1329" t="s">
        <v>23</v>
      </c>
      <c r="D1329" t="s">
        <v>14</v>
      </c>
      <c r="E1329" t="s">
        <v>24</v>
      </c>
      <c r="F1329">
        <v>1736.71</v>
      </c>
      <c r="G1329">
        <v>2023</v>
      </c>
    </row>
    <row r="1330" spans="1:7" x14ac:dyDescent="0.3">
      <c r="A1330" t="s">
        <v>70</v>
      </c>
      <c r="B1330" t="s">
        <v>19</v>
      </c>
      <c r="C1330" t="s">
        <v>8</v>
      </c>
      <c r="D1330" t="s">
        <v>14</v>
      </c>
      <c r="E1330" t="s">
        <v>15</v>
      </c>
      <c r="F1330">
        <v>4367.4799999999996</v>
      </c>
      <c r="G1330">
        <v>2022</v>
      </c>
    </row>
    <row r="1331" spans="1:7" x14ac:dyDescent="0.3">
      <c r="A1331" t="s">
        <v>143</v>
      </c>
      <c r="B1331" t="s">
        <v>17</v>
      </c>
      <c r="C1331" t="s">
        <v>23</v>
      </c>
      <c r="D1331" t="s">
        <v>28</v>
      </c>
      <c r="E1331" t="s">
        <v>15</v>
      </c>
      <c r="F1331">
        <v>700.15</v>
      </c>
      <c r="G1331">
        <v>2023</v>
      </c>
    </row>
    <row r="1332" spans="1:7" x14ac:dyDescent="0.3">
      <c r="A1332" t="s">
        <v>151</v>
      </c>
      <c r="B1332" t="s">
        <v>12</v>
      </c>
      <c r="C1332" t="s">
        <v>34</v>
      </c>
      <c r="D1332" t="s">
        <v>28</v>
      </c>
      <c r="E1332" t="s">
        <v>15</v>
      </c>
      <c r="F1332">
        <v>4667.1400000000003</v>
      </c>
      <c r="G1332">
        <v>2023</v>
      </c>
    </row>
    <row r="1333" spans="1:7" x14ac:dyDescent="0.3">
      <c r="A1333" t="s">
        <v>146</v>
      </c>
      <c r="B1333" t="s">
        <v>7</v>
      </c>
      <c r="C1333" t="s">
        <v>34</v>
      </c>
      <c r="D1333" t="s">
        <v>9</v>
      </c>
      <c r="E1333" t="s">
        <v>24</v>
      </c>
      <c r="F1333">
        <v>2262.4299999999998</v>
      </c>
      <c r="G1333">
        <v>2023</v>
      </c>
    </row>
    <row r="1334" spans="1:7" x14ac:dyDescent="0.3">
      <c r="A1334" t="s">
        <v>153</v>
      </c>
      <c r="B1334" t="s">
        <v>7</v>
      </c>
      <c r="C1334" t="s">
        <v>13</v>
      </c>
      <c r="D1334" t="s">
        <v>28</v>
      </c>
      <c r="E1334" t="s">
        <v>10</v>
      </c>
      <c r="F1334">
        <v>4898.1499999999996</v>
      </c>
      <c r="G1334">
        <v>2022</v>
      </c>
    </row>
    <row r="1335" spans="1:7" x14ac:dyDescent="0.3">
      <c r="A1335" t="s">
        <v>208</v>
      </c>
      <c r="B1335" t="s">
        <v>19</v>
      </c>
      <c r="C1335" t="s">
        <v>13</v>
      </c>
      <c r="D1335" t="s">
        <v>14</v>
      </c>
      <c r="E1335" t="s">
        <v>15</v>
      </c>
      <c r="F1335">
        <v>2735.09</v>
      </c>
      <c r="G1335">
        <v>2022</v>
      </c>
    </row>
    <row r="1336" spans="1:7" x14ac:dyDescent="0.3">
      <c r="A1336" t="s">
        <v>32</v>
      </c>
      <c r="B1336" t="s">
        <v>7</v>
      </c>
      <c r="C1336" t="s">
        <v>13</v>
      </c>
      <c r="D1336" t="s">
        <v>28</v>
      </c>
      <c r="E1336" t="s">
        <v>15</v>
      </c>
      <c r="F1336">
        <v>129.43</v>
      </c>
      <c r="G1336">
        <v>2022</v>
      </c>
    </row>
    <row r="1337" spans="1:7" x14ac:dyDescent="0.3">
      <c r="A1337" t="s">
        <v>203</v>
      </c>
      <c r="B1337" t="s">
        <v>12</v>
      </c>
      <c r="C1337" t="s">
        <v>34</v>
      </c>
      <c r="D1337" t="s">
        <v>28</v>
      </c>
      <c r="E1337" t="s">
        <v>15</v>
      </c>
      <c r="F1337">
        <v>556.38</v>
      </c>
      <c r="G1337">
        <v>2023</v>
      </c>
    </row>
    <row r="1338" spans="1:7" x14ac:dyDescent="0.3">
      <c r="A1338" t="s">
        <v>67</v>
      </c>
      <c r="B1338" t="s">
        <v>7</v>
      </c>
      <c r="C1338" t="s">
        <v>23</v>
      </c>
      <c r="D1338" t="s">
        <v>14</v>
      </c>
      <c r="E1338" t="s">
        <v>10</v>
      </c>
      <c r="F1338">
        <v>358.08</v>
      </c>
      <c r="G1338">
        <v>2023</v>
      </c>
    </row>
    <row r="1339" spans="1:7" x14ac:dyDescent="0.3">
      <c r="A1339" t="s">
        <v>87</v>
      </c>
      <c r="B1339" t="s">
        <v>12</v>
      </c>
      <c r="C1339" t="s">
        <v>34</v>
      </c>
      <c r="D1339" t="s">
        <v>9</v>
      </c>
      <c r="E1339" t="s">
        <v>24</v>
      </c>
      <c r="F1339">
        <v>5236.84</v>
      </c>
      <c r="G1339">
        <v>2023</v>
      </c>
    </row>
    <row r="1340" spans="1:7" x14ac:dyDescent="0.3">
      <c r="A1340" t="s">
        <v>210</v>
      </c>
      <c r="B1340" t="s">
        <v>7</v>
      </c>
      <c r="C1340" t="s">
        <v>34</v>
      </c>
      <c r="D1340" t="s">
        <v>28</v>
      </c>
      <c r="E1340" t="s">
        <v>24</v>
      </c>
      <c r="F1340">
        <v>2820.63</v>
      </c>
      <c r="G1340">
        <v>2023</v>
      </c>
    </row>
    <row r="1341" spans="1:7" x14ac:dyDescent="0.3">
      <c r="A1341" t="s">
        <v>35</v>
      </c>
      <c r="B1341" t="s">
        <v>19</v>
      </c>
      <c r="C1341" t="s">
        <v>34</v>
      </c>
      <c r="D1341" t="s">
        <v>9</v>
      </c>
      <c r="E1341" t="s">
        <v>15</v>
      </c>
      <c r="F1341">
        <v>1652.63</v>
      </c>
      <c r="G1341">
        <v>2023</v>
      </c>
    </row>
    <row r="1342" spans="1:7" x14ac:dyDescent="0.3">
      <c r="A1342" t="s">
        <v>206</v>
      </c>
      <c r="B1342" t="s">
        <v>19</v>
      </c>
      <c r="C1342" t="s">
        <v>34</v>
      </c>
      <c r="D1342" t="s">
        <v>9</v>
      </c>
      <c r="E1342" t="s">
        <v>15</v>
      </c>
      <c r="F1342">
        <v>4298.4799999999996</v>
      </c>
      <c r="G1342">
        <v>2023</v>
      </c>
    </row>
    <row r="1343" spans="1:7" x14ac:dyDescent="0.3">
      <c r="A1343" t="s">
        <v>169</v>
      </c>
      <c r="B1343" t="s">
        <v>12</v>
      </c>
      <c r="C1343" t="s">
        <v>34</v>
      </c>
      <c r="D1343" t="s">
        <v>14</v>
      </c>
      <c r="E1343" t="s">
        <v>10</v>
      </c>
      <c r="F1343">
        <v>2188.52</v>
      </c>
      <c r="G1343">
        <v>2023</v>
      </c>
    </row>
    <row r="1344" spans="1:7" x14ac:dyDescent="0.3">
      <c r="A1344" t="s">
        <v>141</v>
      </c>
      <c r="B1344" t="s">
        <v>7</v>
      </c>
      <c r="C1344" t="s">
        <v>8</v>
      </c>
      <c r="D1344" t="s">
        <v>28</v>
      </c>
      <c r="E1344" t="s">
        <v>15</v>
      </c>
      <c r="F1344">
        <v>228.37</v>
      </c>
      <c r="G1344">
        <v>2022</v>
      </c>
    </row>
    <row r="1345" spans="1:7" x14ac:dyDescent="0.3">
      <c r="A1345" t="s">
        <v>169</v>
      </c>
      <c r="B1345" t="s">
        <v>12</v>
      </c>
      <c r="C1345" t="s">
        <v>34</v>
      </c>
      <c r="D1345" t="s">
        <v>9</v>
      </c>
      <c r="E1345" t="s">
        <v>10</v>
      </c>
      <c r="F1345">
        <v>3425.06</v>
      </c>
      <c r="G1345">
        <v>2023</v>
      </c>
    </row>
    <row r="1346" spans="1:7" x14ac:dyDescent="0.3">
      <c r="A1346" t="s">
        <v>140</v>
      </c>
      <c r="B1346" t="s">
        <v>17</v>
      </c>
      <c r="C1346" t="s">
        <v>34</v>
      </c>
      <c r="D1346" t="s">
        <v>28</v>
      </c>
      <c r="E1346" t="s">
        <v>24</v>
      </c>
      <c r="F1346">
        <v>3780.56</v>
      </c>
      <c r="G1346">
        <v>2023</v>
      </c>
    </row>
    <row r="1347" spans="1:7" x14ac:dyDescent="0.3">
      <c r="A1347" t="s">
        <v>113</v>
      </c>
      <c r="B1347" t="s">
        <v>30</v>
      </c>
      <c r="C1347" t="s">
        <v>13</v>
      </c>
      <c r="D1347" t="s">
        <v>28</v>
      </c>
      <c r="E1347" t="s">
        <v>24</v>
      </c>
      <c r="F1347">
        <v>1026.45</v>
      </c>
      <c r="G1347">
        <v>2022</v>
      </c>
    </row>
    <row r="1348" spans="1:7" x14ac:dyDescent="0.3">
      <c r="A1348" t="s">
        <v>73</v>
      </c>
      <c r="B1348" t="s">
        <v>30</v>
      </c>
      <c r="C1348" t="s">
        <v>8</v>
      </c>
      <c r="D1348" t="s">
        <v>9</v>
      </c>
      <c r="E1348" t="s">
        <v>15</v>
      </c>
      <c r="F1348">
        <v>1973.14</v>
      </c>
      <c r="G1348">
        <v>2022</v>
      </c>
    </row>
    <row r="1349" spans="1:7" x14ac:dyDescent="0.3">
      <c r="A1349" t="s">
        <v>203</v>
      </c>
      <c r="B1349" t="s">
        <v>12</v>
      </c>
      <c r="C1349" t="s">
        <v>13</v>
      </c>
      <c r="D1349" t="s">
        <v>9</v>
      </c>
      <c r="E1349" t="s">
        <v>15</v>
      </c>
      <c r="F1349">
        <v>3828.41</v>
      </c>
      <c r="G1349">
        <v>2022</v>
      </c>
    </row>
    <row r="1350" spans="1:7" x14ac:dyDescent="0.3">
      <c r="A1350" t="s">
        <v>63</v>
      </c>
      <c r="B1350" t="s">
        <v>12</v>
      </c>
      <c r="C1350" t="s">
        <v>23</v>
      </c>
      <c r="D1350" t="s">
        <v>28</v>
      </c>
      <c r="E1350" t="s">
        <v>10</v>
      </c>
      <c r="F1350">
        <v>3883.26</v>
      </c>
      <c r="G1350">
        <v>2023</v>
      </c>
    </row>
    <row r="1351" spans="1:7" x14ac:dyDescent="0.3">
      <c r="A1351" t="s">
        <v>77</v>
      </c>
      <c r="B1351" t="s">
        <v>30</v>
      </c>
      <c r="C1351" t="s">
        <v>8</v>
      </c>
      <c r="D1351" t="s">
        <v>9</v>
      </c>
      <c r="E1351" t="s">
        <v>15</v>
      </c>
      <c r="F1351">
        <v>4934.97</v>
      </c>
      <c r="G1351">
        <v>2022</v>
      </c>
    </row>
    <row r="1352" spans="1:7" x14ac:dyDescent="0.3">
      <c r="A1352" t="s">
        <v>20</v>
      </c>
      <c r="B1352" t="s">
        <v>17</v>
      </c>
      <c r="C1352" t="s">
        <v>13</v>
      </c>
      <c r="D1352" t="s">
        <v>14</v>
      </c>
      <c r="E1352" t="s">
        <v>24</v>
      </c>
      <c r="F1352">
        <v>336.58</v>
      </c>
      <c r="G1352">
        <v>2022</v>
      </c>
    </row>
    <row r="1353" spans="1:7" x14ac:dyDescent="0.3">
      <c r="A1353" t="s">
        <v>174</v>
      </c>
      <c r="B1353" t="s">
        <v>19</v>
      </c>
      <c r="C1353" t="s">
        <v>13</v>
      </c>
      <c r="D1353" t="s">
        <v>28</v>
      </c>
      <c r="E1353" t="s">
        <v>10</v>
      </c>
      <c r="F1353">
        <v>3817.85</v>
      </c>
      <c r="G1353">
        <v>2022</v>
      </c>
    </row>
    <row r="1354" spans="1:7" x14ac:dyDescent="0.3">
      <c r="A1354" t="s">
        <v>95</v>
      </c>
      <c r="B1354" t="s">
        <v>30</v>
      </c>
      <c r="C1354" t="s">
        <v>13</v>
      </c>
      <c r="D1354" t="s">
        <v>28</v>
      </c>
      <c r="E1354" t="s">
        <v>15</v>
      </c>
      <c r="F1354">
        <v>1089.25</v>
      </c>
      <c r="G1354">
        <v>2022</v>
      </c>
    </row>
    <row r="1355" spans="1:7" x14ac:dyDescent="0.3">
      <c r="A1355" t="s">
        <v>68</v>
      </c>
      <c r="B1355" t="s">
        <v>12</v>
      </c>
      <c r="C1355" t="s">
        <v>23</v>
      </c>
      <c r="D1355" t="s">
        <v>9</v>
      </c>
      <c r="E1355" t="s">
        <v>10</v>
      </c>
      <c r="F1355">
        <v>316.08</v>
      </c>
      <c r="G1355">
        <v>2023</v>
      </c>
    </row>
    <row r="1356" spans="1:7" x14ac:dyDescent="0.3">
      <c r="A1356" t="s">
        <v>55</v>
      </c>
      <c r="B1356" t="s">
        <v>12</v>
      </c>
      <c r="C1356" t="s">
        <v>13</v>
      </c>
      <c r="D1356" t="s">
        <v>14</v>
      </c>
      <c r="E1356" t="s">
        <v>15</v>
      </c>
      <c r="F1356">
        <v>2112.3200000000002</v>
      </c>
      <c r="G1356">
        <v>2022</v>
      </c>
    </row>
    <row r="1357" spans="1:7" x14ac:dyDescent="0.3">
      <c r="A1357" t="s">
        <v>59</v>
      </c>
      <c r="B1357" t="s">
        <v>17</v>
      </c>
      <c r="C1357" t="s">
        <v>23</v>
      </c>
      <c r="D1357" t="s">
        <v>9</v>
      </c>
      <c r="E1357" t="s">
        <v>10</v>
      </c>
      <c r="F1357">
        <v>892.44</v>
      </c>
      <c r="G1357">
        <v>2023</v>
      </c>
    </row>
    <row r="1358" spans="1:7" x14ac:dyDescent="0.3">
      <c r="A1358" t="s">
        <v>68</v>
      </c>
      <c r="B1358" t="s">
        <v>12</v>
      </c>
      <c r="C1358" t="s">
        <v>13</v>
      </c>
      <c r="D1358" t="s">
        <v>14</v>
      </c>
      <c r="E1358" t="s">
        <v>10</v>
      </c>
      <c r="F1358">
        <v>1569.2</v>
      </c>
      <c r="G1358">
        <v>2022</v>
      </c>
    </row>
    <row r="1359" spans="1:7" x14ac:dyDescent="0.3">
      <c r="A1359" t="s">
        <v>139</v>
      </c>
      <c r="B1359" t="s">
        <v>7</v>
      </c>
      <c r="C1359" t="s">
        <v>34</v>
      </c>
      <c r="D1359" t="s">
        <v>9</v>
      </c>
      <c r="E1359" t="s">
        <v>15</v>
      </c>
      <c r="F1359">
        <v>1407.45</v>
      </c>
      <c r="G1359">
        <v>2023</v>
      </c>
    </row>
    <row r="1360" spans="1:7" x14ac:dyDescent="0.3">
      <c r="A1360" t="s">
        <v>84</v>
      </c>
      <c r="B1360" t="s">
        <v>30</v>
      </c>
      <c r="C1360" t="s">
        <v>13</v>
      </c>
      <c r="D1360" t="s">
        <v>9</v>
      </c>
      <c r="E1360" t="s">
        <v>24</v>
      </c>
      <c r="F1360">
        <v>4401.59</v>
      </c>
      <c r="G1360">
        <v>2022</v>
      </c>
    </row>
    <row r="1361" spans="1:7" x14ac:dyDescent="0.3">
      <c r="A1361" t="s">
        <v>124</v>
      </c>
      <c r="B1361" t="s">
        <v>12</v>
      </c>
      <c r="C1361" t="s">
        <v>34</v>
      </c>
      <c r="D1361" t="s">
        <v>28</v>
      </c>
      <c r="E1361" t="s">
        <v>10</v>
      </c>
      <c r="F1361">
        <v>4331.4399999999996</v>
      </c>
      <c r="G1361">
        <v>2023</v>
      </c>
    </row>
    <row r="1362" spans="1:7" x14ac:dyDescent="0.3">
      <c r="A1362" t="s">
        <v>139</v>
      </c>
      <c r="B1362" t="s">
        <v>7</v>
      </c>
      <c r="C1362" t="s">
        <v>23</v>
      </c>
      <c r="D1362" t="s">
        <v>14</v>
      </c>
      <c r="E1362" t="s">
        <v>15</v>
      </c>
      <c r="F1362">
        <v>191.28</v>
      </c>
      <c r="G1362">
        <v>2023</v>
      </c>
    </row>
    <row r="1363" spans="1:7" x14ac:dyDescent="0.3">
      <c r="A1363" t="s">
        <v>72</v>
      </c>
      <c r="B1363" t="s">
        <v>19</v>
      </c>
      <c r="C1363" t="s">
        <v>8</v>
      </c>
      <c r="D1363" t="s">
        <v>14</v>
      </c>
      <c r="E1363" t="s">
        <v>10</v>
      </c>
      <c r="F1363">
        <v>3002.77</v>
      </c>
      <c r="G1363">
        <v>2022</v>
      </c>
    </row>
    <row r="1364" spans="1:7" x14ac:dyDescent="0.3">
      <c r="A1364" t="s">
        <v>37</v>
      </c>
      <c r="B1364" t="s">
        <v>17</v>
      </c>
      <c r="C1364" t="s">
        <v>8</v>
      </c>
      <c r="D1364" t="s">
        <v>28</v>
      </c>
      <c r="E1364" t="s">
        <v>24</v>
      </c>
      <c r="F1364">
        <v>2511.59</v>
      </c>
      <c r="G1364">
        <v>2022</v>
      </c>
    </row>
    <row r="1365" spans="1:7" x14ac:dyDescent="0.3">
      <c r="A1365" t="s">
        <v>94</v>
      </c>
      <c r="B1365" t="s">
        <v>7</v>
      </c>
      <c r="C1365" t="s">
        <v>23</v>
      </c>
      <c r="D1365" t="s">
        <v>9</v>
      </c>
      <c r="E1365" t="s">
        <v>15</v>
      </c>
      <c r="F1365">
        <v>2282.1799999999998</v>
      </c>
      <c r="G1365">
        <v>2023</v>
      </c>
    </row>
    <row r="1366" spans="1:7" x14ac:dyDescent="0.3">
      <c r="A1366" t="s">
        <v>218</v>
      </c>
      <c r="B1366" t="s">
        <v>17</v>
      </c>
      <c r="C1366" t="s">
        <v>8</v>
      </c>
      <c r="D1366" t="s">
        <v>28</v>
      </c>
      <c r="E1366" t="s">
        <v>10</v>
      </c>
      <c r="F1366">
        <v>4726.1099999999997</v>
      </c>
      <c r="G1366">
        <v>2022</v>
      </c>
    </row>
    <row r="1367" spans="1:7" x14ac:dyDescent="0.3">
      <c r="A1367" t="s">
        <v>103</v>
      </c>
      <c r="B1367" t="s">
        <v>19</v>
      </c>
      <c r="C1367" t="s">
        <v>13</v>
      </c>
      <c r="D1367" t="s">
        <v>14</v>
      </c>
      <c r="E1367" t="s">
        <v>24</v>
      </c>
      <c r="F1367">
        <v>252.05</v>
      </c>
      <c r="G1367">
        <v>2022</v>
      </c>
    </row>
    <row r="1368" spans="1:7" x14ac:dyDescent="0.3">
      <c r="A1368" t="s">
        <v>95</v>
      </c>
      <c r="B1368" t="s">
        <v>30</v>
      </c>
      <c r="C1368" t="s">
        <v>23</v>
      </c>
      <c r="D1368" t="s">
        <v>28</v>
      </c>
      <c r="E1368" t="s">
        <v>24</v>
      </c>
      <c r="F1368">
        <v>3693.42</v>
      </c>
      <c r="G1368">
        <v>2023</v>
      </c>
    </row>
    <row r="1369" spans="1:7" x14ac:dyDescent="0.3">
      <c r="A1369" t="s">
        <v>204</v>
      </c>
      <c r="B1369" t="s">
        <v>30</v>
      </c>
      <c r="C1369" t="s">
        <v>13</v>
      </c>
      <c r="D1369" t="s">
        <v>9</v>
      </c>
      <c r="E1369" t="s">
        <v>10</v>
      </c>
      <c r="F1369">
        <v>2670.53</v>
      </c>
      <c r="G1369">
        <v>2022</v>
      </c>
    </row>
    <row r="1370" spans="1:7" x14ac:dyDescent="0.3">
      <c r="A1370" t="s">
        <v>169</v>
      </c>
      <c r="B1370" t="s">
        <v>12</v>
      </c>
      <c r="C1370" t="s">
        <v>13</v>
      </c>
      <c r="D1370" t="s">
        <v>28</v>
      </c>
      <c r="E1370" t="s">
        <v>15</v>
      </c>
      <c r="F1370">
        <v>1186.4000000000001</v>
      </c>
      <c r="G1370">
        <v>2022</v>
      </c>
    </row>
    <row r="1371" spans="1:7" x14ac:dyDescent="0.3">
      <c r="A1371" t="s">
        <v>52</v>
      </c>
      <c r="B1371" t="s">
        <v>19</v>
      </c>
      <c r="C1371" t="s">
        <v>23</v>
      </c>
      <c r="D1371" t="s">
        <v>9</v>
      </c>
      <c r="E1371" t="s">
        <v>10</v>
      </c>
      <c r="F1371">
        <v>1201.0999999999999</v>
      </c>
      <c r="G1371">
        <v>2023</v>
      </c>
    </row>
    <row r="1372" spans="1:7" x14ac:dyDescent="0.3">
      <c r="A1372" t="s">
        <v>203</v>
      </c>
      <c r="B1372" t="s">
        <v>12</v>
      </c>
      <c r="C1372" t="s">
        <v>8</v>
      </c>
      <c r="D1372" t="s">
        <v>9</v>
      </c>
      <c r="E1372" t="s">
        <v>10</v>
      </c>
      <c r="F1372">
        <v>1093.3900000000001</v>
      </c>
      <c r="G1372">
        <v>2022</v>
      </c>
    </row>
    <row r="1373" spans="1:7" x14ac:dyDescent="0.3">
      <c r="A1373" t="s">
        <v>217</v>
      </c>
      <c r="B1373" t="s">
        <v>19</v>
      </c>
      <c r="C1373" t="s">
        <v>13</v>
      </c>
      <c r="D1373" t="s">
        <v>14</v>
      </c>
      <c r="E1373" t="s">
        <v>24</v>
      </c>
      <c r="F1373">
        <v>4636.55</v>
      </c>
      <c r="G1373">
        <v>2022</v>
      </c>
    </row>
    <row r="1374" spans="1:7" x14ac:dyDescent="0.3">
      <c r="A1374" t="s">
        <v>157</v>
      </c>
      <c r="B1374" t="s">
        <v>30</v>
      </c>
      <c r="C1374" t="s">
        <v>8</v>
      </c>
      <c r="D1374" t="s">
        <v>9</v>
      </c>
      <c r="E1374" t="s">
        <v>15</v>
      </c>
      <c r="F1374">
        <v>1840.53</v>
      </c>
      <c r="G1374">
        <v>2022</v>
      </c>
    </row>
    <row r="1375" spans="1:7" x14ac:dyDescent="0.3">
      <c r="A1375" t="s">
        <v>217</v>
      </c>
      <c r="B1375" t="s">
        <v>19</v>
      </c>
      <c r="C1375" t="s">
        <v>23</v>
      </c>
      <c r="D1375" t="s">
        <v>14</v>
      </c>
      <c r="E1375" t="s">
        <v>15</v>
      </c>
      <c r="F1375">
        <v>1036.07</v>
      </c>
      <c r="G1375">
        <v>2023</v>
      </c>
    </row>
    <row r="1376" spans="1:7" x14ac:dyDescent="0.3">
      <c r="A1376" t="s">
        <v>193</v>
      </c>
      <c r="B1376" t="s">
        <v>12</v>
      </c>
      <c r="C1376" t="s">
        <v>13</v>
      </c>
      <c r="D1376" t="s">
        <v>9</v>
      </c>
      <c r="E1376" t="s">
        <v>15</v>
      </c>
      <c r="F1376">
        <v>390.78</v>
      </c>
      <c r="G1376">
        <v>2022</v>
      </c>
    </row>
    <row r="1377" spans="1:7" x14ac:dyDescent="0.3">
      <c r="A1377" t="s">
        <v>177</v>
      </c>
      <c r="B1377" t="s">
        <v>7</v>
      </c>
      <c r="C1377" t="s">
        <v>23</v>
      </c>
      <c r="D1377" t="s">
        <v>28</v>
      </c>
      <c r="E1377" t="s">
        <v>10</v>
      </c>
      <c r="F1377">
        <v>4126.71</v>
      </c>
      <c r="G1377">
        <v>2023</v>
      </c>
    </row>
    <row r="1378" spans="1:7" x14ac:dyDescent="0.3">
      <c r="A1378" t="s">
        <v>96</v>
      </c>
      <c r="B1378" t="s">
        <v>19</v>
      </c>
      <c r="C1378" t="s">
        <v>23</v>
      </c>
      <c r="D1378" t="s">
        <v>28</v>
      </c>
      <c r="E1378" t="s">
        <v>10</v>
      </c>
      <c r="F1378">
        <v>4171.8100000000004</v>
      </c>
      <c r="G1378">
        <v>2023</v>
      </c>
    </row>
    <row r="1379" spans="1:7" x14ac:dyDescent="0.3">
      <c r="A1379" t="s">
        <v>145</v>
      </c>
      <c r="B1379" t="s">
        <v>7</v>
      </c>
      <c r="C1379" t="s">
        <v>8</v>
      </c>
      <c r="D1379" t="s">
        <v>14</v>
      </c>
      <c r="E1379" t="s">
        <v>24</v>
      </c>
      <c r="F1379">
        <v>3571.47</v>
      </c>
      <c r="G1379">
        <v>2022</v>
      </c>
    </row>
    <row r="1380" spans="1:7" x14ac:dyDescent="0.3">
      <c r="A1380" t="s">
        <v>154</v>
      </c>
      <c r="B1380" t="s">
        <v>12</v>
      </c>
      <c r="C1380" t="s">
        <v>34</v>
      </c>
      <c r="D1380" t="s">
        <v>28</v>
      </c>
      <c r="E1380" t="s">
        <v>10</v>
      </c>
      <c r="F1380">
        <v>1961.65</v>
      </c>
      <c r="G1380">
        <v>2023</v>
      </c>
    </row>
    <row r="1381" spans="1:7" x14ac:dyDescent="0.3">
      <c r="A1381" t="s">
        <v>114</v>
      </c>
      <c r="B1381" t="s">
        <v>30</v>
      </c>
      <c r="C1381" t="s">
        <v>34</v>
      </c>
      <c r="D1381" t="s">
        <v>14</v>
      </c>
      <c r="E1381" t="s">
        <v>10</v>
      </c>
      <c r="F1381">
        <v>3905.64</v>
      </c>
      <c r="G1381">
        <v>2023</v>
      </c>
    </row>
    <row r="1382" spans="1:7" x14ac:dyDescent="0.3">
      <c r="A1382" t="s">
        <v>173</v>
      </c>
      <c r="B1382" t="s">
        <v>30</v>
      </c>
      <c r="C1382" t="s">
        <v>13</v>
      </c>
      <c r="D1382" t="s">
        <v>9</v>
      </c>
      <c r="E1382" t="s">
        <v>15</v>
      </c>
      <c r="F1382">
        <v>2192.9699999999998</v>
      </c>
      <c r="G1382">
        <v>2022</v>
      </c>
    </row>
    <row r="1383" spans="1:7" x14ac:dyDescent="0.3">
      <c r="A1383" t="s">
        <v>201</v>
      </c>
      <c r="B1383" t="s">
        <v>12</v>
      </c>
      <c r="C1383" t="s">
        <v>23</v>
      </c>
      <c r="D1383" t="s">
        <v>14</v>
      </c>
      <c r="E1383" t="s">
        <v>15</v>
      </c>
      <c r="F1383">
        <v>369.5</v>
      </c>
      <c r="G1383">
        <v>2023</v>
      </c>
    </row>
    <row r="1384" spans="1:7" x14ac:dyDescent="0.3">
      <c r="A1384" t="s">
        <v>68</v>
      </c>
      <c r="B1384" t="s">
        <v>12</v>
      </c>
      <c r="C1384" t="s">
        <v>13</v>
      </c>
      <c r="D1384" t="s">
        <v>14</v>
      </c>
      <c r="E1384" t="s">
        <v>15</v>
      </c>
      <c r="F1384">
        <v>2277.1799999999998</v>
      </c>
      <c r="G1384">
        <v>2022</v>
      </c>
    </row>
    <row r="1385" spans="1:7" x14ac:dyDescent="0.3">
      <c r="A1385" t="s">
        <v>166</v>
      </c>
      <c r="B1385" t="s">
        <v>7</v>
      </c>
      <c r="C1385" t="s">
        <v>8</v>
      </c>
      <c r="D1385" t="s">
        <v>14</v>
      </c>
      <c r="E1385" t="s">
        <v>10</v>
      </c>
      <c r="F1385">
        <v>4278.8900000000003</v>
      </c>
      <c r="G1385">
        <v>2022</v>
      </c>
    </row>
    <row r="1386" spans="1:7" x14ac:dyDescent="0.3">
      <c r="A1386" t="s">
        <v>123</v>
      </c>
      <c r="B1386" t="s">
        <v>30</v>
      </c>
      <c r="C1386" t="s">
        <v>13</v>
      </c>
      <c r="D1386" t="s">
        <v>14</v>
      </c>
      <c r="E1386" t="s">
        <v>15</v>
      </c>
      <c r="F1386">
        <v>3665.62</v>
      </c>
      <c r="G1386">
        <v>2022</v>
      </c>
    </row>
    <row r="1387" spans="1:7" x14ac:dyDescent="0.3">
      <c r="A1387" t="s">
        <v>192</v>
      </c>
      <c r="B1387" t="s">
        <v>19</v>
      </c>
      <c r="C1387" t="s">
        <v>13</v>
      </c>
      <c r="D1387" t="s">
        <v>9</v>
      </c>
      <c r="E1387" t="s">
        <v>15</v>
      </c>
      <c r="F1387">
        <v>4127.2299999999996</v>
      </c>
      <c r="G1387">
        <v>2022</v>
      </c>
    </row>
    <row r="1388" spans="1:7" x14ac:dyDescent="0.3">
      <c r="A1388" t="s">
        <v>55</v>
      </c>
      <c r="B1388" t="s">
        <v>12</v>
      </c>
      <c r="C1388" t="s">
        <v>23</v>
      </c>
      <c r="D1388" t="s">
        <v>14</v>
      </c>
      <c r="E1388" t="s">
        <v>24</v>
      </c>
      <c r="F1388">
        <v>1251.29</v>
      </c>
      <c r="G1388">
        <v>2023</v>
      </c>
    </row>
    <row r="1389" spans="1:7" x14ac:dyDescent="0.3">
      <c r="A1389" t="s">
        <v>207</v>
      </c>
      <c r="B1389" t="s">
        <v>17</v>
      </c>
      <c r="C1389" t="s">
        <v>13</v>
      </c>
      <c r="D1389" t="s">
        <v>28</v>
      </c>
      <c r="E1389" t="s">
        <v>15</v>
      </c>
      <c r="F1389">
        <v>3935.94</v>
      </c>
      <c r="G1389">
        <v>2022</v>
      </c>
    </row>
    <row r="1390" spans="1:7" x14ac:dyDescent="0.3">
      <c r="A1390" t="s">
        <v>42</v>
      </c>
      <c r="B1390" t="s">
        <v>30</v>
      </c>
      <c r="C1390" t="s">
        <v>34</v>
      </c>
      <c r="D1390" t="s">
        <v>28</v>
      </c>
      <c r="E1390" t="s">
        <v>15</v>
      </c>
      <c r="F1390">
        <v>1012.81</v>
      </c>
      <c r="G1390">
        <v>2023</v>
      </c>
    </row>
    <row r="1391" spans="1:7" x14ac:dyDescent="0.3">
      <c r="A1391" t="s">
        <v>205</v>
      </c>
      <c r="B1391" t="s">
        <v>17</v>
      </c>
      <c r="C1391" t="s">
        <v>23</v>
      </c>
      <c r="D1391" t="s">
        <v>28</v>
      </c>
      <c r="E1391" t="s">
        <v>15</v>
      </c>
      <c r="F1391">
        <v>817.03</v>
      </c>
      <c r="G1391">
        <v>2023</v>
      </c>
    </row>
    <row r="1392" spans="1:7" x14ac:dyDescent="0.3">
      <c r="A1392" t="s">
        <v>170</v>
      </c>
      <c r="B1392" t="s">
        <v>12</v>
      </c>
      <c r="C1392" t="s">
        <v>13</v>
      </c>
      <c r="D1392" t="s">
        <v>28</v>
      </c>
      <c r="E1392" t="s">
        <v>15</v>
      </c>
      <c r="F1392">
        <v>4733.58</v>
      </c>
      <c r="G1392">
        <v>2022</v>
      </c>
    </row>
    <row r="1393" spans="1:7" x14ac:dyDescent="0.3">
      <c r="A1393" t="s">
        <v>112</v>
      </c>
      <c r="B1393" t="s">
        <v>30</v>
      </c>
      <c r="C1393" t="s">
        <v>23</v>
      </c>
      <c r="D1393" t="s">
        <v>14</v>
      </c>
      <c r="E1393" t="s">
        <v>10</v>
      </c>
      <c r="F1393">
        <v>4851.63</v>
      </c>
      <c r="G1393">
        <v>2023</v>
      </c>
    </row>
    <row r="1394" spans="1:7" x14ac:dyDescent="0.3">
      <c r="A1394" t="s">
        <v>173</v>
      </c>
      <c r="B1394" t="s">
        <v>30</v>
      </c>
      <c r="C1394" t="s">
        <v>34</v>
      </c>
      <c r="D1394" t="s">
        <v>28</v>
      </c>
      <c r="E1394" t="s">
        <v>10</v>
      </c>
      <c r="F1394">
        <v>2889.59</v>
      </c>
      <c r="G1394">
        <v>2023</v>
      </c>
    </row>
    <row r="1395" spans="1:7" x14ac:dyDescent="0.3">
      <c r="A1395" t="s">
        <v>126</v>
      </c>
      <c r="B1395" t="s">
        <v>30</v>
      </c>
      <c r="C1395" t="s">
        <v>34</v>
      </c>
      <c r="D1395" t="s">
        <v>14</v>
      </c>
      <c r="E1395" t="s">
        <v>10</v>
      </c>
      <c r="F1395">
        <v>2545.79</v>
      </c>
      <c r="G1395">
        <v>2023</v>
      </c>
    </row>
    <row r="1396" spans="1:7" x14ac:dyDescent="0.3">
      <c r="A1396" t="s">
        <v>206</v>
      </c>
      <c r="B1396" t="s">
        <v>19</v>
      </c>
      <c r="C1396" t="s">
        <v>23</v>
      </c>
      <c r="D1396" t="s">
        <v>9</v>
      </c>
      <c r="E1396" t="s">
        <v>24</v>
      </c>
      <c r="F1396">
        <v>3857.37</v>
      </c>
      <c r="G1396">
        <v>2023</v>
      </c>
    </row>
    <row r="1397" spans="1:7" x14ac:dyDescent="0.3">
      <c r="A1397" t="s">
        <v>29</v>
      </c>
      <c r="B1397" t="s">
        <v>30</v>
      </c>
      <c r="C1397" t="s">
        <v>8</v>
      </c>
      <c r="D1397" t="s">
        <v>9</v>
      </c>
      <c r="E1397" t="s">
        <v>10</v>
      </c>
      <c r="F1397">
        <v>1399.19</v>
      </c>
      <c r="G1397">
        <v>2022</v>
      </c>
    </row>
    <row r="1398" spans="1:7" x14ac:dyDescent="0.3">
      <c r="A1398" t="s">
        <v>115</v>
      </c>
      <c r="B1398" t="s">
        <v>19</v>
      </c>
      <c r="C1398" t="s">
        <v>8</v>
      </c>
      <c r="D1398" t="s">
        <v>28</v>
      </c>
      <c r="E1398" t="s">
        <v>10</v>
      </c>
      <c r="F1398">
        <v>1563.76</v>
      </c>
      <c r="G1398">
        <v>2022</v>
      </c>
    </row>
    <row r="1399" spans="1:7" x14ac:dyDescent="0.3">
      <c r="A1399" t="s">
        <v>218</v>
      </c>
      <c r="B1399" t="s">
        <v>17</v>
      </c>
      <c r="C1399" t="s">
        <v>13</v>
      </c>
      <c r="D1399" t="s">
        <v>14</v>
      </c>
      <c r="E1399" t="s">
        <v>10</v>
      </c>
      <c r="F1399">
        <v>2518.31</v>
      </c>
      <c r="G1399">
        <v>2022</v>
      </c>
    </row>
    <row r="1400" spans="1:7" x14ac:dyDescent="0.3">
      <c r="A1400" t="s">
        <v>71</v>
      </c>
      <c r="B1400" t="s">
        <v>7</v>
      </c>
      <c r="C1400" t="s">
        <v>23</v>
      </c>
      <c r="D1400" t="s">
        <v>14</v>
      </c>
      <c r="E1400" t="s">
        <v>15</v>
      </c>
      <c r="F1400">
        <v>4134.78</v>
      </c>
      <c r="G1400">
        <v>2023</v>
      </c>
    </row>
    <row r="1401" spans="1:7" x14ac:dyDescent="0.3">
      <c r="A1401" t="s">
        <v>178</v>
      </c>
      <c r="B1401" t="s">
        <v>30</v>
      </c>
      <c r="C1401" t="s">
        <v>8</v>
      </c>
      <c r="D1401" t="s">
        <v>28</v>
      </c>
      <c r="E1401" t="s">
        <v>10</v>
      </c>
      <c r="F1401">
        <v>2532.84</v>
      </c>
      <c r="G1401">
        <v>2022</v>
      </c>
    </row>
    <row r="1402" spans="1:7" x14ac:dyDescent="0.3">
      <c r="A1402" t="s">
        <v>110</v>
      </c>
      <c r="B1402" t="s">
        <v>12</v>
      </c>
      <c r="C1402" t="s">
        <v>8</v>
      </c>
      <c r="D1402" t="s">
        <v>14</v>
      </c>
      <c r="E1402" t="s">
        <v>10</v>
      </c>
      <c r="F1402">
        <v>2192.7800000000002</v>
      </c>
      <c r="G1402">
        <v>2022</v>
      </c>
    </row>
    <row r="1403" spans="1:7" x14ac:dyDescent="0.3">
      <c r="A1403" t="s">
        <v>168</v>
      </c>
      <c r="B1403" t="s">
        <v>17</v>
      </c>
      <c r="C1403" t="s">
        <v>23</v>
      </c>
      <c r="D1403" t="s">
        <v>28</v>
      </c>
      <c r="E1403" t="s">
        <v>24</v>
      </c>
      <c r="F1403">
        <v>2433.0700000000002</v>
      </c>
      <c r="G1403">
        <v>2023</v>
      </c>
    </row>
    <row r="1404" spans="1:7" x14ac:dyDescent="0.3">
      <c r="A1404" t="s">
        <v>190</v>
      </c>
      <c r="B1404" t="s">
        <v>17</v>
      </c>
      <c r="C1404" t="s">
        <v>8</v>
      </c>
      <c r="D1404" t="s">
        <v>28</v>
      </c>
      <c r="E1404" t="s">
        <v>10</v>
      </c>
      <c r="F1404">
        <v>3760.84</v>
      </c>
      <c r="G1404">
        <v>2022</v>
      </c>
    </row>
    <row r="1405" spans="1:7" x14ac:dyDescent="0.3">
      <c r="A1405" t="s">
        <v>64</v>
      </c>
      <c r="B1405" t="s">
        <v>30</v>
      </c>
      <c r="C1405" t="s">
        <v>8</v>
      </c>
      <c r="D1405" t="s">
        <v>9</v>
      </c>
      <c r="E1405" t="s">
        <v>10</v>
      </c>
      <c r="F1405">
        <v>3726.94</v>
      </c>
      <c r="G1405">
        <v>2022</v>
      </c>
    </row>
    <row r="1406" spans="1:7" x14ac:dyDescent="0.3">
      <c r="A1406" t="s">
        <v>186</v>
      </c>
      <c r="B1406" t="s">
        <v>30</v>
      </c>
      <c r="C1406" t="s">
        <v>8</v>
      </c>
      <c r="D1406" t="s">
        <v>14</v>
      </c>
      <c r="E1406" t="s">
        <v>10</v>
      </c>
      <c r="F1406">
        <v>3670.96</v>
      </c>
      <c r="G1406">
        <v>2022</v>
      </c>
    </row>
    <row r="1407" spans="1:7" x14ac:dyDescent="0.3">
      <c r="A1407" t="s">
        <v>97</v>
      </c>
      <c r="B1407" t="s">
        <v>7</v>
      </c>
      <c r="C1407" t="s">
        <v>13</v>
      </c>
      <c r="D1407" t="s">
        <v>9</v>
      </c>
      <c r="E1407" t="s">
        <v>10</v>
      </c>
      <c r="F1407">
        <v>1821.13</v>
      </c>
      <c r="G1407">
        <v>2022</v>
      </c>
    </row>
    <row r="1408" spans="1:7" x14ac:dyDescent="0.3">
      <c r="A1408" t="s">
        <v>163</v>
      </c>
      <c r="B1408" t="s">
        <v>19</v>
      </c>
      <c r="C1408" t="s">
        <v>23</v>
      </c>
      <c r="D1408" t="s">
        <v>28</v>
      </c>
      <c r="E1408" t="s">
        <v>10</v>
      </c>
      <c r="F1408">
        <v>231.16</v>
      </c>
      <c r="G1408">
        <v>2023</v>
      </c>
    </row>
    <row r="1409" spans="1:7" x14ac:dyDescent="0.3">
      <c r="A1409" t="s">
        <v>165</v>
      </c>
      <c r="B1409" t="s">
        <v>7</v>
      </c>
      <c r="C1409" t="s">
        <v>13</v>
      </c>
      <c r="D1409" t="s">
        <v>9</v>
      </c>
      <c r="E1409" t="s">
        <v>15</v>
      </c>
      <c r="F1409">
        <v>1503.89</v>
      </c>
      <c r="G1409">
        <v>2022</v>
      </c>
    </row>
    <row r="1410" spans="1:7" x14ac:dyDescent="0.3">
      <c r="A1410" t="s">
        <v>65</v>
      </c>
      <c r="B1410" t="s">
        <v>30</v>
      </c>
      <c r="C1410" t="s">
        <v>23</v>
      </c>
      <c r="D1410" t="s">
        <v>28</v>
      </c>
      <c r="E1410" t="s">
        <v>24</v>
      </c>
      <c r="F1410">
        <v>1448.62</v>
      </c>
      <c r="G1410">
        <v>2023</v>
      </c>
    </row>
    <row r="1411" spans="1:7" x14ac:dyDescent="0.3">
      <c r="A1411" t="s">
        <v>95</v>
      </c>
      <c r="B1411" t="s">
        <v>30</v>
      </c>
      <c r="C1411" t="s">
        <v>13</v>
      </c>
      <c r="D1411" t="s">
        <v>14</v>
      </c>
      <c r="E1411" t="s">
        <v>10</v>
      </c>
      <c r="F1411">
        <v>3712.48</v>
      </c>
      <c r="G1411">
        <v>2022</v>
      </c>
    </row>
    <row r="1412" spans="1:7" x14ac:dyDescent="0.3">
      <c r="A1412" t="s">
        <v>98</v>
      </c>
      <c r="B1412" t="s">
        <v>19</v>
      </c>
      <c r="C1412" t="s">
        <v>23</v>
      </c>
      <c r="D1412" t="s">
        <v>28</v>
      </c>
      <c r="E1412" t="s">
        <v>10</v>
      </c>
      <c r="F1412">
        <v>4843.3</v>
      </c>
      <c r="G1412">
        <v>2023</v>
      </c>
    </row>
    <row r="1413" spans="1:7" x14ac:dyDescent="0.3">
      <c r="A1413" t="s">
        <v>137</v>
      </c>
      <c r="B1413" t="s">
        <v>17</v>
      </c>
      <c r="C1413" t="s">
        <v>23</v>
      </c>
      <c r="D1413" t="s">
        <v>14</v>
      </c>
      <c r="E1413" t="s">
        <v>15</v>
      </c>
      <c r="F1413">
        <v>2038.87</v>
      </c>
      <c r="G1413">
        <v>2023</v>
      </c>
    </row>
    <row r="1414" spans="1:7" x14ac:dyDescent="0.3">
      <c r="A1414" t="s">
        <v>218</v>
      </c>
      <c r="B1414" t="s">
        <v>17</v>
      </c>
      <c r="C1414" t="s">
        <v>8</v>
      </c>
      <c r="D1414" t="s">
        <v>28</v>
      </c>
      <c r="E1414" t="s">
        <v>24</v>
      </c>
      <c r="F1414">
        <v>501.53</v>
      </c>
      <c r="G1414">
        <v>2022</v>
      </c>
    </row>
    <row r="1415" spans="1:7" x14ac:dyDescent="0.3">
      <c r="A1415" t="s">
        <v>141</v>
      </c>
      <c r="B1415" t="s">
        <v>7</v>
      </c>
      <c r="C1415" t="s">
        <v>34</v>
      </c>
      <c r="D1415" t="s">
        <v>14</v>
      </c>
      <c r="E1415" t="s">
        <v>24</v>
      </c>
      <c r="F1415">
        <v>2494.41</v>
      </c>
      <c r="G1415">
        <v>2023</v>
      </c>
    </row>
    <row r="1416" spans="1:7" x14ac:dyDescent="0.3">
      <c r="A1416" t="s">
        <v>79</v>
      </c>
      <c r="B1416" t="s">
        <v>17</v>
      </c>
      <c r="C1416" t="s">
        <v>8</v>
      </c>
      <c r="D1416" t="s">
        <v>14</v>
      </c>
      <c r="E1416" t="s">
        <v>24</v>
      </c>
      <c r="F1416">
        <v>3410.79</v>
      </c>
      <c r="G1416">
        <v>2022</v>
      </c>
    </row>
    <row r="1417" spans="1:7" x14ac:dyDescent="0.3">
      <c r="A1417" t="s">
        <v>89</v>
      </c>
      <c r="B1417" t="s">
        <v>17</v>
      </c>
      <c r="C1417" t="s">
        <v>8</v>
      </c>
      <c r="D1417" t="s">
        <v>9</v>
      </c>
      <c r="E1417" t="s">
        <v>15</v>
      </c>
      <c r="F1417">
        <v>4596.05</v>
      </c>
      <c r="G1417">
        <v>2022</v>
      </c>
    </row>
    <row r="1418" spans="1:7" x14ac:dyDescent="0.3">
      <c r="A1418" t="s">
        <v>160</v>
      </c>
      <c r="B1418" t="s">
        <v>30</v>
      </c>
      <c r="C1418" t="s">
        <v>8</v>
      </c>
      <c r="D1418" t="s">
        <v>28</v>
      </c>
      <c r="E1418" t="s">
        <v>24</v>
      </c>
      <c r="F1418">
        <v>2175.48</v>
      </c>
      <c r="G1418">
        <v>2022</v>
      </c>
    </row>
    <row r="1419" spans="1:7" x14ac:dyDescent="0.3">
      <c r="A1419" t="s">
        <v>173</v>
      </c>
      <c r="B1419" t="s">
        <v>30</v>
      </c>
      <c r="C1419" t="s">
        <v>8</v>
      </c>
      <c r="D1419" t="s">
        <v>28</v>
      </c>
      <c r="E1419" t="s">
        <v>10</v>
      </c>
      <c r="F1419">
        <v>4410.9799999999996</v>
      </c>
      <c r="G1419">
        <v>2022</v>
      </c>
    </row>
    <row r="1420" spans="1:7" x14ac:dyDescent="0.3">
      <c r="A1420" t="s">
        <v>67</v>
      </c>
      <c r="B1420" t="s">
        <v>7</v>
      </c>
      <c r="C1420" t="s">
        <v>8</v>
      </c>
      <c r="D1420" t="s">
        <v>9</v>
      </c>
      <c r="E1420" t="s">
        <v>15</v>
      </c>
      <c r="F1420">
        <v>4785.2299999999996</v>
      </c>
      <c r="G1420">
        <v>2022</v>
      </c>
    </row>
    <row r="1421" spans="1:7" x14ac:dyDescent="0.3">
      <c r="A1421" t="s">
        <v>45</v>
      </c>
      <c r="B1421" t="s">
        <v>7</v>
      </c>
      <c r="C1421" t="s">
        <v>23</v>
      </c>
      <c r="D1421" t="s">
        <v>28</v>
      </c>
      <c r="E1421" t="s">
        <v>15</v>
      </c>
      <c r="F1421">
        <v>3604.55</v>
      </c>
      <c r="G1421">
        <v>2023</v>
      </c>
    </row>
    <row r="1422" spans="1:7" x14ac:dyDescent="0.3">
      <c r="A1422" t="s">
        <v>109</v>
      </c>
      <c r="B1422" t="s">
        <v>12</v>
      </c>
      <c r="C1422" t="s">
        <v>13</v>
      </c>
      <c r="D1422" t="s">
        <v>28</v>
      </c>
      <c r="E1422" t="s">
        <v>15</v>
      </c>
      <c r="F1422">
        <v>3470.96</v>
      </c>
      <c r="G1422">
        <v>2022</v>
      </c>
    </row>
    <row r="1423" spans="1:7" x14ac:dyDescent="0.3">
      <c r="A1423" t="s">
        <v>112</v>
      </c>
      <c r="B1423" t="s">
        <v>30</v>
      </c>
      <c r="C1423" t="s">
        <v>23</v>
      </c>
      <c r="D1423" t="s">
        <v>14</v>
      </c>
      <c r="E1423" t="s">
        <v>10</v>
      </c>
      <c r="F1423">
        <v>3506.46</v>
      </c>
      <c r="G1423">
        <v>2023</v>
      </c>
    </row>
    <row r="1424" spans="1:7" x14ac:dyDescent="0.3">
      <c r="A1424" t="s">
        <v>175</v>
      </c>
      <c r="B1424" t="s">
        <v>7</v>
      </c>
      <c r="C1424" t="s">
        <v>13</v>
      </c>
      <c r="D1424" t="s">
        <v>9</v>
      </c>
      <c r="E1424" t="s">
        <v>24</v>
      </c>
      <c r="F1424">
        <v>2058.13</v>
      </c>
      <c r="G1424">
        <v>2022</v>
      </c>
    </row>
    <row r="1425" spans="1:7" x14ac:dyDescent="0.3">
      <c r="A1425" t="s">
        <v>94</v>
      </c>
      <c r="B1425" t="s">
        <v>7</v>
      </c>
      <c r="C1425" t="s">
        <v>34</v>
      </c>
      <c r="D1425" t="s">
        <v>28</v>
      </c>
      <c r="E1425" t="s">
        <v>24</v>
      </c>
      <c r="F1425">
        <v>1643.92</v>
      </c>
      <c r="G1425">
        <v>2023</v>
      </c>
    </row>
    <row r="1426" spans="1:7" x14ac:dyDescent="0.3">
      <c r="A1426" t="s">
        <v>217</v>
      </c>
      <c r="B1426" t="s">
        <v>19</v>
      </c>
      <c r="C1426" t="s">
        <v>23</v>
      </c>
      <c r="D1426" t="s">
        <v>28</v>
      </c>
      <c r="E1426" t="s">
        <v>10</v>
      </c>
      <c r="F1426">
        <v>2080.0300000000002</v>
      </c>
      <c r="G1426">
        <v>2023</v>
      </c>
    </row>
    <row r="1427" spans="1:7" x14ac:dyDescent="0.3">
      <c r="A1427" t="s">
        <v>211</v>
      </c>
      <c r="B1427" t="s">
        <v>7</v>
      </c>
      <c r="C1427" t="s">
        <v>8</v>
      </c>
      <c r="D1427" t="s">
        <v>14</v>
      </c>
      <c r="E1427" t="s">
        <v>24</v>
      </c>
      <c r="F1427">
        <v>2465.4499999999998</v>
      </c>
      <c r="G1427">
        <v>2022</v>
      </c>
    </row>
    <row r="1428" spans="1:7" x14ac:dyDescent="0.3">
      <c r="A1428" t="s">
        <v>80</v>
      </c>
      <c r="B1428" t="s">
        <v>17</v>
      </c>
      <c r="C1428" t="s">
        <v>13</v>
      </c>
      <c r="D1428" t="s">
        <v>14</v>
      </c>
      <c r="E1428" t="s">
        <v>24</v>
      </c>
      <c r="F1428">
        <v>2931.16</v>
      </c>
      <c r="G1428">
        <v>2022</v>
      </c>
    </row>
    <row r="1429" spans="1:7" x14ac:dyDescent="0.3">
      <c r="A1429" t="s">
        <v>117</v>
      </c>
      <c r="B1429" t="s">
        <v>7</v>
      </c>
      <c r="C1429" t="s">
        <v>23</v>
      </c>
      <c r="D1429" t="s">
        <v>28</v>
      </c>
      <c r="E1429" t="s">
        <v>24</v>
      </c>
      <c r="F1429">
        <v>1925.79</v>
      </c>
      <c r="G1429">
        <v>2023</v>
      </c>
    </row>
    <row r="1430" spans="1:7" x14ac:dyDescent="0.3">
      <c r="A1430" t="s">
        <v>86</v>
      </c>
      <c r="B1430" t="s">
        <v>19</v>
      </c>
      <c r="C1430" t="s">
        <v>8</v>
      </c>
      <c r="D1430" t="s">
        <v>14</v>
      </c>
      <c r="E1430" t="s">
        <v>24</v>
      </c>
      <c r="F1430">
        <v>1331.9</v>
      </c>
      <c r="G1430">
        <v>2022</v>
      </c>
    </row>
    <row r="1431" spans="1:7" x14ac:dyDescent="0.3">
      <c r="A1431" t="s">
        <v>18</v>
      </c>
      <c r="B1431" t="s">
        <v>19</v>
      </c>
      <c r="C1431" t="s">
        <v>8</v>
      </c>
      <c r="D1431" t="s">
        <v>9</v>
      </c>
      <c r="E1431" t="s">
        <v>15</v>
      </c>
      <c r="F1431">
        <v>3932.23</v>
      </c>
      <c r="G1431">
        <v>2022</v>
      </c>
    </row>
    <row r="1432" spans="1:7" x14ac:dyDescent="0.3">
      <c r="A1432" t="s">
        <v>18</v>
      </c>
      <c r="B1432" t="s">
        <v>19</v>
      </c>
      <c r="C1432" t="s">
        <v>13</v>
      </c>
      <c r="D1432" t="s">
        <v>28</v>
      </c>
      <c r="E1432" t="s">
        <v>24</v>
      </c>
      <c r="F1432">
        <v>1414.52</v>
      </c>
      <c r="G1432">
        <v>2022</v>
      </c>
    </row>
    <row r="1433" spans="1:7" x14ac:dyDescent="0.3">
      <c r="A1433" t="s">
        <v>36</v>
      </c>
      <c r="B1433" t="s">
        <v>12</v>
      </c>
      <c r="C1433" t="s">
        <v>13</v>
      </c>
      <c r="D1433" t="s">
        <v>9</v>
      </c>
      <c r="E1433" t="s">
        <v>24</v>
      </c>
      <c r="F1433">
        <v>3472.69</v>
      </c>
      <c r="G1433">
        <v>2022</v>
      </c>
    </row>
    <row r="1434" spans="1:7" x14ac:dyDescent="0.3">
      <c r="A1434" t="s">
        <v>180</v>
      </c>
      <c r="B1434" t="s">
        <v>30</v>
      </c>
      <c r="C1434" t="s">
        <v>34</v>
      </c>
      <c r="D1434" t="s">
        <v>28</v>
      </c>
      <c r="E1434" t="s">
        <v>24</v>
      </c>
      <c r="F1434">
        <v>1357.85</v>
      </c>
      <c r="G1434">
        <v>2023</v>
      </c>
    </row>
    <row r="1435" spans="1:7" x14ac:dyDescent="0.3">
      <c r="A1435" t="s">
        <v>114</v>
      </c>
      <c r="B1435" t="s">
        <v>30</v>
      </c>
      <c r="C1435" t="s">
        <v>8</v>
      </c>
      <c r="D1435" t="s">
        <v>28</v>
      </c>
      <c r="E1435" t="s">
        <v>10</v>
      </c>
      <c r="F1435">
        <v>347.5</v>
      </c>
      <c r="G1435">
        <v>2022</v>
      </c>
    </row>
    <row r="1436" spans="1:7" x14ac:dyDescent="0.3">
      <c r="A1436" t="s">
        <v>214</v>
      </c>
      <c r="B1436" t="s">
        <v>30</v>
      </c>
      <c r="C1436" t="s">
        <v>13</v>
      </c>
      <c r="D1436" t="s">
        <v>9</v>
      </c>
      <c r="E1436" t="s">
        <v>24</v>
      </c>
      <c r="F1436">
        <v>4534.2299999999996</v>
      </c>
      <c r="G1436">
        <v>2022</v>
      </c>
    </row>
    <row r="1437" spans="1:7" x14ac:dyDescent="0.3">
      <c r="A1437" t="s">
        <v>173</v>
      </c>
      <c r="B1437" t="s">
        <v>30</v>
      </c>
      <c r="C1437" t="s">
        <v>34</v>
      </c>
      <c r="D1437" t="s">
        <v>14</v>
      </c>
      <c r="E1437" t="s">
        <v>10</v>
      </c>
      <c r="F1437">
        <v>3600.52</v>
      </c>
      <c r="G1437">
        <v>2023</v>
      </c>
    </row>
    <row r="1438" spans="1:7" x14ac:dyDescent="0.3">
      <c r="A1438" t="s">
        <v>192</v>
      </c>
      <c r="B1438" t="s">
        <v>19</v>
      </c>
      <c r="C1438" t="s">
        <v>34</v>
      </c>
      <c r="D1438" t="s">
        <v>28</v>
      </c>
      <c r="E1438" t="s">
        <v>24</v>
      </c>
      <c r="F1438">
        <v>4875.1000000000004</v>
      </c>
      <c r="G1438">
        <v>2023</v>
      </c>
    </row>
    <row r="1439" spans="1:7" x14ac:dyDescent="0.3">
      <c r="A1439" t="s">
        <v>104</v>
      </c>
      <c r="B1439" t="s">
        <v>17</v>
      </c>
      <c r="C1439" t="s">
        <v>8</v>
      </c>
      <c r="D1439" t="s">
        <v>9</v>
      </c>
      <c r="E1439" t="s">
        <v>10</v>
      </c>
      <c r="F1439">
        <v>1708.84</v>
      </c>
      <c r="G1439">
        <v>2022</v>
      </c>
    </row>
    <row r="1440" spans="1:7" x14ac:dyDescent="0.3">
      <c r="A1440" t="s">
        <v>132</v>
      </c>
      <c r="B1440" t="s">
        <v>19</v>
      </c>
      <c r="C1440" t="s">
        <v>34</v>
      </c>
      <c r="D1440" t="s">
        <v>28</v>
      </c>
      <c r="E1440" t="s">
        <v>10</v>
      </c>
      <c r="F1440">
        <v>126.6</v>
      </c>
      <c r="G1440">
        <v>2023</v>
      </c>
    </row>
    <row r="1441" spans="1:7" x14ac:dyDescent="0.3">
      <c r="A1441" t="s">
        <v>64</v>
      </c>
      <c r="B1441" t="s">
        <v>30</v>
      </c>
      <c r="C1441" t="s">
        <v>23</v>
      </c>
      <c r="D1441" t="s">
        <v>28</v>
      </c>
      <c r="E1441" t="s">
        <v>24</v>
      </c>
      <c r="F1441">
        <v>1749.03</v>
      </c>
      <c r="G1441">
        <v>2023</v>
      </c>
    </row>
    <row r="1442" spans="1:7" x14ac:dyDescent="0.3">
      <c r="A1442" t="s">
        <v>61</v>
      </c>
      <c r="B1442" t="s">
        <v>30</v>
      </c>
      <c r="C1442" t="s">
        <v>8</v>
      </c>
      <c r="D1442" t="s">
        <v>9</v>
      </c>
      <c r="E1442" t="s">
        <v>24</v>
      </c>
      <c r="F1442">
        <v>2617.52</v>
      </c>
      <c r="G1442">
        <v>2022</v>
      </c>
    </row>
    <row r="1443" spans="1:7" x14ac:dyDescent="0.3">
      <c r="A1443" t="s">
        <v>78</v>
      </c>
      <c r="B1443" t="s">
        <v>7</v>
      </c>
      <c r="C1443" t="s">
        <v>13</v>
      </c>
      <c r="D1443" t="s">
        <v>9</v>
      </c>
      <c r="E1443" t="s">
        <v>10</v>
      </c>
      <c r="F1443">
        <v>351.56</v>
      </c>
      <c r="G1443">
        <v>2022</v>
      </c>
    </row>
    <row r="1444" spans="1:7" x14ac:dyDescent="0.3">
      <c r="A1444" t="s">
        <v>196</v>
      </c>
      <c r="B1444" t="s">
        <v>30</v>
      </c>
      <c r="C1444" t="s">
        <v>34</v>
      </c>
      <c r="D1444" t="s">
        <v>28</v>
      </c>
      <c r="E1444" t="s">
        <v>10</v>
      </c>
      <c r="F1444">
        <v>1743.41</v>
      </c>
      <c r="G1444">
        <v>2023</v>
      </c>
    </row>
    <row r="1445" spans="1:7" x14ac:dyDescent="0.3">
      <c r="A1445" t="s">
        <v>68</v>
      </c>
      <c r="B1445" t="s">
        <v>12</v>
      </c>
      <c r="C1445" t="s">
        <v>34</v>
      </c>
      <c r="D1445" t="s">
        <v>9</v>
      </c>
      <c r="E1445" t="s">
        <v>24</v>
      </c>
      <c r="F1445">
        <v>4857.87</v>
      </c>
      <c r="G1445">
        <v>2023</v>
      </c>
    </row>
    <row r="1446" spans="1:7" x14ac:dyDescent="0.3">
      <c r="A1446" t="s">
        <v>184</v>
      </c>
      <c r="B1446" t="s">
        <v>30</v>
      </c>
      <c r="C1446" t="s">
        <v>34</v>
      </c>
      <c r="D1446" t="s">
        <v>14</v>
      </c>
      <c r="E1446" t="s">
        <v>24</v>
      </c>
      <c r="F1446">
        <v>2816.93</v>
      </c>
      <c r="G1446">
        <v>2023</v>
      </c>
    </row>
    <row r="1447" spans="1:7" x14ac:dyDescent="0.3">
      <c r="A1447" t="s">
        <v>48</v>
      </c>
      <c r="B1447" t="s">
        <v>19</v>
      </c>
      <c r="C1447" t="s">
        <v>13</v>
      </c>
      <c r="D1447" t="s">
        <v>14</v>
      </c>
      <c r="E1447" t="s">
        <v>15</v>
      </c>
      <c r="F1447">
        <v>2641.98</v>
      </c>
      <c r="G1447">
        <v>2022</v>
      </c>
    </row>
    <row r="1448" spans="1:7" x14ac:dyDescent="0.3">
      <c r="A1448" t="s">
        <v>127</v>
      </c>
      <c r="B1448" t="s">
        <v>17</v>
      </c>
      <c r="C1448" t="s">
        <v>34</v>
      </c>
      <c r="D1448" t="s">
        <v>14</v>
      </c>
      <c r="E1448" t="s">
        <v>15</v>
      </c>
      <c r="F1448">
        <v>2924.31</v>
      </c>
      <c r="G1448">
        <v>2023</v>
      </c>
    </row>
    <row r="1449" spans="1:7" x14ac:dyDescent="0.3">
      <c r="A1449" t="s">
        <v>112</v>
      </c>
      <c r="B1449" t="s">
        <v>30</v>
      </c>
      <c r="C1449" t="s">
        <v>13</v>
      </c>
      <c r="D1449" t="s">
        <v>9</v>
      </c>
      <c r="E1449" t="s">
        <v>15</v>
      </c>
      <c r="F1449">
        <v>2885.09</v>
      </c>
      <c r="G1449">
        <v>2022</v>
      </c>
    </row>
    <row r="1450" spans="1:7" x14ac:dyDescent="0.3">
      <c r="A1450" t="s">
        <v>215</v>
      </c>
      <c r="B1450" t="s">
        <v>17</v>
      </c>
      <c r="C1450" t="s">
        <v>34</v>
      </c>
      <c r="D1450" t="s">
        <v>28</v>
      </c>
      <c r="E1450" t="s">
        <v>24</v>
      </c>
      <c r="F1450">
        <v>4563.34</v>
      </c>
      <c r="G1450">
        <v>2023</v>
      </c>
    </row>
    <row r="1451" spans="1:7" x14ac:dyDescent="0.3">
      <c r="A1451" t="s">
        <v>61</v>
      </c>
      <c r="B1451" t="s">
        <v>30</v>
      </c>
      <c r="C1451" t="s">
        <v>8</v>
      </c>
      <c r="D1451" t="s">
        <v>14</v>
      </c>
      <c r="E1451" t="s">
        <v>15</v>
      </c>
      <c r="F1451">
        <v>3703.75</v>
      </c>
      <c r="G1451">
        <v>2022</v>
      </c>
    </row>
    <row r="1452" spans="1:7" x14ac:dyDescent="0.3">
      <c r="A1452" t="s">
        <v>152</v>
      </c>
      <c r="B1452" t="s">
        <v>30</v>
      </c>
      <c r="C1452" t="s">
        <v>13</v>
      </c>
      <c r="D1452" t="s">
        <v>28</v>
      </c>
      <c r="E1452" t="s">
        <v>10</v>
      </c>
      <c r="F1452">
        <v>3328.72</v>
      </c>
      <c r="G1452">
        <v>2022</v>
      </c>
    </row>
    <row r="1453" spans="1:7" x14ac:dyDescent="0.3">
      <c r="A1453" t="s">
        <v>156</v>
      </c>
      <c r="B1453" t="s">
        <v>17</v>
      </c>
      <c r="C1453" t="s">
        <v>23</v>
      </c>
      <c r="D1453" t="s">
        <v>28</v>
      </c>
      <c r="E1453" t="s">
        <v>10</v>
      </c>
      <c r="F1453">
        <v>4650.1400000000003</v>
      </c>
      <c r="G1453">
        <v>2023</v>
      </c>
    </row>
    <row r="1454" spans="1:7" x14ac:dyDescent="0.3">
      <c r="A1454" t="s">
        <v>18</v>
      </c>
      <c r="B1454" t="s">
        <v>19</v>
      </c>
      <c r="C1454" t="s">
        <v>8</v>
      </c>
      <c r="D1454" t="s">
        <v>9</v>
      </c>
      <c r="E1454" t="s">
        <v>10</v>
      </c>
      <c r="F1454">
        <v>1410.9</v>
      </c>
      <c r="G1454">
        <v>2022</v>
      </c>
    </row>
    <row r="1455" spans="1:7" x14ac:dyDescent="0.3">
      <c r="A1455" t="s">
        <v>82</v>
      </c>
      <c r="B1455" t="s">
        <v>17</v>
      </c>
      <c r="C1455" t="s">
        <v>13</v>
      </c>
      <c r="D1455" t="s">
        <v>14</v>
      </c>
      <c r="E1455" t="s">
        <v>10</v>
      </c>
      <c r="F1455">
        <v>802.15</v>
      </c>
      <c r="G1455">
        <v>2022</v>
      </c>
    </row>
    <row r="1456" spans="1:7" x14ac:dyDescent="0.3">
      <c r="A1456" t="s">
        <v>219</v>
      </c>
      <c r="B1456" t="s">
        <v>12</v>
      </c>
      <c r="C1456" t="s">
        <v>34</v>
      </c>
      <c r="D1456" t="s">
        <v>14</v>
      </c>
      <c r="E1456" t="s">
        <v>15</v>
      </c>
      <c r="F1456">
        <v>3338.5</v>
      </c>
      <c r="G1456">
        <v>2023</v>
      </c>
    </row>
    <row r="1457" spans="1:7" x14ac:dyDescent="0.3">
      <c r="A1457" t="s">
        <v>152</v>
      </c>
      <c r="B1457" t="s">
        <v>30</v>
      </c>
      <c r="C1457" t="s">
        <v>23</v>
      </c>
      <c r="D1457" t="s">
        <v>28</v>
      </c>
      <c r="E1457" t="s">
        <v>24</v>
      </c>
      <c r="F1457">
        <v>1108.8800000000001</v>
      </c>
      <c r="G1457">
        <v>2023</v>
      </c>
    </row>
    <row r="1458" spans="1:7" x14ac:dyDescent="0.3">
      <c r="A1458" t="s">
        <v>191</v>
      </c>
      <c r="B1458" t="s">
        <v>12</v>
      </c>
      <c r="C1458" t="s">
        <v>13</v>
      </c>
      <c r="D1458" t="s">
        <v>14</v>
      </c>
      <c r="E1458" t="s">
        <v>24</v>
      </c>
      <c r="F1458">
        <v>350.22</v>
      </c>
      <c r="G1458">
        <v>2022</v>
      </c>
    </row>
    <row r="1459" spans="1:7" x14ac:dyDescent="0.3">
      <c r="A1459" t="s">
        <v>186</v>
      </c>
      <c r="B1459" t="s">
        <v>30</v>
      </c>
      <c r="C1459" t="s">
        <v>13</v>
      </c>
      <c r="D1459" t="s">
        <v>14</v>
      </c>
      <c r="E1459" t="s">
        <v>15</v>
      </c>
      <c r="F1459">
        <v>1884.68</v>
      </c>
      <c r="G1459">
        <v>2022</v>
      </c>
    </row>
    <row r="1460" spans="1:7" x14ac:dyDescent="0.3">
      <c r="A1460" t="s">
        <v>168</v>
      </c>
      <c r="B1460" t="s">
        <v>17</v>
      </c>
      <c r="C1460" t="s">
        <v>13</v>
      </c>
      <c r="D1460" t="s">
        <v>9</v>
      </c>
      <c r="E1460" t="s">
        <v>10</v>
      </c>
      <c r="F1460">
        <v>2634.76</v>
      </c>
      <c r="G1460">
        <v>2022</v>
      </c>
    </row>
    <row r="1461" spans="1:7" x14ac:dyDescent="0.3">
      <c r="A1461" t="s">
        <v>175</v>
      </c>
      <c r="B1461" t="s">
        <v>7</v>
      </c>
      <c r="C1461" t="s">
        <v>13</v>
      </c>
      <c r="D1461" t="s">
        <v>14</v>
      </c>
      <c r="E1461" t="s">
        <v>10</v>
      </c>
      <c r="F1461">
        <v>1677.52</v>
      </c>
      <c r="G1461">
        <v>2022</v>
      </c>
    </row>
    <row r="1462" spans="1:7" x14ac:dyDescent="0.3">
      <c r="A1462" t="s">
        <v>83</v>
      </c>
      <c r="B1462" t="s">
        <v>17</v>
      </c>
      <c r="C1462" t="s">
        <v>8</v>
      </c>
      <c r="D1462" t="s">
        <v>28</v>
      </c>
      <c r="E1462" t="s">
        <v>10</v>
      </c>
      <c r="F1462">
        <v>2395.0100000000002</v>
      </c>
      <c r="G1462">
        <v>2022</v>
      </c>
    </row>
    <row r="1463" spans="1:7" x14ac:dyDescent="0.3">
      <c r="A1463" t="s">
        <v>146</v>
      </c>
      <c r="B1463" t="s">
        <v>7</v>
      </c>
      <c r="C1463" t="s">
        <v>23</v>
      </c>
      <c r="D1463" t="s">
        <v>9</v>
      </c>
      <c r="E1463" t="s">
        <v>15</v>
      </c>
      <c r="F1463">
        <v>2603.0100000000002</v>
      </c>
      <c r="G1463">
        <v>2023</v>
      </c>
    </row>
    <row r="1464" spans="1:7" x14ac:dyDescent="0.3">
      <c r="A1464" t="s">
        <v>95</v>
      </c>
      <c r="B1464" t="s">
        <v>30</v>
      </c>
      <c r="C1464" t="s">
        <v>13</v>
      </c>
      <c r="D1464" t="s">
        <v>9</v>
      </c>
      <c r="E1464" t="s">
        <v>15</v>
      </c>
      <c r="F1464">
        <v>1656.44</v>
      </c>
      <c r="G1464">
        <v>2022</v>
      </c>
    </row>
    <row r="1465" spans="1:7" x14ac:dyDescent="0.3">
      <c r="A1465" t="s">
        <v>106</v>
      </c>
      <c r="B1465" t="s">
        <v>12</v>
      </c>
      <c r="C1465" t="s">
        <v>23</v>
      </c>
      <c r="D1465" t="s">
        <v>9</v>
      </c>
      <c r="E1465" t="s">
        <v>10</v>
      </c>
      <c r="F1465">
        <v>274.58999999999997</v>
      </c>
      <c r="G1465">
        <v>2023</v>
      </c>
    </row>
    <row r="1466" spans="1:7" x14ac:dyDescent="0.3">
      <c r="A1466" t="s">
        <v>155</v>
      </c>
      <c r="B1466" t="s">
        <v>7</v>
      </c>
      <c r="C1466" t="s">
        <v>8</v>
      </c>
      <c r="D1466" t="s">
        <v>9</v>
      </c>
      <c r="E1466" t="s">
        <v>10</v>
      </c>
      <c r="F1466">
        <v>1298.28</v>
      </c>
      <c r="G1466">
        <v>2022</v>
      </c>
    </row>
    <row r="1467" spans="1:7" x14ac:dyDescent="0.3">
      <c r="A1467" t="s">
        <v>136</v>
      </c>
      <c r="B1467" t="s">
        <v>17</v>
      </c>
      <c r="C1467" t="s">
        <v>34</v>
      </c>
      <c r="D1467" t="s">
        <v>28</v>
      </c>
      <c r="E1467" t="s">
        <v>15</v>
      </c>
      <c r="F1467">
        <v>814.66</v>
      </c>
      <c r="G1467">
        <v>2023</v>
      </c>
    </row>
    <row r="1468" spans="1:7" x14ac:dyDescent="0.3">
      <c r="A1468" t="s">
        <v>22</v>
      </c>
      <c r="B1468" t="s">
        <v>12</v>
      </c>
      <c r="C1468" t="s">
        <v>23</v>
      </c>
      <c r="D1468" t="s">
        <v>14</v>
      </c>
      <c r="E1468" t="s">
        <v>10</v>
      </c>
      <c r="F1468">
        <v>4037.11</v>
      </c>
      <c r="G1468">
        <v>2023</v>
      </c>
    </row>
    <row r="1469" spans="1:7" x14ac:dyDescent="0.3">
      <c r="A1469" t="s">
        <v>130</v>
      </c>
      <c r="B1469" t="s">
        <v>12</v>
      </c>
      <c r="C1469" t="s">
        <v>23</v>
      </c>
      <c r="D1469" t="s">
        <v>9</v>
      </c>
      <c r="E1469" t="s">
        <v>15</v>
      </c>
      <c r="F1469">
        <v>1604.81</v>
      </c>
      <c r="G1469">
        <v>2023</v>
      </c>
    </row>
    <row r="1470" spans="1:7" x14ac:dyDescent="0.3">
      <c r="A1470" t="s">
        <v>57</v>
      </c>
      <c r="B1470" t="s">
        <v>19</v>
      </c>
      <c r="C1470" t="s">
        <v>23</v>
      </c>
      <c r="D1470" t="s">
        <v>14</v>
      </c>
      <c r="E1470" t="s">
        <v>24</v>
      </c>
      <c r="F1470">
        <v>2667.56</v>
      </c>
      <c r="G1470">
        <v>2023</v>
      </c>
    </row>
    <row r="1471" spans="1:7" x14ac:dyDescent="0.3">
      <c r="A1471" t="s">
        <v>55</v>
      </c>
      <c r="B1471" t="s">
        <v>12</v>
      </c>
      <c r="C1471" t="s">
        <v>13</v>
      </c>
      <c r="D1471" t="s">
        <v>14</v>
      </c>
      <c r="E1471" t="s">
        <v>10</v>
      </c>
      <c r="F1471">
        <v>1194.52</v>
      </c>
      <c r="G1471">
        <v>2022</v>
      </c>
    </row>
    <row r="1472" spans="1:7" x14ac:dyDescent="0.3">
      <c r="A1472" t="s">
        <v>193</v>
      </c>
      <c r="B1472" t="s">
        <v>12</v>
      </c>
      <c r="C1472" t="s">
        <v>8</v>
      </c>
      <c r="D1472" t="s">
        <v>28</v>
      </c>
      <c r="E1472" t="s">
        <v>10</v>
      </c>
      <c r="F1472">
        <v>4059.51</v>
      </c>
      <c r="G1472">
        <v>2022</v>
      </c>
    </row>
    <row r="1473" spans="1:7" x14ac:dyDescent="0.3">
      <c r="A1473" t="s">
        <v>186</v>
      </c>
      <c r="B1473" t="s">
        <v>30</v>
      </c>
      <c r="C1473" t="s">
        <v>23</v>
      </c>
      <c r="D1473" t="s">
        <v>14</v>
      </c>
      <c r="E1473" t="s">
        <v>15</v>
      </c>
      <c r="F1473">
        <v>1051.4000000000001</v>
      </c>
      <c r="G1473">
        <v>2023</v>
      </c>
    </row>
    <row r="1474" spans="1:7" x14ac:dyDescent="0.3">
      <c r="A1474" t="s">
        <v>68</v>
      </c>
      <c r="B1474" t="s">
        <v>12</v>
      </c>
      <c r="C1474" t="s">
        <v>13</v>
      </c>
      <c r="D1474" t="s">
        <v>9</v>
      </c>
      <c r="E1474" t="s">
        <v>24</v>
      </c>
      <c r="F1474">
        <v>1810.54</v>
      </c>
      <c r="G1474">
        <v>2022</v>
      </c>
    </row>
    <row r="1475" spans="1:7" x14ac:dyDescent="0.3">
      <c r="A1475" t="s">
        <v>18</v>
      </c>
      <c r="B1475" t="s">
        <v>19</v>
      </c>
      <c r="C1475" t="s">
        <v>34</v>
      </c>
      <c r="D1475" t="s">
        <v>14</v>
      </c>
      <c r="E1475" t="s">
        <v>24</v>
      </c>
      <c r="F1475">
        <v>2916.42</v>
      </c>
      <c r="G1475">
        <v>2023</v>
      </c>
    </row>
    <row r="1476" spans="1:7" x14ac:dyDescent="0.3">
      <c r="A1476" t="s">
        <v>51</v>
      </c>
      <c r="B1476" t="s">
        <v>30</v>
      </c>
      <c r="C1476" t="s">
        <v>34</v>
      </c>
      <c r="D1476" t="s">
        <v>28</v>
      </c>
      <c r="E1476" t="s">
        <v>15</v>
      </c>
      <c r="F1476">
        <v>3852.61</v>
      </c>
      <c r="G1476">
        <v>2023</v>
      </c>
    </row>
    <row r="1477" spans="1:7" x14ac:dyDescent="0.3">
      <c r="A1477" t="s">
        <v>164</v>
      </c>
      <c r="B1477" t="s">
        <v>19</v>
      </c>
      <c r="C1477" t="s">
        <v>34</v>
      </c>
      <c r="D1477" t="s">
        <v>28</v>
      </c>
      <c r="E1477" t="s">
        <v>10</v>
      </c>
      <c r="F1477">
        <v>4795.1400000000003</v>
      </c>
      <c r="G1477">
        <v>2023</v>
      </c>
    </row>
    <row r="1478" spans="1:7" x14ac:dyDescent="0.3">
      <c r="A1478" t="s">
        <v>193</v>
      </c>
      <c r="B1478" t="s">
        <v>12</v>
      </c>
      <c r="C1478" t="s">
        <v>23</v>
      </c>
      <c r="D1478" t="s">
        <v>28</v>
      </c>
      <c r="E1478" t="s">
        <v>15</v>
      </c>
      <c r="F1478">
        <v>1445.25</v>
      </c>
      <c r="G1478">
        <v>2023</v>
      </c>
    </row>
    <row r="1479" spans="1:7" x14ac:dyDescent="0.3">
      <c r="A1479" t="s">
        <v>93</v>
      </c>
      <c r="B1479" t="s">
        <v>30</v>
      </c>
      <c r="C1479" t="s">
        <v>13</v>
      </c>
      <c r="D1479" t="s">
        <v>28</v>
      </c>
      <c r="E1479" t="s">
        <v>15</v>
      </c>
      <c r="F1479">
        <v>869.01</v>
      </c>
      <c r="G1479">
        <v>2022</v>
      </c>
    </row>
    <row r="1480" spans="1:7" x14ac:dyDescent="0.3">
      <c r="A1480" t="s">
        <v>203</v>
      </c>
      <c r="B1480" t="s">
        <v>12</v>
      </c>
      <c r="C1480" t="s">
        <v>23</v>
      </c>
      <c r="D1480" t="s">
        <v>28</v>
      </c>
      <c r="E1480" t="s">
        <v>15</v>
      </c>
      <c r="F1480">
        <v>4077.29</v>
      </c>
      <c r="G1480">
        <v>2023</v>
      </c>
    </row>
    <row r="1481" spans="1:7" x14ac:dyDescent="0.3">
      <c r="A1481" t="s">
        <v>120</v>
      </c>
      <c r="B1481" t="s">
        <v>30</v>
      </c>
      <c r="C1481" t="s">
        <v>8</v>
      </c>
      <c r="D1481" t="s">
        <v>14</v>
      </c>
      <c r="E1481" t="s">
        <v>10</v>
      </c>
      <c r="F1481">
        <v>2770.18</v>
      </c>
      <c r="G1481">
        <v>2022</v>
      </c>
    </row>
    <row r="1482" spans="1:7" x14ac:dyDescent="0.3">
      <c r="A1482" t="s">
        <v>141</v>
      </c>
      <c r="B1482" t="s">
        <v>7</v>
      </c>
      <c r="C1482" t="s">
        <v>34</v>
      </c>
      <c r="D1482" t="s">
        <v>9</v>
      </c>
      <c r="E1482" t="s">
        <v>10</v>
      </c>
      <c r="F1482">
        <v>2004.7</v>
      </c>
      <c r="G1482">
        <v>2023</v>
      </c>
    </row>
    <row r="1483" spans="1:7" x14ac:dyDescent="0.3">
      <c r="A1483" t="s">
        <v>193</v>
      </c>
      <c r="B1483" t="s">
        <v>12</v>
      </c>
      <c r="C1483" t="s">
        <v>34</v>
      </c>
      <c r="D1483" t="s">
        <v>28</v>
      </c>
      <c r="E1483" t="s">
        <v>15</v>
      </c>
      <c r="F1483">
        <v>4717.47</v>
      </c>
      <c r="G1483">
        <v>2023</v>
      </c>
    </row>
    <row r="1484" spans="1:7" x14ac:dyDescent="0.3">
      <c r="A1484" t="s">
        <v>115</v>
      </c>
      <c r="B1484" t="s">
        <v>19</v>
      </c>
      <c r="C1484" t="s">
        <v>13</v>
      </c>
      <c r="D1484" t="s">
        <v>9</v>
      </c>
      <c r="E1484" t="s">
        <v>10</v>
      </c>
      <c r="F1484">
        <v>1392.48</v>
      </c>
      <c r="G1484">
        <v>2022</v>
      </c>
    </row>
    <row r="1485" spans="1:7" x14ac:dyDescent="0.3">
      <c r="A1485" t="s">
        <v>148</v>
      </c>
      <c r="B1485" t="s">
        <v>17</v>
      </c>
      <c r="C1485" t="s">
        <v>23</v>
      </c>
      <c r="D1485" t="s">
        <v>9</v>
      </c>
      <c r="E1485" t="s">
        <v>15</v>
      </c>
      <c r="F1485">
        <v>2563.33</v>
      </c>
      <c r="G1485">
        <v>2023</v>
      </c>
    </row>
    <row r="1486" spans="1:7" x14ac:dyDescent="0.3">
      <c r="A1486" t="s">
        <v>130</v>
      </c>
      <c r="B1486" t="s">
        <v>12</v>
      </c>
      <c r="C1486" t="s">
        <v>34</v>
      </c>
      <c r="D1486" t="s">
        <v>9</v>
      </c>
      <c r="E1486" t="s">
        <v>15</v>
      </c>
      <c r="F1486">
        <v>503.86</v>
      </c>
      <c r="G1486">
        <v>2023</v>
      </c>
    </row>
    <row r="1487" spans="1:7" x14ac:dyDescent="0.3">
      <c r="A1487" t="s">
        <v>164</v>
      </c>
      <c r="B1487" t="s">
        <v>19</v>
      </c>
      <c r="C1487" t="s">
        <v>8</v>
      </c>
      <c r="D1487" t="s">
        <v>28</v>
      </c>
      <c r="E1487" t="s">
        <v>24</v>
      </c>
      <c r="F1487">
        <v>897.2</v>
      </c>
      <c r="G1487">
        <v>2022</v>
      </c>
    </row>
    <row r="1488" spans="1:7" x14ac:dyDescent="0.3">
      <c r="A1488" t="s">
        <v>152</v>
      </c>
      <c r="B1488" t="s">
        <v>30</v>
      </c>
      <c r="C1488" t="s">
        <v>23</v>
      </c>
      <c r="D1488" t="s">
        <v>14</v>
      </c>
      <c r="E1488" t="s">
        <v>15</v>
      </c>
      <c r="F1488">
        <v>2988.56</v>
      </c>
      <c r="G1488">
        <v>2023</v>
      </c>
    </row>
    <row r="1489" spans="1:7" x14ac:dyDescent="0.3">
      <c r="A1489" t="s">
        <v>86</v>
      </c>
      <c r="B1489" t="s">
        <v>19</v>
      </c>
      <c r="C1489" t="s">
        <v>34</v>
      </c>
      <c r="D1489" t="s">
        <v>9</v>
      </c>
      <c r="E1489" t="s">
        <v>15</v>
      </c>
      <c r="F1489">
        <v>1067.23</v>
      </c>
      <c r="G1489">
        <v>2023</v>
      </c>
    </row>
    <row r="1490" spans="1:7" x14ac:dyDescent="0.3">
      <c r="A1490" t="s">
        <v>127</v>
      </c>
      <c r="B1490" t="s">
        <v>17</v>
      </c>
      <c r="C1490" t="s">
        <v>34</v>
      </c>
      <c r="D1490" t="s">
        <v>9</v>
      </c>
      <c r="E1490" t="s">
        <v>10</v>
      </c>
      <c r="F1490">
        <v>2128.88</v>
      </c>
      <c r="G1490">
        <v>2023</v>
      </c>
    </row>
    <row r="1491" spans="1:7" x14ac:dyDescent="0.3">
      <c r="A1491" t="s">
        <v>143</v>
      </c>
      <c r="B1491" t="s">
        <v>17</v>
      </c>
      <c r="C1491" t="s">
        <v>13</v>
      </c>
      <c r="D1491" t="s">
        <v>28</v>
      </c>
      <c r="E1491" t="s">
        <v>15</v>
      </c>
      <c r="F1491">
        <v>569.36</v>
      </c>
      <c r="G1491">
        <v>2022</v>
      </c>
    </row>
    <row r="1492" spans="1:7" x14ac:dyDescent="0.3">
      <c r="A1492" t="s">
        <v>165</v>
      </c>
      <c r="B1492" t="s">
        <v>7</v>
      </c>
      <c r="C1492" t="s">
        <v>8</v>
      </c>
      <c r="D1492" t="s">
        <v>14</v>
      </c>
      <c r="E1492" t="s">
        <v>15</v>
      </c>
      <c r="F1492">
        <v>2763.46</v>
      </c>
      <c r="G1492">
        <v>2022</v>
      </c>
    </row>
    <row r="1493" spans="1:7" x14ac:dyDescent="0.3">
      <c r="A1493" t="s">
        <v>58</v>
      </c>
      <c r="B1493" t="s">
        <v>17</v>
      </c>
      <c r="C1493" t="s">
        <v>13</v>
      </c>
      <c r="D1493" t="s">
        <v>9</v>
      </c>
      <c r="E1493" t="s">
        <v>10</v>
      </c>
      <c r="F1493">
        <v>889.01</v>
      </c>
      <c r="G1493">
        <v>2022</v>
      </c>
    </row>
    <row r="1494" spans="1:7" x14ac:dyDescent="0.3">
      <c r="A1494" t="s">
        <v>138</v>
      </c>
      <c r="B1494" t="s">
        <v>12</v>
      </c>
      <c r="C1494" t="s">
        <v>34</v>
      </c>
      <c r="D1494" t="s">
        <v>9</v>
      </c>
      <c r="E1494" t="s">
        <v>24</v>
      </c>
      <c r="F1494">
        <v>565.20000000000005</v>
      </c>
      <c r="G1494">
        <v>2023</v>
      </c>
    </row>
    <row r="1495" spans="1:7" x14ac:dyDescent="0.3">
      <c r="A1495" t="s">
        <v>155</v>
      </c>
      <c r="B1495" t="s">
        <v>7</v>
      </c>
      <c r="C1495" t="s">
        <v>34</v>
      </c>
      <c r="D1495" t="s">
        <v>28</v>
      </c>
      <c r="E1495" t="s">
        <v>15</v>
      </c>
      <c r="F1495">
        <v>4475.2700000000004</v>
      </c>
      <c r="G1495">
        <v>2023</v>
      </c>
    </row>
    <row r="1496" spans="1:7" x14ac:dyDescent="0.3">
      <c r="A1496" t="s">
        <v>193</v>
      </c>
      <c r="B1496" t="s">
        <v>12</v>
      </c>
      <c r="C1496" t="s">
        <v>13</v>
      </c>
      <c r="D1496" t="s">
        <v>14</v>
      </c>
      <c r="E1496" t="s">
        <v>10</v>
      </c>
      <c r="F1496">
        <v>3884.64</v>
      </c>
      <c r="G1496">
        <v>2022</v>
      </c>
    </row>
    <row r="1497" spans="1:7" x14ac:dyDescent="0.3">
      <c r="A1497" t="s">
        <v>155</v>
      </c>
      <c r="B1497" t="s">
        <v>7</v>
      </c>
      <c r="C1497" t="s">
        <v>34</v>
      </c>
      <c r="D1497" t="s">
        <v>9</v>
      </c>
      <c r="E1497" t="s">
        <v>15</v>
      </c>
      <c r="F1497">
        <v>1548.15</v>
      </c>
      <c r="G1497">
        <v>2023</v>
      </c>
    </row>
    <row r="1498" spans="1:7" x14ac:dyDescent="0.3">
      <c r="A1498" t="s">
        <v>218</v>
      </c>
      <c r="B1498" t="s">
        <v>17</v>
      </c>
      <c r="C1498" t="s">
        <v>23</v>
      </c>
      <c r="D1498" t="s">
        <v>14</v>
      </c>
      <c r="E1498" t="s">
        <v>10</v>
      </c>
      <c r="F1498">
        <v>1310.02</v>
      </c>
      <c r="G1498">
        <v>2023</v>
      </c>
    </row>
    <row r="1499" spans="1:7" x14ac:dyDescent="0.3">
      <c r="A1499" t="s">
        <v>206</v>
      </c>
      <c r="B1499" t="s">
        <v>19</v>
      </c>
      <c r="C1499" t="s">
        <v>13</v>
      </c>
      <c r="D1499" t="s">
        <v>14</v>
      </c>
      <c r="E1499" t="s">
        <v>24</v>
      </c>
      <c r="F1499">
        <v>1833.43</v>
      </c>
      <c r="G1499">
        <v>2022</v>
      </c>
    </row>
    <row r="1500" spans="1:7" x14ac:dyDescent="0.3">
      <c r="A1500" t="s">
        <v>188</v>
      </c>
      <c r="B1500" t="s">
        <v>19</v>
      </c>
      <c r="C1500" t="s">
        <v>13</v>
      </c>
      <c r="D1500" t="s">
        <v>14</v>
      </c>
      <c r="E1500" t="s">
        <v>15</v>
      </c>
      <c r="F1500">
        <v>1039.8399999999999</v>
      </c>
      <c r="G1500">
        <v>2022</v>
      </c>
    </row>
    <row r="1501" spans="1:7" x14ac:dyDescent="0.3">
      <c r="A1501" t="s">
        <v>110</v>
      </c>
      <c r="B1501" t="s">
        <v>12</v>
      </c>
      <c r="C1501" t="s">
        <v>13</v>
      </c>
      <c r="D1501" t="s">
        <v>28</v>
      </c>
      <c r="E1501" t="s">
        <v>15</v>
      </c>
      <c r="F1501">
        <v>3297.47</v>
      </c>
      <c r="G1501">
        <v>2022</v>
      </c>
    </row>
    <row r="1502" spans="1:7" x14ac:dyDescent="0.3">
      <c r="A1502" t="s">
        <v>56</v>
      </c>
      <c r="B1502" t="s">
        <v>19</v>
      </c>
      <c r="C1502" t="s">
        <v>13</v>
      </c>
      <c r="D1502" t="s">
        <v>14</v>
      </c>
      <c r="E1502" t="s">
        <v>10</v>
      </c>
      <c r="F1502">
        <v>3091.2</v>
      </c>
      <c r="G1502">
        <v>2022</v>
      </c>
    </row>
    <row r="1503" spans="1:7" x14ac:dyDescent="0.3">
      <c r="A1503" t="s">
        <v>185</v>
      </c>
      <c r="B1503" t="s">
        <v>30</v>
      </c>
      <c r="C1503" t="s">
        <v>34</v>
      </c>
      <c r="D1503" t="s">
        <v>28</v>
      </c>
      <c r="E1503" t="s">
        <v>15</v>
      </c>
      <c r="F1503">
        <v>301.86</v>
      </c>
      <c r="G1503">
        <v>2023</v>
      </c>
    </row>
    <row r="1504" spans="1:7" x14ac:dyDescent="0.3">
      <c r="A1504" t="s">
        <v>178</v>
      </c>
      <c r="B1504" t="s">
        <v>30</v>
      </c>
      <c r="C1504" t="s">
        <v>23</v>
      </c>
      <c r="D1504" t="s">
        <v>14</v>
      </c>
      <c r="E1504" t="s">
        <v>24</v>
      </c>
      <c r="F1504">
        <v>4171.41</v>
      </c>
      <c r="G1504">
        <v>2023</v>
      </c>
    </row>
    <row r="1505" spans="1:7" x14ac:dyDescent="0.3">
      <c r="A1505" t="s">
        <v>219</v>
      </c>
      <c r="B1505" t="s">
        <v>12</v>
      </c>
      <c r="C1505" t="s">
        <v>34</v>
      </c>
      <c r="D1505" t="s">
        <v>14</v>
      </c>
      <c r="E1505" t="s">
        <v>10</v>
      </c>
      <c r="F1505">
        <v>4337.95</v>
      </c>
      <c r="G1505">
        <v>2023</v>
      </c>
    </row>
    <row r="1506" spans="1:7" x14ac:dyDescent="0.3">
      <c r="A1506" t="s">
        <v>150</v>
      </c>
      <c r="B1506" t="s">
        <v>30</v>
      </c>
      <c r="C1506" t="s">
        <v>34</v>
      </c>
      <c r="D1506" t="s">
        <v>9</v>
      </c>
      <c r="E1506" t="s">
        <v>24</v>
      </c>
      <c r="F1506">
        <v>3830.1</v>
      </c>
      <c r="G1506">
        <v>2023</v>
      </c>
    </row>
    <row r="1507" spans="1:7" x14ac:dyDescent="0.3">
      <c r="A1507" t="s">
        <v>91</v>
      </c>
      <c r="B1507" t="s">
        <v>30</v>
      </c>
      <c r="C1507" t="s">
        <v>8</v>
      </c>
      <c r="D1507" t="s">
        <v>28</v>
      </c>
      <c r="E1507" t="s">
        <v>24</v>
      </c>
      <c r="F1507">
        <v>3808.17</v>
      </c>
      <c r="G1507">
        <v>2022</v>
      </c>
    </row>
    <row r="1508" spans="1:7" x14ac:dyDescent="0.3">
      <c r="A1508" t="s">
        <v>20</v>
      </c>
      <c r="B1508" t="s">
        <v>17</v>
      </c>
      <c r="C1508" t="s">
        <v>8</v>
      </c>
      <c r="D1508" t="s">
        <v>14</v>
      </c>
      <c r="E1508" t="s">
        <v>10</v>
      </c>
      <c r="F1508">
        <v>3167.4</v>
      </c>
      <c r="G1508">
        <v>2022</v>
      </c>
    </row>
    <row r="1509" spans="1:7" x14ac:dyDescent="0.3">
      <c r="A1509" t="s">
        <v>39</v>
      </c>
      <c r="B1509" t="s">
        <v>7</v>
      </c>
      <c r="C1509" t="s">
        <v>13</v>
      </c>
      <c r="D1509" t="s">
        <v>9</v>
      </c>
      <c r="E1509" t="s">
        <v>15</v>
      </c>
      <c r="F1509">
        <v>742.11</v>
      </c>
      <c r="G1509">
        <v>2022</v>
      </c>
    </row>
    <row r="1510" spans="1:7" x14ac:dyDescent="0.3">
      <c r="A1510" t="s">
        <v>183</v>
      </c>
      <c r="B1510" t="s">
        <v>7</v>
      </c>
      <c r="C1510" t="s">
        <v>34</v>
      </c>
      <c r="D1510" t="s">
        <v>14</v>
      </c>
      <c r="E1510" t="s">
        <v>15</v>
      </c>
      <c r="F1510">
        <v>4632.6400000000003</v>
      </c>
      <c r="G1510">
        <v>2023</v>
      </c>
    </row>
    <row r="1511" spans="1:7" x14ac:dyDescent="0.3">
      <c r="A1511" t="s">
        <v>21</v>
      </c>
      <c r="B1511" t="s">
        <v>19</v>
      </c>
      <c r="C1511" t="s">
        <v>13</v>
      </c>
      <c r="D1511" t="s">
        <v>14</v>
      </c>
      <c r="E1511" t="s">
        <v>10</v>
      </c>
      <c r="F1511">
        <v>1268.8</v>
      </c>
      <c r="G1511">
        <v>2022</v>
      </c>
    </row>
    <row r="1512" spans="1:7" x14ac:dyDescent="0.3">
      <c r="A1512" t="s">
        <v>150</v>
      </c>
      <c r="B1512" t="s">
        <v>30</v>
      </c>
      <c r="C1512" t="s">
        <v>8</v>
      </c>
      <c r="D1512" t="s">
        <v>28</v>
      </c>
      <c r="E1512" t="s">
        <v>15</v>
      </c>
      <c r="F1512">
        <v>3546.58</v>
      </c>
      <c r="G1512">
        <v>2022</v>
      </c>
    </row>
    <row r="1513" spans="1:7" x14ac:dyDescent="0.3">
      <c r="A1513" t="s">
        <v>25</v>
      </c>
      <c r="B1513" t="s">
        <v>19</v>
      </c>
      <c r="C1513" t="s">
        <v>23</v>
      </c>
      <c r="D1513" t="s">
        <v>28</v>
      </c>
      <c r="E1513" t="s">
        <v>10</v>
      </c>
      <c r="F1513">
        <v>1609.6</v>
      </c>
      <c r="G1513">
        <v>2023</v>
      </c>
    </row>
    <row r="1514" spans="1:7" x14ac:dyDescent="0.3">
      <c r="A1514" t="s">
        <v>209</v>
      </c>
      <c r="B1514" t="s">
        <v>7</v>
      </c>
      <c r="C1514" t="s">
        <v>34</v>
      </c>
      <c r="D1514" t="s">
        <v>9</v>
      </c>
      <c r="E1514" t="s">
        <v>15</v>
      </c>
      <c r="F1514">
        <v>3630.71</v>
      </c>
      <c r="G1514">
        <v>2023</v>
      </c>
    </row>
    <row r="1515" spans="1:7" x14ac:dyDescent="0.3">
      <c r="A1515" t="s">
        <v>181</v>
      </c>
      <c r="B1515" t="s">
        <v>30</v>
      </c>
      <c r="C1515" t="s">
        <v>34</v>
      </c>
      <c r="D1515" t="s">
        <v>14</v>
      </c>
      <c r="E1515" t="s">
        <v>10</v>
      </c>
      <c r="F1515">
        <v>999.48</v>
      </c>
      <c r="G1515">
        <v>2023</v>
      </c>
    </row>
    <row r="1516" spans="1:7" x14ac:dyDescent="0.3">
      <c r="A1516" t="s">
        <v>127</v>
      </c>
      <c r="B1516" t="s">
        <v>17</v>
      </c>
      <c r="C1516" t="s">
        <v>13</v>
      </c>
      <c r="D1516" t="s">
        <v>14</v>
      </c>
      <c r="E1516" t="s">
        <v>15</v>
      </c>
      <c r="F1516">
        <v>4553.04</v>
      </c>
      <c r="G1516">
        <v>2022</v>
      </c>
    </row>
    <row r="1517" spans="1:7" x14ac:dyDescent="0.3">
      <c r="A1517" t="s">
        <v>123</v>
      </c>
      <c r="B1517" t="s">
        <v>30</v>
      </c>
      <c r="C1517" t="s">
        <v>8</v>
      </c>
      <c r="D1517" t="s">
        <v>9</v>
      </c>
      <c r="E1517" t="s">
        <v>24</v>
      </c>
      <c r="F1517">
        <v>1345.95</v>
      </c>
      <c r="G1517">
        <v>2022</v>
      </c>
    </row>
    <row r="1518" spans="1:7" x14ac:dyDescent="0.3">
      <c r="A1518" t="s">
        <v>89</v>
      </c>
      <c r="B1518" t="s">
        <v>17</v>
      </c>
      <c r="C1518" t="s">
        <v>34</v>
      </c>
      <c r="D1518" t="s">
        <v>28</v>
      </c>
      <c r="E1518" t="s">
        <v>10</v>
      </c>
      <c r="F1518">
        <v>1432.5</v>
      </c>
      <c r="G1518">
        <v>2023</v>
      </c>
    </row>
    <row r="1519" spans="1:7" x14ac:dyDescent="0.3">
      <c r="A1519" t="s">
        <v>67</v>
      </c>
      <c r="B1519" t="s">
        <v>7</v>
      </c>
      <c r="C1519" t="s">
        <v>34</v>
      </c>
      <c r="D1519" t="s">
        <v>28</v>
      </c>
      <c r="E1519" t="s">
        <v>10</v>
      </c>
      <c r="F1519">
        <v>2537.5</v>
      </c>
      <c r="G1519">
        <v>2023</v>
      </c>
    </row>
    <row r="1520" spans="1:7" x14ac:dyDescent="0.3">
      <c r="A1520" t="s">
        <v>194</v>
      </c>
      <c r="B1520" t="s">
        <v>17</v>
      </c>
      <c r="C1520" t="s">
        <v>13</v>
      </c>
      <c r="D1520" t="s">
        <v>14</v>
      </c>
      <c r="E1520" t="s">
        <v>10</v>
      </c>
      <c r="F1520">
        <v>4832.05</v>
      </c>
      <c r="G1520">
        <v>2022</v>
      </c>
    </row>
    <row r="1521" spans="1:7" x14ac:dyDescent="0.3">
      <c r="A1521" t="s">
        <v>180</v>
      </c>
      <c r="B1521" t="s">
        <v>30</v>
      </c>
      <c r="C1521" t="s">
        <v>13</v>
      </c>
      <c r="D1521" t="s">
        <v>14</v>
      </c>
      <c r="E1521" t="s">
        <v>10</v>
      </c>
      <c r="F1521">
        <v>3935.58</v>
      </c>
      <c r="G1521">
        <v>2022</v>
      </c>
    </row>
    <row r="1522" spans="1:7" x14ac:dyDescent="0.3">
      <c r="A1522" t="s">
        <v>209</v>
      </c>
      <c r="B1522" t="s">
        <v>7</v>
      </c>
      <c r="C1522" t="s">
        <v>13</v>
      </c>
      <c r="D1522" t="s">
        <v>9</v>
      </c>
      <c r="E1522" t="s">
        <v>24</v>
      </c>
      <c r="F1522">
        <v>3258.29</v>
      </c>
      <c r="G1522">
        <v>2022</v>
      </c>
    </row>
    <row r="1523" spans="1:7" x14ac:dyDescent="0.3">
      <c r="A1523" t="s">
        <v>174</v>
      </c>
      <c r="B1523" t="s">
        <v>19</v>
      </c>
      <c r="C1523" t="s">
        <v>34</v>
      </c>
      <c r="D1523" t="s">
        <v>14</v>
      </c>
      <c r="E1523" t="s">
        <v>15</v>
      </c>
      <c r="F1523">
        <v>1512.13</v>
      </c>
      <c r="G1523">
        <v>2023</v>
      </c>
    </row>
    <row r="1524" spans="1:7" x14ac:dyDescent="0.3">
      <c r="A1524" t="s">
        <v>42</v>
      </c>
      <c r="B1524" t="s">
        <v>30</v>
      </c>
      <c r="C1524" t="s">
        <v>13</v>
      </c>
      <c r="D1524" t="s">
        <v>14</v>
      </c>
      <c r="E1524" t="s">
        <v>10</v>
      </c>
      <c r="F1524">
        <v>245.71</v>
      </c>
      <c r="G1524">
        <v>2022</v>
      </c>
    </row>
    <row r="1525" spans="1:7" x14ac:dyDescent="0.3">
      <c r="A1525" t="s">
        <v>31</v>
      </c>
      <c r="B1525" t="s">
        <v>30</v>
      </c>
      <c r="C1525" t="s">
        <v>8</v>
      </c>
      <c r="D1525" t="s">
        <v>14</v>
      </c>
      <c r="E1525" t="s">
        <v>24</v>
      </c>
      <c r="F1525">
        <v>3387.13</v>
      </c>
      <c r="G1525">
        <v>2022</v>
      </c>
    </row>
    <row r="1526" spans="1:7" x14ac:dyDescent="0.3">
      <c r="A1526" t="s">
        <v>77</v>
      </c>
      <c r="B1526" t="s">
        <v>30</v>
      </c>
      <c r="C1526" t="s">
        <v>8</v>
      </c>
      <c r="D1526" t="s">
        <v>28</v>
      </c>
      <c r="E1526" t="s">
        <v>15</v>
      </c>
      <c r="F1526">
        <v>1014.2</v>
      </c>
      <c r="G1526">
        <v>2022</v>
      </c>
    </row>
    <row r="1527" spans="1:7" x14ac:dyDescent="0.3">
      <c r="A1527" t="s">
        <v>89</v>
      </c>
      <c r="B1527" t="s">
        <v>17</v>
      </c>
      <c r="C1527" t="s">
        <v>13</v>
      </c>
      <c r="D1527" t="s">
        <v>28</v>
      </c>
      <c r="E1527" t="s">
        <v>10</v>
      </c>
      <c r="F1527">
        <v>269.87</v>
      </c>
      <c r="G1527">
        <v>2022</v>
      </c>
    </row>
    <row r="1528" spans="1:7" x14ac:dyDescent="0.3">
      <c r="A1528" t="s">
        <v>161</v>
      </c>
      <c r="B1528" t="s">
        <v>7</v>
      </c>
      <c r="C1528" t="s">
        <v>13</v>
      </c>
      <c r="D1528" t="s">
        <v>14</v>
      </c>
      <c r="E1528" t="s">
        <v>10</v>
      </c>
      <c r="F1528">
        <v>2444.67</v>
      </c>
      <c r="G1528">
        <v>2022</v>
      </c>
    </row>
    <row r="1529" spans="1:7" x14ac:dyDescent="0.3">
      <c r="A1529" t="s">
        <v>51</v>
      </c>
      <c r="B1529" t="s">
        <v>30</v>
      </c>
      <c r="C1529" t="s">
        <v>23</v>
      </c>
      <c r="D1529" t="s">
        <v>14</v>
      </c>
      <c r="E1529" t="s">
        <v>10</v>
      </c>
      <c r="F1529">
        <v>1734.64</v>
      </c>
      <c r="G1529">
        <v>2023</v>
      </c>
    </row>
    <row r="1530" spans="1:7" x14ac:dyDescent="0.3">
      <c r="A1530" t="s">
        <v>73</v>
      </c>
      <c r="B1530" t="s">
        <v>30</v>
      </c>
      <c r="C1530" t="s">
        <v>34</v>
      </c>
      <c r="D1530" t="s">
        <v>14</v>
      </c>
      <c r="E1530" t="s">
        <v>10</v>
      </c>
      <c r="F1530">
        <v>4948.8500000000004</v>
      </c>
      <c r="G1530">
        <v>2023</v>
      </c>
    </row>
    <row r="1531" spans="1:7" x14ac:dyDescent="0.3">
      <c r="A1531" t="s">
        <v>207</v>
      </c>
      <c r="B1531" t="s">
        <v>17</v>
      </c>
      <c r="C1531" t="s">
        <v>8</v>
      </c>
      <c r="D1531" t="s">
        <v>9</v>
      </c>
      <c r="E1531" t="s">
        <v>15</v>
      </c>
      <c r="F1531">
        <v>2924.78</v>
      </c>
      <c r="G1531">
        <v>2022</v>
      </c>
    </row>
    <row r="1532" spans="1:7" x14ac:dyDescent="0.3">
      <c r="A1532" t="s">
        <v>147</v>
      </c>
      <c r="B1532" t="s">
        <v>17</v>
      </c>
      <c r="C1532" t="s">
        <v>8</v>
      </c>
      <c r="D1532" t="s">
        <v>14</v>
      </c>
      <c r="E1532" t="s">
        <v>10</v>
      </c>
      <c r="F1532">
        <v>1898.32</v>
      </c>
      <c r="G1532">
        <v>2022</v>
      </c>
    </row>
    <row r="1533" spans="1:7" x14ac:dyDescent="0.3">
      <c r="A1533" t="s">
        <v>32</v>
      </c>
      <c r="B1533" t="s">
        <v>7</v>
      </c>
      <c r="C1533" t="s">
        <v>13</v>
      </c>
      <c r="D1533" t="s">
        <v>28</v>
      </c>
      <c r="E1533" t="s">
        <v>15</v>
      </c>
      <c r="F1533">
        <v>1296.76</v>
      </c>
      <c r="G1533">
        <v>2022</v>
      </c>
    </row>
    <row r="1534" spans="1:7" x14ac:dyDescent="0.3">
      <c r="A1534" t="s">
        <v>75</v>
      </c>
      <c r="B1534" t="s">
        <v>19</v>
      </c>
      <c r="C1534" t="s">
        <v>23</v>
      </c>
      <c r="D1534" t="s">
        <v>14</v>
      </c>
      <c r="E1534" t="s">
        <v>24</v>
      </c>
      <c r="F1534">
        <v>1414.37</v>
      </c>
      <c r="G1534">
        <v>2023</v>
      </c>
    </row>
    <row r="1535" spans="1:7" x14ac:dyDescent="0.3">
      <c r="A1535" t="s">
        <v>117</v>
      </c>
      <c r="B1535" t="s">
        <v>7</v>
      </c>
      <c r="C1535" t="s">
        <v>34</v>
      </c>
      <c r="D1535" t="s">
        <v>9</v>
      </c>
      <c r="E1535" t="s">
        <v>15</v>
      </c>
      <c r="F1535">
        <v>4136.07</v>
      </c>
      <c r="G1535">
        <v>2023</v>
      </c>
    </row>
    <row r="1536" spans="1:7" x14ac:dyDescent="0.3">
      <c r="A1536" t="s">
        <v>88</v>
      </c>
      <c r="B1536" t="s">
        <v>7</v>
      </c>
      <c r="C1536" t="s">
        <v>23</v>
      </c>
      <c r="D1536" t="s">
        <v>28</v>
      </c>
      <c r="E1536" t="s">
        <v>24</v>
      </c>
      <c r="F1536">
        <v>3952.36</v>
      </c>
      <c r="G1536">
        <v>2023</v>
      </c>
    </row>
    <row r="1537" spans="1:7" x14ac:dyDescent="0.3">
      <c r="A1537" t="s">
        <v>193</v>
      </c>
      <c r="B1537" t="s">
        <v>12</v>
      </c>
      <c r="C1537" t="s">
        <v>34</v>
      </c>
      <c r="D1537" t="s">
        <v>14</v>
      </c>
      <c r="E1537" t="s">
        <v>10</v>
      </c>
      <c r="F1537">
        <v>4563.3599999999997</v>
      </c>
      <c r="G1537">
        <v>2023</v>
      </c>
    </row>
    <row r="1538" spans="1:7" x14ac:dyDescent="0.3">
      <c r="A1538" t="s">
        <v>37</v>
      </c>
      <c r="B1538" t="s">
        <v>17</v>
      </c>
      <c r="C1538" t="s">
        <v>23</v>
      </c>
      <c r="D1538" t="s">
        <v>9</v>
      </c>
      <c r="E1538" t="s">
        <v>15</v>
      </c>
      <c r="F1538">
        <v>2084.5700000000002</v>
      </c>
      <c r="G1538">
        <v>2023</v>
      </c>
    </row>
    <row r="1539" spans="1:7" x14ac:dyDescent="0.3">
      <c r="A1539" t="s">
        <v>214</v>
      </c>
      <c r="B1539" t="s">
        <v>30</v>
      </c>
      <c r="C1539" t="s">
        <v>34</v>
      </c>
      <c r="D1539" t="s">
        <v>14</v>
      </c>
      <c r="E1539" t="s">
        <v>10</v>
      </c>
      <c r="F1539">
        <v>4081.51</v>
      </c>
      <c r="G1539">
        <v>2023</v>
      </c>
    </row>
    <row r="1540" spans="1:7" x14ac:dyDescent="0.3">
      <c r="A1540" t="s">
        <v>196</v>
      </c>
      <c r="B1540" t="s">
        <v>30</v>
      </c>
      <c r="C1540" t="s">
        <v>13</v>
      </c>
      <c r="D1540" t="s">
        <v>28</v>
      </c>
      <c r="E1540" t="s">
        <v>15</v>
      </c>
      <c r="F1540">
        <v>4483.63</v>
      </c>
      <c r="G1540">
        <v>2022</v>
      </c>
    </row>
    <row r="1541" spans="1:7" x14ac:dyDescent="0.3">
      <c r="A1541" t="s">
        <v>86</v>
      </c>
      <c r="B1541" t="s">
        <v>19</v>
      </c>
      <c r="C1541" t="s">
        <v>34</v>
      </c>
      <c r="D1541" t="s">
        <v>14</v>
      </c>
      <c r="E1541" t="s">
        <v>24</v>
      </c>
      <c r="F1541">
        <v>3368.54</v>
      </c>
      <c r="G1541">
        <v>2023</v>
      </c>
    </row>
    <row r="1542" spans="1:7" x14ac:dyDescent="0.3">
      <c r="A1542" t="s">
        <v>202</v>
      </c>
      <c r="B1542" t="s">
        <v>12</v>
      </c>
      <c r="C1542" t="s">
        <v>13</v>
      </c>
      <c r="D1542" t="s">
        <v>14</v>
      </c>
      <c r="E1542" t="s">
        <v>24</v>
      </c>
      <c r="F1542">
        <v>82.35</v>
      </c>
      <c r="G1542">
        <v>2022</v>
      </c>
    </row>
    <row r="1543" spans="1:7" x14ac:dyDescent="0.3">
      <c r="A1543" t="s">
        <v>171</v>
      </c>
      <c r="B1543" t="s">
        <v>17</v>
      </c>
      <c r="C1543" t="s">
        <v>34</v>
      </c>
      <c r="D1543" t="s">
        <v>28</v>
      </c>
      <c r="E1543" t="s">
        <v>15</v>
      </c>
      <c r="F1543">
        <v>4175.62</v>
      </c>
      <c r="G1543">
        <v>2023</v>
      </c>
    </row>
    <row r="1544" spans="1:7" x14ac:dyDescent="0.3">
      <c r="A1544" t="s">
        <v>122</v>
      </c>
      <c r="B1544" t="s">
        <v>19</v>
      </c>
      <c r="C1544" t="s">
        <v>34</v>
      </c>
      <c r="D1544" t="s">
        <v>14</v>
      </c>
      <c r="E1544" t="s">
        <v>10</v>
      </c>
      <c r="F1544">
        <v>1796.14</v>
      </c>
      <c r="G1544">
        <v>2023</v>
      </c>
    </row>
    <row r="1545" spans="1:7" x14ac:dyDescent="0.3">
      <c r="A1545" t="s">
        <v>80</v>
      </c>
      <c r="B1545" t="s">
        <v>17</v>
      </c>
      <c r="C1545" t="s">
        <v>34</v>
      </c>
      <c r="D1545" t="s">
        <v>28</v>
      </c>
      <c r="E1545" t="s">
        <v>15</v>
      </c>
      <c r="F1545">
        <v>3373.26</v>
      </c>
      <c r="G1545">
        <v>2023</v>
      </c>
    </row>
    <row r="1546" spans="1:7" x14ac:dyDescent="0.3">
      <c r="A1546" t="s">
        <v>88</v>
      </c>
      <c r="B1546" t="s">
        <v>7</v>
      </c>
      <c r="C1546" t="s">
        <v>13</v>
      </c>
      <c r="D1546" t="s">
        <v>14</v>
      </c>
      <c r="E1546" t="s">
        <v>24</v>
      </c>
      <c r="F1546">
        <v>3051.55</v>
      </c>
      <c r="G1546">
        <v>2022</v>
      </c>
    </row>
    <row r="1547" spans="1:7" x14ac:dyDescent="0.3">
      <c r="A1547" t="s">
        <v>115</v>
      </c>
      <c r="B1547" t="s">
        <v>19</v>
      </c>
      <c r="C1547" t="s">
        <v>8</v>
      </c>
      <c r="D1547" t="s">
        <v>28</v>
      </c>
      <c r="E1547" t="s">
        <v>15</v>
      </c>
      <c r="F1547">
        <v>3770.37</v>
      </c>
      <c r="G1547">
        <v>2022</v>
      </c>
    </row>
    <row r="1548" spans="1:7" x14ac:dyDescent="0.3">
      <c r="A1548" t="s">
        <v>150</v>
      </c>
      <c r="B1548" t="s">
        <v>30</v>
      </c>
      <c r="C1548" t="s">
        <v>34</v>
      </c>
      <c r="D1548" t="s">
        <v>28</v>
      </c>
      <c r="E1548" t="s">
        <v>15</v>
      </c>
      <c r="F1548">
        <v>3887.64</v>
      </c>
      <c r="G1548">
        <v>2023</v>
      </c>
    </row>
    <row r="1549" spans="1:7" x14ac:dyDescent="0.3">
      <c r="A1549" t="s">
        <v>182</v>
      </c>
      <c r="B1549" t="s">
        <v>12</v>
      </c>
      <c r="C1549" t="s">
        <v>8</v>
      </c>
      <c r="D1549" t="s">
        <v>14</v>
      </c>
      <c r="E1549" t="s">
        <v>10</v>
      </c>
      <c r="F1549">
        <v>4523.25</v>
      </c>
      <c r="G1549">
        <v>2022</v>
      </c>
    </row>
    <row r="1550" spans="1:7" x14ac:dyDescent="0.3">
      <c r="A1550" t="s">
        <v>61</v>
      </c>
      <c r="B1550" t="s">
        <v>30</v>
      </c>
      <c r="C1550" t="s">
        <v>23</v>
      </c>
      <c r="D1550" t="s">
        <v>28</v>
      </c>
      <c r="E1550" t="s">
        <v>15</v>
      </c>
      <c r="F1550">
        <v>4229.33</v>
      </c>
      <c r="G1550">
        <v>2023</v>
      </c>
    </row>
    <row r="1551" spans="1:7" x14ac:dyDescent="0.3">
      <c r="A1551" t="s">
        <v>211</v>
      </c>
      <c r="B1551" t="s">
        <v>7</v>
      </c>
      <c r="C1551" t="s">
        <v>23</v>
      </c>
      <c r="D1551" t="s">
        <v>14</v>
      </c>
      <c r="E1551" t="s">
        <v>24</v>
      </c>
      <c r="F1551">
        <v>1909.18</v>
      </c>
      <c r="G1551">
        <v>2023</v>
      </c>
    </row>
    <row r="1552" spans="1:7" x14ac:dyDescent="0.3">
      <c r="A1552" t="s">
        <v>195</v>
      </c>
      <c r="B1552" t="s">
        <v>7</v>
      </c>
      <c r="C1552" t="s">
        <v>13</v>
      </c>
      <c r="D1552" t="s">
        <v>14</v>
      </c>
      <c r="E1552" t="s">
        <v>24</v>
      </c>
      <c r="F1552">
        <v>1689.24</v>
      </c>
      <c r="G1552">
        <v>2022</v>
      </c>
    </row>
    <row r="1553" spans="1:7" x14ac:dyDescent="0.3">
      <c r="A1553" t="s">
        <v>90</v>
      </c>
      <c r="B1553" t="s">
        <v>19</v>
      </c>
      <c r="C1553" t="s">
        <v>13</v>
      </c>
      <c r="D1553" t="s">
        <v>14</v>
      </c>
      <c r="E1553" t="s">
        <v>24</v>
      </c>
      <c r="F1553">
        <v>1270.1199999999999</v>
      </c>
      <c r="G1553">
        <v>2022</v>
      </c>
    </row>
    <row r="1554" spans="1:7" x14ac:dyDescent="0.3">
      <c r="A1554" t="s">
        <v>64</v>
      </c>
      <c r="B1554" t="s">
        <v>30</v>
      </c>
      <c r="C1554" t="s">
        <v>8</v>
      </c>
      <c r="D1554" t="s">
        <v>9</v>
      </c>
      <c r="E1554" t="s">
        <v>15</v>
      </c>
      <c r="F1554">
        <v>1816.03</v>
      </c>
      <c r="G1554">
        <v>2022</v>
      </c>
    </row>
    <row r="1555" spans="1:7" x14ac:dyDescent="0.3">
      <c r="A1555" t="s">
        <v>148</v>
      </c>
      <c r="B1555" t="s">
        <v>17</v>
      </c>
      <c r="C1555" t="s">
        <v>34</v>
      </c>
      <c r="D1555" t="s">
        <v>14</v>
      </c>
      <c r="E1555" t="s">
        <v>15</v>
      </c>
      <c r="F1555">
        <v>1943.87</v>
      </c>
      <c r="G1555">
        <v>2023</v>
      </c>
    </row>
    <row r="1556" spans="1:7" x14ac:dyDescent="0.3">
      <c r="A1556" t="s">
        <v>154</v>
      </c>
      <c r="B1556" t="s">
        <v>12</v>
      </c>
      <c r="C1556" t="s">
        <v>8</v>
      </c>
      <c r="D1556" t="s">
        <v>28</v>
      </c>
      <c r="E1556" t="s">
        <v>15</v>
      </c>
      <c r="F1556">
        <v>2832.16</v>
      </c>
      <c r="G1556">
        <v>2022</v>
      </c>
    </row>
    <row r="1557" spans="1:7" x14ac:dyDescent="0.3">
      <c r="A1557" t="s">
        <v>219</v>
      </c>
      <c r="B1557" t="s">
        <v>12</v>
      </c>
      <c r="C1557" t="s">
        <v>13</v>
      </c>
      <c r="D1557" t="s">
        <v>28</v>
      </c>
      <c r="E1557" t="s">
        <v>10</v>
      </c>
      <c r="F1557">
        <v>4684.57</v>
      </c>
      <c r="G1557">
        <v>2022</v>
      </c>
    </row>
    <row r="1558" spans="1:7" x14ac:dyDescent="0.3">
      <c r="A1558" t="s">
        <v>25</v>
      </c>
      <c r="B1558" t="s">
        <v>19</v>
      </c>
      <c r="C1558" t="s">
        <v>8</v>
      </c>
      <c r="D1558" t="s">
        <v>9</v>
      </c>
      <c r="E1558" t="s">
        <v>10</v>
      </c>
      <c r="F1558">
        <v>785.42</v>
      </c>
      <c r="G1558">
        <v>2022</v>
      </c>
    </row>
    <row r="1559" spans="1:7" x14ac:dyDescent="0.3">
      <c r="A1559" t="s">
        <v>139</v>
      </c>
      <c r="B1559" t="s">
        <v>7</v>
      </c>
      <c r="C1559" t="s">
        <v>8</v>
      </c>
      <c r="D1559" t="s">
        <v>9</v>
      </c>
      <c r="E1559" t="s">
        <v>24</v>
      </c>
      <c r="F1559">
        <v>828.31</v>
      </c>
      <c r="G1559">
        <v>2022</v>
      </c>
    </row>
    <row r="1560" spans="1:7" x14ac:dyDescent="0.3">
      <c r="A1560" t="s">
        <v>219</v>
      </c>
      <c r="B1560" t="s">
        <v>12</v>
      </c>
      <c r="C1560" t="s">
        <v>8</v>
      </c>
      <c r="D1560" t="s">
        <v>14</v>
      </c>
      <c r="E1560" t="s">
        <v>10</v>
      </c>
      <c r="F1560">
        <v>4960.6099999999997</v>
      </c>
      <c r="G1560">
        <v>2022</v>
      </c>
    </row>
    <row r="1561" spans="1:7" x14ac:dyDescent="0.3">
      <c r="A1561" t="s">
        <v>190</v>
      </c>
      <c r="B1561" t="s">
        <v>17</v>
      </c>
      <c r="C1561" t="s">
        <v>13</v>
      </c>
      <c r="D1561" t="s">
        <v>28</v>
      </c>
      <c r="E1561" t="s">
        <v>10</v>
      </c>
      <c r="F1561">
        <v>4377.79</v>
      </c>
      <c r="G1561">
        <v>2022</v>
      </c>
    </row>
    <row r="1562" spans="1:7" x14ac:dyDescent="0.3">
      <c r="A1562" t="s">
        <v>91</v>
      </c>
      <c r="B1562" t="s">
        <v>30</v>
      </c>
      <c r="C1562" t="s">
        <v>13</v>
      </c>
      <c r="D1562" t="s">
        <v>9</v>
      </c>
      <c r="E1562" t="s">
        <v>15</v>
      </c>
      <c r="F1562">
        <v>2535.3000000000002</v>
      </c>
      <c r="G1562">
        <v>2022</v>
      </c>
    </row>
    <row r="1563" spans="1:7" x14ac:dyDescent="0.3">
      <c r="A1563" t="s">
        <v>85</v>
      </c>
      <c r="B1563" t="s">
        <v>30</v>
      </c>
      <c r="C1563" t="s">
        <v>23</v>
      </c>
      <c r="D1563" t="s">
        <v>14</v>
      </c>
      <c r="E1563" t="s">
        <v>10</v>
      </c>
      <c r="F1563">
        <v>2251.6</v>
      </c>
      <c r="G1563">
        <v>2023</v>
      </c>
    </row>
    <row r="1564" spans="1:7" x14ac:dyDescent="0.3">
      <c r="A1564" t="s">
        <v>175</v>
      </c>
      <c r="B1564" t="s">
        <v>7</v>
      </c>
      <c r="C1564" t="s">
        <v>8</v>
      </c>
      <c r="D1564" t="s">
        <v>9</v>
      </c>
      <c r="E1564" t="s">
        <v>24</v>
      </c>
      <c r="F1564">
        <v>733.13</v>
      </c>
      <c r="G1564">
        <v>2022</v>
      </c>
    </row>
    <row r="1565" spans="1:7" x14ac:dyDescent="0.3">
      <c r="A1565" t="s">
        <v>212</v>
      </c>
      <c r="B1565" t="s">
        <v>7</v>
      </c>
      <c r="C1565" t="s">
        <v>8</v>
      </c>
      <c r="D1565" t="s">
        <v>28</v>
      </c>
      <c r="E1565" t="s">
        <v>15</v>
      </c>
      <c r="F1565">
        <v>1054.48</v>
      </c>
      <c r="G1565">
        <v>2022</v>
      </c>
    </row>
    <row r="1566" spans="1:7" x14ac:dyDescent="0.3">
      <c r="A1566" t="s">
        <v>52</v>
      </c>
      <c r="B1566" t="s">
        <v>19</v>
      </c>
      <c r="C1566" t="s">
        <v>13</v>
      </c>
      <c r="D1566" t="s">
        <v>14</v>
      </c>
      <c r="E1566" t="s">
        <v>15</v>
      </c>
      <c r="F1566">
        <v>4429.91</v>
      </c>
      <c r="G1566">
        <v>2022</v>
      </c>
    </row>
    <row r="1567" spans="1:7" x14ac:dyDescent="0.3">
      <c r="A1567" t="s">
        <v>31</v>
      </c>
      <c r="B1567" t="s">
        <v>30</v>
      </c>
      <c r="C1567" t="s">
        <v>23</v>
      </c>
      <c r="D1567" t="s">
        <v>9</v>
      </c>
      <c r="E1567" t="s">
        <v>24</v>
      </c>
      <c r="F1567">
        <v>3923.15</v>
      </c>
      <c r="G1567">
        <v>2023</v>
      </c>
    </row>
    <row r="1568" spans="1:7" x14ac:dyDescent="0.3">
      <c r="A1568" t="s">
        <v>137</v>
      </c>
      <c r="B1568" t="s">
        <v>17</v>
      </c>
      <c r="C1568" t="s">
        <v>13</v>
      </c>
      <c r="D1568" t="s">
        <v>9</v>
      </c>
      <c r="E1568" t="s">
        <v>10</v>
      </c>
      <c r="F1568">
        <v>767.46</v>
      </c>
      <c r="G1568">
        <v>2022</v>
      </c>
    </row>
    <row r="1569" spans="1:7" x14ac:dyDescent="0.3">
      <c r="A1569" t="s">
        <v>55</v>
      </c>
      <c r="B1569" t="s">
        <v>12</v>
      </c>
      <c r="C1569" t="s">
        <v>34</v>
      </c>
      <c r="D1569" t="s">
        <v>9</v>
      </c>
      <c r="E1569" t="s">
        <v>24</v>
      </c>
      <c r="F1569">
        <v>592.72</v>
      </c>
      <c r="G1569">
        <v>2023</v>
      </c>
    </row>
    <row r="1570" spans="1:7" x14ac:dyDescent="0.3">
      <c r="A1570" t="s">
        <v>37</v>
      </c>
      <c r="B1570" t="s">
        <v>17</v>
      </c>
      <c r="C1570" t="s">
        <v>8</v>
      </c>
      <c r="D1570" t="s">
        <v>14</v>
      </c>
      <c r="E1570" t="s">
        <v>10</v>
      </c>
      <c r="F1570">
        <v>3539.99</v>
      </c>
      <c r="G1570">
        <v>2022</v>
      </c>
    </row>
    <row r="1571" spans="1:7" x14ac:dyDescent="0.3">
      <c r="A1571" t="s">
        <v>61</v>
      </c>
      <c r="B1571" t="s">
        <v>30</v>
      </c>
      <c r="C1571" t="s">
        <v>8</v>
      </c>
      <c r="D1571" t="s">
        <v>9</v>
      </c>
      <c r="E1571" t="s">
        <v>24</v>
      </c>
      <c r="F1571">
        <v>2579.19</v>
      </c>
      <c r="G1571">
        <v>2022</v>
      </c>
    </row>
    <row r="1572" spans="1:7" x14ac:dyDescent="0.3">
      <c r="A1572" t="s">
        <v>204</v>
      </c>
      <c r="B1572" t="s">
        <v>30</v>
      </c>
      <c r="C1572" t="s">
        <v>34</v>
      </c>
      <c r="D1572" t="s">
        <v>28</v>
      </c>
      <c r="E1572" t="s">
        <v>24</v>
      </c>
      <c r="F1572">
        <v>4158.7700000000004</v>
      </c>
      <c r="G1572">
        <v>2023</v>
      </c>
    </row>
    <row r="1573" spans="1:7" x14ac:dyDescent="0.3">
      <c r="A1573" t="s">
        <v>214</v>
      </c>
      <c r="B1573" t="s">
        <v>30</v>
      </c>
      <c r="C1573" t="s">
        <v>13</v>
      </c>
      <c r="D1573" t="s">
        <v>9</v>
      </c>
      <c r="E1573" t="s">
        <v>15</v>
      </c>
      <c r="F1573">
        <v>687.46</v>
      </c>
      <c r="G1573">
        <v>2022</v>
      </c>
    </row>
    <row r="1574" spans="1:7" x14ac:dyDescent="0.3">
      <c r="A1574" t="s">
        <v>86</v>
      </c>
      <c r="B1574" t="s">
        <v>19</v>
      </c>
      <c r="C1574" t="s">
        <v>23</v>
      </c>
      <c r="D1574" t="s">
        <v>14</v>
      </c>
      <c r="E1574" t="s">
        <v>24</v>
      </c>
      <c r="F1574">
        <v>2922.31</v>
      </c>
      <c r="G1574">
        <v>2023</v>
      </c>
    </row>
    <row r="1575" spans="1:7" x14ac:dyDescent="0.3">
      <c r="A1575" t="s">
        <v>32</v>
      </c>
      <c r="B1575" t="s">
        <v>7</v>
      </c>
      <c r="C1575" t="s">
        <v>34</v>
      </c>
      <c r="D1575" t="s">
        <v>14</v>
      </c>
      <c r="E1575" t="s">
        <v>15</v>
      </c>
      <c r="F1575">
        <v>584.58000000000004</v>
      </c>
      <c r="G1575">
        <v>2023</v>
      </c>
    </row>
    <row r="1576" spans="1:7" x14ac:dyDescent="0.3">
      <c r="A1576" t="s">
        <v>170</v>
      </c>
      <c r="B1576" t="s">
        <v>12</v>
      </c>
      <c r="C1576" t="s">
        <v>13</v>
      </c>
      <c r="D1576" t="s">
        <v>14</v>
      </c>
      <c r="E1576" t="s">
        <v>15</v>
      </c>
      <c r="F1576">
        <v>87.51</v>
      </c>
      <c r="G1576">
        <v>2022</v>
      </c>
    </row>
    <row r="1577" spans="1:7" x14ac:dyDescent="0.3">
      <c r="A1577" t="s">
        <v>132</v>
      </c>
      <c r="B1577" t="s">
        <v>19</v>
      </c>
      <c r="C1577" t="s">
        <v>23</v>
      </c>
      <c r="D1577" t="s">
        <v>14</v>
      </c>
      <c r="E1577" t="s">
        <v>24</v>
      </c>
      <c r="F1577">
        <v>3948.45</v>
      </c>
      <c r="G1577">
        <v>2023</v>
      </c>
    </row>
    <row r="1578" spans="1:7" x14ac:dyDescent="0.3">
      <c r="A1578" t="s">
        <v>66</v>
      </c>
      <c r="B1578" t="s">
        <v>30</v>
      </c>
      <c r="C1578" t="s">
        <v>34</v>
      </c>
      <c r="D1578" t="s">
        <v>9</v>
      </c>
      <c r="E1578" t="s">
        <v>15</v>
      </c>
      <c r="F1578">
        <v>3846.63</v>
      </c>
      <c r="G1578">
        <v>2023</v>
      </c>
    </row>
    <row r="1579" spans="1:7" x14ac:dyDescent="0.3">
      <c r="A1579" t="s">
        <v>213</v>
      </c>
      <c r="B1579" t="s">
        <v>12</v>
      </c>
      <c r="C1579" t="s">
        <v>8</v>
      </c>
      <c r="D1579" t="s">
        <v>9</v>
      </c>
      <c r="E1579" t="s">
        <v>24</v>
      </c>
      <c r="F1579">
        <v>4673.8</v>
      </c>
      <c r="G1579">
        <v>2022</v>
      </c>
    </row>
    <row r="1580" spans="1:7" x14ac:dyDescent="0.3">
      <c r="A1580" t="s">
        <v>171</v>
      </c>
      <c r="B1580" t="s">
        <v>17</v>
      </c>
      <c r="C1580" t="s">
        <v>34</v>
      </c>
      <c r="D1580" t="s">
        <v>28</v>
      </c>
      <c r="E1580" t="s">
        <v>24</v>
      </c>
      <c r="F1580">
        <v>4711.6899999999996</v>
      </c>
      <c r="G1580">
        <v>2023</v>
      </c>
    </row>
    <row r="1581" spans="1:7" x14ac:dyDescent="0.3">
      <c r="A1581" t="s">
        <v>37</v>
      </c>
      <c r="B1581" t="s">
        <v>17</v>
      </c>
      <c r="C1581" t="s">
        <v>13</v>
      </c>
      <c r="D1581" t="s">
        <v>9</v>
      </c>
      <c r="E1581" t="s">
        <v>15</v>
      </c>
      <c r="F1581">
        <v>2670.52</v>
      </c>
      <c r="G1581">
        <v>2022</v>
      </c>
    </row>
    <row r="1582" spans="1:7" x14ac:dyDescent="0.3">
      <c r="A1582" t="s">
        <v>40</v>
      </c>
      <c r="B1582" t="s">
        <v>19</v>
      </c>
      <c r="C1582" t="s">
        <v>34</v>
      </c>
      <c r="D1582" t="s">
        <v>9</v>
      </c>
      <c r="E1582" t="s">
        <v>15</v>
      </c>
      <c r="F1582">
        <v>919.4</v>
      </c>
      <c r="G1582">
        <v>2023</v>
      </c>
    </row>
    <row r="1583" spans="1:7" x14ac:dyDescent="0.3">
      <c r="A1583" t="s">
        <v>25</v>
      </c>
      <c r="B1583" t="s">
        <v>19</v>
      </c>
      <c r="C1583" t="s">
        <v>23</v>
      </c>
      <c r="D1583" t="s">
        <v>14</v>
      </c>
      <c r="E1583" t="s">
        <v>24</v>
      </c>
      <c r="F1583">
        <v>4514.75</v>
      </c>
      <c r="G1583">
        <v>2023</v>
      </c>
    </row>
    <row r="1584" spans="1:7" x14ac:dyDescent="0.3">
      <c r="A1584" t="s">
        <v>89</v>
      </c>
      <c r="B1584" t="s">
        <v>17</v>
      </c>
      <c r="C1584" t="s">
        <v>34</v>
      </c>
      <c r="D1584" t="s">
        <v>9</v>
      </c>
      <c r="E1584" t="s">
        <v>15</v>
      </c>
      <c r="F1584">
        <v>3766.6</v>
      </c>
      <c r="G1584">
        <v>2023</v>
      </c>
    </row>
    <row r="1585" spans="1:7" x14ac:dyDescent="0.3">
      <c r="A1585" t="s">
        <v>192</v>
      </c>
      <c r="B1585" t="s">
        <v>19</v>
      </c>
      <c r="C1585" t="s">
        <v>23</v>
      </c>
      <c r="D1585" t="s">
        <v>28</v>
      </c>
      <c r="E1585" t="s">
        <v>10</v>
      </c>
      <c r="F1585">
        <v>730.13</v>
      </c>
      <c r="G1585">
        <v>2023</v>
      </c>
    </row>
    <row r="1586" spans="1:7" x14ac:dyDescent="0.3">
      <c r="A1586" t="s">
        <v>213</v>
      </c>
      <c r="B1586" t="s">
        <v>12</v>
      </c>
      <c r="C1586" t="s">
        <v>13</v>
      </c>
      <c r="D1586" t="s">
        <v>14</v>
      </c>
      <c r="E1586" t="s">
        <v>24</v>
      </c>
      <c r="F1586">
        <v>2811.95</v>
      </c>
      <c r="G1586">
        <v>2022</v>
      </c>
    </row>
    <row r="1587" spans="1:7" x14ac:dyDescent="0.3">
      <c r="A1587" t="s">
        <v>37</v>
      </c>
      <c r="B1587" t="s">
        <v>17</v>
      </c>
      <c r="C1587" t="s">
        <v>13</v>
      </c>
      <c r="D1587" t="s">
        <v>9</v>
      </c>
      <c r="E1587" t="s">
        <v>15</v>
      </c>
      <c r="F1587">
        <v>5044.2</v>
      </c>
      <c r="G1587">
        <v>2022</v>
      </c>
    </row>
    <row r="1588" spans="1:7" x14ac:dyDescent="0.3">
      <c r="A1588" t="s">
        <v>67</v>
      </c>
      <c r="B1588" t="s">
        <v>7</v>
      </c>
      <c r="C1588" t="s">
        <v>8</v>
      </c>
      <c r="D1588" t="s">
        <v>28</v>
      </c>
      <c r="E1588" t="s">
        <v>15</v>
      </c>
      <c r="F1588">
        <v>4074.33</v>
      </c>
      <c r="G1588">
        <v>2022</v>
      </c>
    </row>
    <row r="1589" spans="1:7" x14ac:dyDescent="0.3">
      <c r="A1589" t="s">
        <v>205</v>
      </c>
      <c r="B1589" t="s">
        <v>17</v>
      </c>
      <c r="C1589" t="s">
        <v>8</v>
      </c>
      <c r="D1589" t="s">
        <v>28</v>
      </c>
      <c r="E1589" t="s">
        <v>15</v>
      </c>
      <c r="F1589">
        <v>1048.08</v>
      </c>
      <c r="G1589">
        <v>2022</v>
      </c>
    </row>
    <row r="1590" spans="1:7" x14ac:dyDescent="0.3">
      <c r="A1590" t="s">
        <v>160</v>
      </c>
      <c r="B1590" t="s">
        <v>30</v>
      </c>
      <c r="C1590" t="s">
        <v>34</v>
      </c>
      <c r="D1590" t="s">
        <v>9</v>
      </c>
      <c r="E1590" t="s">
        <v>15</v>
      </c>
      <c r="F1590">
        <v>3290.44</v>
      </c>
      <c r="G1590">
        <v>2023</v>
      </c>
    </row>
    <row r="1591" spans="1:7" x14ac:dyDescent="0.3">
      <c r="A1591" t="s">
        <v>144</v>
      </c>
      <c r="B1591" t="s">
        <v>30</v>
      </c>
      <c r="C1591" t="s">
        <v>13</v>
      </c>
      <c r="D1591" t="s">
        <v>9</v>
      </c>
      <c r="E1591" t="s">
        <v>10</v>
      </c>
      <c r="F1591">
        <v>1966.43</v>
      </c>
      <c r="G1591">
        <v>2022</v>
      </c>
    </row>
    <row r="1592" spans="1:7" x14ac:dyDescent="0.3">
      <c r="A1592" t="s">
        <v>97</v>
      </c>
      <c r="B1592" t="s">
        <v>7</v>
      </c>
      <c r="C1592" t="s">
        <v>8</v>
      </c>
      <c r="D1592" t="s">
        <v>28</v>
      </c>
      <c r="E1592" t="s">
        <v>15</v>
      </c>
      <c r="F1592">
        <v>2842.86</v>
      </c>
      <c r="G1592">
        <v>2022</v>
      </c>
    </row>
    <row r="1593" spans="1:7" x14ac:dyDescent="0.3">
      <c r="A1593" t="s">
        <v>189</v>
      </c>
      <c r="B1593" t="s">
        <v>19</v>
      </c>
      <c r="C1593" t="s">
        <v>13</v>
      </c>
      <c r="D1593" t="s">
        <v>14</v>
      </c>
      <c r="E1593" t="s">
        <v>15</v>
      </c>
      <c r="F1593">
        <v>2556.0500000000002</v>
      </c>
      <c r="G1593">
        <v>2022</v>
      </c>
    </row>
    <row r="1594" spans="1:7" x14ac:dyDescent="0.3">
      <c r="A1594" t="s">
        <v>146</v>
      </c>
      <c r="B1594" t="s">
        <v>7</v>
      </c>
      <c r="C1594" t="s">
        <v>23</v>
      </c>
      <c r="D1594" t="s">
        <v>28</v>
      </c>
      <c r="E1594" t="s">
        <v>15</v>
      </c>
      <c r="F1594">
        <v>3688.09</v>
      </c>
      <c r="G1594">
        <v>2023</v>
      </c>
    </row>
    <row r="1595" spans="1:7" x14ac:dyDescent="0.3">
      <c r="A1595" t="s">
        <v>56</v>
      </c>
      <c r="B1595" t="s">
        <v>19</v>
      </c>
      <c r="C1595" t="s">
        <v>8</v>
      </c>
      <c r="D1595" t="s">
        <v>9</v>
      </c>
      <c r="E1595" t="s">
        <v>10</v>
      </c>
      <c r="F1595">
        <v>3222.35</v>
      </c>
      <c r="G1595">
        <v>2022</v>
      </c>
    </row>
    <row r="1596" spans="1:7" x14ac:dyDescent="0.3">
      <c r="A1596" t="s">
        <v>85</v>
      </c>
      <c r="B1596" t="s">
        <v>30</v>
      </c>
      <c r="C1596" t="s">
        <v>23</v>
      </c>
      <c r="D1596" t="s">
        <v>14</v>
      </c>
      <c r="E1596" t="s">
        <v>24</v>
      </c>
      <c r="F1596">
        <v>475.84</v>
      </c>
      <c r="G1596">
        <v>2023</v>
      </c>
    </row>
    <row r="1597" spans="1:7" x14ac:dyDescent="0.3">
      <c r="A1597" t="s">
        <v>200</v>
      </c>
      <c r="B1597" t="s">
        <v>30</v>
      </c>
      <c r="C1597" t="s">
        <v>8</v>
      </c>
      <c r="D1597" t="s">
        <v>14</v>
      </c>
      <c r="E1597" t="s">
        <v>15</v>
      </c>
      <c r="F1597">
        <v>258.93</v>
      </c>
      <c r="G1597">
        <v>2022</v>
      </c>
    </row>
    <row r="1598" spans="1:7" x14ac:dyDescent="0.3">
      <c r="A1598" t="s">
        <v>123</v>
      </c>
      <c r="B1598" t="s">
        <v>30</v>
      </c>
      <c r="C1598" t="s">
        <v>8</v>
      </c>
      <c r="D1598" t="s">
        <v>9</v>
      </c>
      <c r="E1598" t="s">
        <v>24</v>
      </c>
      <c r="F1598">
        <v>850.45</v>
      </c>
      <c r="G1598">
        <v>2022</v>
      </c>
    </row>
    <row r="1599" spans="1:7" x14ac:dyDescent="0.3">
      <c r="A1599" t="s">
        <v>150</v>
      </c>
      <c r="B1599" t="s">
        <v>30</v>
      </c>
      <c r="C1599" t="s">
        <v>34</v>
      </c>
      <c r="D1599" t="s">
        <v>14</v>
      </c>
      <c r="E1599" t="s">
        <v>24</v>
      </c>
      <c r="F1599">
        <v>1887.87</v>
      </c>
      <c r="G1599">
        <v>2023</v>
      </c>
    </row>
    <row r="1600" spans="1:7" x14ac:dyDescent="0.3">
      <c r="A1600" t="s">
        <v>100</v>
      </c>
      <c r="B1600" t="s">
        <v>7</v>
      </c>
      <c r="C1600" t="s">
        <v>34</v>
      </c>
      <c r="D1600" t="s">
        <v>28</v>
      </c>
      <c r="E1600" t="s">
        <v>24</v>
      </c>
      <c r="F1600">
        <v>533.01</v>
      </c>
      <c r="G1600">
        <v>2023</v>
      </c>
    </row>
    <row r="1601" spans="1:7" x14ac:dyDescent="0.3">
      <c r="A1601" t="s">
        <v>132</v>
      </c>
      <c r="B1601" t="s">
        <v>19</v>
      </c>
      <c r="C1601" t="s">
        <v>8</v>
      </c>
      <c r="D1601" t="s">
        <v>28</v>
      </c>
      <c r="E1601" t="s">
        <v>10</v>
      </c>
      <c r="F1601">
        <v>572.46</v>
      </c>
      <c r="G1601">
        <v>2022</v>
      </c>
    </row>
    <row r="1602" spans="1:7" x14ac:dyDescent="0.3">
      <c r="A1602" t="s">
        <v>20</v>
      </c>
      <c r="B1602" t="s">
        <v>17</v>
      </c>
      <c r="C1602" t="s">
        <v>13</v>
      </c>
      <c r="D1602" t="s">
        <v>28</v>
      </c>
      <c r="E1602" t="s">
        <v>24</v>
      </c>
      <c r="F1602">
        <v>4635.99</v>
      </c>
      <c r="G1602">
        <v>2022</v>
      </c>
    </row>
    <row r="1603" spans="1:7" x14ac:dyDescent="0.3">
      <c r="A1603" t="s">
        <v>112</v>
      </c>
      <c r="B1603" t="s">
        <v>30</v>
      </c>
      <c r="C1603" t="s">
        <v>34</v>
      </c>
      <c r="D1603" t="s">
        <v>14</v>
      </c>
      <c r="E1603" t="s">
        <v>24</v>
      </c>
      <c r="F1603">
        <v>4891.97</v>
      </c>
      <c r="G1603">
        <v>2023</v>
      </c>
    </row>
    <row r="1604" spans="1:7" x14ac:dyDescent="0.3">
      <c r="A1604" t="s">
        <v>182</v>
      </c>
      <c r="B1604" t="s">
        <v>12</v>
      </c>
      <c r="C1604" t="s">
        <v>23</v>
      </c>
      <c r="D1604" t="s">
        <v>28</v>
      </c>
      <c r="E1604" t="s">
        <v>10</v>
      </c>
      <c r="F1604">
        <v>1184.1400000000001</v>
      </c>
      <c r="G1604">
        <v>2023</v>
      </c>
    </row>
    <row r="1605" spans="1:7" x14ac:dyDescent="0.3">
      <c r="A1605" t="s">
        <v>123</v>
      </c>
      <c r="B1605" t="s">
        <v>30</v>
      </c>
      <c r="C1605" t="s">
        <v>13</v>
      </c>
      <c r="D1605" t="s">
        <v>14</v>
      </c>
      <c r="E1605" t="s">
        <v>15</v>
      </c>
      <c r="F1605">
        <v>802.03</v>
      </c>
      <c r="G1605">
        <v>2022</v>
      </c>
    </row>
    <row r="1606" spans="1:7" x14ac:dyDescent="0.3">
      <c r="A1606" t="s">
        <v>54</v>
      </c>
      <c r="B1606" t="s">
        <v>12</v>
      </c>
      <c r="C1606" t="s">
        <v>13</v>
      </c>
      <c r="D1606" t="s">
        <v>9</v>
      </c>
      <c r="E1606" t="s">
        <v>10</v>
      </c>
      <c r="F1606">
        <v>2408.48</v>
      </c>
      <c r="G1606">
        <v>2022</v>
      </c>
    </row>
    <row r="1607" spans="1:7" x14ac:dyDescent="0.3">
      <c r="A1607" t="s">
        <v>161</v>
      </c>
      <c r="B1607" t="s">
        <v>7</v>
      </c>
      <c r="C1607" t="s">
        <v>13</v>
      </c>
      <c r="D1607" t="s">
        <v>9</v>
      </c>
      <c r="E1607" t="s">
        <v>15</v>
      </c>
      <c r="F1607">
        <v>3733.16</v>
      </c>
      <c r="G1607">
        <v>2022</v>
      </c>
    </row>
    <row r="1608" spans="1:7" x14ac:dyDescent="0.3">
      <c r="A1608" t="s">
        <v>165</v>
      </c>
      <c r="B1608" t="s">
        <v>7</v>
      </c>
      <c r="C1608" t="s">
        <v>23</v>
      </c>
      <c r="D1608" t="s">
        <v>9</v>
      </c>
      <c r="E1608" t="s">
        <v>24</v>
      </c>
      <c r="F1608">
        <v>163.44999999999999</v>
      </c>
      <c r="G1608">
        <v>2023</v>
      </c>
    </row>
    <row r="1609" spans="1:7" x14ac:dyDescent="0.3">
      <c r="A1609" t="s">
        <v>125</v>
      </c>
      <c r="B1609" t="s">
        <v>7</v>
      </c>
      <c r="C1609" t="s">
        <v>23</v>
      </c>
      <c r="D1609" t="s">
        <v>14</v>
      </c>
      <c r="E1609" t="s">
        <v>15</v>
      </c>
      <c r="F1609">
        <v>106.8</v>
      </c>
      <c r="G1609">
        <v>2023</v>
      </c>
    </row>
    <row r="1610" spans="1:7" x14ac:dyDescent="0.3">
      <c r="A1610" t="s">
        <v>122</v>
      </c>
      <c r="B1610" t="s">
        <v>19</v>
      </c>
      <c r="C1610" t="s">
        <v>34</v>
      </c>
      <c r="D1610" t="s">
        <v>14</v>
      </c>
      <c r="E1610" t="s">
        <v>15</v>
      </c>
      <c r="F1610">
        <v>2626.92</v>
      </c>
      <c r="G1610">
        <v>2023</v>
      </c>
    </row>
    <row r="1611" spans="1:7" x14ac:dyDescent="0.3">
      <c r="A1611" t="s">
        <v>39</v>
      </c>
      <c r="B1611" t="s">
        <v>7</v>
      </c>
      <c r="C1611" t="s">
        <v>8</v>
      </c>
      <c r="D1611" t="s">
        <v>14</v>
      </c>
      <c r="E1611" t="s">
        <v>15</v>
      </c>
      <c r="F1611">
        <v>4932.7299999999996</v>
      </c>
      <c r="G1611">
        <v>2022</v>
      </c>
    </row>
    <row r="1612" spans="1:7" x14ac:dyDescent="0.3">
      <c r="A1612" t="s">
        <v>198</v>
      </c>
      <c r="B1612" t="s">
        <v>12</v>
      </c>
      <c r="C1612" t="s">
        <v>8</v>
      </c>
      <c r="D1612" t="s">
        <v>28</v>
      </c>
      <c r="E1612" t="s">
        <v>24</v>
      </c>
      <c r="F1612">
        <v>2097.4</v>
      </c>
      <c r="G1612">
        <v>2022</v>
      </c>
    </row>
    <row r="1613" spans="1:7" x14ac:dyDescent="0.3">
      <c r="A1613" t="s">
        <v>189</v>
      </c>
      <c r="B1613" t="s">
        <v>19</v>
      </c>
      <c r="C1613" t="s">
        <v>13</v>
      </c>
      <c r="D1613" t="s">
        <v>9</v>
      </c>
      <c r="E1613" t="s">
        <v>15</v>
      </c>
      <c r="F1613">
        <v>3185.28</v>
      </c>
      <c r="G1613">
        <v>2022</v>
      </c>
    </row>
    <row r="1614" spans="1:7" x14ac:dyDescent="0.3">
      <c r="A1614" t="s">
        <v>124</v>
      </c>
      <c r="B1614" t="s">
        <v>12</v>
      </c>
      <c r="C1614" t="s">
        <v>34</v>
      </c>
      <c r="D1614" t="s">
        <v>14</v>
      </c>
      <c r="E1614" t="s">
        <v>10</v>
      </c>
      <c r="F1614">
        <v>3081.68</v>
      </c>
      <c r="G1614">
        <v>2023</v>
      </c>
    </row>
    <row r="1615" spans="1:7" x14ac:dyDescent="0.3">
      <c r="A1615" t="s">
        <v>209</v>
      </c>
      <c r="B1615" t="s">
        <v>7</v>
      </c>
      <c r="C1615" t="s">
        <v>13</v>
      </c>
      <c r="D1615" t="s">
        <v>28</v>
      </c>
      <c r="E1615" t="s">
        <v>15</v>
      </c>
      <c r="F1615">
        <v>1531.36</v>
      </c>
      <c r="G1615">
        <v>2022</v>
      </c>
    </row>
    <row r="1616" spans="1:7" x14ac:dyDescent="0.3">
      <c r="A1616" t="s">
        <v>202</v>
      </c>
      <c r="B1616" t="s">
        <v>12</v>
      </c>
      <c r="C1616" t="s">
        <v>34</v>
      </c>
      <c r="D1616" t="s">
        <v>14</v>
      </c>
      <c r="E1616" t="s">
        <v>10</v>
      </c>
      <c r="F1616">
        <v>1564.12</v>
      </c>
      <c r="G1616">
        <v>2023</v>
      </c>
    </row>
    <row r="1617" spans="1:7" x14ac:dyDescent="0.3">
      <c r="A1617" t="s">
        <v>101</v>
      </c>
      <c r="B1617" t="s">
        <v>19</v>
      </c>
      <c r="C1617" t="s">
        <v>23</v>
      </c>
      <c r="D1617" t="s">
        <v>28</v>
      </c>
      <c r="E1617" t="s">
        <v>10</v>
      </c>
      <c r="F1617">
        <v>3016.94</v>
      </c>
      <c r="G1617">
        <v>2023</v>
      </c>
    </row>
    <row r="1618" spans="1:7" x14ac:dyDescent="0.3">
      <c r="A1618" t="s">
        <v>56</v>
      </c>
      <c r="B1618" t="s">
        <v>19</v>
      </c>
      <c r="C1618" t="s">
        <v>34</v>
      </c>
      <c r="D1618" t="s">
        <v>9</v>
      </c>
      <c r="E1618" t="s">
        <v>15</v>
      </c>
      <c r="F1618">
        <v>3853.19</v>
      </c>
      <c r="G1618">
        <v>2023</v>
      </c>
    </row>
    <row r="1619" spans="1:7" x14ac:dyDescent="0.3">
      <c r="A1619" t="s">
        <v>171</v>
      </c>
      <c r="B1619" t="s">
        <v>17</v>
      </c>
      <c r="C1619" t="s">
        <v>23</v>
      </c>
      <c r="D1619" t="s">
        <v>28</v>
      </c>
      <c r="E1619" t="s">
        <v>10</v>
      </c>
      <c r="F1619">
        <v>459.36</v>
      </c>
      <c r="G1619">
        <v>2023</v>
      </c>
    </row>
    <row r="1620" spans="1:7" x14ac:dyDescent="0.3">
      <c r="A1620" t="s">
        <v>216</v>
      </c>
      <c r="B1620" t="s">
        <v>17</v>
      </c>
      <c r="C1620" t="s">
        <v>23</v>
      </c>
      <c r="D1620" t="s">
        <v>14</v>
      </c>
      <c r="E1620" t="s">
        <v>15</v>
      </c>
      <c r="F1620">
        <v>2792.22</v>
      </c>
      <c r="G1620">
        <v>2023</v>
      </c>
    </row>
    <row r="1621" spans="1:7" x14ac:dyDescent="0.3">
      <c r="A1621" t="s">
        <v>53</v>
      </c>
      <c r="B1621" t="s">
        <v>7</v>
      </c>
      <c r="C1621" t="s">
        <v>34</v>
      </c>
      <c r="D1621" t="s">
        <v>28</v>
      </c>
      <c r="E1621" t="s">
        <v>15</v>
      </c>
      <c r="F1621">
        <v>4129.93</v>
      </c>
      <c r="G1621">
        <v>2023</v>
      </c>
    </row>
    <row r="1622" spans="1:7" x14ac:dyDescent="0.3">
      <c r="A1622" t="s">
        <v>192</v>
      </c>
      <c r="B1622" t="s">
        <v>19</v>
      </c>
      <c r="C1622" t="s">
        <v>34</v>
      </c>
      <c r="D1622" t="s">
        <v>28</v>
      </c>
      <c r="E1622" t="s">
        <v>15</v>
      </c>
      <c r="F1622">
        <v>2515.67</v>
      </c>
      <c r="G1622">
        <v>2023</v>
      </c>
    </row>
    <row r="1623" spans="1:7" x14ac:dyDescent="0.3">
      <c r="A1623" t="s">
        <v>37</v>
      </c>
      <c r="B1623" t="s">
        <v>17</v>
      </c>
      <c r="C1623" t="s">
        <v>13</v>
      </c>
      <c r="D1623" t="s">
        <v>9</v>
      </c>
      <c r="E1623" t="s">
        <v>10</v>
      </c>
      <c r="F1623">
        <v>1577.95</v>
      </c>
      <c r="G1623">
        <v>2022</v>
      </c>
    </row>
    <row r="1624" spans="1:7" x14ac:dyDescent="0.3">
      <c r="A1624" t="s">
        <v>102</v>
      </c>
      <c r="B1624" t="s">
        <v>19</v>
      </c>
      <c r="C1624" t="s">
        <v>13</v>
      </c>
      <c r="D1624" t="s">
        <v>9</v>
      </c>
      <c r="E1624" t="s">
        <v>24</v>
      </c>
      <c r="F1624">
        <v>4224.2</v>
      </c>
      <c r="G1624">
        <v>2022</v>
      </c>
    </row>
    <row r="1625" spans="1:7" x14ac:dyDescent="0.3">
      <c r="A1625" t="s">
        <v>101</v>
      </c>
      <c r="B1625" t="s">
        <v>19</v>
      </c>
      <c r="C1625" t="s">
        <v>23</v>
      </c>
      <c r="D1625" t="s">
        <v>9</v>
      </c>
      <c r="E1625" t="s">
        <v>24</v>
      </c>
      <c r="F1625">
        <v>4932.3999999999996</v>
      </c>
      <c r="G1625">
        <v>2023</v>
      </c>
    </row>
    <row r="1626" spans="1:7" x14ac:dyDescent="0.3">
      <c r="A1626" t="s">
        <v>212</v>
      </c>
      <c r="B1626" t="s">
        <v>7</v>
      </c>
      <c r="C1626" t="s">
        <v>13</v>
      </c>
      <c r="D1626" t="s">
        <v>28</v>
      </c>
      <c r="E1626" t="s">
        <v>10</v>
      </c>
      <c r="F1626">
        <v>1505.22</v>
      </c>
      <c r="G1626">
        <v>2022</v>
      </c>
    </row>
    <row r="1627" spans="1:7" x14ac:dyDescent="0.3">
      <c r="A1627" t="s">
        <v>141</v>
      </c>
      <c r="B1627" t="s">
        <v>7</v>
      </c>
      <c r="C1627" t="s">
        <v>23</v>
      </c>
      <c r="D1627" t="s">
        <v>9</v>
      </c>
      <c r="E1627" t="s">
        <v>15</v>
      </c>
      <c r="F1627">
        <v>2186.84</v>
      </c>
      <c r="G1627">
        <v>2023</v>
      </c>
    </row>
    <row r="1628" spans="1:7" x14ac:dyDescent="0.3">
      <c r="A1628" t="s">
        <v>165</v>
      </c>
      <c r="B1628" t="s">
        <v>7</v>
      </c>
      <c r="C1628" t="s">
        <v>13</v>
      </c>
      <c r="D1628" t="s">
        <v>14</v>
      </c>
      <c r="E1628" t="s">
        <v>10</v>
      </c>
      <c r="F1628">
        <v>1236.5999999999999</v>
      </c>
      <c r="G1628">
        <v>2022</v>
      </c>
    </row>
    <row r="1629" spans="1:7" x14ac:dyDescent="0.3">
      <c r="A1629" t="s">
        <v>169</v>
      </c>
      <c r="B1629" t="s">
        <v>12</v>
      </c>
      <c r="C1629" t="s">
        <v>34</v>
      </c>
      <c r="D1629" t="s">
        <v>14</v>
      </c>
      <c r="E1629" t="s">
        <v>10</v>
      </c>
      <c r="F1629">
        <v>950.62</v>
      </c>
      <c r="G1629">
        <v>2023</v>
      </c>
    </row>
    <row r="1630" spans="1:7" x14ac:dyDescent="0.3">
      <c r="A1630" t="s">
        <v>212</v>
      </c>
      <c r="B1630" t="s">
        <v>7</v>
      </c>
      <c r="C1630" t="s">
        <v>34</v>
      </c>
      <c r="D1630" t="s">
        <v>9</v>
      </c>
      <c r="E1630" t="s">
        <v>10</v>
      </c>
      <c r="F1630">
        <v>1417.73</v>
      </c>
      <c r="G1630">
        <v>2023</v>
      </c>
    </row>
    <row r="1631" spans="1:7" x14ac:dyDescent="0.3">
      <c r="A1631" t="s">
        <v>153</v>
      </c>
      <c r="B1631" t="s">
        <v>7</v>
      </c>
      <c r="C1631" t="s">
        <v>8</v>
      </c>
      <c r="D1631" t="s">
        <v>14</v>
      </c>
      <c r="E1631" t="s">
        <v>10</v>
      </c>
      <c r="F1631">
        <v>1840.6</v>
      </c>
      <c r="G1631">
        <v>2022</v>
      </c>
    </row>
    <row r="1632" spans="1:7" x14ac:dyDescent="0.3">
      <c r="A1632" t="s">
        <v>91</v>
      </c>
      <c r="B1632" t="s">
        <v>30</v>
      </c>
      <c r="C1632" t="s">
        <v>34</v>
      </c>
      <c r="D1632" t="s">
        <v>28</v>
      </c>
      <c r="E1632" t="s">
        <v>15</v>
      </c>
      <c r="F1632">
        <v>136.41</v>
      </c>
      <c r="G1632">
        <v>2023</v>
      </c>
    </row>
    <row r="1633" spans="1:7" x14ac:dyDescent="0.3">
      <c r="A1633" t="s">
        <v>39</v>
      </c>
      <c r="B1633" t="s">
        <v>7</v>
      </c>
      <c r="C1633" t="s">
        <v>23</v>
      </c>
      <c r="D1633" t="s">
        <v>14</v>
      </c>
      <c r="E1633" t="s">
        <v>24</v>
      </c>
      <c r="F1633">
        <v>2167.6999999999998</v>
      </c>
      <c r="G1633">
        <v>2023</v>
      </c>
    </row>
    <row r="1634" spans="1:7" x14ac:dyDescent="0.3">
      <c r="A1634" t="s">
        <v>68</v>
      </c>
      <c r="B1634" t="s">
        <v>12</v>
      </c>
      <c r="C1634" t="s">
        <v>13</v>
      </c>
      <c r="D1634" t="s">
        <v>28</v>
      </c>
      <c r="E1634" t="s">
        <v>24</v>
      </c>
      <c r="F1634">
        <v>3755.45</v>
      </c>
      <c r="G1634">
        <v>2022</v>
      </c>
    </row>
    <row r="1635" spans="1:7" x14ac:dyDescent="0.3">
      <c r="A1635" t="s">
        <v>110</v>
      </c>
      <c r="B1635" t="s">
        <v>12</v>
      </c>
      <c r="C1635" t="s">
        <v>13</v>
      </c>
      <c r="D1635" t="s">
        <v>28</v>
      </c>
      <c r="E1635" t="s">
        <v>10</v>
      </c>
      <c r="F1635">
        <v>1313.84</v>
      </c>
      <c r="G1635">
        <v>2022</v>
      </c>
    </row>
    <row r="1636" spans="1:7" x14ac:dyDescent="0.3">
      <c r="A1636" t="s">
        <v>142</v>
      </c>
      <c r="B1636" t="s">
        <v>17</v>
      </c>
      <c r="C1636" t="s">
        <v>13</v>
      </c>
      <c r="D1636" t="s">
        <v>9</v>
      </c>
      <c r="E1636" t="s">
        <v>10</v>
      </c>
      <c r="F1636">
        <v>460.08</v>
      </c>
      <c r="G1636">
        <v>2022</v>
      </c>
    </row>
    <row r="1637" spans="1:7" x14ac:dyDescent="0.3">
      <c r="A1637" t="s">
        <v>181</v>
      </c>
      <c r="B1637" t="s">
        <v>30</v>
      </c>
      <c r="C1637" t="s">
        <v>13</v>
      </c>
      <c r="D1637" t="s">
        <v>9</v>
      </c>
      <c r="E1637" t="s">
        <v>24</v>
      </c>
      <c r="F1637">
        <v>2230.08</v>
      </c>
      <c r="G1637">
        <v>2022</v>
      </c>
    </row>
    <row r="1638" spans="1:7" x14ac:dyDescent="0.3">
      <c r="A1638" t="s">
        <v>21</v>
      </c>
      <c r="B1638" t="s">
        <v>19</v>
      </c>
      <c r="C1638" t="s">
        <v>8</v>
      </c>
      <c r="D1638" t="s">
        <v>14</v>
      </c>
      <c r="E1638" t="s">
        <v>24</v>
      </c>
      <c r="F1638">
        <v>324.83</v>
      </c>
      <c r="G1638">
        <v>2022</v>
      </c>
    </row>
    <row r="1639" spans="1:7" x14ac:dyDescent="0.3">
      <c r="A1639" t="s">
        <v>218</v>
      </c>
      <c r="B1639" t="s">
        <v>17</v>
      </c>
      <c r="C1639" t="s">
        <v>23</v>
      </c>
      <c r="D1639" t="s">
        <v>9</v>
      </c>
      <c r="E1639" t="s">
        <v>10</v>
      </c>
      <c r="F1639">
        <v>621.27</v>
      </c>
      <c r="G1639">
        <v>2023</v>
      </c>
    </row>
    <row r="1640" spans="1:7" x14ac:dyDescent="0.3">
      <c r="A1640" t="s">
        <v>187</v>
      </c>
      <c r="B1640" t="s">
        <v>19</v>
      </c>
      <c r="C1640" t="s">
        <v>23</v>
      </c>
      <c r="D1640" t="s">
        <v>28</v>
      </c>
      <c r="E1640" t="s">
        <v>10</v>
      </c>
      <c r="F1640">
        <v>1054.75</v>
      </c>
      <c r="G1640">
        <v>2023</v>
      </c>
    </row>
    <row r="1641" spans="1:7" x14ac:dyDescent="0.3">
      <c r="A1641" t="s">
        <v>100</v>
      </c>
      <c r="B1641" t="s">
        <v>7</v>
      </c>
      <c r="C1641" t="s">
        <v>13</v>
      </c>
      <c r="D1641" t="s">
        <v>9</v>
      </c>
      <c r="E1641" t="s">
        <v>15</v>
      </c>
      <c r="F1641">
        <v>5086.7299999999996</v>
      </c>
      <c r="G1641">
        <v>2022</v>
      </c>
    </row>
    <row r="1642" spans="1:7" x14ac:dyDescent="0.3">
      <c r="A1642" t="s">
        <v>206</v>
      </c>
      <c r="B1642" t="s">
        <v>19</v>
      </c>
      <c r="C1642" t="s">
        <v>23</v>
      </c>
      <c r="D1642" t="s">
        <v>28</v>
      </c>
      <c r="E1642" t="s">
        <v>24</v>
      </c>
      <c r="F1642">
        <v>733.07</v>
      </c>
      <c r="G1642">
        <v>2023</v>
      </c>
    </row>
    <row r="1643" spans="1:7" x14ac:dyDescent="0.3">
      <c r="A1643" t="s">
        <v>108</v>
      </c>
      <c r="B1643" t="s">
        <v>7</v>
      </c>
      <c r="C1643" t="s">
        <v>13</v>
      </c>
      <c r="D1643" t="s">
        <v>14</v>
      </c>
      <c r="E1643" t="s">
        <v>24</v>
      </c>
      <c r="F1643">
        <v>4608.12</v>
      </c>
      <c r="G1643">
        <v>2022</v>
      </c>
    </row>
    <row r="1644" spans="1:7" x14ac:dyDescent="0.3">
      <c r="A1644" t="s">
        <v>44</v>
      </c>
      <c r="B1644" t="s">
        <v>19</v>
      </c>
      <c r="C1644" t="s">
        <v>23</v>
      </c>
      <c r="D1644" t="s">
        <v>28</v>
      </c>
      <c r="E1644" t="s">
        <v>10</v>
      </c>
      <c r="F1644">
        <v>3092.45</v>
      </c>
      <c r="G1644">
        <v>2023</v>
      </c>
    </row>
    <row r="1645" spans="1:7" x14ac:dyDescent="0.3">
      <c r="A1645" t="s">
        <v>61</v>
      </c>
      <c r="B1645" t="s">
        <v>30</v>
      </c>
      <c r="C1645" t="s">
        <v>34</v>
      </c>
      <c r="D1645" t="s">
        <v>14</v>
      </c>
      <c r="E1645" t="s">
        <v>15</v>
      </c>
      <c r="F1645">
        <v>824.2</v>
      </c>
      <c r="G1645">
        <v>2023</v>
      </c>
    </row>
    <row r="1646" spans="1:7" x14ac:dyDescent="0.3">
      <c r="A1646" t="s">
        <v>58</v>
      </c>
      <c r="B1646" t="s">
        <v>17</v>
      </c>
      <c r="C1646" t="s">
        <v>8</v>
      </c>
      <c r="D1646" t="s">
        <v>28</v>
      </c>
      <c r="E1646" t="s">
        <v>10</v>
      </c>
      <c r="F1646">
        <v>1816.62</v>
      </c>
      <c r="G1646">
        <v>2022</v>
      </c>
    </row>
    <row r="1647" spans="1:7" x14ac:dyDescent="0.3">
      <c r="A1647" t="s">
        <v>142</v>
      </c>
      <c r="B1647" t="s">
        <v>17</v>
      </c>
      <c r="C1647" t="s">
        <v>13</v>
      </c>
      <c r="D1647" t="s">
        <v>9</v>
      </c>
      <c r="E1647" t="s">
        <v>15</v>
      </c>
      <c r="F1647">
        <v>1750.32</v>
      </c>
      <c r="G1647">
        <v>2022</v>
      </c>
    </row>
    <row r="1648" spans="1:7" x14ac:dyDescent="0.3">
      <c r="A1648" t="s">
        <v>183</v>
      </c>
      <c r="B1648" t="s">
        <v>7</v>
      </c>
      <c r="C1648" t="s">
        <v>13</v>
      </c>
      <c r="D1648" t="s">
        <v>9</v>
      </c>
      <c r="E1648" t="s">
        <v>10</v>
      </c>
      <c r="F1648">
        <v>4387.17</v>
      </c>
      <c r="G1648">
        <v>2022</v>
      </c>
    </row>
    <row r="1649" spans="1:7" x14ac:dyDescent="0.3">
      <c r="A1649" t="s">
        <v>219</v>
      </c>
      <c r="B1649" t="s">
        <v>12</v>
      </c>
      <c r="C1649" t="s">
        <v>23</v>
      </c>
      <c r="D1649" t="s">
        <v>28</v>
      </c>
      <c r="E1649" t="s">
        <v>24</v>
      </c>
      <c r="F1649">
        <v>3959.46</v>
      </c>
      <c r="G1649">
        <v>2023</v>
      </c>
    </row>
    <row r="1650" spans="1:7" x14ac:dyDescent="0.3">
      <c r="A1650" t="s">
        <v>38</v>
      </c>
      <c r="B1650" t="s">
        <v>30</v>
      </c>
      <c r="C1650" t="s">
        <v>23</v>
      </c>
      <c r="D1650" t="s">
        <v>28</v>
      </c>
      <c r="E1650" t="s">
        <v>24</v>
      </c>
      <c r="F1650">
        <v>976.87</v>
      </c>
      <c r="G1650">
        <v>2023</v>
      </c>
    </row>
    <row r="1651" spans="1:7" x14ac:dyDescent="0.3">
      <c r="A1651" t="s">
        <v>90</v>
      </c>
      <c r="B1651" t="s">
        <v>19</v>
      </c>
      <c r="C1651" t="s">
        <v>8</v>
      </c>
      <c r="D1651" t="s">
        <v>14</v>
      </c>
      <c r="E1651" t="s">
        <v>24</v>
      </c>
      <c r="F1651">
        <v>836.5</v>
      </c>
      <c r="G1651">
        <v>2022</v>
      </c>
    </row>
    <row r="1652" spans="1:7" x14ac:dyDescent="0.3">
      <c r="A1652" t="s">
        <v>184</v>
      </c>
      <c r="B1652" t="s">
        <v>30</v>
      </c>
      <c r="C1652" t="s">
        <v>34</v>
      </c>
      <c r="D1652" t="s">
        <v>14</v>
      </c>
      <c r="E1652" t="s">
        <v>15</v>
      </c>
      <c r="F1652">
        <v>4095.46</v>
      </c>
      <c r="G1652">
        <v>2023</v>
      </c>
    </row>
    <row r="1653" spans="1:7" x14ac:dyDescent="0.3">
      <c r="A1653" t="s">
        <v>109</v>
      </c>
      <c r="B1653" t="s">
        <v>12</v>
      </c>
      <c r="C1653" t="s">
        <v>23</v>
      </c>
      <c r="D1653" t="s">
        <v>28</v>
      </c>
      <c r="E1653" t="s">
        <v>15</v>
      </c>
      <c r="F1653">
        <v>3574.84</v>
      </c>
      <c r="G1653">
        <v>2023</v>
      </c>
    </row>
    <row r="1654" spans="1:7" x14ac:dyDescent="0.3">
      <c r="A1654" t="s">
        <v>186</v>
      </c>
      <c r="B1654" t="s">
        <v>30</v>
      </c>
      <c r="C1654" t="s">
        <v>34</v>
      </c>
      <c r="D1654" t="s">
        <v>28</v>
      </c>
      <c r="E1654" t="s">
        <v>24</v>
      </c>
      <c r="F1654">
        <v>4705.34</v>
      </c>
      <c r="G1654">
        <v>2023</v>
      </c>
    </row>
    <row r="1655" spans="1:7" x14ac:dyDescent="0.3">
      <c r="A1655" t="s">
        <v>177</v>
      </c>
      <c r="B1655" t="s">
        <v>7</v>
      </c>
      <c r="C1655" t="s">
        <v>13</v>
      </c>
      <c r="D1655" t="s">
        <v>14</v>
      </c>
      <c r="E1655" t="s">
        <v>24</v>
      </c>
      <c r="F1655">
        <v>4617.59</v>
      </c>
      <c r="G1655">
        <v>2022</v>
      </c>
    </row>
    <row r="1656" spans="1:7" x14ac:dyDescent="0.3">
      <c r="A1656" t="s">
        <v>205</v>
      </c>
      <c r="B1656" t="s">
        <v>17</v>
      </c>
      <c r="C1656" t="s">
        <v>8</v>
      </c>
      <c r="D1656" t="s">
        <v>14</v>
      </c>
      <c r="E1656" t="s">
        <v>10</v>
      </c>
      <c r="F1656">
        <v>3378.57</v>
      </c>
      <c r="G1656">
        <v>2022</v>
      </c>
    </row>
    <row r="1657" spans="1:7" x14ac:dyDescent="0.3">
      <c r="A1657" t="s">
        <v>18</v>
      </c>
      <c r="B1657" t="s">
        <v>19</v>
      </c>
      <c r="C1657" t="s">
        <v>23</v>
      </c>
      <c r="D1657" t="s">
        <v>28</v>
      </c>
      <c r="E1657" t="s">
        <v>10</v>
      </c>
      <c r="F1657">
        <v>1071.83</v>
      </c>
      <c r="G1657">
        <v>2023</v>
      </c>
    </row>
    <row r="1658" spans="1:7" x14ac:dyDescent="0.3">
      <c r="A1658" t="s">
        <v>162</v>
      </c>
      <c r="B1658" t="s">
        <v>30</v>
      </c>
      <c r="C1658" t="s">
        <v>13</v>
      </c>
      <c r="D1658" t="s">
        <v>9</v>
      </c>
      <c r="E1658" t="s">
        <v>24</v>
      </c>
      <c r="F1658">
        <v>958.65</v>
      </c>
      <c r="G1658">
        <v>2022</v>
      </c>
    </row>
    <row r="1659" spans="1:7" x14ac:dyDescent="0.3">
      <c r="A1659" t="s">
        <v>37</v>
      </c>
      <c r="B1659" t="s">
        <v>17</v>
      </c>
      <c r="C1659" t="s">
        <v>23</v>
      </c>
      <c r="D1659" t="s">
        <v>9</v>
      </c>
      <c r="E1659" t="s">
        <v>24</v>
      </c>
      <c r="F1659">
        <v>1194.6400000000001</v>
      </c>
      <c r="G1659">
        <v>2023</v>
      </c>
    </row>
    <row r="1660" spans="1:7" x14ac:dyDescent="0.3">
      <c r="A1660" t="s">
        <v>156</v>
      </c>
      <c r="B1660" t="s">
        <v>17</v>
      </c>
      <c r="C1660" t="s">
        <v>34</v>
      </c>
      <c r="D1660" t="s">
        <v>9</v>
      </c>
      <c r="E1660" t="s">
        <v>24</v>
      </c>
      <c r="F1660">
        <v>1366.75</v>
      </c>
      <c r="G1660">
        <v>2023</v>
      </c>
    </row>
    <row r="1661" spans="1:7" x14ac:dyDescent="0.3">
      <c r="A1661" t="s">
        <v>65</v>
      </c>
      <c r="B1661" t="s">
        <v>30</v>
      </c>
      <c r="C1661" t="s">
        <v>23</v>
      </c>
      <c r="D1661" t="s">
        <v>14</v>
      </c>
      <c r="E1661" t="s">
        <v>15</v>
      </c>
      <c r="F1661">
        <v>1936.56</v>
      </c>
      <c r="G1661">
        <v>2023</v>
      </c>
    </row>
    <row r="1662" spans="1:7" x14ac:dyDescent="0.3">
      <c r="A1662" t="s">
        <v>27</v>
      </c>
      <c r="B1662" t="s">
        <v>12</v>
      </c>
      <c r="C1662" t="s">
        <v>13</v>
      </c>
      <c r="D1662" t="s">
        <v>9</v>
      </c>
      <c r="E1662" t="s">
        <v>10</v>
      </c>
      <c r="F1662">
        <v>872.02</v>
      </c>
      <c r="G1662">
        <v>2022</v>
      </c>
    </row>
    <row r="1663" spans="1:7" x14ac:dyDescent="0.3">
      <c r="A1663" t="s">
        <v>58</v>
      </c>
      <c r="B1663" t="s">
        <v>17</v>
      </c>
      <c r="C1663" t="s">
        <v>34</v>
      </c>
      <c r="D1663" t="s">
        <v>28</v>
      </c>
      <c r="E1663" t="s">
        <v>15</v>
      </c>
      <c r="F1663">
        <v>4730.6899999999996</v>
      </c>
      <c r="G1663">
        <v>2023</v>
      </c>
    </row>
    <row r="1664" spans="1:7" x14ac:dyDescent="0.3">
      <c r="A1664" t="s">
        <v>96</v>
      </c>
      <c r="B1664" t="s">
        <v>19</v>
      </c>
      <c r="C1664" t="s">
        <v>13</v>
      </c>
      <c r="D1664" t="s">
        <v>9</v>
      </c>
      <c r="E1664" t="s">
        <v>10</v>
      </c>
      <c r="F1664">
        <v>3135.12</v>
      </c>
      <c r="G1664">
        <v>2022</v>
      </c>
    </row>
    <row r="1665" spans="1:7" x14ac:dyDescent="0.3">
      <c r="A1665" t="s">
        <v>190</v>
      </c>
      <c r="B1665" t="s">
        <v>17</v>
      </c>
      <c r="C1665" t="s">
        <v>23</v>
      </c>
      <c r="D1665" t="s">
        <v>9</v>
      </c>
      <c r="E1665" t="s">
        <v>15</v>
      </c>
      <c r="F1665">
        <v>1288.69</v>
      </c>
      <c r="G1665">
        <v>2023</v>
      </c>
    </row>
    <row r="1666" spans="1:7" x14ac:dyDescent="0.3">
      <c r="A1666" t="s">
        <v>66</v>
      </c>
      <c r="B1666" t="s">
        <v>30</v>
      </c>
      <c r="C1666" t="s">
        <v>8</v>
      </c>
      <c r="D1666" t="s">
        <v>14</v>
      </c>
      <c r="E1666" t="s">
        <v>10</v>
      </c>
      <c r="F1666">
        <v>3302.89</v>
      </c>
      <c r="G1666">
        <v>2022</v>
      </c>
    </row>
    <row r="1667" spans="1:7" x14ac:dyDescent="0.3">
      <c r="A1667" t="s">
        <v>191</v>
      </c>
      <c r="B1667" t="s">
        <v>12</v>
      </c>
      <c r="C1667" t="s">
        <v>13</v>
      </c>
      <c r="D1667" t="s">
        <v>28</v>
      </c>
      <c r="E1667" t="s">
        <v>15</v>
      </c>
      <c r="F1667">
        <v>1167.23</v>
      </c>
      <c r="G1667">
        <v>2022</v>
      </c>
    </row>
    <row r="1668" spans="1:7" x14ac:dyDescent="0.3">
      <c r="A1668" t="s">
        <v>33</v>
      </c>
      <c r="B1668" t="s">
        <v>19</v>
      </c>
      <c r="C1668" t="s">
        <v>34</v>
      </c>
      <c r="D1668" t="s">
        <v>9</v>
      </c>
      <c r="E1668" t="s">
        <v>10</v>
      </c>
      <c r="F1668">
        <v>1716.99</v>
      </c>
      <c r="G1668">
        <v>2023</v>
      </c>
    </row>
    <row r="1669" spans="1:7" x14ac:dyDescent="0.3">
      <c r="A1669" t="s">
        <v>43</v>
      </c>
      <c r="B1669" t="s">
        <v>17</v>
      </c>
      <c r="C1669" t="s">
        <v>13</v>
      </c>
      <c r="D1669" t="s">
        <v>28</v>
      </c>
      <c r="E1669" t="s">
        <v>24</v>
      </c>
      <c r="F1669">
        <v>2018.44</v>
      </c>
      <c r="G1669">
        <v>2022</v>
      </c>
    </row>
    <row r="1670" spans="1:7" x14ac:dyDescent="0.3">
      <c r="A1670" t="s">
        <v>122</v>
      </c>
      <c r="B1670" t="s">
        <v>19</v>
      </c>
      <c r="C1670" t="s">
        <v>23</v>
      </c>
      <c r="D1670" t="s">
        <v>9</v>
      </c>
      <c r="E1670" t="s">
        <v>10</v>
      </c>
      <c r="F1670">
        <v>5025.54</v>
      </c>
      <c r="G1670">
        <v>2023</v>
      </c>
    </row>
    <row r="1671" spans="1:7" x14ac:dyDescent="0.3">
      <c r="A1671" t="s">
        <v>137</v>
      </c>
      <c r="B1671" t="s">
        <v>17</v>
      </c>
      <c r="C1671" t="s">
        <v>34</v>
      </c>
      <c r="D1671" t="s">
        <v>9</v>
      </c>
      <c r="E1671" t="s">
        <v>15</v>
      </c>
      <c r="F1671">
        <v>2513.3000000000002</v>
      </c>
      <c r="G1671">
        <v>2023</v>
      </c>
    </row>
    <row r="1672" spans="1:7" x14ac:dyDescent="0.3">
      <c r="A1672" t="s">
        <v>166</v>
      </c>
      <c r="B1672" t="s">
        <v>7</v>
      </c>
      <c r="C1672" t="s">
        <v>8</v>
      </c>
      <c r="D1672" t="s">
        <v>14</v>
      </c>
      <c r="E1672" t="s">
        <v>15</v>
      </c>
      <c r="F1672">
        <v>2145.48</v>
      </c>
      <c r="G1672">
        <v>2022</v>
      </c>
    </row>
    <row r="1673" spans="1:7" x14ac:dyDescent="0.3">
      <c r="A1673" t="s">
        <v>29</v>
      </c>
      <c r="B1673" t="s">
        <v>30</v>
      </c>
      <c r="C1673" t="s">
        <v>13</v>
      </c>
      <c r="D1673" t="s">
        <v>14</v>
      </c>
      <c r="E1673" t="s">
        <v>10</v>
      </c>
      <c r="F1673">
        <v>1701.79</v>
      </c>
      <c r="G1673">
        <v>2022</v>
      </c>
    </row>
    <row r="1674" spans="1:7" x14ac:dyDescent="0.3">
      <c r="A1674" t="s">
        <v>99</v>
      </c>
      <c r="B1674" t="s">
        <v>19</v>
      </c>
      <c r="C1674" t="s">
        <v>34</v>
      </c>
      <c r="D1674" t="s">
        <v>28</v>
      </c>
      <c r="E1674" t="s">
        <v>15</v>
      </c>
      <c r="F1674">
        <v>1017.33</v>
      </c>
      <c r="G1674">
        <v>2023</v>
      </c>
    </row>
    <row r="1675" spans="1:7" x14ac:dyDescent="0.3">
      <c r="A1675" t="s">
        <v>137</v>
      </c>
      <c r="B1675" t="s">
        <v>17</v>
      </c>
      <c r="C1675" t="s">
        <v>8</v>
      </c>
      <c r="D1675" t="s">
        <v>28</v>
      </c>
      <c r="E1675" t="s">
        <v>15</v>
      </c>
      <c r="F1675">
        <v>4417.58</v>
      </c>
      <c r="G1675">
        <v>2022</v>
      </c>
    </row>
    <row r="1676" spans="1:7" x14ac:dyDescent="0.3">
      <c r="A1676" t="s">
        <v>25</v>
      </c>
      <c r="B1676" t="s">
        <v>19</v>
      </c>
      <c r="C1676" t="s">
        <v>8</v>
      </c>
      <c r="D1676" t="s">
        <v>14</v>
      </c>
      <c r="E1676" t="s">
        <v>10</v>
      </c>
      <c r="F1676">
        <v>2948.39</v>
      </c>
      <c r="G1676">
        <v>2022</v>
      </c>
    </row>
    <row r="1677" spans="1:7" x14ac:dyDescent="0.3">
      <c r="A1677" t="s">
        <v>196</v>
      </c>
      <c r="B1677" t="s">
        <v>30</v>
      </c>
      <c r="C1677" t="s">
        <v>23</v>
      </c>
      <c r="D1677" t="s">
        <v>28</v>
      </c>
      <c r="E1677" t="s">
        <v>24</v>
      </c>
      <c r="F1677">
        <v>2543.38</v>
      </c>
      <c r="G1677">
        <v>2023</v>
      </c>
    </row>
    <row r="1678" spans="1:7" x14ac:dyDescent="0.3">
      <c r="A1678" t="s">
        <v>160</v>
      </c>
      <c r="B1678" t="s">
        <v>30</v>
      </c>
      <c r="C1678" t="s">
        <v>13</v>
      </c>
      <c r="D1678" t="s">
        <v>9</v>
      </c>
      <c r="E1678" t="s">
        <v>15</v>
      </c>
      <c r="F1678">
        <v>3031.49</v>
      </c>
      <c r="G1678">
        <v>2022</v>
      </c>
    </row>
    <row r="1679" spans="1:7" x14ac:dyDescent="0.3">
      <c r="A1679" t="s">
        <v>116</v>
      </c>
      <c r="B1679" t="s">
        <v>17</v>
      </c>
      <c r="C1679" t="s">
        <v>34</v>
      </c>
      <c r="D1679" t="s">
        <v>9</v>
      </c>
      <c r="E1679" t="s">
        <v>15</v>
      </c>
      <c r="F1679">
        <v>4209.3500000000004</v>
      </c>
      <c r="G1679">
        <v>2023</v>
      </c>
    </row>
    <row r="1680" spans="1:7" x14ac:dyDescent="0.3">
      <c r="A1680" t="s">
        <v>119</v>
      </c>
      <c r="B1680" t="s">
        <v>30</v>
      </c>
      <c r="C1680" t="s">
        <v>8</v>
      </c>
      <c r="D1680" t="s">
        <v>14</v>
      </c>
      <c r="E1680" t="s">
        <v>24</v>
      </c>
      <c r="F1680">
        <v>3571.08</v>
      </c>
      <c r="G1680">
        <v>2022</v>
      </c>
    </row>
    <row r="1681" spans="1:7" x14ac:dyDescent="0.3">
      <c r="A1681" t="s">
        <v>41</v>
      </c>
      <c r="B1681" t="s">
        <v>30</v>
      </c>
      <c r="C1681" t="s">
        <v>8</v>
      </c>
      <c r="D1681" t="s">
        <v>28</v>
      </c>
      <c r="E1681" t="s">
        <v>15</v>
      </c>
      <c r="F1681">
        <v>887.49</v>
      </c>
      <c r="G1681">
        <v>2022</v>
      </c>
    </row>
    <row r="1682" spans="1:7" x14ac:dyDescent="0.3">
      <c r="A1682" t="s">
        <v>193</v>
      </c>
      <c r="B1682" t="s">
        <v>12</v>
      </c>
      <c r="C1682" t="s">
        <v>8</v>
      </c>
      <c r="D1682" t="s">
        <v>28</v>
      </c>
      <c r="E1682" t="s">
        <v>10</v>
      </c>
      <c r="F1682">
        <v>1618.49</v>
      </c>
      <c r="G1682">
        <v>2022</v>
      </c>
    </row>
    <row r="1683" spans="1:7" x14ac:dyDescent="0.3">
      <c r="A1683" t="s">
        <v>152</v>
      </c>
      <c r="B1683" t="s">
        <v>30</v>
      </c>
      <c r="C1683" t="s">
        <v>8</v>
      </c>
      <c r="D1683" t="s">
        <v>9</v>
      </c>
      <c r="E1683" t="s">
        <v>10</v>
      </c>
      <c r="F1683">
        <v>4625.46</v>
      </c>
      <c r="G1683">
        <v>2022</v>
      </c>
    </row>
    <row r="1684" spans="1:7" x14ac:dyDescent="0.3">
      <c r="A1684" t="s">
        <v>25</v>
      </c>
      <c r="B1684" t="s">
        <v>19</v>
      </c>
      <c r="C1684" t="s">
        <v>34</v>
      </c>
      <c r="D1684" t="s">
        <v>28</v>
      </c>
      <c r="E1684" t="s">
        <v>10</v>
      </c>
      <c r="F1684">
        <v>968.64</v>
      </c>
      <c r="G1684">
        <v>2023</v>
      </c>
    </row>
    <row r="1685" spans="1:7" x14ac:dyDescent="0.3">
      <c r="A1685" t="s">
        <v>149</v>
      </c>
      <c r="B1685" t="s">
        <v>17</v>
      </c>
      <c r="C1685" t="s">
        <v>23</v>
      </c>
      <c r="D1685" t="s">
        <v>9</v>
      </c>
      <c r="E1685" t="s">
        <v>15</v>
      </c>
      <c r="F1685">
        <v>2182.06</v>
      </c>
      <c r="G1685">
        <v>2023</v>
      </c>
    </row>
    <row r="1686" spans="1:7" x14ac:dyDescent="0.3">
      <c r="A1686" t="s">
        <v>103</v>
      </c>
      <c r="B1686" t="s">
        <v>19</v>
      </c>
      <c r="C1686" t="s">
        <v>23</v>
      </c>
      <c r="D1686" t="s">
        <v>9</v>
      </c>
      <c r="E1686" t="s">
        <v>24</v>
      </c>
      <c r="F1686">
        <v>2401.34</v>
      </c>
      <c r="G1686">
        <v>2023</v>
      </c>
    </row>
    <row r="1687" spans="1:7" x14ac:dyDescent="0.3">
      <c r="A1687" t="s">
        <v>69</v>
      </c>
      <c r="B1687" t="s">
        <v>7</v>
      </c>
      <c r="C1687" t="s">
        <v>34</v>
      </c>
      <c r="D1687" t="s">
        <v>9</v>
      </c>
      <c r="E1687" t="s">
        <v>10</v>
      </c>
      <c r="F1687">
        <v>1887.97</v>
      </c>
      <c r="G1687">
        <v>2023</v>
      </c>
    </row>
    <row r="1688" spans="1:7" x14ac:dyDescent="0.3">
      <c r="A1688" t="s">
        <v>105</v>
      </c>
      <c r="B1688" t="s">
        <v>30</v>
      </c>
      <c r="C1688" t="s">
        <v>34</v>
      </c>
      <c r="D1688" t="s">
        <v>14</v>
      </c>
      <c r="E1688" t="s">
        <v>15</v>
      </c>
      <c r="F1688">
        <v>1740.85</v>
      </c>
      <c r="G1688">
        <v>2023</v>
      </c>
    </row>
    <row r="1689" spans="1:7" x14ac:dyDescent="0.3">
      <c r="A1689" t="s">
        <v>92</v>
      </c>
      <c r="B1689" t="s">
        <v>30</v>
      </c>
      <c r="C1689" t="s">
        <v>8</v>
      </c>
      <c r="D1689" t="s">
        <v>9</v>
      </c>
      <c r="E1689" t="s">
        <v>24</v>
      </c>
      <c r="F1689">
        <v>4524.0200000000004</v>
      </c>
      <c r="G1689">
        <v>2022</v>
      </c>
    </row>
    <row r="1690" spans="1:7" x14ac:dyDescent="0.3">
      <c r="A1690" t="s">
        <v>52</v>
      </c>
      <c r="B1690" t="s">
        <v>19</v>
      </c>
      <c r="C1690" t="s">
        <v>34</v>
      </c>
      <c r="D1690" t="s">
        <v>9</v>
      </c>
      <c r="E1690" t="s">
        <v>10</v>
      </c>
      <c r="F1690">
        <v>4975.54</v>
      </c>
      <c r="G1690">
        <v>2023</v>
      </c>
    </row>
    <row r="1691" spans="1:7" x14ac:dyDescent="0.3">
      <c r="A1691" t="s">
        <v>147</v>
      </c>
      <c r="B1691" t="s">
        <v>17</v>
      </c>
      <c r="C1691" t="s">
        <v>13</v>
      </c>
      <c r="D1691" t="s">
        <v>28</v>
      </c>
      <c r="E1691" t="s">
        <v>10</v>
      </c>
      <c r="F1691">
        <v>1573</v>
      </c>
      <c r="G1691">
        <v>2022</v>
      </c>
    </row>
    <row r="1692" spans="1:7" x14ac:dyDescent="0.3">
      <c r="A1692" t="s">
        <v>213</v>
      </c>
      <c r="B1692" t="s">
        <v>12</v>
      </c>
      <c r="C1692" t="s">
        <v>34</v>
      </c>
      <c r="D1692" t="s">
        <v>28</v>
      </c>
      <c r="E1692" t="s">
        <v>10</v>
      </c>
      <c r="F1692">
        <v>1578.72</v>
      </c>
      <c r="G1692">
        <v>2023</v>
      </c>
    </row>
    <row r="1693" spans="1:7" x14ac:dyDescent="0.3">
      <c r="A1693" t="s">
        <v>84</v>
      </c>
      <c r="B1693" t="s">
        <v>30</v>
      </c>
      <c r="C1693" t="s">
        <v>34</v>
      </c>
      <c r="D1693" t="s">
        <v>9</v>
      </c>
      <c r="E1693" t="s">
        <v>24</v>
      </c>
      <c r="F1693">
        <v>3818.5</v>
      </c>
      <c r="G1693">
        <v>2023</v>
      </c>
    </row>
    <row r="1694" spans="1:7" x14ac:dyDescent="0.3">
      <c r="A1694" t="s">
        <v>76</v>
      </c>
      <c r="B1694" t="s">
        <v>17</v>
      </c>
      <c r="C1694" t="s">
        <v>23</v>
      </c>
      <c r="D1694" t="s">
        <v>28</v>
      </c>
      <c r="E1694" t="s">
        <v>24</v>
      </c>
      <c r="F1694">
        <v>2731.54</v>
      </c>
      <c r="G1694">
        <v>2023</v>
      </c>
    </row>
    <row r="1695" spans="1:7" x14ac:dyDescent="0.3">
      <c r="A1695" t="s">
        <v>140</v>
      </c>
      <c r="B1695" t="s">
        <v>17</v>
      </c>
      <c r="C1695" t="s">
        <v>8</v>
      </c>
      <c r="D1695" t="s">
        <v>14</v>
      </c>
      <c r="E1695" t="s">
        <v>24</v>
      </c>
      <c r="F1695">
        <v>156.84</v>
      </c>
      <c r="G1695">
        <v>2022</v>
      </c>
    </row>
    <row r="1696" spans="1:7" x14ac:dyDescent="0.3">
      <c r="A1696" t="s">
        <v>85</v>
      </c>
      <c r="B1696" t="s">
        <v>30</v>
      </c>
      <c r="C1696" t="s">
        <v>23</v>
      </c>
      <c r="D1696" t="s">
        <v>28</v>
      </c>
      <c r="E1696" t="s">
        <v>10</v>
      </c>
      <c r="F1696">
        <v>300.70999999999998</v>
      </c>
      <c r="G1696">
        <v>2023</v>
      </c>
    </row>
    <row r="1697" spans="1:7" x14ac:dyDescent="0.3">
      <c r="A1697" t="s">
        <v>74</v>
      </c>
      <c r="B1697" t="s">
        <v>19</v>
      </c>
      <c r="C1697" t="s">
        <v>34</v>
      </c>
      <c r="D1697" t="s">
        <v>28</v>
      </c>
      <c r="E1697" t="s">
        <v>10</v>
      </c>
      <c r="F1697">
        <v>4929.3599999999997</v>
      </c>
      <c r="G1697">
        <v>2023</v>
      </c>
    </row>
    <row r="1698" spans="1:7" x14ac:dyDescent="0.3">
      <c r="A1698" t="s">
        <v>108</v>
      </c>
      <c r="B1698" t="s">
        <v>7</v>
      </c>
      <c r="C1698" t="s">
        <v>13</v>
      </c>
      <c r="D1698" t="s">
        <v>9</v>
      </c>
      <c r="E1698" t="s">
        <v>10</v>
      </c>
      <c r="F1698">
        <v>2623.47</v>
      </c>
      <c r="G1698">
        <v>2022</v>
      </c>
    </row>
    <row r="1699" spans="1:7" x14ac:dyDescent="0.3">
      <c r="A1699" t="s">
        <v>104</v>
      </c>
      <c r="B1699" t="s">
        <v>17</v>
      </c>
      <c r="C1699" t="s">
        <v>23</v>
      </c>
      <c r="D1699" t="s">
        <v>9</v>
      </c>
      <c r="E1699" t="s">
        <v>10</v>
      </c>
      <c r="F1699">
        <v>3247.07</v>
      </c>
      <c r="G1699">
        <v>2023</v>
      </c>
    </row>
    <row r="1700" spans="1:7" x14ac:dyDescent="0.3">
      <c r="A1700" t="s">
        <v>156</v>
      </c>
      <c r="B1700" t="s">
        <v>17</v>
      </c>
      <c r="C1700" t="s">
        <v>23</v>
      </c>
      <c r="D1700" t="s">
        <v>28</v>
      </c>
      <c r="E1700" t="s">
        <v>24</v>
      </c>
      <c r="F1700">
        <v>1917.71</v>
      </c>
      <c r="G1700">
        <v>2023</v>
      </c>
    </row>
    <row r="1701" spans="1:7" x14ac:dyDescent="0.3">
      <c r="A1701" t="s">
        <v>155</v>
      </c>
      <c r="B1701" t="s">
        <v>7</v>
      </c>
      <c r="C1701" t="s">
        <v>13</v>
      </c>
      <c r="D1701" t="s">
        <v>28</v>
      </c>
      <c r="E1701" t="s">
        <v>24</v>
      </c>
      <c r="F1701">
        <v>3841.45</v>
      </c>
      <c r="G1701">
        <v>2022</v>
      </c>
    </row>
    <row r="1702" spans="1:7" x14ac:dyDescent="0.3">
      <c r="A1702" t="s">
        <v>121</v>
      </c>
      <c r="B1702" t="s">
        <v>30</v>
      </c>
      <c r="C1702" t="s">
        <v>34</v>
      </c>
      <c r="D1702" t="s">
        <v>28</v>
      </c>
      <c r="E1702" t="s">
        <v>10</v>
      </c>
      <c r="F1702">
        <v>4035.07</v>
      </c>
      <c r="G1702">
        <v>2023</v>
      </c>
    </row>
    <row r="1703" spans="1:7" x14ac:dyDescent="0.3">
      <c r="A1703" t="s">
        <v>175</v>
      </c>
      <c r="B1703" t="s">
        <v>7</v>
      </c>
      <c r="C1703" t="s">
        <v>34</v>
      </c>
      <c r="D1703" t="s">
        <v>14</v>
      </c>
      <c r="E1703" t="s">
        <v>15</v>
      </c>
      <c r="F1703">
        <v>3477.6</v>
      </c>
      <c r="G1703">
        <v>2023</v>
      </c>
    </row>
    <row r="1704" spans="1:7" x14ac:dyDescent="0.3">
      <c r="A1704" t="s">
        <v>186</v>
      </c>
      <c r="B1704" t="s">
        <v>30</v>
      </c>
      <c r="C1704" t="s">
        <v>8</v>
      </c>
      <c r="D1704" t="s">
        <v>14</v>
      </c>
      <c r="E1704" t="s">
        <v>24</v>
      </c>
      <c r="F1704">
        <v>1743.67</v>
      </c>
      <c r="G1704">
        <v>2022</v>
      </c>
    </row>
    <row r="1705" spans="1:7" x14ac:dyDescent="0.3">
      <c r="A1705" t="s">
        <v>111</v>
      </c>
      <c r="B1705" t="s">
        <v>19</v>
      </c>
      <c r="C1705" t="s">
        <v>8</v>
      </c>
      <c r="D1705" t="s">
        <v>9</v>
      </c>
      <c r="E1705" t="s">
        <v>24</v>
      </c>
      <c r="F1705">
        <v>2351.44</v>
      </c>
      <c r="G1705">
        <v>2022</v>
      </c>
    </row>
    <row r="1706" spans="1:7" x14ac:dyDescent="0.3">
      <c r="A1706" t="s">
        <v>211</v>
      </c>
      <c r="B1706" t="s">
        <v>7</v>
      </c>
      <c r="C1706" t="s">
        <v>8</v>
      </c>
      <c r="D1706" t="s">
        <v>14</v>
      </c>
      <c r="E1706" t="s">
        <v>10</v>
      </c>
      <c r="F1706">
        <v>4335.1400000000003</v>
      </c>
      <c r="G1706">
        <v>2022</v>
      </c>
    </row>
    <row r="1707" spans="1:7" x14ac:dyDescent="0.3">
      <c r="A1707" t="s">
        <v>76</v>
      </c>
      <c r="B1707" t="s">
        <v>17</v>
      </c>
      <c r="C1707" t="s">
        <v>8</v>
      </c>
      <c r="D1707" t="s">
        <v>28</v>
      </c>
      <c r="E1707" t="s">
        <v>15</v>
      </c>
      <c r="F1707">
        <v>4697.66</v>
      </c>
      <c r="G1707">
        <v>2022</v>
      </c>
    </row>
    <row r="1708" spans="1:7" x14ac:dyDescent="0.3">
      <c r="A1708" t="s">
        <v>114</v>
      </c>
      <c r="B1708" t="s">
        <v>30</v>
      </c>
      <c r="C1708" t="s">
        <v>23</v>
      </c>
      <c r="D1708" t="s">
        <v>28</v>
      </c>
      <c r="E1708" t="s">
        <v>15</v>
      </c>
      <c r="F1708">
        <v>3378.49</v>
      </c>
      <c r="G1708">
        <v>2023</v>
      </c>
    </row>
    <row r="1709" spans="1:7" x14ac:dyDescent="0.3">
      <c r="A1709" t="s">
        <v>78</v>
      </c>
      <c r="B1709" t="s">
        <v>7</v>
      </c>
      <c r="C1709" t="s">
        <v>34</v>
      </c>
      <c r="D1709" t="s">
        <v>14</v>
      </c>
      <c r="E1709" t="s">
        <v>10</v>
      </c>
      <c r="F1709">
        <v>4068.86</v>
      </c>
      <c r="G1709">
        <v>2023</v>
      </c>
    </row>
    <row r="1710" spans="1:7" x14ac:dyDescent="0.3">
      <c r="A1710" t="s">
        <v>44</v>
      </c>
      <c r="B1710" t="s">
        <v>19</v>
      </c>
      <c r="C1710" t="s">
        <v>34</v>
      </c>
      <c r="D1710" t="s">
        <v>9</v>
      </c>
      <c r="E1710" t="s">
        <v>10</v>
      </c>
      <c r="F1710">
        <v>4658.54</v>
      </c>
      <c r="G1710">
        <v>2023</v>
      </c>
    </row>
    <row r="1711" spans="1:7" x14ac:dyDescent="0.3">
      <c r="A1711" t="s">
        <v>80</v>
      </c>
      <c r="B1711" t="s">
        <v>17</v>
      </c>
      <c r="C1711" t="s">
        <v>8</v>
      </c>
      <c r="D1711" t="s">
        <v>9</v>
      </c>
      <c r="E1711" t="s">
        <v>10</v>
      </c>
      <c r="F1711">
        <v>3516.45</v>
      </c>
      <c r="G1711">
        <v>2022</v>
      </c>
    </row>
    <row r="1712" spans="1:7" x14ac:dyDescent="0.3">
      <c r="A1712" t="s">
        <v>81</v>
      </c>
      <c r="B1712" t="s">
        <v>12</v>
      </c>
      <c r="C1712" t="s">
        <v>34</v>
      </c>
      <c r="D1712" t="s">
        <v>9</v>
      </c>
      <c r="E1712" t="s">
        <v>15</v>
      </c>
      <c r="F1712">
        <v>3133.83</v>
      </c>
      <c r="G1712">
        <v>2023</v>
      </c>
    </row>
    <row r="1713" spans="1:7" x14ac:dyDescent="0.3">
      <c r="A1713" t="s">
        <v>29</v>
      </c>
      <c r="B1713" t="s">
        <v>30</v>
      </c>
      <c r="C1713" t="s">
        <v>13</v>
      </c>
      <c r="D1713" t="s">
        <v>28</v>
      </c>
      <c r="E1713" t="s">
        <v>15</v>
      </c>
      <c r="F1713">
        <v>1951.82</v>
      </c>
      <c r="G1713">
        <v>2022</v>
      </c>
    </row>
    <row r="1714" spans="1:7" x14ac:dyDescent="0.3">
      <c r="A1714" t="s">
        <v>123</v>
      </c>
      <c r="B1714" t="s">
        <v>30</v>
      </c>
      <c r="C1714" t="s">
        <v>34</v>
      </c>
      <c r="D1714" t="s">
        <v>9</v>
      </c>
      <c r="E1714" t="s">
        <v>10</v>
      </c>
      <c r="F1714">
        <v>2056.02</v>
      </c>
      <c r="G1714">
        <v>2023</v>
      </c>
    </row>
    <row r="1715" spans="1:7" x14ac:dyDescent="0.3">
      <c r="A1715" t="s">
        <v>62</v>
      </c>
      <c r="B1715" t="s">
        <v>30</v>
      </c>
      <c r="C1715" t="s">
        <v>23</v>
      </c>
      <c r="D1715" t="s">
        <v>14</v>
      </c>
      <c r="E1715" t="s">
        <v>10</v>
      </c>
      <c r="F1715">
        <v>377.76</v>
      </c>
      <c r="G1715">
        <v>2023</v>
      </c>
    </row>
    <row r="1716" spans="1:7" x14ac:dyDescent="0.3">
      <c r="A1716" t="s">
        <v>183</v>
      </c>
      <c r="B1716" t="s">
        <v>7</v>
      </c>
      <c r="C1716" t="s">
        <v>8</v>
      </c>
      <c r="D1716" t="s">
        <v>14</v>
      </c>
      <c r="E1716" t="s">
        <v>24</v>
      </c>
      <c r="F1716">
        <v>4676.8</v>
      </c>
      <c r="G1716">
        <v>2022</v>
      </c>
    </row>
    <row r="1717" spans="1:7" x14ac:dyDescent="0.3">
      <c r="A1717" t="s">
        <v>198</v>
      </c>
      <c r="B1717" t="s">
        <v>12</v>
      </c>
      <c r="C1717" t="s">
        <v>23</v>
      </c>
      <c r="D1717" t="s">
        <v>9</v>
      </c>
      <c r="E1717" t="s">
        <v>15</v>
      </c>
      <c r="F1717">
        <v>3984.46</v>
      </c>
      <c r="G1717">
        <v>2023</v>
      </c>
    </row>
    <row r="1718" spans="1:7" x14ac:dyDescent="0.3">
      <c r="A1718" t="s">
        <v>205</v>
      </c>
      <c r="B1718" t="s">
        <v>17</v>
      </c>
      <c r="C1718" t="s">
        <v>13</v>
      </c>
      <c r="D1718" t="s">
        <v>9</v>
      </c>
      <c r="E1718" t="s">
        <v>15</v>
      </c>
      <c r="F1718">
        <v>1346.68</v>
      </c>
      <c r="G1718">
        <v>2022</v>
      </c>
    </row>
    <row r="1719" spans="1:7" x14ac:dyDescent="0.3">
      <c r="A1719" t="s">
        <v>126</v>
      </c>
      <c r="B1719" t="s">
        <v>30</v>
      </c>
      <c r="C1719" t="s">
        <v>13</v>
      </c>
      <c r="D1719" t="s">
        <v>9</v>
      </c>
      <c r="E1719" t="s">
        <v>24</v>
      </c>
      <c r="F1719">
        <v>4869.82</v>
      </c>
      <c r="G1719">
        <v>2022</v>
      </c>
    </row>
    <row r="1720" spans="1:7" x14ac:dyDescent="0.3">
      <c r="A1720" t="s">
        <v>183</v>
      </c>
      <c r="B1720" t="s">
        <v>7</v>
      </c>
      <c r="C1720" t="s">
        <v>34</v>
      </c>
      <c r="D1720" t="s">
        <v>9</v>
      </c>
      <c r="E1720" t="s">
        <v>15</v>
      </c>
      <c r="F1720">
        <v>2329.09</v>
      </c>
      <c r="G1720">
        <v>2023</v>
      </c>
    </row>
    <row r="1721" spans="1:7" x14ac:dyDescent="0.3">
      <c r="A1721" t="s">
        <v>217</v>
      </c>
      <c r="B1721" t="s">
        <v>19</v>
      </c>
      <c r="C1721" t="s">
        <v>8</v>
      </c>
      <c r="D1721" t="s">
        <v>9</v>
      </c>
      <c r="E1721" t="s">
        <v>15</v>
      </c>
      <c r="F1721">
        <v>4828.6000000000004</v>
      </c>
      <c r="G1721">
        <v>2022</v>
      </c>
    </row>
    <row r="1722" spans="1:7" x14ac:dyDescent="0.3">
      <c r="A1722" t="s">
        <v>130</v>
      </c>
      <c r="B1722" t="s">
        <v>12</v>
      </c>
      <c r="C1722" t="s">
        <v>8</v>
      </c>
      <c r="D1722" t="s">
        <v>28</v>
      </c>
      <c r="E1722" t="s">
        <v>10</v>
      </c>
      <c r="F1722">
        <v>3423.67</v>
      </c>
      <c r="G1722">
        <v>2022</v>
      </c>
    </row>
    <row r="1723" spans="1:7" x14ac:dyDescent="0.3">
      <c r="A1723" t="s">
        <v>198</v>
      </c>
      <c r="B1723" t="s">
        <v>12</v>
      </c>
      <c r="C1723" t="s">
        <v>34</v>
      </c>
      <c r="D1723" t="s">
        <v>14</v>
      </c>
      <c r="E1723" t="s">
        <v>10</v>
      </c>
      <c r="F1723">
        <v>2957.49</v>
      </c>
      <c r="G1723">
        <v>2023</v>
      </c>
    </row>
    <row r="1724" spans="1:7" x14ac:dyDescent="0.3">
      <c r="A1724" t="s">
        <v>197</v>
      </c>
      <c r="B1724" t="s">
        <v>30</v>
      </c>
      <c r="C1724" t="s">
        <v>13</v>
      </c>
      <c r="D1724" t="s">
        <v>14</v>
      </c>
      <c r="E1724" t="s">
        <v>15</v>
      </c>
      <c r="F1724">
        <v>3128.34</v>
      </c>
      <c r="G1724">
        <v>2022</v>
      </c>
    </row>
    <row r="1725" spans="1:7" x14ac:dyDescent="0.3">
      <c r="A1725" t="s">
        <v>122</v>
      </c>
      <c r="B1725" t="s">
        <v>19</v>
      </c>
      <c r="C1725" t="s">
        <v>34</v>
      </c>
      <c r="D1725" t="s">
        <v>9</v>
      </c>
      <c r="E1725" t="s">
        <v>24</v>
      </c>
      <c r="F1725">
        <v>4548.07</v>
      </c>
      <c r="G1725">
        <v>2023</v>
      </c>
    </row>
    <row r="1726" spans="1:7" x14ac:dyDescent="0.3">
      <c r="A1726" t="s">
        <v>165</v>
      </c>
      <c r="B1726" t="s">
        <v>7</v>
      </c>
      <c r="C1726" t="s">
        <v>23</v>
      </c>
      <c r="D1726" t="s">
        <v>14</v>
      </c>
      <c r="E1726" t="s">
        <v>15</v>
      </c>
      <c r="F1726">
        <v>3929.66</v>
      </c>
      <c r="G1726">
        <v>2023</v>
      </c>
    </row>
    <row r="1727" spans="1:7" x14ac:dyDescent="0.3">
      <c r="A1727" t="s">
        <v>123</v>
      </c>
      <c r="B1727" t="s">
        <v>30</v>
      </c>
      <c r="C1727" t="s">
        <v>13</v>
      </c>
      <c r="D1727" t="s">
        <v>9</v>
      </c>
      <c r="E1727" t="s">
        <v>10</v>
      </c>
      <c r="F1727">
        <v>3790.62</v>
      </c>
      <c r="G1727">
        <v>2022</v>
      </c>
    </row>
    <row r="1728" spans="1:7" x14ac:dyDescent="0.3">
      <c r="A1728" t="s">
        <v>142</v>
      </c>
      <c r="B1728" t="s">
        <v>17</v>
      </c>
      <c r="C1728" t="s">
        <v>13</v>
      </c>
      <c r="D1728" t="s">
        <v>28</v>
      </c>
      <c r="E1728" t="s">
        <v>24</v>
      </c>
      <c r="F1728">
        <v>4480.07</v>
      </c>
      <c r="G1728">
        <v>2022</v>
      </c>
    </row>
    <row r="1729" spans="1:7" x14ac:dyDescent="0.3">
      <c r="A1729" t="s">
        <v>62</v>
      </c>
      <c r="B1729" t="s">
        <v>30</v>
      </c>
      <c r="C1729" t="s">
        <v>23</v>
      </c>
      <c r="D1729" t="s">
        <v>28</v>
      </c>
      <c r="E1729" t="s">
        <v>10</v>
      </c>
      <c r="F1729">
        <v>4123.79</v>
      </c>
      <c r="G1729">
        <v>2023</v>
      </c>
    </row>
    <row r="1730" spans="1:7" x14ac:dyDescent="0.3">
      <c r="A1730" t="s">
        <v>90</v>
      </c>
      <c r="B1730" t="s">
        <v>19</v>
      </c>
      <c r="C1730" t="s">
        <v>13</v>
      </c>
      <c r="D1730" t="s">
        <v>14</v>
      </c>
      <c r="E1730" t="s">
        <v>10</v>
      </c>
      <c r="F1730">
        <v>100.8</v>
      </c>
      <c r="G1730">
        <v>2022</v>
      </c>
    </row>
    <row r="1731" spans="1:7" x14ac:dyDescent="0.3">
      <c r="A1731" t="s">
        <v>100</v>
      </c>
      <c r="B1731" t="s">
        <v>7</v>
      </c>
      <c r="C1731" t="s">
        <v>23</v>
      </c>
      <c r="D1731" t="s">
        <v>28</v>
      </c>
      <c r="E1731" t="s">
        <v>10</v>
      </c>
      <c r="F1731">
        <v>4783.3999999999996</v>
      </c>
      <c r="G1731">
        <v>2023</v>
      </c>
    </row>
    <row r="1732" spans="1:7" x14ac:dyDescent="0.3">
      <c r="A1732" t="s">
        <v>131</v>
      </c>
      <c r="B1732" t="s">
        <v>17</v>
      </c>
      <c r="C1732" t="s">
        <v>23</v>
      </c>
      <c r="D1732" t="s">
        <v>9</v>
      </c>
      <c r="E1732" t="s">
        <v>10</v>
      </c>
      <c r="F1732">
        <v>2568.52</v>
      </c>
      <c r="G1732">
        <v>2023</v>
      </c>
    </row>
    <row r="1733" spans="1:7" x14ac:dyDescent="0.3">
      <c r="A1733" t="s">
        <v>49</v>
      </c>
      <c r="B1733" t="s">
        <v>19</v>
      </c>
      <c r="C1733" t="s">
        <v>13</v>
      </c>
      <c r="D1733" t="s">
        <v>28</v>
      </c>
      <c r="E1733" t="s">
        <v>15</v>
      </c>
      <c r="F1733">
        <v>246.64</v>
      </c>
      <c r="G1733">
        <v>2022</v>
      </c>
    </row>
    <row r="1734" spans="1:7" x14ac:dyDescent="0.3">
      <c r="A1734" t="s">
        <v>71</v>
      </c>
      <c r="B1734" t="s">
        <v>7</v>
      </c>
      <c r="C1734" t="s">
        <v>8</v>
      </c>
      <c r="D1734" t="s">
        <v>14</v>
      </c>
      <c r="E1734" t="s">
        <v>15</v>
      </c>
      <c r="F1734">
        <v>498.61</v>
      </c>
      <c r="G1734">
        <v>2022</v>
      </c>
    </row>
    <row r="1735" spans="1:7" x14ac:dyDescent="0.3">
      <c r="A1735" t="s">
        <v>139</v>
      </c>
      <c r="B1735" t="s">
        <v>7</v>
      </c>
      <c r="C1735" t="s">
        <v>8</v>
      </c>
      <c r="D1735" t="s">
        <v>14</v>
      </c>
      <c r="E1735" t="s">
        <v>10</v>
      </c>
      <c r="F1735">
        <v>3705.73</v>
      </c>
      <c r="G1735">
        <v>2022</v>
      </c>
    </row>
    <row r="1736" spans="1:7" x14ac:dyDescent="0.3">
      <c r="A1736" t="s">
        <v>170</v>
      </c>
      <c r="B1736" t="s">
        <v>12</v>
      </c>
      <c r="C1736" t="s">
        <v>23</v>
      </c>
      <c r="D1736" t="s">
        <v>28</v>
      </c>
      <c r="E1736" t="s">
        <v>24</v>
      </c>
      <c r="F1736">
        <v>470.38</v>
      </c>
      <c r="G1736">
        <v>2023</v>
      </c>
    </row>
    <row r="1737" spans="1:7" x14ac:dyDescent="0.3">
      <c r="A1737" t="s">
        <v>157</v>
      </c>
      <c r="B1737" t="s">
        <v>30</v>
      </c>
      <c r="C1737" t="s">
        <v>23</v>
      </c>
      <c r="D1737" t="s">
        <v>28</v>
      </c>
      <c r="E1737" t="s">
        <v>10</v>
      </c>
      <c r="F1737">
        <v>2355.87</v>
      </c>
      <c r="G1737">
        <v>2023</v>
      </c>
    </row>
    <row r="1738" spans="1:7" x14ac:dyDescent="0.3">
      <c r="A1738" t="s">
        <v>179</v>
      </c>
      <c r="B1738" t="s">
        <v>7</v>
      </c>
      <c r="C1738" t="s">
        <v>13</v>
      </c>
      <c r="D1738" t="s">
        <v>14</v>
      </c>
      <c r="E1738" t="s">
        <v>10</v>
      </c>
      <c r="F1738">
        <v>484.51</v>
      </c>
      <c r="G1738">
        <v>2022</v>
      </c>
    </row>
    <row r="1739" spans="1:7" x14ac:dyDescent="0.3">
      <c r="A1739" t="s">
        <v>18</v>
      </c>
      <c r="B1739" t="s">
        <v>19</v>
      </c>
      <c r="C1739" t="s">
        <v>23</v>
      </c>
      <c r="D1739" t="s">
        <v>14</v>
      </c>
      <c r="E1739" t="s">
        <v>15</v>
      </c>
      <c r="F1739">
        <v>3299.33</v>
      </c>
      <c r="G1739">
        <v>2023</v>
      </c>
    </row>
    <row r="1740" spans="1:7" x14ac:dyDescent="0.3">
      <c r="A1740" t="s">
        <v>110</v>
      </c>
      <c r="B1740" t="s">
        <v>12</v>
      </c>
      <c r="C1740" t="s">
        <v>34</v>
      </c>
      <c r="D1740" t="s">
        <v>28</v>
      </c>
      <c r="E1740" t="s">
        <v>10</v>
      </c>
      <c r="F1740">
        <v>3312.29</v>
      </c>
      <c r="G1740">
        <v>2023</v>
      </c>
    </row>
    <row r="1741" spans="1:7" x14ac:dyDescent="0.3">
      <c r="A1741" t="s">
        <v>93</v>
      </c>
      <c r="B1741" t="s">
        <v>30</v>
      </c>
      <c r="C1741" t="s">
        <v>8</v>
      </c>
      <c r="D1741" t="s">
        <v>28</v>
      </c>
      <c r="E1741" t="s">
        <v>15</v>
      </c>
      <c r="F1741">
        <v>2017.59</v>
      </c>
      <c r="G1741">
        <v>2022</v>
      </c>
    </row>
    <row r="1742" spans="1:7" x14ac:dyDescent="0.3">
      <c r="A1742" t="s">
        <v>95</v>
      </c>
      <c r="B1742" t="s">
        <v>30</v>
      </c>
      <c r="C1742" t="s">
        <v>34</v>
      </c>
      <c r="D1742" t="s">
        <v>9</v>
      </c>
      <c r="E1742" t="s">
        <v>10</v>
      </c>
      <c r="F1742">
        <v>3564.21</v>
      </c>
      <c r="G1742">
        <v>2023</v>
      </c>
    </row>
    <row r="1743" spans="1:7" x14ac:dyDescent="0.3">
      <c r="A1743" t="s">
        <v>122</v>
      </c>
      <c r="B1743" t="s">
        <v>19</v>
      </c>
      <c r="C1743" t="s">
        <v>13</v>
      </c>
      <c r="D1743" t="s">
        <v>9</v>
      </c>
      <c r="E1743" t="s">
        <v>24</v>
      </c>
      <c r="F1743">
        <v>4913.54</v>
      </c>
      <c r="G1743">
        <v>2022</v>
      </c>
    </row>
    <row r="1744" spans="1:7" x14ac:dyDescent="0.3">
      <c r="A1744" t="s">
        <v>184</v>
      </c>
      <c r="B1744" t="s">
        <v>30</v>
      </c>
      <c r="C1744" t="s">
        <v>34</v>
      </c>
      <c r="D1744" t="s">
        <v>9</v>
      </c>
      <c r="E1744" t="s">
        <v>10</v>
      </c>
      <c r="F1744">
        <v>1184.8599999999999</v>
      </c>
      <c r="G1744">
        <v>2023</v>
      </c>
    </row>
    <row r="1745" spans="1:7" x14ac:dyDescent="0.3">
      <c r="A1745" t="s">
        <v>6</v>
      </c>
      <c r="B1745" t="s">
        <v>7</v>
      </c>
      <c r="C1745" t="s">
        <v>34</v>
      </c>
      <c r="D1745" t="s">
        <v>14</v>
      </c>
      <c r="E1745" t="s">
        <v>24</v>
      </c>
      <c r="F1745">
        <v>3845.16</v>
      </c>
      <c r="G1745">
        <v>2023</v>
      </c>
    </row>
    <row r="1746" spans="1:7" x14ac:dyDescent="0.3">
      <c r="A1746" t="s">
        <v>55</v>
      </c>
      <c r="B1746" t="s">
        <v>12</v>
      </c>
      <c r="C1746" t="s">
        <v>34</v>
      </c>
      <c r="D1746" t="s">
        <v>28</v>
      </c>
      <c r="E1746" t="s">
        <v>10</v>
      </c>
      <c r="F1746">
        <v>2288.2800000000002</v>
      </c>
      <c r="G1746">
        <v>2023</v>
      </c>
    </row>
    <row r="1747" spans="1:7" x14ac:dyDescent="0.3">
      <c r="A1747" t="s">
        <v>57</v>
      </c>
      <c r="B1747" t="s">
        <v>19</v>
      </c>
      <c r="C1747" t="s">
        <v>34</v>
      </c>
      <c r="D1747" t="s">
        <v>28</v>
      </c>
      <c r="E1747" t="s">
        <v>15</v>
      </c>
      <c r="F1747">
        <v>751.28</v>
      </c>
      <c r="G1747">
        <v>2023</v>
      </c>
    </row>
    <row r="1748" spans="1:7" x14ac:dyDescent="0.3">
      <c r="A1748" t="s">
        <v>133</v>
      </c>
      <c r="B1748" t="s">
        <v>17</v>
      </c>
      <c r="C1748" t="s">
        <v>34</v>
      </c>
      <c r="D1748" t="s">
        <v>28</v>
      </c>
      <c r="E1748" t="s">
        <v>24</v>
      </c>
      <c r="F1748">
        <v>2159.65</v>
      </c>
      <c r="G1748">
        <v>2023</v>
      </c>
    </row>
    <row r="1749" spans="1:7" x14ac:dyDescent="0.3">
      <c r="A1749" t="s">
        <v>115</v>
      </c>
      <c r="B1749" t="s">
        <v>19</v>
      </c>
      <c r="C1749" t="s">
        <v>34</v>
      </c>
      <c r="D1749" t="s">
        <v>28</v>
      </c>
      <c r="E1749" t="s">
        <v>15</v>
      </c>
      <c r="F1749">
        <v>3251.65</v>
      </c>
      <c r="G1749">
        <v>2023</v>
      </c>
    </row>
    <row r="1750" spans="1:7" x14ac:dyDescent="0.3">
      <c r="A1750" t="s">
        <v>140</v>
      </c>
      <c r="B1750" t="s">
        <v>17</v>
      </c>
      <c r="C1750" t="s">
        <v>23</v>
      </c>
      <c r="D1750" t="s">
        <v>9</v>
      </c>
      <c r="E1750" t="s">
        <v>24</v>
      </c>
      <c r="F1750">
        <v>4889.75</v>
      </c>
      <c r="G1750">
        <v>2023</v>
      </c>
    </row>
    <row r="1751" spans="1:7" x14ac:dyDescent="0.3">
      <c r="A1751" t="s">
        <v>174</v>
      </c>
      <c r="B1751" t="s">
        <v>19</v>
      </c>
      <c r="C1751" t="s">
        <v>23</v>
      </c>
      <c r="D1751" t="s">
        <v>28</v>
      </c>
      <c r="E1751" t="s">
        <v>10</v>
      </c>
      <c r="F1751">
        <v>608.37</v>
      </c>
      <c r="G1751">
        <v>2023</v>
      </c>
    </row>
    <row r="1752" spans="1:7" x14ac:dyDescent="0.3">
      <c r="A1752" t="s">
        <v>55</v>
      </c>
      <c r="B1752" t="s">
        <v>12</v>
      </c>
      <c r="C1752" t="s">
        <v>13</v>
      </c>
      <c r="D1752" t="s">
        <v>9</v>
      </c>
      <c r="E1752" t="s">
        <v>10</v>
      </c>
      <c r="F1752">
        <v>3246.99</v>
      </c>
      <c r="G1752">
        <v>2022</v>
      </c>
    </row>
    <row r="1753" spans="1:7" x14ac:dyDescent="0.3">
      <c r="A1753" t="s">
        <v>37</v>
      </c>
      <c r="B1753" t="s">
        <v>17</v>
      </c>
      <c r="C1753" t="s">
        <v>34</v>
      </c>
      <c r="D1753" t="s">
        <v>14</v>
      </c>
      <c r="E1753" t="s">
        <v>10</v>
      </c>
      <c r="F1753">
        <v>4214.38</v>
      </c>
      <c r="G1753">
        <v>2023</v>
      </c>
    </row>
    <row r="1754" spans="1:7" x14ac:dyDescent="0.3">
      <c r="A1754" t="s">
        <v>27</v>
      </c>
      <c r="B1754" t="s">
        <v>12</v>
      </c>
      <c r="C1754" t="s">
        <v>13</v>
      </c>
      <c r="D1754" t="s">
        <v>28</v>
      </c>
      <c r="E1754" t="s">
        <v>10</v>
      </c>
      <c r="F1754">
        <v>2178.11</v>
      </c>
      <c r="G1754">
        <v>2022</v>
      </c>
    </row>
    <row r="1755" spans="1:7" x14ac:dyDescent="0.3">
      <c r="A1755" t="s">
        <v>58</v>
      </c>
      <c r="B1755" t="s">
        <v>17</v>
      </c>
      <c r="C1755" t="s">
        <v>23</v>
      </c>
      <c r="D1755" t="s">
        <v>28</v>
      </c>
      <c r="E1755" t="s">
        <v>10</v>
      </c>
      <c r="F1755">
        <v>4250.24</v>
      </c>
      <c r="G1755">
        <v>2023</v>
      </c>
    </row>
    <row r="1756" spans="1:7" x14ac:dyDescent="0.3">
      <c r="A1756" t="s">
        <v>157</v>
      </c>
      <c r="B1756" t="s">
        <v>30</v>
      </c>
      <c r="C1756" t="s">
        <v>34</v>
      </c>
      <c r="D1756" t="s">
        <v>14</v>
      </c>
      <c r="E1756" t="s">
        <v>10</v>
      </c>
      <c r="F1756">
        <v>1294.92</v>
      </c>
      <c r="G1756">
        <v>2023</v>
      </c>
    </row>
    <row r="1757" spans="1:7" x14ac:dyDescent="0.3">
      <c r="A1757" t="s">
        <v>140</v>
      </c>
      <c r="B1757" t="s">
        <v>17</v>
      </c>
      <c r="C1757" t="s">
        <v>13</v>
      </c>
      <c r="D1757" t="s">
        <v>14</v>
      </c>
      <c r="E1757" t="s">
        <v>24</v>
      </c>
      <c r="F1757">
        <v>498.85</v>
      </c>
      <c r="G1757">
        <v>2022</v>
      </c>
    </row>
    <row r="1758" spans="1:7" x14ac:dyDescent="0.3">
      <c r="A1758" t="s">
        <v>63</v>
      </c>
      <c r="B1758" t="s">
        <v>12</v>
      </c>
      <c r="C1758" t="s">
        <v>23</v>
      </c>
      <c r="D1758" t="s">
        <v>28</v>
      </c>
      <c r="E1758" t="s">
        <v>15</v>
      </c>
      <c r="F1758">
        <v>4605.3599999999997</v>
      </c>
      <c r="G1758">
        <v>2023</v>
      </c>
    </row>
    <row r="1759" spans="1:7" x14ac:dyDescent="0.3">
      <c r="A1759" t="s">
        <v>142</v>
      </c>
      <c r="B1759" t="s">
        <v>17</v>
      </c>
      <c r="C1759" t="s">
        <v>23</v>
      </c>
      <c r="D1759" t="s">
        <v>14</v>
      </c>
      <c r="E1759" t="s">
        <v>24</v>
      </c>
      <c r="F1759">
        <v>4590.9799999999996</v>
      </c>
      <c r="G1759">
        <v>2023</v>
      </c>
    </row>
    <row r="1760" spans="1:7" x14ac:dyDescent="0.3">
      <c r="A1760" t="s">
        <v>170</v>
      </c>
      <c r="B1760" t="s">
        <v>12</v>
      </c>
      <c r="C1760" t="s">
        <v>13</v>
      </c>
      <c r="D1760" t="s">
        <v>28</v>
      </c>
      <c r="E1760" t="s">
        <v>15</v>
      </c>
      <c r="F1760">
        <v>2454.27</v>
      </c>
      <c r="G1760">
        <v>2022</v>
      </c>
    </row>
    <row r="1761" spans="1:7" x14ac:dyDescent="0.3">
      <c r="A1761" t="s">
        <v>99</v>
      </c>
      <c r="B1761" t="s">
        <v>19</v>
      </c>
      <c r="C1761" t="s">
        <v>13</v>
      </c>
      <c r="D1761" t="s">
        <v>9</v>
      </c>
      <c r="E1761" t="s">
        <v>24</v>
      </c>
      <c r="F1761">
        <v>2083</v>
      </c>
      <c r="G1761">
        <v>2022</v>
      </c>
    </row>
    <row r="1762" spans="1:7" x14ac:dyDescent="0.3">
      <c r="A1762" t="s">
        <v>185</v>
      </c>
      <c r="B1762" t="s">
        <v>30</v>
      </c>
      <c r="C1762" t="s">
        <v>8</v>
      </c>
      <c r="D1762" t="s">
        <v>9</v>
      </c>
      <c r="E1762" t="s">
        <v>24</v>
      </c>
      <c r="F1762">
        <v>3207.76</v>
      </c>
      <c r="G1762">
        <v>2022</v>
      </c>
    </row>
    <row r="1763" spans="1:7" x14ac:dyDescent="0.3">
      <c r="A1763" t="s">
        <v>168</v>
      </c>
      <c r="B1763" t="s">
        <v>17</v>
      </c>
      <c r="C1763" t="s">
        <v>8</v>
      </c>
      <c r="D1763" t="s">
        <v>9</v>
      </c>
      <c r="E1763" t="s">
        <v>10</v>
      </c>
      <c r="F1763">
        <v>4200.42</v>
      </c>
      <c r="G1763">
        <v>2022</v>
      </c>
    </row>
    <row r="1764" spans="1:7" x14ac:dyDescent="0.3">
      <c r="A1764" t="s">
        <v>68</v>
      </c>
      <c r="B1764" t="s">
        <v>12</v>
      </c>
      <c r="C1764" t="s">
        <v>23</v>
      </c>
      <c r="D1764" t="s">
        <v>9</v>
      </c>
      <c r="E1764" t="s">
        <v>10</v>
      </c>
      <c r="F1764">
        <v>4705.21</v>
      </c>
      <c r="G1764">
        <v>2023</v>
      </c>
    </row>
    <row r="1765" spans="1:7" x14ac:dyDescent="0.3">
      <c r="A1765" t="s">
        <v>35</v>
      </c>
      <c r="B1765" t="s">
        <v>19</v>
      </c>
      <c r="C1765" t="s">
        <v>13</v>
      </c>
      <c r="D1765" t="s">
        <v>14</v>
      </c>
      <c r="E1765" t="s">
        <v>24</v>
      </c>
      <c r="F1765">
        <v>171.51</v>
      </c>
      <c r="G1765">
        <v>2022</v>
      </c>
    </row>
    <row r="1766" spans="1:7" x14ac:dyDescent="0.3">
      <c r="A1766" t="s">
        <v>170</v>
      </c>
      <c r="B1766" t="s">
        <v>12</v>
      </c>
      <c r="C1766" t="s">
        <v>34</v>
      </c>
      <c r="D1766" t="s">
        <v>9</v>
      </c>
      <c r="E1766" t="s">
        <v>24</v>
      </c>
      <c r="F1766">
        <v>2210.63</v>
      </c>
      <c r="G1766">
        <v>2023</v>
      </c>
    </row>
    <row r="1767" spans="1:7" x14ac:dyDescent="0.3">
      <c r="A1767" t="s">
        <v>11</v>
      </c>
      <c r="B1767" t="s">
        <v>12</v>
      </c>
      <c r="C1767" t="s">
        <v>23</v>
      </c>
      <c r="D1767" t="s">
        <v>9</v>
      </c>
      <c r="E1767" t="s">
        <v>24</v>
      </c>
      <c r="F1767">
        <v>4978.93</v>
      </c>
      <c r="G1767">
        <v>2023</v>
      </c>
    </row>
    <row r="1768" spans="1:7" x14ac:dyDescent="0.3">
      <c r="A1768" t="s">
        <v>117</v>
      </c>
      <c r="B1768" t="s">
        <v>7</v>
      </c>
      <c r="C1768" t="s">
        <v>8</v>
      </c>
      <c r="D1768" t="s">
        <v>28</v>
      </c>
      <c r="E1768" t="s">
        <v>15</v>
      </c>
      <c r="F1768">
        <v>3657.98</v>
      </c>
      <c r="G1768">
        <v>2022</v>
      </c>
    </row>
    <row r="1769" spans="1:7" x14ac:dyDescent="0.3">
      <c r="A1769" t="s">
        <v>20</v>
      </c>
      <c r="B1769" t="s">
        <v>17</v>
      </c>
      <c r="C1769" t="s">
        <v>23</v>
      </c>
      <c r="D1769" t="s">
        <v>28</v>
      </c>
      <c r="E1769" t="s">
        <v>24</v>
      </c>
      <c r="F1769">
        <v>1516.4</v>
      </c>
      <c r="G1769">
        <v>2023</v>
      </c>
    </row>
    <row r="1770" spans="1:7" x14ac:dyDescent="0.3">
      <c r="A1770" t="s">
        <v>49</v>
      </c>
      <c r="B1770" t="s">
        <v>19</v>
      </c>
      <c r="C1770" t="s">
        <v>23</v>
      </c>
      <c r="D1770" t="s">
        <v>28</v>
      </c>
      <c r="E1770" t="s">
        <v>10</v>
      </c>
      <c r="F1770">
        <v>1707.15</v>
      </c>
      <c r="G1770">
        <v>2023</v>
      </c>
    </row>
    <row r="1771" spans="1:7" x14ac:dyDescent="0.3">
      <c r="A1771" t="s">
        <v>98</v>
      </c>
      <c r="B1771" t="s">
        <v>19</v>
      </c>
      <c r="C1771" t="s">
        <v>34</v>
      </c>
      <c r="D1771" t="s">
        <v>14</v>
      </c>
      <c r="E1771" t="s">
        <v>24</v>
      </c>
      <c r="F1771">
        <v>526.19000000000005</v>
      </c>
      <c r="G1771">
        <v>2023</v>
      </c>
    </row>
    <row r="1772" spans="1:7" x14ac:dyDescent="0.3">
      <c r="A1772" t="s">
        <v>218</v>
      </c>
      <c r="B1772" t="s">
        <v>17</v>
      </c>
      <c r="C1772" t="s">
        <v>8</v>
      </c>
      <c r="D1772" t="s">
        <v>9</v>
      </c>
      <c r="E1772" t="s">
        <v>24</v>
      </c>
      <c r="F1772">
        <v>5253.41</v>
      </c>
      <c r="G1772">
        <v>2022</v>
      </c>
    </row>
    <row r="1773" spans="1:7" x14ac:dyDescent="0.3">
      <c r="A1773" t="s">
        <v>123</v>
      </c>
      <c r="B1773" t="s">
        <v>30</v>
      </c>
      <c r="C1773" t="s">
        <v>8</v>
      </c>
      <c r="D1773" t="s">
        <v>9</v>
      </c>
      <c r="E1773" t="s">
        <v>15</v>
      </c>
      <c r="F1773">
        <v>3617.9</v>
      </c>
      <c r="G1773">
        <v>2022</v>
      </c>
    </row>
    <row r="1774" spans="1:7" x14ac:dyDescent="0.3">
      <c r="A1774" t="s">
        <v>175</v>
      </c>
      <c r="B1774" t="s">
        <v>7</v>
      </c>
      <c r="C1774" t="s">
        <v>13</v>
      </c>
      <c r="D1774" t="s">
        <v>28</v>
      </c>
      <c r="E1774" t="s">
        <v>10</v>
      </c>
      <c r="F1774">
        <v>698.65</v>
      </c>
      <c r="G1774">
        <v>2022</v>
      </c>
    </row>
    <row r="1775" spans="1:7" x14ac:dyDescent="0.3">
      <c r="A1775" t="s">
        <v>11</v>
      </c>
      <c r="B1775" t="s">
        <v>12</v>
      </c>
      <c r="C1775" t="s">
        <v>23</v>
      </c>
      <c r="D1775" t="s">
        <v>9</v>
      </c>
      <c r="E1775" t="s">
        <v>24</v>
      </c>
      <c r="F1775">
        <v>4671.97</v>
      </c>
      <c r="G1775">
        <v>2023</v>
      </c>
    </row>
    <row r="1776" spans="1:7" x14ac:dyDescent="0.3">
      <c r="A1776" t="s">
        <v>173</v>
      </c>
      <c r="B1776" t="s">
        <v>30</v>
      </c>
      <c r="C1776" t="s">
        <v>23</v>
      </c>
      <c r="D1776" t="s">
        <v>14</v>
      </c>
      <c r="E1776" t="s">
        <v>15</v>
      </c>
      <c r="F1776">
        <v>4339.82</v>
      </c>
      <c r="G1776">
        <v>2023</v>
      </c>
    </row>
    <row r="1777" spans="1:7" x14ac:dyDescent="0.3">
      <c r="A1777" t="s">
        <v>99</v>
      </c>
      <c r="B1777" t="s">
        <v>19</v>
      </c>
      <c r="C1777" t="s">
        <v>13</v>
      </c>
      <c r="D1777" t="s">
        <v>9</v>
      </c>
      <c r="E1777" t="s">
        <v>24</v>
      </c>
      <c r="F1777">
        <v>132.41999999999999</v>
      </c>
      <c r="G1777">
        <v>2022</v>
      </c>
    </row>
    <row r="1778" spans="1:7" x14ac:dyDescent="0.3">
      <c r="A1778" t="s">
        <v>33</v>
      </c>
      <c r="B1778" t="s">
        <v>19</v>
      </c>
      <c r="C1778" t="s">
        <v>34</v>
      </c>
      <c r="D1778" t="s">
        <v>14</v>
      </c>
      <c r="E1778" t="s">
        <v>10</v>
      </c>
      <c r="F1778">
        <v>1388.99</v>
      </c>
      <c r="G1778">
        <v>2023</v>
      </c>
    </row>
    <row r="1779" spans="1:7" x14ac:dyDescent="0.3">
      <c r="A1779" t="s">
        <v>163</v>
      </c>
      <c r="B1779" t="s">
        <v>19</v>
      </c>
      <c r="C1779" t="s">
        <v>23</v>
      </c>
      <c r="D1779" t="s">
        <v>14</v>
      </c>
      <c r="E1779" t="s">
        <v>10</v>
      </c>
      <c r="F1779">
        <v>3966.31</v>
      </c>
      <c r="G1779">
        <v>2023</v>
      </c>
    </row>
    <row r="1780" spans="1:7" x14ac:dyDescent="0.3">
      <c r="A1780" t="s">
        <v>79</v>
      </c>
      <c r="B1780" t="s">
        <v>17</v>
      </c>
      <c r="C1780" t="s">
        <v>13</v>
      </c>
      <c r="D1780" t="s">
        <v>28</v>
      </c>
      <c r="E1780" t="s">
        <v>15</v>
      </c>
      <c r="F1780">
        <v>2647.7</v>
      </c>
      <c r="G1780">
        <v>2022</v>
      </c>
    </row>
    <row r="1781" spans="1:7" x14ac:dyDescent="0.3">
      <c r="A1781" t="s">
        <v>175</v>
      </c>
      <c r="B1781" t="s">
        <v>7</v>
      </c>
      <c r="C1781" t="s">
        <v>13</v>
      </c>
      <c r="D1781" t="s">
        <v>28</v>
      </c>
      <c r="E1781" t="s">
        <v>24</v>
      </c>
      <c r="F1781">
        <v>3541.47</v>
      </c>
      <c r="G1781">
        <v>2022</v>
      </c>
    </row>
    <row r="1782" spans="1:7" x14ac:dyDescent="0.3">
      <c r="A1782" t="s">
        <v>40</v>
      </c>
      <c r="B1782" t="s">
        <v>19</v>
      </c>
      <c r="C1782" t="s">
        <v>23</v>
      </c>
      <c r="D1782" t="s">
        <v>28</v>
      </c>
      <c r="E1782" t="s">
        <v>10</v>
      </c>
      <c r="F1782">
        <v>2083.98</v>
      </c>
      <c r="G1782">
        <v>2023</v>
      </c>
    </row>
    <row r="1783" spans="1:7" x14ac:dyDescent="0.3">
      <c r="A1783" t="s">
        <v>102</v>
      </c>
      <c r="B1783" t="s">
        <v>19</v>
      </c>
      <c r="C1783" t="s">
        <v>23</v>
      </c>
      <c r="D1783" t="s">
        <v>9</v>
      </c>
      <c r="E1783" t="s">
        <v>15</v>
      </c>
      <c r="F1783">
        <v>3597.22</v>
      </c>
      <c r="G1783">
        <v>2023</v>
      </c>
    </row>
    <row r="1784" spans="1:7" x14ac:dyDescent="0.3">
      <c r="A1784" t="s">
        <v>188</v>
      </c>
      <c r="B1784" t="s">
        <v>19</v>
      </c>
      <c r="C1784" t="s">
        <v>8</v>
      </c>
      <c r="D1784" t="s">
        <v>28</v>
      </c>
      <c r="E1784" t="s">
        <v>24</v>
      </c>
      <c r="F1784">
        <v>3828.14</v>
      </c>
      <c r="G1784">
        <v>2022</v>
      </c>
    </row>
    <row r="1785" spans="1:7" x14ac:dyDescent="0.3">
      <c r="A1785" t="s">
        <v>72</v>
      </c>
      <c r="B1785" t="s">
        <v>19</v>
      </c>
      <c r="C1785" t="s">
        <v>23</v>
      </c>
      <c r="D1785" t="s">
        <v>9</v>
      </c>
      <c r="E1785" t="s">
        <v>10</v>
      </c>
      <c r="F1785">
        <v>3705.62</v>
      </c>
      <c r="G1785">
        <v>2023</v>
      </c>
    </row>
    <row r="1786" spans="1:7" x14ac:dyDescent="0.3">
      <c r="A1786" t="s">
        <v>167</v>
      </c>
      <c r="B1786" t="s">
        <v>30</v>
      </c>
      <c r="C1786" t="s">
        <v>8</v>
      </c>
      <c r="D1786" t="s">
        <v>9</v>
      </c>
      <c r="E1786" t="s">
        <v>15</v>
      </c>
      <c r="F1786">
        <v>2912.25</v>
      </c>
      <c r="G1786">
        <v>2022</v>
      </c>
    </row>
    <row r="1787" spans="1:7" x14ac:dyDescent="0.3">
      <c r="A1787" t="s">
        <v>52</v>
      </c>
      <c r="B1787" t="s">
        <v>19</v>
      </c>
      <c r="C1787" t="s">
        <v>34</v>
      </c>
      <c r="D1787" t="s">
        <v>28</v>
      </c>
      <c r="E1787" t="s">
        <v>24</v>
      </c>
      <c r="F1787">
        <v>1004.91</v>
      </c>
      <c r="G1787">
        <v>2023</v>
      </c>
    </row>
    <row r="1788" spans="1:7" x14ac:dyDescent="0.3">
      <c r="A1788" t="s">
        <v>100</v>
      </c>
      <c r="B1788" t="s">
        <v>7</v>
      </c>
      <c r="C1788" t="s">
        <v>34</v>
      </c>
      <c r="D1788" t="s">
        <v>14</v>
      </c>
      <c r="E1788" t="s">
        <v>10</v>
      </c>
      <c r="F1788">
        <v>4429.63</v>
      </c>
      <c r="G1788">
        <v>2023</v>
      </c>
    </row>
    <row r="1789" spans="1:7" x14ac:dyDescent="0.3">
      <c r="A1789" t="s">
        <v>108</v>
      </c>
      <c r="B1789" t="s">
        <v>7</v>
      </c>
      <c r="C1789" t="s">
        <v>13</v>
      </c>
      <c r="D1789" t="s">
        <v>9</v>
      </c>
      <c r="E1789" t="s">
        <v>10</v>
      </c>
      <c r="F1789">
        <v>4951.92</v>
      </c>
      <c r="G1789">
        <v>2022</v>
      </c>
    </row>
    <row r="1790" spans="1:7" x14ac:dyDescent="0.3">
      <c r="A1790" t="s">
        <v>16</v>
      </c>
      <c r="B1790" t="s">
        <v>17</v>
      </c>
      <c r="C1790" t="s">
        <v>8</v>
      </c>
      <c r="D1790" t="s">
        <v>9</v>
      </c>
      <c r="E1790" t="s">
        <v>24</v>
      </c>
      <c r="F1790">
        <v>2036.07</v>
      </c>
      <c r="G1790">
        <v>2022</v>
      </c>
    </row>
    <row r="1791" spans="1:7" x14ac:dyDescent="0.3">
      <c r="A1791" t="s">
        <v>161</v>
      </c>
      <c r="B1791" t="s">
        <v>7</v>
      </c>
      <c r="C1791" t="s">
        <v>8</v>
      </c>
      <c r="D1791" t="s">
        <v>28</v>
      </c>
      <c r="E1791" t="s">
        <v>10</v>
      </c>
      <c r="F1791">
        <v>4936.1400000000003</v>
      </c>
      <c r="G1791">
        <v>2022</v>
      </c>
    </row>
    <row r="1792" spans="1:7" x14ac:dyDescent="0.3">
      <c r="A1792" t="s">
        <v>6</v>
      </c>
      <c r="B1792" t="s">
        <v>7</v>
      </c>
      <c r="C1792" t="s">
        <v>34</v>
      </c>
      <c r="D1792" t="s">
        <v>28</v>
      </c>
      <c r="E1792" t="s">
        <v>15</v>
      </c>
      <c r="F1792">
        <v>2419.77</v>
      </c>
      <c r="G1792">
        <v>2023</v>
      </c>
    </row>
    <row r="1793" spans="1:7" x14ac:dyDescent="0.3">
      <c r="A1793" t="s">
        <v>119</v>
      </c>
      <c r="B1793" t="s">
        <v>30</v>
      </c>
      <c r="C1793" t="s">
        <v>34</v>
      </c>
      <c r="D1793" t="s">
        <v>9</v>
      </c>
      <c r="E1793" t="s">
        <v>15</v>
      </c>
      <c r="F1793">
        <v>574.96</v>
      </c>
      <c r="G1793">
        <v>2023</v>
      </c>
    </row>
    <row r="1794" spans="1:7" x14ac:dyDescent="0.3">
      <c r="A1794" t="s">
        <v>191</v>
      </c>
      <c r="B1794" t="s">
        <v>12</v>
      </c>
      <c r="C1794" t="s">
        <v>13</v>
      </c>
      <c r="D1794" t="s">
        <v>28</v>
      </c>
      <c r="E1794" t="s">
        <v>10</v>
      </c>
      <c r="F1794">
        <v>2530.5</v>
      </c>
      <c r="G1794">
        <v>2022</v>
      </c>
    </row>
    <row r="1795" spans="1:7" x14ac:dyDescent="0.3">
      <c r="A1795" t="s">
        <v>138</v>
      </c>
      <c r="B1795" t="s">
        <v>12</v>
      </c>
      <c r="C1795" t="s">
        <v>34</v>
      </c>
      <c r="D1795" t="s">
        <v>28</v>
      </c>
      <c r="E1795" t="s">
        <v>10</v>
      </c>
      <c r="F1795">
        <v>4691.6499999999996</v>
      </c>
      <c r="G1795">
        <v>2023</v>
      </c>
    </row>
    <row r="1796" spans="1:7" x14ac:dyDescent="0.3">
      <c r="A1796" t="s">
        <v>161</v>
      </c>
      <c r="B1796" t="s">
        <v>7</v>
      </c>
      <c r="C1796" t="s">
        <v>23</v>
      </c>
      <c r="D1796" t="s">
        <v>28</v>
      </c>
      <c r="E1796" t="s">
        <v>15</v>
      </c>
      <c r="F1796">
        <v>3798.92</v>
      </c>
      <c r="G1796">
        <v>2023</v>
      </c>
    </row>
    <row r="1797" spans="1:7" x14ac:dyDescent="0.3">
      <c r="A1797" t="s">
        <v>144</v>
      </c>
      <c r="B1797" t="s">
        <v>30</v>
      </c>
      <c r="C1797" t="s">
        <v>8</v>
      </c>
      <c r="D1797" t="s">
        <v>14</v>
      </c>
      <c r="E1797" t="s">
        <v>24</v>
      </c>
      <c r="F1797">
        <v>473.15</v>
      </c>
      <c r="G1797">
        <v>2022</v>
      </c>
    </row>
    <row r="1798" spans="1:7" x14ac:dyDescent="0.3">
      <c r="A1798" t="s">
        <v>74</v>
      </c>
      <c r="B1798" t="s">
        <v>19</v>
      </c>
      <c r="C1798" t="s">
        <v>34</v>
      </c>
      <c r="D1798" t="s">
        <v>28</v>
      </c>
      <c r="E1798" t="s">
        <v>15</v>
      </c>
      <c r="F1798">
        <v>2684.5</v>
      </c>
      <c r="G1798">
        <v>2023</v>
      </c>
    </row>
    <row r="1799" spans="1:7" x14ac:dyDescent="0.3">
      <c r="A1799" t="s">
        <v>147</v>
      </c>
      <c r="B1799" t="s">
        <v>17</v>
      </c>
      <c r="C1799" t="s">
        <v>34</v>
      </c>
      <c r="D1799" t="s">
        <v>9</v>
      </c>
      <c r="E1799" t="s">
        <v>10</v>
      </c>
      <c r="F1799">
        <v>3207.97</v>
      </c>
      <c r="G1799">
        <v>2023</v>
      </c>
    </row>
    <row r="1800" spans="1:7" x14ac:dyDescent="0.3">
      <c r="A1800" t="s">
        <v>175</v>
      </c>
      <c r="B1800" t="s">
        <v>7</v>
      </c>
      <c r="C1800" t="s">
        <v>23</v>
      </c>
      <c r="D1800" t="s">
        <v>9</v>
      </c>
      <c r="E1800" t="s">
        <v>15</v>
      </c>
      <c r="F1800">
        <v>2986.02</v>
      </c>
      <c r="G1800">
        <v>2023</v>
      </c>
    </row>
    <row r="1801" spans="1:7" x14ac:dyDescent="0.3">
      <c r="A1801" t="s">
        <v>157</v>
      </c>
      <c r="B1801" t="s">
        <v>30</v>
      </c>
      <c r="C1801" t="s">
        <v>8</v>
      </c>
      <c r="D1801" t="s">
        <v>28</v>
      </c>
      <c r="E1801" t="s">
        <v>10</v>
      </c>
      <c r="F1801">
        <v>862.55</v>
      </c>
      <c r="G1801">
        <v>2022</v>
      </c>
    </row>
    <row r="1802" spans="1:7" x14ac:dyDescent="0.3">
      <c r="A1802" t="s">
        <v>11</v>
      </c>
      <c r="B1802" t="s">
        <v>12</v>
      </c>
      <c r="C1802" t="s">
        <v>34</v>
      </c>
      <c r="D1802" t="s">
        <v>14</v>
      </c>
      <c r="E1802" t="s">
        <v>15</v>
      </c>
      <c r="F1802">
        <v>827.65</v>
      </c>
      <c r="G1802">
        <v>2023</v>
      </c>
    </row>
    <row r="1803" spans="1:7" x14ac:dyDescent="0.3">
      <c r="A1803" t="s">
        <v>130</v>
      </c>
      <c r="B1803" t="s">
        <v>12</v>
      </c>
      <c r="C1803" t="s">
        <v>8</v>
      </c>
      <c r="D1803" t="s">
        <v>28</v>
      </c>
      <c r="E1803" t="s">
        <v>10</v>
      </c>
      <c r="F1803">
        <v>1683.73</v>
      </c>
      <c r="G1803">
        <v>2022</v>
      </c>
    </row>
    <row r="1804" spans="1:7" x14ac:dyDescent="0.3">
      <c r="A1804" t="s">
        <v>95</v>
      </c>
      <c r="B1804" t="s">
        <v>30</v>
      </c>
      <c r="C1804" t="s">
        <v>13</v>
      </c>
      <c r="D1804" t="s">
        <v>14</v>
      </c>
      <c r="E1804" t="s">
        <v>24</v>
      </c>
      <c r="F1804">
        <v>1942.34</v>
      </c>
      <c r="G1804">
        <v>2022</v>
      </c>
    </row>
    <row r="1805" spans="1:7" x14ac:dyDescent="0.3">
      <c r="A1805" t="s">
        <v>170</v>
      </c>
      <c r="B1805" t="s">
        <v>12</v>
      </c>
      <c r="C1805" t="s">
        <v>34</v>
      </c>
      <c r="D1805" t="s">
        <v>14</v>
      </c>
      <c r="E1805" t="s">
        <v>10</v>
      </c>
      <c r="F1805">
        <v>4550.1099999999997</v>
      </c>
      <c r="G1805">
        <v>2023</v>
      </c>
    </row>
    <row r="1806" spans="1:7" x14ac:dyDescent="0.3">
      <c r="A1806" t="s">
        <v>208</v>
      </c>
      <c r="B1806" t="s">
        <v>19</v>
      </c>
      <c r="C1806" t="s">
        <v>8</v>
      </c>
      <c r="D1806" t="s">
        <v>9</v>
      </c>
      <c r="E1806" t="s">
        <v>15</v>
      </c>
      <c r="F1806">
        <v>3667.99</v>
      </c>
      <c r="G1806">
        <v>2022</v>
      </c>
    </row>
    <row r="1807" spans="1:7" x14ac:dyDescent="0.3">
      <c r="A1807" t="s">
        <v>167</v>
      </c>
      <c r="B1807" t="s">
        <v>30</v>
      </c>
      <c r="C1807" t="s">
        <v>23</v>
      </c>
      <c r="D1807" t="s">
        <v>14</v>
      </c>
      <c r="E1807" t="s">
        <v>24</v>
      </c>
      <c r="F1807">
        <v>4318.42</v>
      </c>
      <c r="G1807">
        <v>2023</v>
      </c>
    </row>
    <row r="1808" spans="1:7" x14ac:dyDescent="0.3">
      <c r="A1808" t="s">
        <v>52</v>
      </c>
      <c r="B1808" t="s">
        <v>19</v>
      </c>
      <c r="C1808" t="s">
        <v>23</v>
      </c>
      <c r="D1808" t="s">
        <v>14</v>
      </c>
      <c r="E1808" t="s">
        <v>10</v>
      </c>
      <c r="F1808">
        <v>3660.75</v>
      </c>
      <c r="G1808">
        <v>2023</v>
      </c>
    </row>
    <row r="1809" spans="1:7" x14ac:dyDescent="0.3">
      <c r="A1809" t="s">
        <v>154</v>
      </c>
      <c r="B1809" t="s">
        <v>12</v>
      </c>
      <c r="C1809" t="s">
        <v>13</v>
      </c>
      <c r="D1809" t="s">
        <v>14</v>
      </c>
      <c r="E1809" t="s">
        <v>15</v>
      </c>
      <c r="F1809">
        <v>1074.46</v>
      </c>
      <c r="G1809">
        <v>2022</v>
      </c>
    </row>
    <row r="1810" spans="1:7" x14ac:dyDescent="0.3">
      <c r="A1810" t="s">
        <v>113</v>
      </c>
      <c r="B1810" t="s">
        <v>30</v>
      </c>
      <c r="C1810" t="s">
        <v>23</v>
      </c>
      <c r="D1810" t="s">
        <v>14</v>
      </c>
      <c r="E1810" t="s">
        <v>24</v>
      </c>
      <c r="F1810">
        <v>4228.88</v>
      </c>
      <c r="G1810">
        <v>2023</v>
      </c>
    </row>
    <row r="1811" spans="1:7" x14ac:dyDescent="0.3">
      <c r="A1811" t="s">
        <v>111</v>
      </c>
      <c r="B1811" t="s">
        <v>19</v>
      </c>
      <c r="C1811" t="s">
        <v>34</v>
      </c>
      <c r="D1811" t="s">
        <v>14</v>
      </c>
      <c r="E1811" t="s">
        <v>24</v>
      </c>
      <c r="F1811">
        <v>2827.96</v>
      </c>
      <c r="G1811">
        <v>2023</v>
      </c>
    </row>
    <row r="1812" spans="1:7" x14ac:dyDescent="0.3">
      <c r="A1812" t="s">
        <v>70</v>
      </c>
      <c r="B1812" t="s">
        <v>19</v>
      </c>
      <c r="C1812" t="s">
        <v>8</v>
      </c>
      <c r="D1812" t="s">
        <v>9</v>
      </c>
      <c r="E1812" t="s">
        <v>10</v>
      </c>
      <c r="F1812">
        <v>1375.52</v>
      </c>
      <c r="G1812">
        <v>2022</v>
      </c>
    </row>
    <row r="1813" spans="1:7" x14ac:dyDescent="0.3">
      <c r="A1813" t="s">
        <v>76</v>
      </c>
      <c r="B1813" t="s">
        <v>17</v>
      </c>
      <c r="C1813" t="s">
        <v>13</v>
      </c>
      <c r="D1813" t="s">
        <v>9</v>
      </c>
      <c r="E1813" t="s">
        <v>15</v>
      </c>
      <c r="F1813">
        <v>3501.6</v>
      </c>
      <c r="G1813">
        <v>2022</v>
      </c>
    </row>
    <row r="1814" spans="1:7" x14ac:dyDescent="0.3">
      <c r="A1814" t="s">
        <v>40</v>
      </c>
      <c r="B1814" t="s">
        <v>19</v>
      </c>
      <c r="C1814" t="s">
        <v>23</v>
      </c>
      <c r="D1814" t="s">
        <v>9</v>
      </c>
      <c r="E1814" t="s">
        <v>15</v>
      </c>
      <c r="F1814">
        <v>3492.98</v>
      </c>
      <c r="G1814">
        <v>2023</v>
      </c>
    </row>
    <row r="1815" spans="1:7" x14ac:dyDescent="0.3">
      <c r="A1815" t="s">
        <v>204</v>
      </c>
      <c r="B1815" t="s">
        <v>30</v>
      </c>
      <c r="C1815" t="s">
        <v>13</v>
      </c>
      <c r="D1815" t="s">
        <v>9</v>
      </c>
      <c r="E1815" t="s">
        <v>24</v>
      </c>
      <c r="F1815">
        <v>1594.78</v>
      </c>
      <c r="G1815">
        <v>2022</v>
      </c>
    </row>
    <row r="1816" spans="1:7" x14ac:dyDescent="0.3">
      <c r="A1816" t="s">
        <v>53</v>
      </c>
      <c r="B1816" t="s">
        <v>7</v>
      </c>
      <c r="C1816" t="s">
        <v>8</v>
      </c>
      <c r="D1816" t="s">
        <v>9</v>
      </c>
      <c r="E1816" t="s">
        <v>15</v>
      </c>
      <c r="F1816">
        <v>4328.83</v>
      </c>
      <c r="G1816">
        <v>2022</v>
      </c>
    </row>
    <row r="1817" spans="1:7" x14ac:dyDescent="0.3">
      <c r="A1817" t="s">
        <v>88</v>
      </c>
      <c r="B1817" t="s">
        <v>7</v>
      </c>
      <c r="C1817" t="s">
        <v>34</v>
      </c>
      <c r="D1817" t="s">
        <v>9</v>
      </c>
      <c r="E1817" t="s">
        <v>10</v>
      </c>
      <c r="F1817">
        <v>3820.76</v>
      </c>
      <c r="G1817">
        <v>2023</v>
      </c>
    </row>
    <row r="1818" spans="1:7" x14ac:dyDescent="0.3">
      <c r="A1818" t="s">
        <v>210</v>
      </c>
      <c r="B1818" t="s">
        <v>7</v>
      </c>
      <c r="C1818" t="s">
        <v>8</v>
      </c>
      <c r="D1818" t="s">
        <v>14</v>
      </c>
      <c r="E1818" t="s">
        <v>10</v>
      </c>
      <c r="F1818">
        <v>2495.33</v>
      </c>
      <c r="G1818">
        <v>2022</v>
      </c>
    </row>
    <row r="1819" spans="1:7" x14ac:dyDescent="0.3">
      <c r="A1819" t="s">
        <v>197</v>
      </c>
      <c r="B1819" t="s">
        <v>30</v>
      </c>
      <c r="C1819" t="s">
        <v>23</v>
      </c>
      <c r="D1819" t="s">
        <v>28</v>
      </c>
      <c r="E1819" t="s">
        <v>10</v>
      </c>
      <c r="F1819">
        <v>286.39</v>
      </c>
      <c r="G1819">
        <v>2023</v>
      </c>
    </row>
    <row r="1820" spans="1:7" x14ac:dyDescent="0.3">
      <c r="A1820" t="s">
        <v>65</v>
      </c>
      <c r="B1820" t="s">
        <v>30</v>
      </c>
      <c r="C1820" t="s">
        <v>34</v>
      </c>
      <c r="D1820" t="s">
        <v>14</v>
      </c>
      <c r="E1820" t="s">
        <v>10</v>
      </c>
      <c r="F1820">
        <v>1994.05</v>
      </c>
      <c r="G1820">
        <v>2023</v>
      </c>
    </row>
    <row r="1821" spans="1:7" x14ac:dyDescent="0.3">
      <c r="A1821" t="s">
        <v>213</v>
      </c>
      <c r="B1821" t="s">
        <v>12</v>
      </c>
      <c r="C1821" t="s">
        <v>13</v>
      </c>
      <c r="D1821" t="s">
        <v>14</v>
      </c>
      <c r="E1821" t="s">
        <v>10</v>
      </c>
      <c r="F1821">
        <v>2165.4299999999998</v>
      </c>
      <c r="G1821">
        <v>2022</v>
      </c>
    </row>
    <row r="1822" spans="1:7" x14ac:dyDescent="0.3">
      <c r="A1822" t="s">
        <v>16</v>
      </c>
      <c r="B1822" t="s">
        <v>17</v>
      </c>
      <c r="C1822" t="s">
        <v>23</v>
      </c>
      <c r="D1822" t="s">
        <v>28</v>
      </c>
      <c r="E1822" t="s">
        <v>15</v>
      </c>
      <c r="F1822">
        <v>4197.01</v>
      </c>
      <c r="G1822">
        <v>2023</v>
      </c>
    </row>
    <row r="1823" spans="1:7" x14ac:dyDescent="0.3">
      <c r="A1823" t="s">
        <v>78</v>
      </c>
      <c r="B1823" t="s">
        <v>7</v>
      </c>
      <c r="C1823" t="s">
        <v>34</v>
      </c>
      <c r="D1823" t="s">
        <v>9</v>
      </c>
      <c r="E1823" t="s">
        <v>10</v>
      </c>
      <c r="F1823">
        <v>1921.28</v>
      </c>
      <c r="G1823">
        <v>2023</v>
      </c>
    </row>
    <row r="1824" spans="1:7" x14ac:dyDescent="0.3">
      <c r="A1824" t="s">
        <v>89</v>
      </c>
      <c r="B1824" t="s">
        <v>17</v>
      </c>
      <c r="C1824" t="s">
        <v>13</v>
      </c>
      <c r="D1824" t="s">
        <v>28</v>
      </c>
      <c r="E1824" t="s">
        <v>24</v>
      </c>
      <c r="F1824">
        <v>3491.72</v>
      </c>
      <c r="G1824">
        <v>2022</v>
      </c>
    </row>
    <row r="1825" spans="1:7" x14ac:dyDescent="0.3">
      <c r="A1825" t="s">
        <v>81</v>
      </c>
      <c r="B1825" t="s">
        <v>12</v>
      </c>
      <c r="C1825" t="s">
        <v>34</v>
      </c>
      <c r="D1825" t="s">
        <v>9</v>
      </c>
      <c r="E1825" t="s">
        <v>10</v>
      </c>
      <c r="F1825">
        <v>2500.0700000000002</v>
      </c>
      <c r="G1825">
        <v>2023</v>
      </c>
    </row>
    <row r="1826" spans="1:7" x14ac:dyDescent="0.3">
      <c r="A1826" t="s">
        <v>212</v>
      </c>
      <c r="B1826" t="s">
        <v>7</v>
      </c>
      <c r="C1826" t="s">
        <v>13</v>
      </c>
      <c r="D1826" t="s">
        <v>28</v>
      </c>
      <c r="E1826" t="s">
        <v>10</v>
      </c>
      <c r="F1826">
        <v>818.77</v>
      </c>
      <c r="G1826">
        <v>2022</v>
      </c>
    </row>
    <row r="1827" spans="1:7" x14ac:dyDescent="0.3">
      <c r="A1827" t="s">
        <v>185</v>
      </c>
      <c r="B1827" t="s">
        <v>30</v>
      </c>
      <c r="C1827" t="s">
        <v>8</v>
      </c>
      <c r="D1827" t="s">
        <v>28</v>
      </c>
      <c r="E1827" t="s">
        <v>15</v>
      </c>
      <c r="F1827">
        <v>316.76</v>
      </c>
      <c r="G1827">
        <v>2022</v>
      </c>
    </row>
    <row r="1828" spans="1:7" x14ac:dyDescent="0.3">
      <c r="A1828" t="s">
        <v>202</v>
      </c>
      <c r="B1828" t="s">
        <v>12</v>
      </c>
      <c r="C1828" t="s">
        <v>13</v>
      </c>
      <c r="D1828" t="s">
        <v>28</v>
      </c>
      <c r="E1828" t="s">
        <v>15</v>
      </c>
      <c r="F1828">
        <v>2524.56</v>
      </c>
      <c r="G1828">
        <v>2022</v>
      </c>
    </row>
    <row r="1829" spans="1:7" x14ac:dyDescent="0.3">
      <c r="A1829" t="s">
        <v>207</v>
      </c>
      <c r="B1829" t="s">
        <v>17</v>
      </c>
      <c r="C1829" t="s">
        <v>34</v>
      </c>
      <c r="D1829" t="s">
        <v>9</v>
      </c>
      <c r="E1829" t="s">
        <v>15</v>
      </c>
      <c r="F1829">
        <v>1374.22</v>
      </c>
      <c r="G1829">
        <v>2023</v>
      </c>
    </row>
    <row r="1830" spans="1:7" x14ac:dyDescent="0.3">
      <c r="A1830" t="s">
        <v>161</v>
      </c>
      <c r="B1830" t="s">
        <v>7</v>
      </c>
      <c r="C1830" t="s">
        <v>13</v>
      </c>
      <c r="D1830" t="s">
        <v>28</v>
      </c>
      <c r="E1830" t="s">
        <v>10</v>
      </c>
      <c r="F1830">
        <v>3494.63</v>
      </c>
      <c r="G1830">
        <v>2022</v>
      </c>
    </row>
    <row r="1831" spans="1:7" x14ac:dyDescent="0.3">
      <c r="A1831" t="s">
        <v>119</v>
      </c>
      <c r="B1831" t="s">
        <v>30</v>
      </c>
      <c r="C1831" t="s">
        <v>13</v>
      </c>
      <c r="D1831" t="s">
        <v>9</v>
      </c>
      <c r="E1831" t="s">
        <v>24</v>
      </c>
      <c r="F1831">
        <v>1436.94</v>
      </c>
      <c r="G1831">
        <v>2022</v>
      </c>
    </row>
    <row r="1832" spans="1:7" x14ac:dyDescent="0.3">
      <c r="A1832" t="s">
        <v>217</v>
      </c>
      <c r="B1832" t="s">
        <v>19</v>
      </c>
      <c r="C1832" t="s">
        <v>13</v>
      </c>
      <c r="D1832" t="s">
        <v>28</v>
      </c>
      <c r="E1832" t="s">
        <v>10</v>
      </c>
      <c r="F1832">
        <v>1993.57</v>
      </c>
      <c r="G1832">
        <v>2022</v>
      </c>
    </row>
    <row r="1833" spans="1:7" x14ac:dyDescent="0.3">
      <c r="A1833" t="s">
        <v>95</v>
      </c>
      <c r="B1833" t="s">
        <v>30</v>
      </c>
      <c r="C1833" t="s">
        <v>8</v>
      </c>
      <c r="D1833" t="s">
        <v>14</v>
      </c>
      <c r="E1833" t="s">
        <v>15</v>
      </c>
      <c r="F1833">
        <v>2563.0100000000002</v>
      </c>
      <c r="G1833">
        <v>2022</v>
      </c>
    </row>
    <row r="1834" spans="1:7" x14ac:dyDescent="0.3">
      <c r="A1834" t="s">
        <v>118</v>
      </c>
      <c r="B1834" t="s">
        <v>30</v>
      </c>
      <c r="C1834" t="s">
        <v>13</v>
      </c>
      <c r="D1834" t="s">
        <v>28</v>
      </c>
      <c r="E1834" t="s">
        <v>10</v>
      </c>
      <c r="F1834">
        <v>3772.31</v>
      </c>
      <c r="G1834">
        <v>2022</v>
      </c>
    </row>
    <row r="1835" spans="1:7" x14ac:dyDescent="0.3">
      <c r="A1835" t="s">
        <v>197</v>
      </c>
      <c r="B1835" t="s">
        <v>30</v>
      </c>
      <c r="C1835" t="s">
        <v>8</v>
      </c>
      <c r="D1835" t="s">
        <v>28</v>
      </c>
      <c r="E1835" t="s">
        <v>15</v>
      </c>
      <c r="F1835">
        <v>1624.65</v>
      </c>
      <c r="G1835">
        <v>2022</v>
      </c>
    </row>
    <row r="1836" spans="1:7" x14ac:dyDescent="0.3">
      <c r="A1836" t="s">
        <v>179</v>
      </c>
      <c r="B1836" t="s">
        <v>7</v>
      </c>
      <c r="C1836" t="s">
        <v>13</v>
      </c>
      <c r="D1836" t="s">
        <v>28</v>
      </c>
      <c r="E1836" t="s">
        <v>10</v>
      </c>
      <c r="F1836">
        <v>4535.0200000000004</v>
      </c>
      <c r="G1836">
        <v>2022</v>
      </c>
    </row>
    <row r="1837" spans="1:7" x14ac:dyDescent="0.3">
      <c r="A1837" t="s">
        <v>175</v>
      </c>
      <c r="B1837" t="s">
        <v>7</v>
      </c>
      <c r="C1837" t="s">
        <v>13</v>
      </c>
      <c r="D1837" t="s">
        <v>9</v>
      </c>
      <c r="E1837" t="s">
        <v>24</v>
      </c>
      <c r="F1837">
        <v>3532.27</v>
      </c>
      <c r="G1837">
        <v>2022</v>
      </c>
    </row>
    <row r="1838" spans="1:7" x14ac:dyDescent="0.3">
      <c r="A1838" t="s">
        <v>153</v>
      </c>
      <c r="B1838" t="s">
        <v>7</v>
      </c>
      <c r="C1838" t="s">
        <v>13</v>
      </c>
      <c r="D1838" t="s">
        <v>14</v>
      </c>
      <c r="E1838" t="s">
        <v>15</v>
      </c>
      <c r="F1838">
        <v>2581.0300000000002</v>
      </c>
      <c r="G1838">
        <v>2022</v>
      </c>
    </row>
    <row r="1839" spans="1:7" x14ac:dyDescent="0.3">
      <c r="A1839" t="s">
        <v>194</v>
      </c>
      <c r="B1839" t="s">
        <v>17</v>
      </c>
      <c r="C1839" t="s">
        <v>34</v>
      </c>
      <c r="D1839" t="s">
        <v>9</v>
      </c>
      <c r="E1839" t="s">
        <v>15</v>
      </c>
      <c r="F1839">
        <v>4518.38</v>
      </c>
      <c r="G1839">
        <v>2023</v>
      </c>
    </row>
    <row r="1840" spans="1:7" x14ac:dyDescent="0.3">
      <c r="A1840" t="s">
        <v>168</v>
      </c>
      <c r="B1840" t="s">
        <v>17</v>
      </c>
      <c r="C1840" t="s">
        <v>13</v>
      </c>
      <c r="D1840" t="s">
        <v>28</v>
      </c>
      <c r="E1840" t="s">
        <v>24</v>
      </c>
      <c r="F1840">
        <v>4506.08</v>
      </c>
      <c r="G1840">
        <v>2022</v>
      </c>
    </row>
    <row r="1841" spans="1:7" x14ac:dyDescent="0.3">
      <c r="A1841" t="s">
        <v>164</v>
      </c>
      <c r="B1841" t="s">
        <v>19</v>
      </c>
      <c r="C1841" t="s">
        <v>8</v>
      </c>
      <c r="D1841" t="s">
        <v>9</v>
      </c>
      <c r="E1841" t="s">
        <v>15</v>
      </c>
      <c r="F1841">
        <v>3055.51</v>
      </c>
      <c r="G1841">
        <v>2022</v>
      </c>
    </row>
    <row r="1842" spans="1:7" x14ac:dyDescent="0.3">
      <c r="A1842" t="s">
        <v>85</v>
      </c>
      <c r="B1842" t="s">
        <v>30</v>
      </c>
      <c r="C1842" t="s">
        <v>8</v>
      </c>
      <c r="D1842" t="s">
        <v>14</v>
      </c>
      <c r="E1842" t="s">
        <v>15</v>
      </c>
      <c r="F1842">
        <v>1376.96</v>
      </c>
      <c r="G1842">
        <v>2022</v>
      </c>
    </row>
    <row r="1843" spans="1:7" x14ac:dyDescent="0.3">
      <c r="A1843" t="s">
        <v>103</v>
      </c>
      <c r="B1843" t="s">
        <v>19</v>
      </c>
      <c r="C1843" t="s">
        <v>8</v>
      </c>
      <c r="D1843" t="s">
        <v>9</v>
      </c>
      <c r="E1843" t="s">
        <v>15</v>
      </c>
      <c r="F1843">
        <v>3798.95</v>
      </c>
      <c r="G1843">
        <v>2022</v>
      </c>
    </row>
    <row r="1844" spans="1:7" x14ac:dyDescent="0.3">
      <c r="A1844" t="s">
        <v>159</v>
      </c>
      <c r="B1844" t="s">
        <v>7</v>
      </c>
      <c r="C1844" t="s">
        <v>8</v>
      </c>
      <c r="D1844" t="s">
        <v>28</v>
      </c>
      <c r="E1844" t="s">
        <v>15</v>
      </c>
      <c r="F1844">
        <v>1881.41</v>
      </c>
      <c r="G1844">
        <v>2022</v>
      </c>
    </row>
    <row r="1845" spans="1:7" x14ac:dyDescent="0.3">
      <c r="A1845" t="s">
        <v>118</v>
      </c>
      <c r="B1845" t="s">
        <v>30</v>
      </c>
      <c r="C1845" t="s">
        <v>34</v>
      </c>
      <c r="D1845" t="s">
        <v>14</v>
      </c>
      <c r="E1845" t="s">
        <v>24</v>
      </c>
      <c r="F1845">
        <v>1308.54</v>
      </c>
      <c r="G1845">
        <v>2023</v>
      </c>
    </row>
    <row r="1846" spans="1:7" x14ac:dyDescent="0.3">
      <c r="A1846" t="s">
        <v>65</v>
      </c>
      <c r="B1846" t="s">
        <v>30</v>
      </c>
      <c r="C1846" t="s">
        <v>13</v>
      </c>
      <c r="D1846" t="s">
        <v>28</v>
      </c>
      <c r="E1846" t="s">
        <v>15</v>
      </c>
      <c r="F1846">
        <v>706.73</v>
      </c>
      <c r="G1846">
        <v>2022</v>
      </c>
    </row>
    <row r="1847" spans="1:7" x14ac:dyDescent="0.3">
      <c r="A1847" t="s">
        <v>197</v>
      </c>
      <c r="B1847" t="s">
        <v>30</v>
      </c>
      <c r="C1847" t="s">
        <v>23</v>
      </c>
      <c r="D1847" t="s">
        <v>9</v>
      </c>
      <c r="E1847" t="s">
        <v>24</v>
      </c>
      <c r="F1847">
        <v>3595.4</v>
      </c>
      <c r="G1847">
        <v>2023</v>
      </c>
    </row>
    <row r="1848" spans="1:7" x14ac:dyDescent="0.3">
      <c r="A1848" t="s">
        <v>131</v>
      </c>
      <c r="B1848" t="s">
        <v>17</v>
      </c>
      <c r="C1848" t="s">
        <v>23</v>
      </c>
      <c r="D1848" t="s">
        <v>14</v>
      </c>
      <c r="E1848" t="s">
        <v>10</v>
      </c>
      <c r="F1848">
        <v>1990.59</v>
      </c>
      <c r="G1848">
        <v>2023</v>
      </c>
    </row>
    <row r="1849" spans="1:7" x14ac:dyDescent="0.3">
      <c r="A1849" t="s">
        <v>178</v>
      </c>
      <c r="B1849" t="s">
        <v>30</v>
      </c>
      <c r="C1849" t="s">
        <v>8</v>
      </c>
      <c r="D1849" t="s">
        <v>9</v>
      </c>
      <c r="E1849" t="s">
        <v>24</v>
      </c>
      <c r="F1849">
        <v>4212.5</v>
      </c>
      <c r="G1849">
        <v>2022</v>
      </c>
    </row>
    <row r="1850" spans="1:7" x14ac:dyDescent="0.3">
      <c r="A1850" t="s">
        <v>45</v>
      </c>
      <c r="B1850" t="s">
        <v>7</v>
      </c>
      <c r="C1850" t="s">
        <v>8</v>
      </c>
      <c r="D1850" t="s">
        <v>9</v>
      </c>
      <c r="E1850" t="s">
        <v>15</v>
      </c>
      <c r="F1850">
        <v>2388.2399999999998</v>
      </c>
      <c r="G1850">
        <v>2022</v>
      </c>
    </row>
    <row r="1851" spans="1:7" x14ac:dyDescent="0.3">
      <c r="A1851" t="s">
        <v>70</v>
      </c>
      <c r="B1851" t="s">
        <v>19</v>
      </c>
      <c r="C1851" t="s">
        <v>34</v>
      </c>
      <c r="D1851" t="s">
        <v>9</v>
      </c>
      <c r="E1851" t="s">
        <v>24</v>
      </c>
      <c r="F1851">
        <v>318.92</v>
      </c>
      <c r="G1851">
        <v>2023</v>
      </c>
    </row>
    <row r="1852" spans="1:7" x14ac:dyDescent="0.3">
      <c r="A1852" t="s">
        <v>16</v>
      </c>
      <c r="B1852" t="s">
        <v>17</v>
      </c>
      <c r="C1852" t="s">
        <v>13</v>
      </c>
      <c r="D1852" t="s">
        <v>14</v>
      </c>
      <c r="E1852" t="s">
        <v>10</v>
      </c>
      <c r="F1852">
        <v>365.96</v>
      </c>
      <c r="G1852">
        <v>2022</v>
      </c>
    </row>
    <row r="1853" spans="1:7" x14ac:dyDescent="0.3">
      <c r="A1853" t="s">
        <v>211</v>
      </c>
      <c r="B1853" t="s">
        <v>7</v>
      </c>
      <c r="C1853" t="s">
        <v>34</v>
      </c>
      <c r="D1853" t="s">
        <v>28</v>
      </c>
      <c r="E1853" t="s">
        <v>10</v>
      </c>
      <c r="F1853">
        <v>1353.72</v>
      </c>
      <c r="G1853">
        <v>2023</v>
      </c>
    </row>
    <row r="1854" spans="1:7" x14ac:dyDescent="0.3">
      <c r="A1854" t="s">
        <v>213</v>
      </c>
      <c r="B1854" t="s">
        <v>12</v>
      </c>
      <c r="C1854" t="s">
        <v>34</v>
      </c>
      <c r="D1854" t="s">
        <v>14</v>
      </c>
      <c r="E1854" t="s">
        <v>24</v>
      </c>
      <c r="F1854">
        <v>3026.73</v>
      </c>
      <c r="G1854">
        <v>2023</v>
      </c>
    </row>
    <row r="1855" spans="1:7" x14ac:dyDescent="0.3">
      <c r="A1855" t="s">
        <v>179</v>
      </c>
      <c r="B1855" t="s">
        <v>7</v>
      </c>
      <c r="C1855" t="s">
        <v>13</v>
      </c>
      <c r="D1855" t="s">
        <v>14</v>
      </c>
      <c r="E1855" t="s">
        <v>10</v>
      </c>
      <c r="F1855">
        <v>4344.96</v>
      </c>
      <c r="G1855">
        <v>2022</v>
      </c>
    </row>
    <row r="1856" spans="1:7" x14ac:dyDescent="0.3">
      <c r="A1856" t="s">
        <v>95</v>
      </c>
      <c r="B1856" t="s">
        <v>30</v>
      </c>
      <c r="C1856" t="s">
        <v>8</v>
      </c>
      <c r="D1856" t="s">
        <v>9</v>
      </c>
      <c r="E1856" t="s">
        <v>10</v>
      </c>
      <c r="F1856">
        <v>2412.9</v>
      </c>
      <c r="G1856">
        <v>2022</v>
      </c>
    </row>
    <row r="1857" spans="1:7" x14ac:dyDescent="0.3">
      <c r="A1857" t="s">
        <v>110</v>
      </c>
      <c r="B1857" t="s">
        <v>12</v>
      </c>
      <c r="C1857" t="s">
        <v>13</v>
      </c>
      <c r="D1857" t="s">
        <v>28</v>
      </c>
      <c r="E1857" t="s">
        <v>24</v>
      </c>
      <c r="F1857">
        <v>4239.84</v>
      </c>
      <c r="G1857">
        <v>2022</v>
      </c>
    </row>
    <row r="1858" spans="1:7" x14ac:dyDescent="0.3">
      <c r="A1858" t="s">
        <v>161</v>
      </c>
      <c r="B1858" t="s">
        <v>7</v>
      </c>
      <c r="C1858" t="s">
        <v>13</v>
      </c>
      <c r="D1858" t="s">
        <v>9</v>
      </c>
      <c r="E1858" t="s">
        <v>15</v>
      </c>
      <c r="F1858">
        <v>3759.01</v>
      </c>
      <c r="G1858">
        <v>2022</v>
      </c>
    </row>
    <row r="1859" spans="1:7" x14ac:dyDescent="0.3">
      <c r="A1859" t="s">
        <v>137</v>
      </c>
      <c r="B1859" t="s">
        <v>17</v>
      </c>
      <c r="C1859" t="s">
        <v>23</v>
      </c>
      <c r="D1859" t="s">
        <v>14</v>
      </c>
      <c r="E1859" t="s">
        <v>10</v>
      </c>
      <c r="F1859">
        <v>3558.82</v>
      </c>
      <c r="G1859">
        <v>2023</v>
      </c>
    </row>
    <row r="1860" spans="1:7" x14ac:dyDescent="0.3">
      <c r="A1860" t="s">
        <v>143</v>
      </c>
      <c r="B1860" t="s">
        <v>17</v>
      </c>
      <c r="C1860" t="s">
        <v>13</v>
      </c>
      <c r="D1860" t="s">
        <v>28</v>
      </c>
      <c r="E1860" t="s">
        <v>15</v>
      </c>
      <c r="F1860">
        <v>2610.12</v>
      </c>
      <c r="G1860">
        <v>2022</v>
      </c>
    </row>
    <row r="1861" spans="1:7" x14ac:dyDescent="0.3">
      <c r="A1861" t="s">
        <v>180</v>
      </c>
      <c r="B1861" t="s">
        <v>30</v>
      </c>
      <c r="C1861" t="s">
        <v>34</v>
      </c>
      <c r="D1861" t="s">
        <v>28</v>
      </c>
      <c r="E1861" t="s">
        <v>10</v>
      </c>
      <c r="F1861">
        <v>2651.33</v>
      </c>
      <c r="G1861">
        <v>2023</v>
      </c>
    </row>
    <row r="1862" spans="1:7" x14ac:dyDescent="0.3">
      <c r="A1862" t="s">
        <v>93</v>
      </c>
      <c r="B1862" t="s">
        <v>30</v>
      </c>
      <c r="C1862" t="s">
        <v>23</v>
      </c>
      <c r="D1862" t="s">
        <v>28</v>
      </c>
      <c r="E1862" t="s">
        <v>24</v>
      </c>
      <c r="F1862">
        <v>1018.53</v>
      </c>
      <c r="G1862">
        <v>2023</v>
      </c>
    </row>
    <row r="1863" spans="1:7" x14ac:dyDescent="0.3">
      <c r="A1863" t="s">
        <v>110</v>
      </c>
      <c r="B1863" t="s">
        <v>12</v>
      </c>
      <c r="C1863" t="s">
        <v>23</v>
      </c>
      <c r="D1863" t="s">
        <v>9</v>
      </c>
      <c r="E1863" t="s">
        <v>15</v>
      </c>
      <c r="F1863">
        <v>503.93</v>
      </c>
      <c r="G1863">
        <v>2023</v>
      </c>
    </row>
    <row r="1864" spans="1:7" x14ac:dyDescent="0.3">
      <c r="A1864" t="s">
        <v>38</v>
      </c>
      <c r="B1864" t="s">
        <v>30</v>
      </c>
      <c r="C1864" t="s">
        <v>13</v>
      </c>
      <c r="D1864" t="s">
        <v>9</v>
      </c>
      <c r="E1864" t="s">
        <v>10</v>
      </c>
      <c r="F1864">
        <v>3013.45</v>
      </c>
      <c r="G1864">
        <v>2022</v>
      </c>
    </row>
    <row r="1865" spans="1:7" x14ac:dyDescent="0.3">
      <c r="A1865" t="s">
        <v>81</v>
      </c>
      <c r="B1865" t="s">
        <v>12</v>
      </c>
      <c r="C1865" t="s">
        <v>13</v>
      </c>
      <c r="D1865" t="s">
        <v>28</v>
      </c>
      <c r="E1865" t="s">
        <v>10</v>
      </c>
      <c r="F1865">
        <v>1639.95</v>
      </c>
      <c r="G1865">
        <v>2022</v>
      </c>
    </row>
    <row r="1866" spans="1:7" x14ac:dyDescent="0.3">
      <c r="A1866" t="s">
        <v>125</v>
      </c>
      <c r="B1866" t="s">
        <v>7</v>
      </c>
      <c r="C1866" t="s">
        <v>23</v>
      </c>
      <c r="D1866" t="s">
        <v>14</v>
      </c>
      <c r="E1866" t="s">
        <v>24</v>
      </c>
      <c r="F1866">
        <v>4092.48</v>
      </c>
      <c r="G1866">
        <v>2023</v>
      </c>
    </row>
    <row r="1867" spans="1:7" x14ac:dyDescent="0.3">
      <c r="A1867" t="s">
        <v>185</v>
      </c>
      <c r="B1867" t="s">
        <v>30</v>
      </c>
      <c r="C1867" t="s">
        <v>13</v>
      </c>
      <c r="D1867" t="s">
        <v>14</v>
      </c>
      <c r="E1867" t="s">
        <v>15</v>
      </c>
      <c r="F1867">
        <v>730.62</v>
      </c>
      <c r="G1867">
        <v>2022</v>
      </c>
    </row>
    <row r="1868" spans="1:7" x14ac:dyDescent="0.3">
      <c r="A1868" t="s">
        <v>128</v>
      </c>
      <c r="B1868" t="s">
        <v>12</v>
      </c>
      <c r="C1868" t="s">
        <v>8</v>
      </c>
      <c r="D1868" t="s">
        <v>9</v>
      </c>
      <c r="E1868" t="s">
        <v>24</v>
      </c>
      <c r="F1868">
        <v>5247.89</v>
      </c>
      <c r="G1868">
        <v>2022</v>
      </c>
    </row>
    <row r="1869" spans="1:7" x14ac:dyDescent="0.3">
      <c r="A1869" t="s">
        <v>201</v>
      </c>
      <c r="B1869" t="s">
        <v>12</v>
      </c>
      <c r="C1869" t="s">
        <v>34</v>
      </c>
      <c r="D1869" t="s">
        <v>14</v>
      </c>
      <c r="E1869" t="s">
        <v>24</v>
      </c>
      <c r="F1869">
        <v>2947.53</v>
      </c>
      <c r="G1869">
        <v>2023</v>
      </c>
    </row>
    <row r="1870" spans="1:7" x14ac:dyDescent="0.3">
      <c r="A1870" t="s">
        <v>129</v>
      </c>
      <c r="B1870" t="s">
        <v>17</v>
      </c>
      <c r="C1870" t="s">
        <v>8</v>
      </c>
      <c r="D1870" t="s">
        <v>28</v>
      </c>
      <c r="E1870" t="s">
        <v>24</v>
      </c>
      <c r="F1870">
        <v>571.92999999999995</v>
      </c>
      <c r="G1870">
        <v>2022</v>
      </c>
    </row>
    <row r="1871" spans="1:7" x14ac:dyDescent="0.3">
      <c r="A1871" t="s">
        <v>102</v>
      </c>
      <c r="B1871" t="s">
        <v>19</v>
      </c>
      <c r="C1871" t="s">
        <v>8</v>
      </c>
      <c r="D1871" t="s">
        <v>9</v>
      </c>
      <c r="E1871" t="s">
        <v>15</v>
      </c>
      <c r="F1871">
        <v>4065.74</v>
      </c>
      <c r="G1871">
        <v>2022</v>
      </c>
    </row>
    <row r="1872" spans="1:7" x14ac:dyDescent="0.3">
      <c r="A1872" t="s">
        <v>39</v>
      </c>
      <c r="B1872" t="s">
        <v>7</v>
      </c>
      <c r="C1872" t="s">
        <v>8</v>
      </c>
      <c r="D1872" t="s">
        <v>9</v>
      </c>
      <c r="E1872" t="s">
        <v>10</v>
      </c>
      <c r="F1872">
        <v>1983.3</v>
      </c>
      <c r="G1872">
        <v>2022</v>
      </c>
    </row>
    <row r="1873" spans="1:7" x14ac:dyDescent="0.3">
      <c r="A1873" t="s">
        <v>134</v>
      </c>
      <c r="B1873" t="s">
        <v>7</v>
      </c>
      <c r="C1873" t="s">
        <v>34</v>
      </c>
      <c r="D1873" t="s">
        <v>14</v>
      </c>
      <c r="E1873" t="s">
        <v>24</v>
      </c>
      <c r="F1873">
        <v>3226.08</v>
      </c>
      <c r="G1873">
        <v>2023</v>
      </c>
    </row>
    <row r="1874" spans="1:7" x14ac:dyDescent="0.3">
      <c r="A1874" t="s">
        <v>95</v>
      </c>
      <c r="B1874" t="s">
        <v>30</v>
      </c>
      <c r="C1874" t="s">
        <v>8</v>
      </c>
      <c r="D1874" t="s">
        <v>9</v>
      </c>
      <c r="E1874" t="s">
        <v>15</v>
      </c>
      <c r="F1874">
        <v>885.44</v>
      </c>
      <c r="G1874">
        <v>2022</v>
      </c>
    </row>
    <row r="1875" spans="1:7" x14ac:dyDescent="0.3">
      <c r="A1875" t="s">
        <v>196</v>
      </c>
      <c r="B1875" t="s">
        <v>30</v>
      </c>
      <c r="C1875" t="s">
        <v>13</v>
      </c>
      <c r="D1875" t="s">
        <v>14</v>
      </c>
      <c r="E1875" t="s">
        <v>15</v>
      </c>
      <c r="F1875">
        <v>3998.24</v>
      </c>
      <c r="G1875">
        <v>2022</v>
      </c>
    </row>
    <row r="1876" spans="1:7" x14ac:dyDescent="0.3">
      <c r="A1876" t="s">
        <v>164</v>
      </c>
      <c r="B1876" t="s">
        <v>19</v>
      </c>
      <c r="C1876" t="s">
        <v>23</v>
      </c>
      <c r="D1876" t="s">
        <v>14</v>
      </c>
      <c r="E1876" t="s">
        <v>15</v>
      </c>
      <c r="F1876">
        <v>2639.81</v>
      </c>
      <c r="G1876">
        <v>2023</v>
      </c>
    </row>
    <row r="1877" spans="1:7" x14ac:dyDescent="0.3">
      <c r="A1877" t="s">
        <v>199</v>
      </c>
      <c r="B1877" t="s">
        <v>17</v>
      </c>
      <c r="C1877" t="s">
        <v>34</v>
      </c>
      <c r="D1877" t="s">
        <v>14</v>
      </c>
      <c r="E1877" t="s">
        <v>10</v>
      </c>
      <c r="F1877">
        <v>2835.04</v>
      </c>
      <c r="G1877">
        <v>2023</v>
      </c>
    </row>
    <row r="1878" spans="1:7" x14ac:dyDescent="0.3">
      <c r="A1878" t="s">
        <v>21</v>
      </c>
      <c r="B1878" t="s">
        <v>19</v>
      </c>
      <c r="C1878" t="s">
        <v>23</v>
      </c>
      <c r="D1878" t="s">
        <v>14</v>
      </c>
      <c r="E1878" t="s">
        <v>10</v>
      </c>
      <c r="F1878">
        <v>2182.6999999999998</v>
      </c>
      <c r="G1878">
        <v>2023</v>
      </c>
    </row>
    <row r="1879" spans="1:7" x14ac:dyDescent="0.3">
      <c r="A1879" t="s">
        <v>55</v>
      </c>
      <c r="B1879" t="s">
        <v>12</v>
      </c>
      <c r="C1879" t="s">
        <v>13</v>
      </c>
      <c r="D1879" t="s">
        <v>28</v>
      </c>
      <c r="E1879" t="s">
        <v>10</v>
      </c>
      <c r="F1879">
        <v>3507.39</v>
      </c>
      <c r="G1879">
        <v>2022</v>
      </c>
    </row>
    <row r="1880" spans="1:7" x14ac:dyDescent="0.3">
      <c r="A1880" t="s">
        <v>209</v>
      </c>
      <c r="B1880" t="s">
        <v>7</v>
      </c>
      <c r="C1880" t="s">
        <v>13</v>
      </c>
      <c r="D1880" t="s">
        <v>14</v>
      </c>
      <c r="E1880" t="s">
        <v>24</v>
      </c>
      <c r="F1880">
        <v>4743.79</v>
      </c>
      <c r="G1880">
        <v>2022</v>
      </c>
    </row>
    <row r="1881" spans="1:7" x14ac:dyDescent="0.3">
      <c r="A1881" t="s">
        <v>194</v>
      </c>
      <c r="B1881" t="s">
        <v>17</v>
      </c>
      <c r="C1881" t="s">
        <v>13</v>
      </c>
      <c r="D1881" t="s">
        <v>28</v>
      </c>
      <c r="E1881" t="s">
        <v>10</v>
      </c>
      <c r="F1881">
        <v>2798.51</v>
      </c>
      <c r="G1881">
        <v>2022</v>
      </c>
    </row>
    <row r="1882" spans="1:7" x14ac:dyDescent="0.3">
      <c r="A1882" t="s">
        <v>179</v>
      </c>
      <c r="B1882" t="s">
        <v>7</v>
      </c>
      <c r="C1882" t="s">
        <v>8</v>
      </c>
      <c r="D1882" t="s">
        <v>14</v>
      </c>
      <c r="E1882" t="s">
        <v>15</v>
      </c>
      <c r="F1882">
        <v>2111.5100000000002</v>
      </c>
      <c r="G1882">
        <v>2022</v>
      </c>
    </row>
    <row r="1883" spans="1:7" x14ac:dyDescent="0.3">
      <c r="A1883" t="s">
        <v>107</v>
      </c>
      <c r="B1883" t="s">
        <v>30</v>
      </c>
      <c r="C1883" t="s">
        <v>8</v>
      </c>
      <c r="D1883" t="s">
        <v>28</v>
      </c>
      <c r="E1883" t="s">
        <v>15</v>
      </c>
      <c r="F1883">
        <v>440.45</v>
      </c>
      <c r="G1883">
        <v>2022</v>
      </c>
    </row>
    <row r="1884" spans="1:7" x14ac:dyDescent="0.3">
      <c r="A1884" t="s">
        <v>75</v>
      </c>
      <c r="B1884" t="s">
        <v>19</v>
      </c>
      <c r="C1884" t="s">
        <v>13</v>
      </c>
      <c r="D1884" t="s">
        <v>14</v>
      </c>
      <c r="E1884" t="s">
        <v>15</v>
      </c>
      <c r="F1884">
        <v>2532.06</v>
      </c>
      <c r="G1884">
        <v>2022</v>
      </c>
    </row>
    <row r="1885" spans="1:7" x14ac:dyDescent="0.3">
      <c r="A1885" t="s">
        <v>133</v>
      </c>
      <c r="B1885" t="s">
        <v>17</v>
      </c>
      <c r="C1885" t="s">
        <v>13</v>
      </c>
      <c r="D1885" t="s">
        <v>9</v>
      </c>
      <c r="E1885" t="s">
        <v>15</v>
      </c>
      <c r="F1885">
        <v>3682.33</v>
      </c>
      <c r="G1885">
        <v>2022</v>
      </c>
    </row>
    <row r="1886" spans="1:7" x14ac:dyDescent="0.3">
      <c r="A1886" t="s">
        <v>189</v>
      </c>
      <c r="B1886" t="s">
        <v>19</v>
      </c>
      <c r="C1886" t="s">
        <v>23</v>
      </c>
      <c r="D1886" t="s">
        <v>28</v>
      </c>
      <c r="E1886" t="s">
        <v>15</v>
      </c>
      <c r="F1886">
        <v>1546.78</v>
      </c>
      <c r="G1886">
        <v>2023</v>
      </c>
    </row>
    <row r="1887" spans="1:7" x14ac:dyDescent="0.3">
      <c r="A1887" t="s">
        <v>125</v>
      </c>
      <c r="B1887" t="s">
        <v>7</v>
      </c>
      <c r="C1887" t="s">
        <v>23</v>
      </c>
      <c r="D1887" t="s">
        <v>28</v>
      </c>
      <c r="E1887" t="s">
        <v>15</v>
      </c>
      <c r="F1887">
        <v>2135.9699999999998</v>
      </c>
      <c r="G1887">
        <v>2023</v>
      </c>
    </row>
    <row r="1888" spans="1:7" x14ac:dyDescent="0.3">
      <c r="A1888" t="s">
        <v>180</v>
      </c>
      <c r="B1888" t="s">
        <v>30</v>
      </c>
      <c r="C1888" t="s">
        <v>13</v>
      </c>
      <c r="D1888" t="s">
        <v>28</v>
      </c>
      <c r="E1888" t="s">
        <v>10</v>
      </c>
      <c r="F1888">
        <v>1344</v>
      </c>
      <c r="G1888">
        <v>2022</v>
      </c>
    </row>
    <row r="1889" spans="1:7" x14ac:dyDescent="0.3">
      <c r="A1889" t="s">
        <v>143</v>
      </c>
      <c r="B1889" t="s">
        <v>17</v>
      </c>
      <c r="C1889" t="s">
        <v>23</v>
      </c>
      <c r="D1889" t="s">
        <v>28</v>
      </c>
      <c r="E1889" t="s">
        <v>10</v>
      </c>
      <c r="F1889">
        <v>1009.35</v>
      </c>
      <c r="G1889">
        <v>2023</v>
      </c>
    </row>
    <row r="1890" spans="1:7" x14ac:dyDescent="0.3">
      <c r="A1890" t="s">
        <v>38</v>
      </c>
      <c r="B1890" t="s">
        <v>30</v>
      </c>
      <c r="C1890" t="s">
        <v>8</v>
      </c>
      <c r="D1890" t="s">
        <v>28</v>
      </c>
      <c r="E1890" t="s">
        <v>24</v>
      </c>
      <c r="F1890">
        <v>1620.64</v>
      </c>
      <c r="G1890">
        <v>2022</v>
      </c>
    </row>
    <row r="1891" spans="1:7" x14ac:dyDescent="0.3">
      <c r="A1891" t="s">
        <v>85</v>
      </c>
      <c r="B1891" t="s">
        <v>30</v>
      </c>
      <c r="C1891" t="s">
        <v>34</v>
      </c>
      <c r="D1891" t="s">
        <v>14</v>
      </c>
      <c r="E1891" t="s">
        <v>10</v>
      </c>
      <c r="F1891">
        <v>3874.19</v>
      </c>
      <c r="G1891">
        <v>2023</v>
      </c>
    </row>
    <row r="1892" spans="1:7" x14ac:dyDescent="0.3">
      <c r="A1892" t="s">
        <v>92</v>
      </c>
      <c r="B1892" t="s">
        <v>30</v>
      </c>
      <c r="C1892" t="s">
        <v>8</v>
      </c>
      <c r="D1892" t="s">
        <v>28</v>
      </c>
      <c r="E1892" t="s">
        <v>15</v>
      </c>
      <c r="F1892">
        <v>3045.93</v>
      </c>
      <c r="G1892">
        <v>2022</v>
      </c>
    </row>
    <row r="1893" spans="1:7" x14ac:dyDescent="0.3">
      <c r="A1893" t="s">
        <v>60</v>
      </c>
      <c r="B1893" t="s">
        <v>12</v>
      </c>
      <c r="C1893" t="s">
        <v>8</v>
      </c>
      <c r="D1893" t="s">
        <v>28</v>
      </c>
      <c r="E1893" t="s">
        <v>24</v>
      </c>
      <c r="F1893">
        <v>1476.28</v>
      </c>
      <c r="G1893">
        <v>2022</v>
      </c>
    </row>
    <row r="1894" spans="1:7" x14ac:dyDescent="0.3">
      <c r="A1894" t="s">
        <v>117</v>
      </c>
      <c r="B1894" t="s">
        <v>7</v>
      </c>
      <c r="C1894" t="s">
        <v>23</v>
      </c>
      <c r="D1894" t="s">
        <v>9</v>
      </c>
      <c r="E1894" t="s">
        <v>15</v>
      </c>
      <c r="F1894">
        <v>3862.25</v>
      </c>
      <c r="G1894">
        <v>2023</v>
      </c>
    </row>
    <row r="1895" spans="1:7" x14ac:dyDescent="0.3">
      <c r="A1895" t="s">
        <v>133</v>
      </c>
      <c r="B1895" t="s">
        <v>17</v>
      </c>
      <c r="C1895" t="s">
        <v>13</v>
      </c>
      <c r="D1895" t="s">
        <v>14</v>
      </c>
      <c r="E1895" t="s">
        <v>24</v>
      </c>
      <c r="F1895">
        <v>2517.98</v>
      </c>
      <c r="G1895">
        <v>2022</v>
      </c>
    </row>
    <row r="1896" spans="1:7" x14ac:dyDescent="0.3">
      <c r="A1896" t="s">
        <v>158</v>
      </c>
      <c r="B1896" t="s">
        <v>30</v>
      </c>
      <c r="C1896" t="s">
        <v>23</v>
      </c>
      <c r="D1896" t="s">
        <v>14</v>
      </c>
      <c r="E1896" t="s">
        <v>10</v>
      </c>
      <c r="F1896">
        <v>3737.89</v>
      </c>
      <c r="G1896">
        <v>2023</v>
      </c>
    </row>
    <row r="1897" spans="1:7" x14ac:dyDescent="0.3">
      <c r="A1897" t="s">
        <v>141</v>
      </c>
      <c r="B1897" t="s">
        <v>7</v>
      </c>
      <c r="C1897" t="s">
        <v>13</v>
      </c>
      <c r="D1897" t="s">
        <v>14</v>
      </c>
      <c r="E1897" t="s">
        <v>10</v>
      </c>
      <c r="F1897">
        <v>1111.82</v>
      </c>
      <c r="G1897">
        <v>2022</v>
      </c>
    </row>
    <row r="1898" spans="1:7" x14ac:dyDescent="0.3">
      <c r="A1898" t="s">
        <v>103</v>
      </c>
      <c r="B1898" t="s">
        <v>19</v>
      </c>
      <c r="C1898" t="s">
        <v>23</v>
      </c>
      <c r="D1898" t="s">
        <v>14</v>
      </c>
      <c r="E1898" t="s">
        <v>24</v>
      </c>
      <c r="F1898">
        <v>4547.9799999999996</v>
      </c>
      <c r="G1898">
        <v>2023</v>
      </c>
    </row>
    <row r="1899" spans="1:7" x14ac:dyDescent="0.3">
      <c r="A1899" t="s">
        <v>216</v>
      </c>
      <c r="B1899" t="s">
        <v>17</v>
      </c>
      <c r="C1899" t="s">
        <v>13</v>
      </c>
      <c r="D1899" t="s">
        <v>9</v>
      </c>
      <c r="E1899" t="s">
        <v>24</v>
      </c>
      <c r="F1899">
        <v>5035.87</v>
      </c>
      <c r="G1899">
        <v>2022</v>
      </c>
    </row>
    <row r="1900" spans="1:7" x14ac:dyDescent="0.3">
      <c r="A1900" t="s">
        <v>106</v>
      </c>
      <c r="B1900" t="s">
        <v>12</v>
      </c>
      <c r="C1900" t="s">
        <v>8</v>
      </c>
      <c r="D1900" t="s">
        <v>14</v>
      </c>
      <c r="E1900" t="s">
        <v>15</v>
      </c>
      <c r="F1900">
        <v>666.62</v>
      </c>
      <c r="G1900">
        <v>2022</v>
      </c>
    </row>
    <row r="1901" spans="1:7" x14ac:dyDescent="0.3">
      <c r="A1901" t="s">
        <v>104</v>
      </c>
      <c r="B1901" t="s">
        <v>17</v>
      </c>
      <c r="C1901" t="s">
        <v>8</v>
      </c>
      <c r="D1901" t="s">
        <v>28</v>
      </c>
      <c r="E1901" t="s">
        <v>24</v>
      </c>
      <c r="F1901">
        <v>4848.67</v>
      </c>
      <c r="G1901">
        <v>2022</v>
      </c>
    </row>
    <row r="1902" spans="1:7" x14ac:dyDescent="0.3">
      <c r="A1902" t="s">
        <v>181</v>
      </c>
      <c r="B1902" t="s">
        <v>30</v>
      </c>
      <c r="C1902" t="s">
        <v>13</v>
      </c>
      <c r="D1902" t="s">
        <v>28</v>
      </c>
      <c r="E1902" t="s">
        <v>24</v>
      </c>
      <c r="F1902">
        <v>965.26</v>
      </c>
      <c r="G1902">
        <v>2022</v>
      </c>
    </row>
    <row r="1903" spans="1:7" x14ac:dyDescent="0.3">
      <c r="A1903" t="s">
        <v>102</v>
      </c>
      <c r="B1903" t="s">
        <v>19</v>
      </c>
      <c r="C1903" t="s">
        <v>34</v>
      </c>
      <c r="D1903" t="s">
        <v>9</v>
      </c>
      <c r="E1903" t="s">
        <v>24</v>
      </c>
      <c r="F1903">
        <v>3352.88</v>
      </c>
      <c r="G1903">
        <v>2023</v>
      </c>
    </row>
    <row r="1904" spans="1:7" x14ac:dyDescent="0.3">
      <c r="A1904" t="s">
        <v>220</v>
      </c>
      <c r="B1904" t="s">
        <v>12</v>
      </c>
      <c r="C1904" t="s">
        <v>23</v>
      </c>
      <c r="D1904" t="s">
        <v>9</v>
      </c>
      <c r="E1904" t="s">
        <v>24</v>
      </c>
      <c r="F1904">
        <v>3960.69</v>
      </c>
      <c r="G1904">
        <v>2023</v>
      </c>
    </row>
    <row r="1905" spans="1:7" x14ac:dyDescent="0.3">
      <c r="A1905" t="s">
        <v>185</v>
      </c>
      <c r="B1905" t="s">
        <v>30</v>
      </c>
      <c r="C1905" t="s">
        <v>8</v>
      </c>
      <c r="D1905" t="s">
        <v>28</v>
      </c>
      <c r="E1905" t="s">
        <v>24</v>
      </c>
      <c r="F1905">
        <v>4162.58</v>
      </c>
      <c r="G1905">
        <v>2022</v>
      </c>
    </row>
    <row r="1906" spans="1:7" x14ac:dyDescent="0.3">
      <c r="A1906" t="s">
        <v>132</v>
      </c>
      <c r="B1906" t="s">
        <v>19</v>
      </c>
      <c r="C1906" t="s">
        <v>13</v>
      </c>
      <c r="D1906" t="s">
        <v>28</v>
      </c>
      <c r="E1906" t="s">
        <v>24</v>
      </c>
      <c r="F1906">
        <v>3555.25</v>
      </c>
      <c r="G1906">
        <v>2022</v>
      </c>
    </row>
    <row r="1907" spans="1:7" x14ac:dyDescent="0.3">
      <c r="A1907" t="s">
        <v>55</v>
      </c>
      <c r="B1907" t="s">
        <v>12</v>
      </c>
      <c r="C1907" t="s">
        <v>34</v>
      </c>
      <c r="D1907" t="s">
        <v>9</v>
      </c>
      <c r="E1907" t="s">
        <v>24</v>
      </c>
      <c r="F1907">
        <v>4585.8900000000003</v>
      </c>
      <c r="G1907">
        <v>2023</v>
      </c>
    </row>
    <row r="1908" spans="1:7" x14ac:dyDescent="0.3">
      <c r="A1908" t="s">
        <v>116</v>
      </c>
      <c r="B1908" t="s">
        <v>17</v>
      </c>
      <c r="C1908" t="s">
        <v>8</v>
      </c>
      <c r="D1908" t="s">
        <v>9</v>
      </c>
      <c r="E1908" t="s">
        <v>24</v>
      </c>
      <c r="F1908">
        <v>875.53</v>
      </c>
      <c r="G1908">
        <v>2022</v>
      </c>
    </row>
    <row r="1909" spans="1:7" x14ac:dyDescent="0.3">
      <c r="A1909" t="s">
        <v>198</v>
      </c>
      <c r="B1909" t="s">
        <v>12</v>
      </c>
      <c r="C1909" t="s">
        <v>8</v>
      </c>
      <c r="D1909" t="s">
        <v>9</v>
      </c>
      <c r="E1909" t="s">
        <v>24</v>
      </c>
      <c r="F1909">
        <v>3686.68</v>
      </c>
      <c r="G1909">
        <v>2022</v>
      </c>
    </row>
    <row r="1910" spans="1:7" x14ac:dyDescent="0.3">
      <c r="A1910" t="s">
        <v>173</v>
      </c>
      <c r="B1910" t="s">
        <v>30</v>
      </c>
      <c r="C1910" t="s">
        <v>8</v>
      </c>
      <c r="D1910" t="s">
        <v>14</v>
      </c>
      <c r="E1910" t="s">
        <v>24</v>
      </c>
      <c r="F1910">
        <v>2899.46</v>
      </c>
      <c r="G1910">
        <v>2022</v>
      </c>
    </row>
    <row r="1911" spans="1:7" x14ac:dyDescent="0.3">
      <c r="A1911" t="s">
        <v>29</v>
      </c>
      <c r="B1911" t="s">
        <v>30</v>
      </c>
      <c r="C1911" t="s">
        <v>23</v>
      </c>
      <c r="D1911" t="s">
        <v>28</v>
      </c>
      <c r="E1911" t="s">
        <v>15</v>
      </c>
      <c r="F1911">
        <v>429.01</v>
      </c>
      <c r="G1911">
        <v>2023</v>
      </c>
    </row>
    <row r="1912" spans="1:7" x14ac:dyDescent="0.3">
      <c r="A1912" t="s">
        <v>116</v>
      </c>
      <c r="B1912" t="s">
        <v>17</v>
      </c>
      <c r="C1912" t="s">
        <v>13</v>
      </c>
      <c r="D1912" t="s">
        <v>9</v>
      </c>
      <c r="E1912" t="s">
        <v>10</v>
      </c>
      <c r="F1912">
        <v>1770.19</v>
      </c>
      <c r="G1912">
        <v>2022</v>
      </c>
    </row>
    <row r="1913" spans="1:7" x14ac:dyDescent="0.3">
      <c r="A1913" t="s">
        <v>71</v>
      </c>
      <c r="B1913" t="s">
        <v>7</v>
      </c>
      <c r="C1913" t="s">
        <v>23</v>
      </c>
      <c r="D1913" t="s">
        <v>28</v>
      </c>
      <c r="E1913" t="s">
        <v>15</v>
      </c>
      <c r="F1913">
        <v>2143.0300000000002</v>
      </c>
      <c r="G1913">
        <v>2023</v>
      </c>
    </row>
    <row r="1914" spans="1:7" x14ac:dyDescent="0.3">
      <c r="A1914" t="s">
        <v>40</v>
      </c>
      <c r="B1914" t="s">
        <v>19</v>
      </c>
      <c r="C1914" t="s">
        <v>8</v>
      </c>
      <c r="D1914" t="s">
        <v>14</v>
      </c>
      <c r="E1914" t="s">
        <v>15</v>
      </c>
      <c r="F1914">
        <v>81.83</v>
      </c>
      <c r="G1914">
        <v>2022</v>
      </c>
    </row>
    <row r="1915" spans="1:7" x14ac:dyDescent="0.3">
      <c r="A1915" t="s">
        <v>133</v>
      </c>
      <c r="B1915" t="s">
        <v>17</v>
      </c>
      <c r="C1915" t="s">
        <v>23</v>
      </c>
      <c r="D1915" t="s">
        <v>9</v>
      </c>
      <c r="E1915" t="s">
        <v>24</v>
      </c>
      <c r="F1915">
        <v>2577.6</v>
      </c>
      <c r="G1915">
        <v>2023</v>
      </c>
    </row>
    <row r="1916" spans="1:7" x14ac:dyDescent="0.3">
      <c r="A1916" t="s">
        <v>60</v>
      </c>
      <c r="B1916" t="s">
        <v>12</v>
      </c>
      <c r="C1916" t="s">
        <v>8</v>
      </c>
      <c r="D1916" t="s">
        <v>9</v>
      </c>
      <c r="E1916" t="s">
        <v>15</v>
      </c>
      <c r="F1916">
        <v>5027.8599999999997</v>
      </c>
      <c r="G1916">
        <v>2022</v>
      </c>
    </row>
    <row r="1917" spans="1:7" x14ac:dyDescent="0.3">
      <c r="A1917" t="s">
        <v>124</v>
      </c>
      <c r="B1917" t="s">
        <v>12</v>
      </c>
      <c r="C1917" t="s">
        <v>23</v>
      </c>
      <c r="D1917" t="s">
        <v>28</v>
      </c>
      <c r="E1917" t="s">
        <v>15</v>
      </c>
      <c r="F1917">
        <v>3269.61</v>
      </c>
      <c r="G1917">
        <v>2023</v>
      </c>
    </row>
    <row r="1918" spans="1:7" x14ac:dyDescent="0.3">
      <c r="A1918" t="s">
        <v>198</v>
      </c>
      <c r="B1918" t="s">
        <v>12</v>
      </c>
      <c r="C1918" t="s">
        <v>13</v>
      </c>
      <c r="D1918" t="s">
        <v>9</v>
      </c>
      <c r="E1918" t="s">
        <v>10</v>
      </c>
      <c r="F1918">
        <v>3769.66</v>
      </c>
      <c r="G1918">
        <v>2022</v>
      </c>
    </row>
    <row r="1919" spans="1:7" x14ac:dyDescent="0.3">
      <c r="A1919" t="s">
        <v>180</v>
      </c>
      <c r="B1919" t="s">
        <v>30</v>
      </c>
      <c r="C1919" t="s">
        <v>23</v>
      </c>
      <c r="D1919" t="s">
        <v>14</v>
      </c>
      <c r="E1919" t="s">
        <v>10</v>
      </c>
      <c r="F1919">
        <v>3970.3</v>
      </c>
      <c r="G1919">
        <v>2023</v>
      </c>
    </row>
    <row r="1920" spans="1:7" x14ac:dyDescent="0.3">
      <c r="A1920" t="s">
        <v>131</v>
      </c>
      <c r="B1920" t="s">
        <v>17</v>
      </c>
      <c r="C1920" t="s">
        <v>23</v>
      </c>
      <c r="D1920" t="s">
        <v>14</v>
      </c>
      <c r="E1920" t="s">
        <v>10</v>
      </c>
      <c r="F1920">
        <v>2665.16</v>
      </c>
      <c r="G1920">
        <v>2023</v>
      </c>
    </row>
    <row r="1921" spans="1:7" x14ac:dyDescent="0.3">
      <c r="A1921" t="s">
        <v>182</v>
      </c>
      <c r="B1921" t="s">
        <v>12</v>
      </c>
      <c r="C1921" t="s">
        <v>23</v>
      </c>
      <c r="D1921" t="s">
        <v>14</v>
      </c>
      <c r="E1921" t="s">
        <v>24</v>
      </c>
      <c r="F1921">
        <v>374.88</v>
      </c>
      <c r="G1921">
        <v>2023</v>
      </c>
    </row>
    <row r="1922" spans="1:7" x14ac:dyDescent="0.3">
      <c r="A1922" t="s">
        <v>214</v>
      </c>
      <c r="B1922" t="s">
        <v>30</v>
      </c>
      <c r="C1922" t="s">
        <v>13</v>
      </c>
      <c r="D1922" t="s">
        <v>9</v>
      </c>
      <c r="E1922" t="s">
        <v>10</v>
      </c>
      <c r="F1922">
        <v>1106.08</v>
      </c>
      <c r="G1922">
        <v>2022</v>
      </c>
    </row>
    <row r="1923" spans="1:7" x14ac:dyDescent="0.3">
      <c r="A1923" t="s">
        <v>207</v>
      </c>
      <c r="B1923" t="s">
        <v>17</v>
      </c>
      <c r="C1923" t="s">
        <v>8</v>
      </c>
      <c r="D1923" t="s">
        <v>9</v>
      </c>
      <c r="E1923" t="s">
        <v>15</v>
      </c>
      <c r="F1923">
        <v>2876.48</v>
      </c>
      <c r="G1923">
        <v>2022</v>
      </c>
    </row>
    <row r="1924" spans="1:7" x14ac:dyDescent="0.3">
      <c r="A1924" t="s">
        <v>67</v>
      </c>
      <c r="B1924" t="s">
        <v>7</v>
      </c>
      <c r="C1924" t="s">
        <v>34</v>
      </c>
      <c r="D1924" t="s">
        <v>14</v>
      </c>
      <c r="E1924" t="s">
        <v>24</v>
      </c>
      <c r="F1924">
        <v>4394.3599999999997</v>
      </c>
      <c r="G1924">
        <v>2023</v>
      </c>
    </row>
    <row r="1925" spans="1:7" x14ac:dyDescent="0.3">
      <c r="A1925" t="s">
        <v>191</v>
      </c>
      <c r="B1925" t="s">
        <v>12</v>
      </c>
      <c r="C1925" t="s">
        <v>34</v>
      </c>
      <c r="D1925" t="s">
        <v>28</v>
      </c>
      <c r="E1925" t="s">
        <v>10</v>
      </c>
      <c r="F1925">
        <v>3682.56</v>
      </c>
      <c r="G1925">
        <v>2023</v>
      </c>
    </row>
    <row r="1926" spans="1:7" x14ac:dyDescent="0.3">
      <c r="A1926" t="s">
        <v>179</v>
      </c>
      <c r="B1926" t="s">
        <v>7</v>
      </c>
      <c r="C1926" t="s">
        <v>23</v>
      </c>
      <c r="D1926" t="s">
        <v>14</v>
      </c>
      <c r="E1926" t="s">
        <v>24</v>
      </c>
      <c r="F1926">
        <v>2576.87</v>
      </c>
      <c r="G1926">
        <v>2023</v>
      </c>
    </row>
    <row r="1927" spans="1:7" x14ac:dyDescent="0.3">
      <c r="A1927" t="s">
        <v>217</v>
      </c>
      <c r="B1927" t="s">
        <v>19</v>
      </c>
      <c r="C1927" t="s">
        <v>23</v>
      </c>
      <c r="D1927" t="s">
        <v>14</v>
      </c>
      <c r="E1927" t="s">
        <v>15</v>
      </c>
      <c r="F1927">
        <v>4625.6000000000004</v>
      </c>
      <c r="G1927">
        <v>2023</v>
      </c>
    </row>
    <row r="1928" spans="1:7" x14ac:dyDescent="0.3">
      <c r="A1928" t="s">
        <v>161</v>
      </c>
      <c r="B1928" t="s">
        <v>7</v>
      </c>
      <c r="C1928" t="s">
        <v>23</v>
      </c>
      <c r="D1928" t="s">
        <v>14</v>
      </c>
      <c r="E1928" t="s">
        <v>24</v>
      </c>
      <c r="F1928">
        <v>3554.21</v>
      </c>
      <c r="G1928">
        <v>2023</v>
      </c>
    </row>
    <row r="1929" spans="1:7" x14ac:dyDescent="0.3">
      <c r="A1929" t="s">
        <v>209</v>
      </c>
      <c r="B1929" t="s">
        <v>7</v>
      </c>
      <c r="C1929" t="s">
        <v>34</v>
      </c>
      <c r="D1929" t="s">
        <v>14</v>
      </c>
      <c r="E1929" t="s">
        <v>24</v>
      </c>
      <c r="F1929">
        <v>2525.88</v>
      </c>
      <c r="G1929">
        <v>2023</v>
      </c>
    </row>
    <row r="1930" spans="1:7" x14ac:dyDescent="0.3">
      <c r="A1930" t="s">
        <v>76</v>
      </c>
      <c r="B1930" t="s">
        <v>17</v>
      </c>
      <c r="C1930" t="s">
        <v>8</v>
      </c>
      <c r="D1930" t="s">
        <v>9</v>
      </c>
      <c r="E1930" t="s">
        <v>15</v>
      </c>
      <c r="F1930">
        <v>2134.8000000000002</v>
      </c>
      <c r="G1930">
        <v>2022</v>
      </c>
    </row>
    <row r="1931" spans="1:7" x14ac:dyDescent="0.3">
      <c r="A1931" t="s">
        <v>80</v>
      </c>
      <c r="B1931" t="s">
        <v>17</v>
      </c>
      <c r="C1931" t="s">
        <v>34</v>
      </c>
      <c r="D1931" t="s">
        <v>28</v>
      </c>
      <c r="E1931" t="s">
        <v>10</v>
      </c>
      <c r="F1931">
        <v>798.55</v>
      </c>
      <c r="G1931">
        <v>2023</v>
      </c>
    </row>
    <row r="1932" spans="1:7" x14ac:dyDescent="0.3">
      <c r="A1932" t="s">
        <v>207</v>
      </c>
      <c r="B1932" t="s">
        <v>17</v>
      </c>
      <c r="C1932" t="s">
        <v>8</v>
      </c>
      <c r="D1932" t="s">
        <v>28</v>
      </c>
      <c r="E1932" t="s">
        <v>24</v>
      </c>
      <c r="F1932">
        <v>4426.58</v>
      </c>
      <c r="G1932">
        <v>2022</v>
      </c>
    </row>
    <row r="1933" spans="1:7" x14ac:dyDescent="0.3">
      <c r="A1933" t="s">
        <v>84</v>
      </c>
      <c r="B1933" t="s">
        <v>30</v>
      </c>
      <c r="C1933" t="s">
        <v>34</v>
      </c>
      <c r="D1933" t="s">
        <v>14</v>
      </c>
      <c r="E1933" t="s">
        <v>15</v>
      </c>
      <c r="F1933">
        <v>2921.55</v>
      </c>
      <c r="G1933">
        <v>2023</v>
      </c>
    </row>
    <row r="1934" spans="1:7" x14ac:dyDescent="0.3">
      <c r="A1934" t="s">
        <v>176</v>
      </c>
      <c r="B1934" t="s">
        <v>19</v>
      </c>
      <c r="C1934" t="s">
        <v>34</v>
      </c>
      <c r="D1934" t="s">
        <v>14</v>
      </c>
      <c r="E1934" t="s">
        <v>24</v>
      </c>
      <c r="F1934">
        <v>1534.55</v>
      </c>
      <c r="G1934">
        <v>2023</v>
      </c>
    </row>
    <row r="1935" spans="1:7" x14ac:dyDescent="0.3">
      <c r="A1935" t="s">
        <v>11</v>
      </c>
      <c r="B1935" t="s">
        <v>12</v>
      </c>
      <c r="C1935" t="s">
        <v>13</v>
      </c>
      <c r="D1935" t="s">
        <v>9</v>
      </c>
      <c r="E1935" t="s">
        <v>15</v>
      </c>
      <c r="F1935">
        <v>3062.35</v>
      </c>
      <c r="G1935">
        <v>2022</v>
      </c>
    </row>
    <row r="1936" spans="1:7" x14ac:dyDescent="0.3">
      <c r="A1936" t="s">
        <v>185</v>
      </c>
      <c r="B1936" t="s">
        <v>30</v>
      </c>
      <c r="C1936" t="s">
        <v>8</v>
      </c>
      <c r="D1936" t="s">
        <v>9</v>
      </c>
      <c r="E1936" t="s">
        <v>15</v>
      </c>
      <c r="F1936">
        <v>1828.37</v>
      </c>
      <c r="G1936">
        <v>2022</v>
      </c>
    </row>
    <row r="1937" spans="1:7" x14ac:dyDescent="0.3">
      <c r="A1937" t="s">
        <v>181</v>
      </c>
      <c r="B1937" t="s">
        <v>30</v>
      </c>
      <c r="C1937" t="s">
        <v>8</v>
      </c>
      <c r="D1937" t="s">
        <v>9</v>
      </c>
      <c r="E1937" t="s">
        <v>15</v>
      </c>
      <c r="F1937">
        <v>2945.04</v>
      </c>
      <c r="G1937">
        <v>2022</v>
      </c>
    </row>
    <row r="1938" spans="1:7" x14ac:dyDescent="0.3">
      <c r="A1938" t="s">
        <v>29</v>
      </c>
      <c r="B1938" t="s">
        <v>30</v>
      </c>
      <c r="C1938" t="s">
        <v>34</v>
      </c>
      <c r="D1938" t="s">
        <v>28</v>
      </c>
      <c r="E1938" t="s">
        <v>10</v>
      </c>
      <c r="F1938">
        <v>2905.61</v>
      </c>
      <c r="G1938">
        <v>2023</v>
      </c>
    </row>
    <row r="1939" spans="1:7" x14ac:dyDescent="0.3">
      <c r="A1939" t="s">
        <v>199</v>
      </c>
      <c r="B1939" t="s">
        <v>17</v>
      </c>
      <c r="C1939" t="s">
        <v>23</v>
      </c>
      <c r="D1939" t="s">
        <v>28</v>
      </c>
      <c r="E1939" t="s">
        <v>24</v>
      </c>
      <c r="F1939">
        <v>3354.34</v>
      </c>
      <c r="G1939">
        <v>2023</v>
      </c>
    </row>
    <row r="1940" spans="1:7" x14ac:dyDescent="0.3">
      <c r="A1940" t="s">
        <v>168</v>
      </c>
      <c r="B1940" t="s">
        <v>17</v>
      </c>
      <c r="C1940" t="s">
        <v>23</v>
      </c>
      <c r="D1940" t="s">
        <v>14</v>
      </c>
      <c r="E1940" t="s">
        <v>10</v>
      </c>
      <c r="F1940">
        <v>4622.8599999999997</v>
      </c>
      <c r="G1940">
        <v>2023</v>
      </c>
    </row>
    <row r="1941" spans="1:7" x14ac:dyDescent="0.3">
      <c r="A1941" t="s">
        <v>97</v>
      </c>
      <c r="B1941" t="s">
        <v>7</v>
      </c>
      <c r="C1941" t="s">
        <v>13</v>
      </c>
      <c r="D1941" t="s">
        <v>9</v>
      </c>
      <c r="E1941" t="s">
        <v>24</v>
      </c>
      <c r="F1941">
        <v>4374</v>
      </c>
      <c r="G1941">
        <v>2022</v>
      </c>
    </row>
    <row r="1942" spans="1:7" x14ac:dyDescent="0.3">
      <c r="A1942" t="s">
        <v>95</v>
      </c>
      <c r="B1942" t="s">
        <v>30</v>
      </c>
      <c r="C1942" t="s">
        <v>34</v>
      </c>
      <c r="D1942" t="s">
        <v>28</v>
      </c>
      <c r="E1942" t="s">
        <v>10</v>
      </c>
      <c r="F1942">
        <v>1375.43</v>
      </c>
      <c r="G1942">
        <v>2023</v>
      </c>
    </row>
    <row r="1943" spans="1:7" x14ac:dyDescent="0.3">
      <c r="A1943" t="s">
        <v>129</v>
      </c>
      <c r="B1943" t="s">
        <v>17</v>
      </c>
      <c r="C1943" t="s">
        <v>8</v>
      </c>
      <c r="D1943" t="s">
        <v>9</v>
      </c>
      <c r="E1943" t="s">
        <v>24</v>
      </c>
      <c r="F1943">
        <v>4136.82</v>
      </c>
      <c r="G1943">
        <v>2022</v>
      </c>
    </row>
    <row r="1944" spans="1:7" x14ac:dyDescent="0.3">
      <c r="A1944" t="s">
        <v>100</v>
      </c>
      <c r="B1944" t="s">
        <v>7</v>
      </c>
      <c r="C1944" t="s">
        <v>13</v>
      </c>
      <c r="D1944" t="s">
        <v>9</v>
      </c>
      <c r="E1944" t="s">
        <v>10</v>
      </c>
      <c r="F1944">
        <v>2988.46</v>
      </c>
      <c r="G1944">
        <v>2022</v>
      </c>
    </row>
    <row r="1945" spans="1:7" x14ac:dyDescent="0.3">
      <c r="A1945" t="s">
        <v>119</v>
      </c>
      <c r="B1945" t="s">
        <v>30</v>
      </c>
      <c r="C1945" t="s">
        <v>23</v>
      </c>
      <c r="D1945" t="s">
        <v>9</v>
      </c>
      <c r="E1945" t="s">
        <v>15</v>
      </c>
      <c r="F1945">
        <v>724.74</v>
      </c>
      <c r="G1945">
        <v>2023</v>
      </c>
    </row>
    <row r="1946" spans="1:7" x14ac:dyDescent="0.3">
      <c r="A1946" t="s">
        <v>86</v>
      </c>
      <c r="B1946" t="s">
        <v>19</v>
      </c>
      <c r="C1946" t="s">
        <v>8</v>
      </c>
      <c r="D1946" t="s">
        <v>28</v>
      </c>
      <c r="E1946" t="s">
        <v>15</v>
      </c>
      <c r="F1946">
        <v>4727.37</v>
      </c>
      <c r="G1946">
        <v>2022</v>
      </c>
    </row>
    <row r="1947" spans="1:7" x14ac:dyDescent="0.3">
      <c r="A1947" t="s">
        <v>202</v>
      </c>
      <c r="B1947" t="s">
        <v>12</v>
      </c>
      <c r="C1947" t="s">
        <v>13</v>
      </c>
      <c r="D1947" t="s">
        <v>28</v>
      </c>
      <c r="E1947" t="s">
        <v>24</v>
      </c>
      <c r="F1947">
        <v>78.44</v>
      </c>
      <c r="G1947">
        <v>2022</v>
      </c>
    </row>
    <row r="1948" spans="1:7" x14ac:dyDescent="0.3">
      <c r="A1948" t="s">
        <v>213</v>
      </c>
      <c r="B1948" t="s">
        <v>12</v>
      </c>
      <c r="C1948" t="s">
        <v>8</v>
      </c>
      <c r="D1948" t="s">
        <v>14</v>
      </c>
      <c r="E1948" t="s">
        <v>24</v>
      </c>
      <c r="F1948">
        <v>4289.21</v>
      </c>
      <c r="G1948">
        <v>2022</v>
      </c>
    </row>
    <row r="1949" spans="1:7" x14ac:dyDescent="0.3">
      <c r="A1949" t="s">
        <v>220</v>
      </c>
      <c r="B1949" t="s">
        <v>12</v>
      </c>
      <c r="C1949" t="s">
        <v>34</v>
      </c>
      <c r="D1949" t="s">
        <v>14</v>
      </c>
      <c r="E1949" t="s">
        <v>15</v>
      </c>
      <c r="F1949">
        <v>1666.98</v>
      </c>
      <c r="G1949">
        <v>2023</v>
      </c>
    </row>
    <row r="1950" spans="1:7" x14ac:dyDescent="0.3">
      <c r="A1950" t="s">
        <v>35</v>
      </c>
      <c r="B1950" t="s">
        <v>19</v>
      </c>
      <c r="C1950" t="s">
        <v>13</v>
      </c>
      <c r="D1950" t="s">
        <v>14</v>
      </c>
      <c r="E1950" t="s">
        <v>15</v>
      </c>
      <c r="F1950">
        <v>1277.3399999999999</v>
      </c>
      <c r="G1950">
        <v>2022</v>
      </c>
    </row>
    <row r="1951" spans="1:7" x14ac:dyDescent="0.3">
      <c r="A1951" t="s">
        <v>118</v>
      </c>
      <c r="B1951" t="s">
        <v>30</v>
      </c>
      <c r="C1951" t="s">
        <v>13</v>
      </c>
      <c r="D1951" t="s">
        <v>28</v>
      </c>
      <c r="E1951" t="s">
        <v>24</v>
      </c>
      <c r="F1951">
        <v>371.36</v>
      </c>
      <c r="G1951">
        <v>2022</v>
      </c>
    </row>
    <row r="1952" spans="1:7" x14ac:dyDescent="0.3">
      <c r="A1952" t="s">
        <v>143</v>
      </c>
      <c r="B1952" t="s">
        <v>17</v>
      </c>
      <c r="C1952" t="s">
        <v>13</v>
      </c>
      <c r="D1952" t="s">
        <v>9</v>
      </c>
      <c r="E1952" t="s">
        <v>15</v>
      </c>
      <c r="F1952">
        <v>4247.17</v>
      </c>
      <c r="G1952">
        <v>2022</v>
      </c>
    </row>
    <row r="1953" spans="1:7" x14ac:dyDescent="0.3">
      <c r="A1953" t="s">
        <v>125</v>
      </c>
      <c r="B1953" t="s">
        <v>7</v>
      </c>
      <c r="C1953" t="s">
        <v>13</v>
      </c>
      <c r="D1953" t="s">
        <v>14</v>
      </c>
      <c r="E1953" t="s">
        <v>15</v>
      </c>
      <c r="F1953">
        <v>3150.39</v>
      </c>
      <c r="G1953">
        <v>2022</v>
      </c>
    </row>
    <row r="1954" spans="1:7" x14ac:dyDescent="0.3">
      <c r="A1954" t="s">
        <v>127</v>
      </c>
      <c r="B1954" t="s">
        <v>17</v>
      </c>
      <c r="C1954" t="s">
        <v>13</v>
      </c>
      <c r="D1954" t="s">
        <v>9</v>
      </c>
      <c r="E1954" t="s">
        <v>15</v>
      </c>
      <c r="F1954">
        <v>3071.44</v>
      </c>
      <c r="G1954">
        <v>2022</v>
      </c>
    </row>
    <row r="1955" spans="1:7" x14ac:dyDescent="0.3">
      <c r="A1955" t="s">
        <v>58</v>
      </c>
      <c r="B1955" t="s">
        <v>17</v>
      </c>
      <c r="C1955" t="s">
        <v>13</v>
      </c>
      <c r="D1955" t="s">
        <v>14</v>
      </c>
      <c r="E1955" t="s">
        <v>15</v>
      </c>
      <c r="F1955">
        <v>341.64</v>
      </c>
      <c r="G1955">
        <v>2022</v>
      </c>
    </row>
    <row r="1956" spans="1:7" x14ac:dyDescent="0.3">
      <c r="A1956" t="s">
        <v>69</v>
      </c>
      <c r="B1956" t="s">
        <v>7</v>
      </c>
      <c r="C1956" t="s">
        <v>13</v>
      </c>
      <c r="D1956" t="s">
        <v>28</v>
      </c>
      <c r="E1956" t="s">
        <v>24</v>
      </c>
      <c r="F1956">
        <v>4075.39</v>
      </c>
      <c r="G1956">
        <v>2022</v>
      </c>
    </row>
    <row r="1957" spans="1:7" x14ac:dyDescent="0.3">
      <c r="A1957" t="s">
        <v>142</v>
      </c>
      <c r="B1957" t="s">
        <v>17</v>
      </c>
      <c r="C1957" t="s">
        <v>8</v>
      </c>
      <c r="D1957" t="s">
        <v>28</v>
      </c>
      <c r="E1957" t="s">
        <v>24</v>
      </c>
      <c r="F1957">
        <v>4062.72</v>
      </c>
      <c r="G1957">
        <v>2022</v>
      </c>
    </row>
    <row r="1958" spans="1:7" x14ac:dyDescent="0.3">
      <c r="A1958" t="s">
        <v>64</v>
      </c>
      <c r="B1958" t="s">
        <v>30</v>
      </c>
      <c r="C1958" t="s">
        <v>13</v>
      </c>
      <c r="D1958" t="s">
        <v>28</v>
      </c>
      <c r="E1958" t="s">
        <v>15</v>
      </c>
      <c r="F1958">
        <v>3930.54</v>
      </c>
      <c r="G1958">
        <v>2022</v>
      </c>
    </row>
    <row r="1959" spans="1:7" x14ac:dyDescent="0.3">
      <c r="A1959" t="s">
        <v>201</v>
      </c>
      <c r="B1959" t="s">
        <v>12</v>
      </c>
      <c r="C1959" t="s">
        <v>23</v>
      </c>
      <c r="D1959" t="s">
        <v>14</v>
      </c>
      <c r="E1959" t="s">
        <v>10</v>
      </c>
      <c r="F1959">
        <v>1919.26</v>
      </c>
      <c r="G1959">
        <v>2023</v>
      </c>
    </row>
    <row r="1960" spans="1:7" x14ac:dyDescent="0.3">
      <c r="A1960" t="s">
        <v>210</v>
      </c>
      <c r="B1960" t="s">
        <v>7</v>
      </c>
      <c r="C1960" t="s">
        <v>13</v>
      </c>
      <c r="D1960" t="s">
        <v>14</v>
      </c>
      <c r="E1960" t="s">
        <v>10</v>
      </c>
      <c r="F1960">
        <v>3554.23</v>
      </c>
      <c r="G1960">
        <v>2022</v>
      </c>
    </row>
    <row r="1961" spans="1:7" x14ac:dyDescent="0.3">
      <c r="A1961" t="s">
        <v>169</v>
      </c>
      <c r="B1961" t="s">
        <v>12</v>
      </c>
      <c r="C1961" t="s">
        <v>13</v>
      </c>
      <c r="D1961" t="s">
        <v>9</v>
      </c>
      <c r="E1961" t="s">
        <v>24</v>
      </c>
      <c r="F1961">
        <v>493.58</v>
      </c>
      <c r="G1961">
        <v>2022</v>
      </c>
    </row>
    <row r="1962" spans="1:7" x14ac:dyDescent="0.3">
      <c r="A1962" t="s">
        <v>87</v>
      </c>
      <c r="B1962" t="s">
        <v>12</v>
      </c>
      <c r="C1962" t="s">
        <v>23</v>
      </c>
      <c r="D1962" t="s">
        <v>9</v>
      </c>
      <c r="E1962" t="s">
        <v>10</v>
      </c>
      <c r="F1962">
        <v>2362.16</v>
      </c>
      <c r="G1962">
        <v>2023</v>
      </c>
    </row>
    <row r="1963" spans="1:7" x14ac:dyDescent="0.3">
      <c r="A1963" t="s">
        <v>203</v>
      </c>
      <c r="B1963" t="s">
        <v>12</v>
      </c>
      <c r="C1963" t="s">
        <v>13</v>
      </c>
      <c r="D1963" t="s">
        <v>14</v>
      </c>
      <c r="E1963" t="s">
        <v>15</v>
      </c>
      <c r="F1963">
        <v>984.26</v>
      </c>
      <c r="G1963">
        <v>2022</v>
      </c>
    </row>
    <row r="1964" spans="1:7" x14ac:dyDescent="0.3">
      <c r="A1964" t="s">
        <v>163</v>
      </c>
      <c r="B1964" t="s">
        <v>19</v>
      </c>
      <c r="C1964" t="s">
        <v>23</v>
      </c>
      <c r="D1964" t="s">
        <v>28</v>
      </c>
      <c r="E1964" t="s">
        <v>24</v>
      </c>
      <c r="F1964">
        <v>2223.0500000000002</v>
      </c>
      <c r="G1964">
        <v>2023</v>
      </c>
    </row>
    <row r="1965" spans="1:7" x14ac:dyDescent="0.3">
      <c r="A1965" t="s">
        <v>54</v>
      </c>
      <c r="B1965" t="s">
        <v>12</v>
      </c>
      <c r="C1965" t="s">
        <v>34</v>
      </c>
      <c r="D1965" t="s">
        <v>9</v>
      </c>
      <c r="E1965" t="s">
        <v>24</v>
      </c>
      <c r="F1965">
        <v>2498.85</v>
      </c>
      <c r="G1965">
        <v>2023</v>
      </c>
    </row>
    <row r="1966" spans="1:7" x14ac:dyDescent="0.3">
      <c r="A1966" t="s">
        <v>21</v>
      </c>
      <c r="B1966" t="s">
        <v>19</v>
      </c>
      <c r="C1966" t="s">
        <v>8</v>
      </c>
      <c r="D1966" t="s">
        <v>9</v>
      </c>
      <c r="E1966" t="s">
        <v>10</v>
      </c>
      <c r="F1966">
        <v>857.66</v>
      </c>
      <c r="G1966">
        <v>2022</v>
      </c>
    </row>
    <row r="1967" spans="1:7" x14ac:dyDescent="0.3">
      <c r="A1967" t="s">
        <v>53</v>
      </c>
      <c r="B1967" t="s">
        <v>7</v>
      </c>
      <c r="C1967" t="s">
        <v>8</v>
      </c>
      <c r="D1967" t="s">
        <v>14</v>
      </c>
      <c r="E1967" t="s">
        <v>15</v>
      </c>
      <c r="F1967">
        <v>2079.4</v>
      </c>
      <c r="G1967">
        <v>2022</v>
      </c>
    </row>
    <row r="1968" spans="1:7" x14ac:dyDescent="0.3">
      <c r="A1968" t="s">
        <v>36</v>
      </c>
      <c r="B1968" t="s">
        <v>12</v>
      </c>
      <c r="C1968" t="s">
        <v>13</v>
      </c>
      <c r="D1968" t="s">
        <v>28</v>
      </c>
      <c r="E1968" t="s">
        <v>15</v>
      </c>
      <c r="F1968">
        <v>2644.71</v>
      </c>
      <c r="G1968">
        <v>2022</v>
      </c>
    </row>
    <row r="1969" spans="1:7" x14ac:dyDescent="0.3">
      <c r="A1969" t="s">
        <v>110</v>
      </c>
      <c r="B1969" t="s">
        <v>12</v>
      </c>
      <c r="C1969" t="s">
        <v>8</v>
      </c>
      <c r="D1969" t="s">
        <v>14</v>
      </c>
      <c r="E1969" t="s">
        <v>15</v>
      </c>
      <c r="F1969">
        <v>813.42</v>
      </c>
      <c r="G1969">
        <v>2022</v>
      </c>
    </row>
    <row r="1970" spans="1:7" x14ac:dyDescent="0.3">
      <c r="A1970" t="s">
        <v>77</v>
      </c>
      <c r="B1970" t="s">
        <v>30</v>
      </c>
      <c r="C1970" t="s">
        <v>23</v>
      </c>
      <c r="D1970" t="s">
        <v>9</v>
      </c>
      <c r="E1970" t="s">
        <v>15</v>
      </c>
      <c r="F1970">
        <v>1500.74</v>
      </c>
      <c r="G1970">
        <v>2023</v>
      </c>
    </row>
    <row r="1971" spans="1:7" x14ac:dyDescent="0.3">
      <c r="A1971" t="s">
        <v>117</v>
      </c>
      <c r="B1971" t="s">
        <v>7</v>
      </c>
      <c r="C1971" t="s">
        <v>34</v>
      </c>
      <c r="D1971" t="s">
        <v>14</v>
      </c>
      <c r="E1971" t="s">
        <v>24</v>
      </c>
      <c r="F1971">
        <v>2099.7800000000002</v>
      </c>
      <c r="G1971">
        <v>2023</v>
      </c>
    </row>
    <row r="1972" spans="1:7" x14ac:dyDescent="0.3">
      <c r="A1972" t="s">
        <v>125</v>
      </c>
      <c r="B1972" t="s">
        <v>7</v>
      </c>
      <c r="C1972" t="s">
        <v>13</v>
      </c>
      <c r="D1972" t="s">
        <v>9</v>
      </c>
      <c r="E1972" t="s">
        <v>10</v>
      </c>
      <c r="F1972">
        <v>3573.18</v>
      </c>
      <c r="G1972">
        <v>2022</v>
      </c>
    </row>
    <row r="1973" spans="1:7" x14ac:dyDescent="0.3">
      <c r="A1973" t="s">
        <v>136</v>
      </c>
      <c r="B1973" t="s">
        <v>17</v>
      </c>
      <c r="C1973" t="s">
        <v>23</v>
      </c>
      <c r="D1973" t="s">
        <v>9</v>
      </c>
      <c r="E1973" t="s">
        <v>15</v>
      </c>
      <c r="F1973">
        <v>3666.98</v>
      </c>
      <c r="G1973">
        <v>2023</v>
      </c>
    </row>
    <row r="1974" spans="1:7" x14ac:dyDescent="0.3">
      <c r="A1974" t="s">
        <v>40</v>
      </c>
      <c r="B1974" t="s">
        <v>19</v>
      </c>
      <c r="C1974" t="s">
        <v>13</v>
      </c>
      <c r="D1974" t="s">
        <v>28</v>
      </c>
      <c r="E1974" t="s">
        <v>15</v>
      </c>
      <c r="F1974">
        <v>4772.12</v>
      </c>
      <c r="G1974">
        <v>2022</v>
      </c>
    </row>
    <row r="1975" spans="1:7" x14ac:dyDescent="0.3">
      <c r="A1975" t="s">
        <v>98</v>
      </c>
      <c r="B1975" t="s">
        <v>19</v>
      </c>
      <c r="C1975" t="s">
        <v>23</v>
      </c>
      <c r="D1975" t="s">
        <v>9</v>
      </c>
      <c r="E1975" t="s">
        <v>24</v>
      </c>
      <c r="F1975">
        <v>4691.37</v>
      </c>
      <c r="G1975">
        <v>2023</v>
      </c>
    </row>
    <row r="1976" spans="1:7" x14ac:dyDescent="0.3">
      <c r="A1976" t="s">
        <v>160</v>
      </c>
      <c r="B1976" t="s">
        <v>30</v>
      </c>
      <c r="C1976" t="s">
        <v>23</v>
      </c>
      <c r="D1976" t="s">
        <v>14</v>
      </c>
      <c r="E1976" t="s">
        <v>15</v>
      </c>
      <c r="F1976">
        <v>2731.04</v>
      </c>
      <c r="G1976">
        <v>2023</v>
      </c>
    </row>
    <row r="1977" spans="1:7" x14ac:dyDescent="0.3">
      <c r="A1977" t="s">
        <v>42</v>
      </c>
      <c r="B1977" t="s">
        <v>30</v>
      </c>
      <c r="C1977" t="s">
        <v>8</v>
      </c>
      <c r="D1977" t="s">
        <v>14</v>
      </c>
      <c r="E1977" t="s">
        <v>24</v>
      </c>
      <c r="F1977">
        <v>3020.79</v>
      </c>
      <c r="G1977">
        <v>2022</v>
      </c>
    </row>
    <row r="1978" spans="1:7" x14ac:dyDescent="0.3">
      <c r="A1978" t="s">
        <v>112</v>
      </c>
      <c r="B1978" t="s">
        <v>30</v>
      </c>
      <c r="C1978" t="s">
        <v>34</v>
      </c>
      <c r="D1978" t="s">
        <v>28</v>
      </c>
      <c r="E1978" t="s">
        <v>24</v>
      </c>
      <c r="F1978">
        <v>1086.79</v>
      </c>
      <c r="G1978">
        <v>2023</v>
      </c>
    </row>
    <row r="1979" spans="1:7" x14ac:dyDescent="0.3">
      <c r="A1979" t="s">
        <v>130</v>
      </c>
      <c r="B1979" t="s">
        <v>12</v>
      </c>
      <c r="C1979" t="s">
        <v>23</v>
      </c>
      <c r="D1979" t="s">
        <v>9</v>
      </c>
      <c r="E1979" t="s">
        <v>24</v>
      </c>
      <c r="F1979">
        <v>5115.13</v>
      </c>
      <c r="G1979">
        <v>2023</v>
      </c>
    </row>
    <row r="1980" spans="1:7" x14ac:dyDescent="0.3">
      <c r="A1980" t="s">
        <v>116</v>
      </c>
      <c r="B1980" t="s">
        <v>17</v>
      </c>
      <c r="C1980" t="s">
        <v>23</v>
      </c>
      <c r="D1980" t="s">
        <v>14</v>
      </c>
      <c r="E1980" t="s">
        <v>10</v>
      </c>
      <c r="F1980">
        <v>2958.7</v>
      </c>
      <c r="G1980">
        <v>2023</v>
      </c>
    </row>
    <row r="1981" spans="1:7" x14ac:dyDescent="0.3">
      <c r="A1981" t="s">
        <v>93</v>
      </c>
      <c r="B1981" t="s">
        <v>30</v>
      </c>
      <c r="C1981" t="s">
        <v>23</v>
      </c>
      <c r="D1981" t="s">
        <v>9</v>
      </c>
      <c r="E1981" t="s">
        <v>10</v>
      </c>
      <c r="F1981">
        <v>1571.97</v>
      </c>
      <c r="G1981">
        <v>2023</v>
      </c>
    </row>
    <row r="1982" spans="1:7" x14ac:dyDescent="0.3">
      <c r="A1982" t="s">
        <v>141</v>
      </c>
      <c r="B1982" t="s">
        <v>7</v>
      </c>
      <c r="C1982" t="s">
        <v>13</v>
      </c>
      <c r="D1982" t="s">
        <v>28</v>
      </c>
      <c r="E1982" t="s">
        <v>15</v>
      </c>
      <c r="F1982">
        <v>2745.85</v>
      </c>
      <c r="G1982">
        <v>2022</v>
      </c>
    </row>
    <row r="1983" spans="1:7" x14ac:dyDescent="0.3">
      <c r="A1983" t="s">
        <v>156</v>
      </c>
      <c r="B1983" t="s">
        <v>17</v>
      </c>
      <c r="C1983" t="s">
        <v>23</v>
      </c>
      <c r="D1983" t="s">
        <v>28</v>
      </c>
      <c r="E1983" t="s">
        <v>24</v>
      </c>
      <c r="F1983">
        <v>1531</v>
      </c>
      <c r="G1983">
        <v>2023</v>
      </c>
    </row>
    <row r="1984" spans="1:7" x14ac:dyDescent="0.3">
      <c r="A1984" t="s">
        <v>207</v>
      </c>
      <c r="B1984" t="s">
        <v>17</v>
      </c>
      <c r="C1984" t="s">
        <v>8</v>
      </c>
      <c r="D1984" t="s">
        <v>9</v>
      </c>
      <c r="E1984" t="s">
        <v>10</v>
      </c>
      <c r="F1984">
        <v>4709.8</v>
      </c>
      <c r="G1984">
        <v>2022</v>
      </c>
    </row>
    <row r="1985" spans="1:7" x14ac:dyDescent="0.3">
      <c r="A1985" t="s">
        <v>171</v>
      </c>
      <c r="B1985" t="s">
        <v>17</v>
      </c>
      <c r="C1985" t="s">
        <v>34</v>
      </c>
      <c r="D1985" t="s">
        <v>28</v>
      </c>
      <c r="E1985" t="s">
        <v>24</v>
      </c>
      <c r="F1985">
        <v>830.08</v>
      </c>
      <c r="G1985">
        <v>2023</v>
      </c>
    </row>
    <row r="1986" spans="1:7" x14ac:dyDescent="0.3">
      <c r="A1986" t="s">
        <v>203</v>
      </c>
      <c r="B1986" t="s">
        <v>12</v>
      </c>
      <c r="C1986" t="s">
        <v>8</v>
      </c>
      <c r="D1986" t="s">
        <v>28</v>
      </c>
      <c r="E1986" t="s">
        <v>15</v>
      </c>
      <c r="F1986">
        <v>4453.8999999999996</v>
      </c>
      <c r="G1986">
        <v>2022</v>
      </c>
    </row>
    <row r="1987" spans="1:7" x14ac:dyDescent="0.3">
      <c r="A1987" t="s">
        <v>70</v>
      </c>
      <c r="B1987" t="s">
        <v>19</v>
      </c>
      <c r="C1987" t="s">
        <v>13</v>
      </c>
      <c r="D1987" t="s">
        <v>28</v>
      </c>
      <c r="E1987" t="s">
        <v>24</v>
      </c>
      <c r="F1987">
        <v>4791.93</v>
      </c>
      <c r="G1987">
        <v>2022</v>
      </c>
    </row>
    <row r="1988" spans="1:7" x14ac:dyDescent="0.3">
      <c r="A1988" t="s">
        <v>137</v>
      </c>
      <c r="B1988" t="s">
        <v>17</v>
      </c>
      <c r="C1988" t="s">
        <v>13</v>
      </c>
      <c r="D1988" t="s">
        <v>9</v>
      </c>
      <c r="E1988" t="s">
        <v>10</v>
      </c>
      <c r="F1988">
        <v>2280.11</v>
      </c>
      <c r="G1988">
        <v>2022</v>
      </c>
    </row>
    <row r="1989" spans="1:7" x14ac:dyDescent="0.3">
      <c r="A1989" t="s">
        <v>101</v>
      </c>
      <c r="B1989" t="s">
        <v>19</v>
      </c>
      <c r="C1989" t="s">
        <v>34</v>
      </c>
      <c r="D1989" t="s">
        <v>9</v>
      </c>
      <c r="E1989" t="s">
        <v>24</v>
      </c>
      <c r="F1989">
        <v>4839.8100000000004</v>
      </c>
      <c r="G1989">
        <v>2023</v>
      </c>
    </row>
    <row r="1990" spans="1:7" x14ac:dyDescent="0.3">
      <c r="A1990" t="s">
        <v>84</v>
      </c>
      <c r="B1990" t="s">
        <v>30</v>
      </c>
      <c r="C1990" t="s">
        <v>13</v>
      </c>
      <c r="D1990" t="s">
        <v>14</v>
      </c>
      <c r="E1990" t="s">
        <v>24</v>
      </c>
      <c r="F1990">
        <v>506.81</v>
      </c>
      <c r="G1990">
        <v>2022</v>
      </c>
    </row>
    <row r="1991" spans="1:7" x14ac:dyDescent="0.3">
      <c r="A1991" t="s">
        <v>35</v>
      </c>
      <c r="B1991" t="s">
        <v>19</v>
      </c>
      <c r="C1991" t="s">
        <v>13</v>
      </c>
      <c r="D1991" t="s">
        <v>9</v>
      </c>
      <c r="E1991" t="s">
        <v>15</v>
      </c>
      <c r="F1991">
        <v>3907.24</v>
      </c>
      <c r="G1991">
        <v>2022</v>
      </c>
    </row>
    <row r="1992" spans="1:7" x14ac:dyDescent="0.3">
      <c r="A1992" t="s">
        <v>216</v>
      </c>
      <c r="B1992" t="s">
        <v>17</v>
      </c>
      <c r="C1992" t="s">
        <v>13</v>
      </c>
      <c r="D1992" t="s">
        <v>9</v>
      </c>
      <c r="E1992" t="s">
        <v>15</v>
      </c>
      <c r="F1992">
        <v>2483.8200000000002</v>
      </c>
      <c r="G1992">
        <v>2022</v>
      </c>
    </row>
    <row r="1993" spans="1:7" x14ac:dyDescent="0.3">
      <c r="A1993" t="s">
        <v>133</v>
      </c>
      <c r="B1993" t="s">
        <v>17</v>
      </c>
      <c r="C1993" t="s">
        <v>23</v>
      </c>
      <c r="D1993" t="s">
        <v>28</v>
      </c>
      <c r="E1993" t="s">
        <v>10</v>
      </c>
      <c r="F1993">
        <v>139.57</v>
      </c>
      <c r="G1993">
        <v>2023</v>
      </c>
    </row>
    <row r="1994" spans="1:7" x14ac:dyDescent="0.3">
      <c r="A1994" t="s">
        <v>184</v>
      </c>
      <c r="B1994" t="s">
        <v>30</v>
      </c>
      <c r="C1994" t="s">
        <v>13</v>
      </c>
      <c r="D1994" t="s">
        <v>9</v>
      </c>
      <c r="E1994" t="s">
        <v>15</v>
      </c>
      <c r="F1994">
        <v>2912.66</v>
      </c>
      <c r="G1994">
        <v>2022</v>
      </c>
    </row>
    <row r="1995" spans="1:7" x14ac:dyDescent="0.3">
      <c r="A1995" t="s">
        <v>106</v>
      </c>
      <c r="B1995" t="s">
        <v>12</v>
      </c>
      <c r="C1995" t="s">
        <v>34</v>
      </c>
      <c r="D1995" t="s">
        <v>14</v>
      </c>
      <c r="E1995" t="s">
        <v>15</v>
      </c>
      <c r="F1995">
        <v>479.83</v>
      </c>
      <c r="G1995">
        <v>2023</v>
      </c>
    </row>
    <row r="1996" spans="1:7" x14ac:dyDescent="0.3">
      <c r="A1996" t="s">
        <v>118</v>
      </c>
      <c r="B1996" t="s">
        <v>30</v>
      </c>
      <c r="C1996" t="s">
        <v>34</v>
      </c>
      <c r="D1996" t="s">
        <v>9</v>
      </c>
      <c r="E1996" t="s">
        <v>15</v>
      </c>
      <c r="F1996">
        <v>5275.24</v>
      </c>
      <c r="G1996">
        <v>2023</v>
      </c>
    </row>
    <row r="1997" spans="1:7" x14ac:dyDescent="0.3">
      <c r="A1997" t="s">
        <v>116</v>
      </c>
      <c r="B1997" t="s">
        <v>17</v>
      </c>
      <c r="C1997" t="s">
        <v>8</v>
      </c>
      <c r="D1997" t="s">
        <v>14</v>
      </c>
      <c r="E1997" t="s">
        <v>15</v>
      </c>
      <c r="F1997">
        <v>3515.66</v>
      </c>
      <c r="G1997">
        <v>2022</v>
      </c>
    </row>
    <row r="1998" spans="1:7" x14ac:dyDescent="0.3">
      <c r="A1998" t="s">
        <v>110</v>
      </c>
      <c r="B1998" t="s">
        <v>12</v>
      </c>
      <c r="C1998" t="s">
        <v>34</v>
      </c>
      <c r="D1998" t="s">
        <v>9</v>
      </c>
      <c r="E1998" t="s">
        <v>15</v>
      </c>
      <c r="F1998">
        <v>771.45</v>
      </c>
      <c r="G1998">
        <v>2023</v>
      </c>
    </row>
    <row r="1999" spans="1:7" x14ac:dyDescent="0.3">
      <c r="A1999" t="s">
        <v>172</v>
      </c>
      <c r="B1999" t="s">
        <v>7</v>
      </c>
      <c r="C1999" t="s">
        <v>34</v>
      </c>
      <c r="D1999" t="s">
        <v>28</v>
      </c>
      <c r="E1999" t="s">
        <v>15</v>
      </c>
      <c r="F1999">
        <v>705.84</v>
      </c>
      <c r="G1999">
        <v>2023</v>
      </c>
    </row>
    <row r="2000" spans="1:7" x14ac:dyDescent="0.3">
      <c r="A2000" t="s">
        <v>126</v>
      </c>
      <c r="B2000" t="s">
        <v>30</v>
      </c>
      <c r="C2000" t="s">
        <v>23</v>
      </c>
      <c r="D2000" t="s">
        <v>9</v>
      </c>
      <c r="E2000" t="s">
        <v>10</v>
      </c>
      <c r="F2000">
        <v>3398.71</v>
      </c>
      <c r="G2000">
        <v>2023</v>
      </c>
    </row>
    <row r="2001" spans="1:7" x14ac:dyDescent="0.3">
      <c r="A2001" t="s">
        <v>107</v>
      </c>
      <c r="B2001" t="s">
        <v>30</v>
      </c>
      <c r="C2001" t="s">
        <v>34</v>
      </c>
      <c r="D2001" t="s">
        <v>28</v>
      </c>
      <c r="E2001" t="s">
        <v>24</v>
      </c>
      <c r="F2001">
        <v>2433.04</v>
      </c>
      <c r="G2001">
        <v>2023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DCF3-34AF-40ED-90B5-22B5473426E7}">
  <sheetPr>
    <tabColor rgb="FF00B050"/>
  </sheetPr>
  <dimension ref="A1:E201"/>
  <sheetViews>
    <sheetView workbookViewId="0">
      <selection activeCell="E1" sqref="E1"/>
    </sheetView>
  </sheetViews>
  <sheetFormatPr defaultRowHeight="14" x14ac:dyDescent="0.3"/>
  <cols>
    <col min="1" max="1" width="11" customWidth="1"/>
    <col min="2" max="2" width="16.5" customWidth="1"/>
    <col min="3" max="3" width="25.4140625" customWidth="1"/>
    <col min="4" max="4" width="27" customWidth="1"/>
    <col min="5" max="5" width="13.83203125" customWidth="1"/>
  </cols>
  <sheetData>
    <row r="1" spans="1:5" x14ac:dyDescent="0.3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3">
      <c r="A2" t="s">
        <v>170</v>
      </c>
      <c r="B2" t="s">
        <v>12</v>
      </c>
      <c r="C2">
        <v>54133</v>
      </c>
      <c r="D2">
        <v>8543.68</v>
      </c>
      <c r="E2">
        <v>24</v>
      </c>
    </row>
    <row r="3" spans="1:5" x14ac:dyDescent="0.3">
      <c r="A3" t="s">
        <v>47</v>
      </c>
      <c r="B3" t="s">
        <v>30</v>
      </c>
      <c r="C3">
        <v>53661</v>
      </c>
      <c r="D3">
        <v>6965.81</v>
      </c>
      <c r="E3">
        <v>69.400000000000006</v>
      </c>
    </row>
    <row r="4" spans="1:5" x14ac:dyDescent="0.3">
      <c r="A4" t="s">
        <v>189</v>
      </c>
      <c r="B4" t="s">
        <v>19</v>
      </c>
      <c r="C4">
        <v>27681</v>
      </c>
      <c r="D4">
        <v>928.26</v>
      </c>
      <c r="E4">
        <v>44.97</v>
      </c>
    </row>
    <row r="5" spans="1:5" x14ac:dyDescent="0.3">
      <c r="A5" t="s">
        <v>175</v>
      </c>
      <c r="B5" t="s">
        <v>7</v>
      </c>
      <c r="C5">
        <v>83923</v>
      </c>
      <c r="D5">
        <v>8768.7999999999993</v>
      </c>
      <c r="E5">
        <v>65.290000000000006</v>
      </c>
    </row>
    <row r="6" spans="1:5" x14ac:dyDescent="0.3">
      <c r="A6" t="s">
        <v>41</v>
      </c>
      <c r="B6" t="s">
        <v>30</v>
      </c>
      <c r="C6">
        <v>61743</v>
      </c>
      <c r="D6">
        <v>7426.75</v>
      </c>
      <c r="E6">
        <v>26.39</v>
      </c>
    </row>
    <row r="7" spans="1:5" x14ac:dyDescent="0.3">
      <c r="A7" t="s">
        <v>144</v>
      </c>
      <c r="B7" t="s">
        <v>30</v>
      </c>
      <c r="C7">
        <v>11426</v>
      </c>
      <c r="D7">
        <v>4439.5600000000004</v>
      </c>
      <c r="E7">
        <v>52.71</v>
      </c>
    </row>
    <row r="8" spans="1:5" x14ac:dyDescent="0.3">
      <c r="A8" t="s">
        <v>126</v>
      </c>
      <c r="B8" t="s">
        <v>30</v>
      </c>
      <c r="C8">
        <v>35506</v>
      </c>
      <c r="D8">
        <v>1892.04</v>
      </c>
      <c r="E8">
        <v>61.53</v>
      </c>
    </row>
    <row r="9" spans="1:5" x14ac:dyDescent="0.3">
      <c r="A9" t="s">
        <v>49</v>
      </c>
      <c r="B9" t="s">
        <v>19</v>
      </c>
      <c r="C9">
        <v>50306</v>
      </c>
      <c r="D9">
        <v>7031.37</v>
      </c>
      <c r="E9">
        <v>13.27</v>
      </c>
    </row>
    <row r="10" spans="1:5" x14ac:dyDescent="0.3">
      <c r="A10" t="s">
        <v>141</v>
      </c>
      <c r="B10" t="s">
        <v>7</v>
      </c>
      <c r="C10">
        <v>45644</v>
      </c>
      <c r="D10">
        <v>7724.73</v>
      </c>
      <c r="E10">
        <v>31</v>
      </c>
    </row>
    <row r="11" spans="1:5" x14ac:dyDescent="0.3">
      <c r="A11" t="s">
        <v>165</v>
      </c>
      <c r="B11" t="s">
        <v>7</v>
      </c>
      <c r="C11">
        <v>32991</v>
      </c>
      <c r="D11">
        <v>8540.14</v>
      </c>
      <c r="E11">
        <v>37.75</v>
      </c>
    </row>
    <row r="12" spans="1:5" x14ac:dyDescent="0.3">
      <c r="A12" t="s">
        <v>180</v>
      </c>
      <c r="B12" t="s">
        <v>30</v>
      </c>
      <c r="C12">
        <v>72846</v>
      </c>
      <c r="D12">
        <v>5169.53</v>
      </c>
      <c r="E12">
        <v>76.709999999999994</v>
      </c>
    </row>
    <row r="13" spans="1:5" x14ac:dyDescent="0.3">
      <c r="A13" t="s">
        <v>56</v>
      </c>
      <c r="B13" t="s">
        <v>19</v>
      </c>
      <c r="C13">
        <v>43747</v>
      </c>
      <c r="D13">
        <v>3453.48</v>
      </c>
      <c r="E13">
        <v>98.78</v>
      </c>
    </row>
    <row r="14" spans="1:5" x14ac:dyDescent="0.3">
      <c r="A14" t="s">
        <v>215</v>
      </c>
      <c r="B14" t="s">
        <v>17</v>
      </c>
      <c r="C14">
        <v>72813</v>
      </c>
      <c r="D14">
        <v>8818.16</v>
      </c>
      <c r="E14">
        <v>54.12</v>
      </c>
    </row>
    <row r="15" spans="1:5" x14ac:dyDescent="0.3">
      <c r="A15" t="s">
        <v>127</v>
      </c>
      <c r="B15" t="s">
        <v>17</v>
      </c>
      <c r="C15">
        <v>17416</v>
      </c>
      <c r="D15">
        <v>812.06</v>
      </c>
      <c r="E15">
        <v>5.7</v>
      </c>
    </row>
    <row r="16" spans="1:5" x14ac:dyDescent="0.3">
      <c r="A16" t="s">
        <v>119</v>
      </c>
      <c r="B16" t="s">
        <v>30</v>
      </c>
      <c r="C16">
        <v>80488</v>
      </c>
      <c r="D16">
        <v>7629.95</v>
      </c>
      <c r="E16">
        <v>63.83</v>
      </c>
    </row>
    <row r="17" spans="1:5" x14ac:dyDescent="0.3">
      <c r="A17" t="s">
        <v>82</v>
      </c>
      <c r="B17" t="s">
        <v>17</v>
      </c>
      <c r="C17">
        <v>93409</v>
      </c>
      <c r="D17">
        <v>2375.83</v>
      </c>
      <c r="E17">
        <v>5.83</v>
      </c>
    </row>
    <row r="18" spans="1:5" x14ac:dyDescent="0.3">
      <c r="A18" t="s">
        <v>37</v>
      </c>
      <c r="B18" t="s">
        <v>17</v>
      </c>
      <c r="C18">
        <v>71747</v>
      </c>
      <c r="D18">
        <v>9838.66</v>
      </c>
      <c r="E18">
        <v>7.25</v>
      </c>
    </row>
    <row r="19" spans="1:5" x14ac:dyDescent="0.3">
      <c r="A19" t="s">
        <v>107</v>
      </c>
      <c r="B19" t="s">
        <v>30</v>
      </c>
      <c r="C19">
        <v>69305</v>
      </c>
      <c r="D19">
        <v>3203.67</v>
      </c>
      <c r="E19">
        <v>83.65</v>
      </c>
    </row>
    <row r="20" spans="1:5" x14ac:dyDescent="0.3">
      <c r="A20" t="s">
        <v>71</v>
      </c>
      <c r="B20" t="s">
        <v>7</v>
      </c>
      <c r="C20">
        <v>68018</v>
      </c>
      <c r="D20">
        <v>3523.4</v>
      </c>
      <c r="E20">
        <v>92.26</v>
      </c>
    </row>
    <row r="21" spans="1:5" x14ac:dyDescent="0.3">
      <c r="A21" t="s">
        <v>194</v>
      </c>
      <c r="B21" t="s">
        <v>17</v>
      </c>
      <c r="C21">
        <v>95165</v>
      </c>
      <c r="D21">
        <v>8562.76</v>
      </c>
      <c r="E21">
        <v>37.54</v>
      </c>
    </row>
    <row r="22" spans="1:5" x14ac:dyDescent="0.3">
      <c r="A22" t="s">
        <v>11</v>
      </c>
      <c r="B22" t="s">
        <v>12</v>
      </c>
      <c r="C22">
        <v>44657</v>
      </c>
      <c r="D22">
        <v>7867.98</v>
      </c>
      <c r="E22">
        <v>96.01</v>
      </c>
    </row>
    <row r="23" spans="1:5" x14ac:dyDescent="0.3">
      <c r="A23" t="s">
        <v>91</v>
      </c>
      <c r="B23" t="s">
        <v>30</v>
      </c>
      <c r="C23">
        <v>20207</v>
      </c>
      <c r="D23">
        <v>5369.46</v>
      </c>
      <c r="E23">
        <v>57.51</v>
      </c>
    </row>
    <row r="24" spans="1:5" x14ac:dyDescent="0.3">
      <c r="A24" t="s">
        <v>22</v>
      </c>
      <c r="B24" t="s">
        <v>12</v>
      </c>
      <c r="C24">
        <v>47484</v>
      </c>
      <c r="D24">
        <v>3396.39</v>
      </c>
      <c r="E24">
        <v>19.510000000000002</v>
      </c>
    </row>
    <row r="25" spans="1:5" x14ac:dyDescent="0.3">
      <c r="A25" t="s">
        <v>61</v>
      </c>
      <c r="B25" t="s">
        <v>30</v>
      </c>
      <c r="C25">
        <v>95718</v>
      </c>
      <c r="D25">
        <v>2443.12</v>
      </c>
      <c r="E25">
        <v>35.49</v>
      </c>
    </row>
    <row r="26" spans="1:5" x14ac:dyDescent="0.3">
      <c r="A26" t="s">
        <v>29</v>
      </c>
      <c r="B26" t="s">
        <v>30</v>
      </c>
      <c r="C26">
        <v>32131</v>
      </c>
      <c r="D26">
        <v>1474.23</v>
      </c>
      <c r="E26">
        <v>45.47</v>
      </c>
    </row>
    <row r="27" spans="1:5" x14ac:dyDescent="0.3">
      <c r="A27" t="s">
        <v>58</v>
      </c>
      <c r="B27" t="s">
        <v>17</v>
      </c>
      <c r="C27">
        <v>32246</v>
      </c>
      <c r="D27">
        <v>7903.93</v>
      </c>
      <c r="E27">
        <v>42.12</v>
      </c>
    </row>
    <row r="28" spans="1:5" x14ac:dyDescent="0.3">
      <c r="A28" t="s">
        <v>95</v>
      </c>
      <c r="B28" t="s">
        <v>30</v>
      </c>
      <c r="C28">
        <v>51800</v>
      </c>
      <c r="D28">
        <v>3042.95</v>
      </c>
      <c r="E28">
        <v>71.87</v>
      </c>
    </row>
    <row r="29" spans="1:5" x14ac:dyDescent="0.3">
      <c r="A29" t="s">
        <v>123</v>
      </c>
      <c r="B29" t="s">
        <v>30</v>
      </c>
      <c r="C29">
        <v>73977</v>
      </c>
      <c r="D29">
        <v>1646.75</v>
      </c>
      <c r="E29">
        <v>43.77</v>
      </c>
    </row>
    <row r="30" spans="1:5" x14ac:dyDescent="0.3">
      <c r="A30" t="s">
        <v>196</v>
      </c>
      <c r="B30" t="s">
        <v>30</v>
      </c>
      <c r="C30">
        <v>12262</v>
      </c>
      <c r="D30">
        <v>7106.18</v>
      </c>
      <c r="E30">
        <v>45.69</v>
      </c>
    </row>
    <row r="31" spans="1:5" x14ac:dyDescent="0.3">
      <c r="A31" t="s">
        <v>45</v>
      </c>
      <c r="B31" t="s">
        <v>7</v>
      </c>
      <c r="C31">
        <v>49924</v>
      </c>
      <c r="D31">
        <v>2199.16</v>
      </c>
      <c r="E31">
        <v>75.48</v>
      </c>
    </row>
    <row r="32" spans="1:5" x14ac:dyDescent="0.3">
      <c r="A32" t="s">
        <v>102</v>
      </c>
      <c r="B32" t="s">
        <v>19</v>
      </c>
      <c r="C32">
        <v>86263</v>
      </c>
      <c r="D32">
        <v>3213.71</v>
      </c>
      <c r="E32">
        <v>98.39</v>
      </c>
    </row>
    <row r="33" spans="1:5" x14ac:dyDescent="0.3">
      <c r="A33" t="s">
        <v>63</v>
      </c>
      <c r="B33" t="s">
        <v>12</v>
      </c>
      <c r="C33">
        <v>33688</v>
      </c>
      <c r="D33">
        <v>9495.48</v>
      </c>
      <c r="E33">
        <v>55.55</v>
      </c>
    </row>
    <row r="34" spans="1:5" x14ac:dyDescent="0.3">
      <c r="A34" t="s">
        <v>159</v>
      </c>
      <c r="B34" t="s">
        <v>7</v>
      </c>
      <c r="C34">
        <v>47727</v>
      </c>
      <c r="D34">
        <v>8907.33</v>
      </c>
      <c r="E34">
        <v>47.4</v>
      </c>
    </row>
    <row r="35" spans="1:5" x14ac:dyDescent="0.3">
      <c r="A35" t="s">
        <v>167</v>
      </c>
      <c r="B35" t="s">
        <v>30</v>
      </c>
      <c r="C35">
        <v>67213</v>
      </c>
      <c r="D35">
        <v>5533.81</v>
      </c>
      <c r="E35">
        <v>90.88</v>
      </c>
    </row>
    <row r="36" spans="1:5" x14ac:dyDescent="0.3">
      <c r="A36" t="s">
        <v>185</v>
      </c>
      <c r="B36" t="s">
        <v>30</v>
      </c>
      <c r="C36">
        <v>24913</v>
      </c>
      <c r="D36">
        <v>5727.27</v>
      </c>
      <c r="E36">
        <v>78.849999999999994</v>
      </c>
    </row>
    <row r="37" spans="1:5" x14ac:dyDescent="0.3">
      <c r="A37" t="s">
        <v>96</v>
      </c>
      <c r="B37" t="s">
        <v>19</v>
      </c>
      <c r="C37">
        <v>53942</v>
      </c>
      <c r="D37">
        <v>5904.31</v>
      </c>
      <c r="E37">
        <v>32.78</v>
      </c>
    </row>
    <row r="38" spans="1:5" x14ac:dyDescent="0.3">
      <c r="A38" t="s">
        <v>90</v>
      </c>
      <c r="B38" t="s">
        <v>19</v>
      </c>
      <c r="C38">
        <v>97337</v>
      </c>
      <c r="D38">
        <v>3362.06</v>
      </c>
      <c r="E38">
        <v>55.46</v>
      </c>
    </row>
    <row r="39" spans="1:5" x14ac:dyDescent="0.3">
      <c r="A39" t="s">
        <v>160</v>
      </c>
      <c r="B39" t="s">
        <v>30</v>
      </c>
      <c r="C39">
        <v>18341</v>
      </c>
      <c r="D39">
        <v>8465.57</v>
      </c>
      <c r="E39">
        <v>38.39</v>
      </c>
    </row>
    <row r="40" spans="1:5" x14ac:dyDescent="0.3">
      <c r="A40" t="s">
        <v>79</v>
      </c>
      <c r="B40" t="s">
        <v>17</v>
      </c>
      <c r="C40">
        <v>40503</v>
      </c>
      <c r="D40">
        <v>7447.46</v>
      </c>
      <c r="E40">
        <v>98.27</v>
      </c>
    </row>
    <row r="41" spans="1:5" x14ac:dyDescent="0.3">
      <c r="A41" t="s">
        <v>209</v>
      </c>
      <c r="B41" t="s">
        <v>7</v>
      </c>
      <c r="C41">
        <v>52357</v>
      </c>
      <c r="D41">
        <v>5643.16</v>
      </c>
      <c r="E41">
        <v>37.130000000000003</v>
      </c>
    </row>
    <row r="42" spans="1:5" x14ac:dyDescent="0.3">
      <c r="A42" t="s">
        <v>109</v>
      </c>
      <c r="B42" t="s">
        <v>12</v>
      </c>
      <c r="C42">
        <v>84721</v>
      </c>
      <c r="D42">
        <v>2278.9699999999998</v>
      </c>
      <c r="E42">
        <v>68.53</v>
      </c>
    </row>
    <row r="43" spans="1:5" x14ac:dyDescent="0.3">
      <c r="A43" t="s">
        <v>54</v>
      </c>
      <c r="B43" t="s">
        <v>12</v>
      </c>
      <c r="C43">
        <v>58111</v>
      </c>
      <c r="D43">
        <v>4610.8999999999996</v>
      </c>
      <c r="E43">
        <v>21.53</v>
      </c>
    </row>
    <row r="44" spans="1:5" x14ac:dyDescent="0.3">
      <c r="A44" t="s">
        <v>183</v>
      </c>
      <c r="B44" t="s">
        <v>7</v>
      </c>
      <c r="C44">
        <v>14009</v>
      </c>
      <c r="D44">
        <v>7528.98</v>
      </c>
      <c r="E44">
        <v>77.62</v>
      </c>
    </row>
    <row r="45" spans="1:5" x14ac:dyDescent="0.3">
      <c r="A45" t="s">
        <v>81</v>
      </c>
      <c r="B45" t="s">
        <v>12</v>
      </c>
      <c r="C45">
        <v>93661</v>
      </c>
      <c r="D45">
        <v>7324.58</v>
      </c>
      <c r="E45">
        <v>23.55</v>
      </c>
    </row>
    <row r="46" spans="1:5" x14ac:dyDescent="0.3">
      <c r="A46" t="s">
        <v>69</v>
      </c>
      <c r="B46" t="s">
        <v>7</v>
      </c>
      <c r="C46">
        <v>34725</v>
      </c>
      <c r="D46">
        <v>3269.89</v>
      </c>
      <c r="E46">
        <v>78.86</v>
      </c>
    </row>
    <row r="47" spans="1:5" x14ac:dyDescent="0.3">
      <c r="A47" t="s">
        <v>105</v>
      </c>
      <c r="B47" t="s">
        <v>30</v>
      </c>
      <c r="C47">
        <v>87337</v>
      </c>
      <c r="D47">
        <v>3603.06</v>
      </c>
      <c r="E47">
        <v>67.13</v>
      </c>
    </row>
    <row r="48" spans="1:5" x14ac:dyDescent="0.3">
      <c r="A48" t="s">
        <v>134</v>
      </c>
      <c r="B48" t="s">
        <v>7</v>
      </c>
      <c r="C48">
        <v>39568</v>
      </c>
      <c r="D48">
        <v>3580.54</v>
      </c>
      <c r="E48">
        <v>78.08</v>
      </c>
    </row>
    <row r="49" spans="1:5" x14ac:dyDescent="0.3">
      <c r="A49" t="s">
        <v>94</v>
      </c>
      <c r="B49" t="s">
        <v>7</v>
      </c>
      <c r="C49">
        <v>26338</v>
      </c>
      <c r="D49">
        <v>578.73</v>
      </c>
      <c r="E49">
        <v>72.52</v>
      </c>
    </row>
    <row r="50" spans="1:5" x14ac:dyDescent="0.3">
      <c r="A50" t="s">
        <v>210</v>
      </c>
      <c r="B50" t="s">
        <v>7</v>
      </c>
      <c r="C50">
        <v>65666</v>
      </c>
      <c r="D50">
        <v>7269.98</v>
      </c>
      <c r="E50">
        <v>75.62</v>
      </c>
    </row>
    <row r="51" spans="1:5" x14ac:dyDescent="0.3">
      <c r="A51" t="s">
        <v>139</v>
      </c>
      <c r="B51" t="s">
        <v>7</v>
      </c>
      <c r="C51">
        <v>10067</v>
      </c>
      <c r="D51">
        <v>1953.33</v>
      </c>
      <c r="E51">
        <v>25.15</v>
      </c>
    </row>
    <row r="52" spans="1:5" x14ac:dyDescent="0.3">
      <c r="A52" t="s">
        <v>197</v>
      </c>
      <c r="B52" t="s">
        <v>30</v>
      </c>
      <c r="C52">
        <v>56752</v>
      </c>
      <c r="D52">
        <v>4177.68</v>
      </c>
      <c r="E52">
        <v>10.96</v>
      </c>
    </row>
    <row r="53" spans="1:5" x14ac:dyDescent="0.3">
      <c r="A53" t="s">
        <v>174</v>
      </c>
      <c r="B53" t="s">
        <v>19</v>
      </c>
      <c r="C53">
        <v>66163</v>
      </c>
      <c r="D53">
        <v>1416.57</v>
      </c>
      <c r="E53">
        <v>68.73</v>
      </c>
    </row>
    <row r="54" spans="1:5" x14ac:dyDescent="0.3">
      <c r="A54" t="s">
        <v>125</v>
      </c>
      <c r="B54" t="s">
        <v>7</v>
      </c>
      <c r="C54">
        <v>56392</v>
      </c>
      <c r="D54">
        <v>5703.76</v>
      </c>
      <c r="E54">
        <v>23.04</v>
      </c>
    </row>
    <row r="55" spans="1:5" x14ac:dyDescent="0.3">
      <c r="A55" t="s">
        <v>103</v>
      </c>
      <c r="B55" t="s">
        <v>19</v>
      </c>
      <c r="C55">
        <v>38869</v>
      </c>
      <c r="D55">
        <v>5109.76</v>
      </c>
      <c r="E55">
        <v>35.270000000000003</v>
      </c>
    </row>
    <row r="56" spans="1:5" x14ac:dyDescent="0.3">
      <c r="A56" t="s">
        <v>168</v>
      </c>
      <c r="B56" t="s">
        <v>17</v>
      </c>
      <c r="C56">
        <v>41050</v>
      </c>
      <c r="D56">
        <v>6025.84</v>
      </c>
      <c r="E56">
        <v>53.53</v>
      </c>
    </row>
    <row r="57" spans="1:5" x14ac:dyDescent="0.3">
      <c r="A57" t="s">
        <v>65</v>
      </c>
      <c r="B57" t="s">
        <v>30</v>
      </c>
      <c r="C57">
        <v>99026</v>
      </c>
      <c r="D57">
        <v>5453.2</v>
      </c>
      <c r="E57">
        <v>57.49</v>
      </c>
    </row>
    <row r="58" spans="1:5" x14ac:dyDescent="0.3">
      <c r="A58" t="s">
        <v>36</v>
      </c>
      <c r="B58" t="s">
        <v>12</v>
      </c>
      <c r="C58">
        <v>40226</v>
      </c>
      <c r="D58">
        <v>7868.86</v>
      </c>
      <c r="E58">
        <v>80.53</v>
      </c>
    </row>
    <row r="59" spans="1:5" x14ac:dyDescent="0.3">
      <c r="A59" t="s">
        <v>203</v>
      </c>
      <c r="B59" t="s">
        <v>12</v>
      </c>
      <c r="C59">
        <v>66398</v>
      </c>
      <c r="D59">
        <v>8713.61</v>
      </c>
      <c r="E59">
        <v>83.44</v>
      </c>
    </row>
    <row r="60" spans="1:5" x14ac:dyDescent="0.3">
      <c r="A60" t="s">
        <v>83</v>
      </c>
      <c r="B60" t="s">
        <v>17</v>
      </c>
      <c r="C60">
        <v>30934</v>
      </c>
      <c r="D60">
        <v>4175.6499999999996</v>
      </c>
      <c r="E60">
        <v>77.290000000000006</v>
      </c>
    </row>
    <row r="61" spans="1:5" x14ac:dyDescent="0.3">
      <c r="A61" t="s">
        <v>42</v>
      </c>
      <c r="B61" t="s">
        <v>30</v>
      </c>
      <c r="C61">
        <v>41539</v>
      </c>
      <c r="D61">
        <v>982.8</v>
      </c>
      <c r="E61">
        <v>79.7</v>
      </c>
    </row>
    <row r="62" spans="1:5" x14ac:dyDescent="0.3">
      <c r="A62" t="s">
        <v>106</v>
      </c>
      <c r="B62" t="s">
        <v>12</v>
      </c>
      <c r="C62">
        <v>21386</v>
      </c>
      <c r="D62">
        <v>2271.92</v>
      </c>
      <c r="E62">
        <v>49.67</v>
      </c>
    </row>
    <row r="63" spans="1:5" x14ac:dyDescent="0.3">
      <c r="A63" t="s">
        <v>137</v>
      </c>
      <c r="B63" t="s">
        <v>17</v>
      </c>
      <c r="C63">
        <v>19265</v>
      </c>
      <c r="D63">
        <v>776.6</v>
      </c>
      <c r="E63">
        <v>39.75</v>
      </c>
    </row>
    <row r="64" spans="1:5" x14ac:dyDescent="0.3">
      <c r="A64" t="s">
        <v>85</v>
      </c>
      <c r="B64" t="s">
        <v>30</v>
      </c>
      <c r="C64">
        <v>45519</v>
      </c>
      <c r="D64">
        <v>7987.69</v>
      </c>
      <c r="E64">
        <v>10.86</v>
      </c>
    </row>
    <row r="65" spans="1:5" x14ac:dyDescent="0.3">
      <c r="A65" t="s">
        <v>110</v>
      </c>
      <c r="B65" t="s">
        <v>12</v>
      </c>
      <c r="C65">
        <v>70481</v>
      </c>
      <c r="D65">
        <v>4452.83</v>
      </c>
      <c r="E65">
        <v>91.26</v>
      </c>
    </row>
    <row r="66" spans="1:5" x14ac:dyDescent="0.3">
      <c r="A66" t="s">
        <v>27</v>
      </c>
      <c r="B66" t="s">
        <v>12</v>
      </c>
      <c r="C66">
        <v>91031</v>
      </c>
      <c r="D66">
        <v>1783.57</v>
      </c>
      <c r="E66">
        <v>32.049999999999997</v>
      </c>
    </row>
    <row r="67" spans="1:5" x14ac:dyDescent="0.3">
      <c r="A67" t="s">
        <v>184</v>
      </c>
      <c r="B67" t="s">
        <v>30</v>
      </c>
      <c r="C67">
        <v>13543</v>
      </c>
      <c r="D67">
        <v>7854.96</v>
      </c>
      <c r="E67">
        <v>85.57</v>
      </c>
    </row>
    <row r="68" spans="1:5" x14ac:dyDescent="0.3">
      <c r="A68" t="s">
        <v>202</v>
      </c>
      <c r="B68" t="s">
        <v>12</v>
      </c>
      <c r="C68">
        <v>28400</v>
      </c>
      <c r="D68">
        <v>3056.67</v>
      </c>
      <c r="E68">
        <v>52.68</v>
      </c>
    </row>
    <row r="69" spans="1:5" x14ac:dyDescent="0.3">
      <c r="A69" t="s">
        <v>88</v>
      </c>
      <c r="B69" t="s">
        <v>7</v>
      </c>
      <c r="C69">
        <v>44825</v>
      </c>
      <c r="D69">
        <v>6023.03</v>
      </c>
      <c r="E69">
        <v>27.2</v>
      </c>
    </row>
    <row r="70" spans="1:5" x14ac:dyDescent="0.3">
      <c r="A70" t="s">
        <v>158</v>
      </c>
      <c r="B70" t="s">
        <v>30</v>
      </c>
      <c r="C70">
        <v>85488</v>
      </c>
      <c r="D70">
        <v>9691.57</v>
      </c>
      <c r="E70">
        <v>96.98</v>
      </c>
    </row>
    <row r="71" spans="1:5" x14ac:dyDescent="0.3">
      <c r="A71" t="s">
        <v>136</v>
      </c>
      <c r="B71" t="s">
        <v>17</v>
      </c>
      <c r="C71">
        <v>15128</v>
      </c>
      <c r="D71">
        <v>8847.09</v>
      </c>
      <c r="E71">
        <v>5.25</v>
      </c>
    </row>
    <row r="72" spans="1:5" x14ac:dyDescent="0.3">
      <c r="A72" t="s">
        <v>93</v>
      </c>
      <c r="B72" t="s">
        <v>30</v>
      </c>
      <c r="C72">
        <v>26378</v>
      </c>
      <c r="D72">
        <v>2915.44</v>
      </c>
      <c r="E72">
        <v>29.84</v>
      </c>
    </row>
    <row r="73" spans="1:5" x14ac:dyDescent="0.3">
      <c r="A73" t="s">
        <v>129</v>
      </c>
      <c r="B73" t="s">
        <v>17</v>
      </c>
      <c r="C73">
        <v>95292</v>
      </c>
      <c r="D73">
        <v>697.47</v>
      </c>
      <c r="E73">
        <v>88.35</v>
      </c>
    </row>
    <row r="74" spans="1:5" x14ac:dyDescent="0.3">
      <c r="A74" t="s">
        <v>98</v>
      </c>
      <c r="B74" t="s">
        <v>19</v>
      </c>
      <c r="C74">
        <v>26170</v>
      </c>
      <c r="D74">
        <v>8057.54</v>
      </c>
      <c r="E74">
        <v>63.71</v>
      </c>
    </row>
    <row r="75" spans="1:5" x14ac:dyDescent="0.3">
      <c r="A75" t="s">
        <v>60</v>
      </c>
      <c r="B75" t="s">
        <v>12</v>
      </c>
      <c r="C75">
        <v>25148</v>
      </c>
      <c r="D75">
        <v>9604.5499999999993</v>
      </c>
      <c r="E75">
        <v>63.47</v>
      </c>
    </row>
    <row r="76" spans="1:5" x14ac:dyDescent="0.3">
      <c r="A76" t="s">
        <v>188</v>
      </c>
      <c r="B76" t="s">
        <v>19</v>
      </c>
      <c r="C76">
        <v>60513</v>
      </c>
      <c r="D76">
        <v>4578.16</v>
      </c>
      <c r="E76">
        <v>65.53</v>
      </c>
    </row>
    <row r="77" spans="1:5" x14ac:dyDescent="0.3">
      <c r="A77" t="s">
        <v>190</v>
      </c>
      <c r="B77" t="s">
        <v>17</v>
      </c>
      <c r="C77">
        <v>41953</v>
      </c>
      <c r="D77">
        <v>2379.14</v>
      </c>
      <c r="E77">
        <v>65.67</v>
      </c>
    </row>
    <row r="78" spans="1:5" x14ac:dyDescent="0.3">
      <c r="A78" t="s">
        <v>64</v>
      </c>
      <c r="B78" t="s">
        <v>30</v>
      </c>
      <c r="C78">
        <v>52836</v>
      </c>
      <c r="D78">
        <v>9330.2999999999993</v>
      </c>
      <c r="E78">
        <v>87.27</v>
      </c>
    </row>
    <row r="79" spans="1:5" x14ac:dyDescent="0.3">
      <c r="A79" t="s">
        <v>97</v>
      </c>
      <c r="B79" t="s">
        <v>7</v>
      </c>
      <c r="C79">
        <v>78624</v>
      </c>
      <c r="D79">
        <v>2373.27</v>
      </c>
      <c r="E79">
        <v>25.07</v>
      </c>
    </row>
    <row r="80" spans="1:5" x14ac:dyDescent="0.3">
      <c r="A80" t="s">
        <v>26</v>
      </c>
      <c r="B80" t="s">
        <v>17</v>
      </c>
      <c r="C80">
        <v>17311</v>
      </c>
      <c r="D80">
        <v>2257.38</v>
      </c>
      <c r="E80">
        <v>91.07</v>
      </c>
    </row>
    <row r="81" spans="1:5" x14ac:dyDescent="0.3">
      <c r="A81" t="s">
        <v>206</v>
      </c>
      <c r="B81" t="s">
        <v>19</v>
      </c>
      <c r="C81">
        <v>10250</v>
      </c>
      <c r="D81">
        <v>4717</v>
      </c>
      <c r="E81">
        <v>16.600000000000001</v>
      </c>
    </row>
    <row r="82" spans="1:5" x14ac:dyDescent="0.3">
      <c r="A82" t="s">
        <v>135</v>
      </c>
      <c r="B82" t="s">
        <v>12</v>
      </c>
      <c r="C82">
        <v>39560</v>
      </c>
      <c r="D82">
        <v>8380.77</v>
      </c>
      <c r="E82">
        <v>94.01</v>
      </c>
    </row>
    <row r="83" spans="1:5" x14ac:dyDescent="0.3">
      <c r="A83" t="s">
        <v>100</v>
      </c>
      <c r="B83" t="s">
        <v>7</v>
      </c>
      <c r="C83">
        <v>17468</v>
      </c>
      <c r="D83">
        <v>6359.73</v>
      </c>
      <c r="E83">
        <v>5.22</v>
      </c>
    </row>
    <row r="84" spans="1:5" x14ac:dyDescent="0.3">
      <c r="A84" t="s">
        <v>143</v>
      </c>
      <c r="B84" t="s">
        <v>17</v>
      </c>
      <c r="C84">
        <v>94704</v>
      </c>
      <c r="D84">
        <v>6632.95</v>
      </c>
      <c r="E84">
        <v>14.76</v>
      </c>
    </row>
    <row r="85" spans="1:5" x14ac:dyDescent="0.3">
      <c r="A85" t="s">
        <v>75</v>
      </c>
      <c r="B85" t="s">
        <v>19</v>
      </c>
      <c r="C85">
        <v>54136</v>
      </c>
      <c r="D85">
        <v>2775.38</v>
      </c>
      <c r="E85">
        <v>75.459999999999994</v>
      </c>
    </row>
    <row r="86" spans="1:5" x14ac:dyDescent="0.3">
      <c r="A86" t="s">
        <v>114</v>
      </c>
      <c r="B86" t="s">
        <v>30</v>
      </c>
      <c r="C86">
        <v>29264</v>
      </c>
      <c r="D86">
        <v>8362.7199999999993</v>
      </c>
      <c r="E86">
        <v>61.93</v>
      </c>
    </row>
    <row r="87" spans="1:5" x14ac:dyDescent="0.3">
      <c r="A87" t="s">
        <v>73</v>
      </c>
      <c r="B87" t="s">
        <v>30</v>
      </c>
      <c r="C87">
        <v>55974</v>
      </c>
      <c r="D87">
        <v>7542.28</v>
      </c>
      <c r="E87">
        <v>72.430000000000007</v>
      </c>
    </row>
    <row r="88" spans="1:5" x14ac:dyDescent="0.3">
      <c r="A88" t="s">
        <v>51</v>
      </c>
      <c r="B88" t="s">
        <v>30</v>
      </c>
      <c r="C88">
        <v>44164</v>
      </c>
      <c r="D88">
        <v>3869.32</v>
      </c>
      <c r="E88">
        <v>13.81</v>
      </c>
    </row>
    <row r="89" spans="1:5" x14ac:dyDescent="0.3">
      <c r="A89" t="s">
        <v>6</v>
      </c>
      <c r="B89" t="s">
        <v>7</v>
      </c>
      <c r="C89">
        <v>77330</v>
      </c>
      <c r="D89">
        <v>6936.58</v>
      </c>
      <c r="E89">
        <v>82.3</v>
      </c>
    </row>
    <row r="90" spans="1:5" x14ac:dyDescent="0.3">
      <c r="A90" t="s">
        <v>121</v>
      </c>
      <c r="B90" t="s">
        <v>30</v>
      </c>
      <c r="C90">
        <v>58895</v>
      </c>
      <c r="D90">
        <v>3039.17</v>
      </c>
      <c r="E90">
        <v>59.82</v>
      </c>
    </row>
    <row r="91" spans="1:5" x14ac:dyDescent="0.3">
      <c r="A91" t="s">
        <v>20</v>
      </c>
      <c r="B91" t="s">
        <v>17</v>
      </c>
      <c r="C91">
        <v>29895</v>
      </c>
      <c r="D91">
        <v>1631.08</v>
      </c>
      <c r="E91">
        <v>39.93</v>
      </c>
    </row>
    <row r="92" spans="1:5" x14ac:dyDescent="0.3">
      <c r="A92" t="s">
        <v>46</v>
      </c>
      <c r="B92" t="s">
        <v>30</v>
      </c>
      <c r="C92">
        <v>43490</v>
      </c>
      <c r="D92">
        <v>9300.8799999999992</v>
      </c>
      <c r="E92">
        <v>58.43</v>
      </c>
    </row>
    <row r="93" spans="1:5" x14ac:dyDescent="0.3">
      <c r="A93" t="s">
        <v>120</v>
      </c>
      <c r="B93" t="s">
        <v>30</v>
      </c>
      <c r="C93">
        <v>79495</v>
      </c>
      <c r="D93">
        <v>7157.48</v>
      </c>
      <c r="E93">
        <v>26.84</v>
      </c>
    </row>
    <row r="94" spans="1:5" x14ac:dyDescent="0.3">
      <c r="A94" t="s">
        <v>59</v>
      </c>
      <c r="B94" t="s">
        <v>17</v>
      </c>
      <c r="C94">
        <v>15553</v>
      </c>
      <c r="D94">
        <v>3909.51</v>
      </c>
      <c r="E94">
        <v>46.44</v>
      </c>
    </row>
    <row r="95" spans="1:5" x14ac:dyDescent="0.3">
      <c r="A95" t="s">
        <v>208</v>
      </c>
      <c r="B95" t="s">
        <v>19</v>
      </c>
      <c r="C95">
        <v>40553</v>
      </c>
      <c r="D95">
        <v>4875.2299999999996</v>
      </c>
      <c r="E95">
        <v>23.33</v>
      </c>
    </row>
    <row r="96" spans="1:5" x14ac:dyDescent="0.3">
      <c r="A96" t="s">
        <v>149</v>
      </c>
      <c r="B96" t="s">
        <v>17</v>
      </c>
      <c r="C96">
        <v>49885</v>
      </c>
      <c r="D96">
        <v>6845.46</v>
      </c>
      <c r="E96">
        <v>58.4</v>
      </c>
    </row>
    <row r="97" spans="1:5" x14ac:dyDescent="0.3">
      <c r="A97" t="s">
        <v>153</v>
      </c>
      <c r="B97" t="s">
        <v>7</v>
      </c>
      <c r="C97">
        <v>21388</v>
      </c>
      <c r="D97">
        <v>5249.39</v>
      </c>
      <c r="E97">
        <v>64.2</v>
      </c>
    </row>
    <row r="98" spans="1:5" x14ac:dyDescent="0.3">
      <c r="A98" t="s">
        <v>68</v>
      </c>
      <c r="B98" t="s">
        <v>12</v>
      </c>
      <c r="C98">
        <v>69100</v>
      </c>
      <c r="D98">
        <v>9356.02</v>
      </c>
      <c r="E98">
        <v>16.5</v>
      </c>
    </row>
    <row r="99" spans="1:5" x14ac:dyDescent="0.3">
      <c r="A99" t="s">
        <v>181</v>
      </c>
      <c r="B99" t="s">
        <v>30</v>
      </c>
      <c r="C99">
        <v>28704</v>
      </c>
      <c r="D99">
        <v>6009.24</v>
      </c>
      <c r="E99">
        <v>39.31</v>
      </c>
    </row>
    <row r="100" spans="1:5" x14ac:dyDescent="0.3">
      <c r="A100" t="s">
        <v>115</v>
      </c>
      <c r="B100" t="s">
        <v>19</v>
      </c>
      <c r="C100">
        <v>17162</v>
      </c>
      <c r="D100">
        <v>5079.95</v>
      </c>
      <c r="E100">
        <v>19.239999999999998</v>
      </c>
    </row>
    <row r="101" spans="1:5" x14ac:dyDescent="0.3">
      <c r="A101" t="s">
        <v>53</v>
      </c>
      <c r="B101" t="s">
        <v>7</v>
      </c>
      <c r="C101">
        <v>90632</v>
      </c>
      <c r="D101">
        <v>5292.17</v>
      </c>
      <c r="E101">
        <v>78.45</v>
      </c>
    </row>
    <row r="102" spans="1:5" x14ac:dyDescent="0.3">
      <c r="A102" t="s">
        <v>33</v>
      </c>
      <c r="B102" t="s">
        <v>19</v>
      </c>
      <c r="C102">
        <v>65719</v>
      </c>
      <c r="D102">
        <v>9362.41</v>
      </c>
      <c r="E102">
        <v>86.55</v>
      </c>
    </row>
    <row r="103" spans="1:5" x14ac:dyDescent="0.3">
      <c r="A103" t="s">
        <v>169</v>
      </c>
      <c r="B103" t="s">
        <v>12</v>
      </c>
      <c r="C103">
        <v>82377</v>
      </c>
      <c r="D103">
        <v>7974.74</v>
      </c>
      <c r="E103">
        <v>9.17</v>
      </c>
    </row>
    <row r="104" spans="1:5" x14ac:dyDescent="0.3">
      <c r="A104" t="s">
        <v>62</v>
      </c>
      <c r="B104" t="s">
        <v>30</v>
      </c>
      <c r="C104">
        <v>22309</v>
      </c>
      <c r="D104">
        <v>3656.29</v>
      </c>
      <c r="E104">
        <v>75.25</v>
      </c>
    </row>
    <row r="105" spans="1:5" x14ac:dyDescent="0.3">
      <c r="A105" t="s">
        <v>31</v>
      </c>
      <c r="B105" t="s">
        <v>30</v>
      </c>
      <c r="C105">
        <v>84851</v>
      </c>
      <c r="D105">
        <v>560.75</v>
      </c>
      <c r="E105">
        <v>80.23</v>
      </c>
    </row>
    <row r="106" spans="1:5" x14ac:dyDescent="0.3">
      <c r="A106" t="s">
        <v>211</v>
      </c>
      <c r="B106" t="s">
        <v>7</v>
      </c>
      <c r="C106">
        <v>27028</v>
      </c>
      <c r="D106">
        <v>4617.92</v>
      </c>
      <c r="E106">
        <v>57.62</v>
      </c>
    </row>
    <row r="107" spans="1:5" x14ac:dyDescent="0.3">
      <c r="A107" t="s">
        <v>18</v>
      </c>
      <c r="B107" t="s">
        <v>19</v>
      </c>
      <c r="C107">
        <v>98682</v>
      </c>
      <c r="D107">
        <v>6220.56</v>
      </c>
      <c r="E107">
        <v>70.099999999999994</v>
      </c>
    </row>
    <row r="108" spans="1:5" x14ac:dyDescent="0.3">
      <c r="A108" t="s">
        <v>16</v>
      </c>
      <c r="B108" t="s">
        <v>17</v>
      </c>
      <c r="C108">
        <v>43512</v>
      </c>
      <c r="D108">
        <v>5352.18</v>
      </c>
      <c r="E108">
        <v>6.17</v>
      </c>
    </row>
    <row r="109" spans="1:5" x14ac:dyDescent="0.3">
      <c r="A109" t="s">
        <v>101</v>
      </c>
      <c r="B109" t="s">
        <v>19</v>
      </c>
      <c r="C109">
        <v>39050</v>
      </c>
      <c r="D109">
        <v>5885.73</v>
      </c>
      <c r="E109">
        <v>93.04</v>
      </c>
    </row>
    <row r="110" spans="1:5" x14ac:dyDescent="0.3">
      <c r="A110" t="s">
        <v>166</v>
      </c>
      <c r="B110" t="s">
        <v>7</v>
      </c>
      <c r="C110">
        <v>34318</v>
      </c>
      <c r="D110">
        <v>675.67</v>
      </c>
      <c r="E110">
        <v>41.05</v>
      </c>
    </row>
    <row r="111" spans="1:5" x14ac:dyDescent="0.3">
      <c r="A111" t="s">
        <v>186</v>
      </c>
      <c r="B111" t="s">
        <v>30</v>
      </c>
      <c r="C111">
        <v>85868</v>
      </c>
      <c r="D111">
        <v>907.72</v>
      </c>
      <c r="E111">
        <v>90.36</v>
      </c>
    </row>
    <row r="112" spans="1:5" x14ac:dyDescent="0.3">
      <c r="A112" t="s">
        <v>176</v>
      </c>
      <c r="B112" t="s">
        <v>19</v>
      </c>
      <c r="C112">
        <v>10907</v>
      </c>
      <c r="D112">
        <v>4748.66</v>
      </c>
      <c r="E112">
        <v>39.36</v>
      </c>
    </row>
    <row r="113" spans="1:5" x14ac:dyDescent="0.3">
      <c r="A113" t="s">
        <v>178</v>
      </c>
      <c r="B113" t="s">
        <v>30</v>
      </c>
      <c r="C113">
        <v>88188</v>
      </c>
      <c r="D113">
        <v>815.86</v>
      </c>
      <c r="E113">
        <v>57.53</v>
      </c>
    </row>
    <row r="114" spans="1:5" x14ac:dyDescent="0.3">
      <c r="A114" t="s">
        <v>164</v>
      </c>
      <c r="B114" t="s">
        <v>19</v>
      </c>
      <c r="C114">
        <v>69636</v>
      </c>
      <c r="D114">
        <v>4246.55</v>
      </c>
      <c r="E114">
        <v>69.290000000000006</v>
      </c>
    </row>
    <row r="115" spans="1:5" x14ac:dyDescent="0.3">
      <c r="A115" t="s">
        <v>138</v>
      </c>
      <c r="B115" t="s">
        <v>12</v>
      </c>
      <c r="C115">
        <v>57353</v>
      </c>
      <c r="D115">
        <v>2274.71</v>
      </c>
      <c r="E115">
        <v>65.34</v>
      </c>
    </row>
    <row r="116" spans="1:5" x14ac:dyDescent="0.3">
      <c r="A116" t="s">
        <v>72</v>
      </c>
      <c r="B116" t="s">
        <v>19</v>
      </c>
      <c r="C116">
        <v>29318</v>
      </c>
      <c r="D116">
        <v>9860.6200000000008</v>
      </c>
      <c r="E116">
        <v>14.58</v>
      </c>
    </row>
    <row r="117" spans="1:5" x14ac:dyDescent="0.3">
      <c r="A117" t="s">
        <v>133</v>
      </c>
      <c r="B117" t="s">
        <v>17</v>
      </c>
      <c r="C117">
        <v>48501</v>
      </c>
      <c r="D117">
        <v>7209.77</v>
      </c>
      <c r="E117">
        <v>92.51</v>
      </c>
    </row>
    <row r="118" spans="1:5" x14ac:dyDescent="0.3">
      <c r="A118" t="s">
        <v>205</v>
      </c>
      <c r="B118" t="s">
        <v>17</v>
      </c>
      <c r="C118">
        <v>52594</v>
      </c>
      <c r="D118">
        <v>8715.0400000000009</v>
      </c>
      <c r="E118">
        <v>90.54</v>
      </c>
    </row>
    <row r="119" spans="1:5" x14ac:dyDescent="0.3">
      <c r="A119" t="s">
        <v>146</v>
      </c>
      <c r="B119" t="s">
        <v>7</v>
      </c>
      <c r="C119">
        <v>14170</v>
      </c>
      <c r="D119">
        <v>5455.23</v>
      </c>
      <c r="E119">
        <v>25.46</v>
      </c>
    </row>
    <row r="120" spans="1:5" x14ac:dyDescent="0.3">
      <c r="A120" t="s">
        <v>218</v>
      </c>
      <c r="B120" t="s">
        <v>17</v>
      </c>
      <c r="C120">
        <v>22525</v>
      </c>
      <c r="D120">
        <v>9465.65</v>
      </c>
      <c r="E120">
        <v>37.79</v>
      </c>
    </row>
    <row r="121" spans="1:5" x14ac:dyDescent="0.3">
      <c r="A121" t="s">
        <v>38</v>
      </c>
      <c r="B121" t="s">
        <v>30</v>
      </c>
      <c r="C121">
        <v>57215</v>
      </c>
      <c r="D121">
        <v>3227.1</v>
      </c>
      <c r="E121">
        <v>32.909999999999997</v>
      </c>
    </row>
    <row r="122" spans="1:5" x14ac:dyDescent="0.3">
      <c r="A122" t="s">
        <v>48</v>
      </c>
      <c r="B122" t="s">
        <v>19</v>
      </c>
      <c r="C122">
        <v>11952</v>
      </c>
      <c r="D122">
        <v>4637.74</v>
      </c>
      <c r="E122">
        <v>63.78</v>
      </c>
    </row>
    <row r="123" spans="1:5" x14ac:dyDescent="0.3">
      <c r="A123" t="s">
        <v>173</v>
      </c>
      <c r="B123" t="s">
        <v>30</v>
      </c>
      <c r="C123">
        <v>49620</v>
      </c>
      <c r="D123">
        <v>2424.31</v>
      </c>
      <c r="E123">
        <v>62.09</v>
      </c>
    </row>
    <row r="124" spans="1:5" x14ac:dyDescent="0.3">
      <c r="A124" t="s">
        <v>198</v>
      </c>
      <c r="B124" t="s">
        <v>12</v>
      </c>
      <c r="C124">
        <v>58113</v>
      </c>
      <c r="D124">
        <v>6382.12</v>
      </c>
      <c r="E124">
        <v>56.66</v>
      </c>
    </row>
    <row r="125" spans="1:5" x14ac:dyDescent="0.3">
      <c r="A125" t="s">
        <v>111</v>
      </c>
      <c r="B125" t="s">
        <v>19</v>
      </c>
      <c r="C125">
        <v>37309</v>
      </c>
      <c r="D125">
        <v>4508.54</v>
      </c>
      <c r="E125">
        <v>47.15</v>
      </c>
    </row>
    <row r="126" spans="1:5" x14ac:dyDescent="0.3">
      <c r="A126" t="s">
        <v>130</v>
      </c>
      <c r="B126" t="s">
        <v>12</v>
      </c>
      <c r="C126">
        <v>82332</v>
      </c>
      <c r="D126">
        <v>7134.86</v>
      </c>
      <c r="E126">
        <v>22.44</v>
      </c>
    </row>
    <row r="127" spans="1:5" x14ac:dyDescent="0.3">
      <c r="A127" t="s">
        <v>80</v>
      </c>
      <c r="B127" t="s">
        <v>17</v>
      </c>
      <c r="C127">
        <v>75508</v>
      </c>
      <c r="D127">
        <v>6856.22</v>
      </c>
      <c r="E127">
        <v>18.2</v>
      </c>
    </row>
    <row r="128" spans="1:5" x14ac:dyDescent="0.3">
      <c r="A128" t="s">
        <v>99</v>
      </c>
      <c r="B128" t="s">
        <v>19</v>
      </c>
      <c r="C128">
        <v>77400</v>
      </c>
      <c r="D128">
        <v>7504.8</v>
      </c>
      <c r="E128">
        <v>68.819999999999993</v>
      </c>
    </row>
    <row r="129" spans="1:5" x14ac:dyDescent="0.3">
      <c r="A129" t="s">
        <v>116</v>
      </c>
      <c r="B129" t="s">
        <v>17</v>
      </c>
      <c r="C129">
        <v>68216</v>
      </c>
      <c r="D129">
        <v>9562.33</v>
      </c>
      <c r="E129">
        <v>63.59</v>
      </c>
    </row>
    <row r="130" spans="1:5" x14ac:dyDescent="0.3">
      <c r="A130" t="s">
        <v>201</v>
      </c>
      <c r="B130" t="s">
        <v>12</v>
      </c>
      <c r="C130">
        <v>58439</v>
      </c>
      <c r="D130">
        <v>5817.93</v>
      </c>
      <c r="E130">
        <v>63.77</v>
      </c>
    </row>
    <row r="131" spans="1:5" x14ac:dyDescent="0.3">
      <c r="A131" t="s">
        <v>192</v>
      </c>
      <c r="B131" t="s">
        <v>19</v>
      </c>
      <c r="C131">
        <v>43227</v>
      </c>
      <c r="D131">
        <v>5199.53</v>
      </c>
      <c r="E131">
        <v>44.09</v>
      </c>
    </row>
    <row r="132" spans="1:5" x14ac:dyDescent="0.3">
      <c r="A132" t="s">
        <v>112</v>
      </c>
      <c r="B132" t="s">
        <v>30</v>
      </c>
      <c r="C132">
        <v>43294</v>
      </c>
      <c r="D132">
        <v>3802.13</v>
      </c>
      <c r="E132">
        <v>45.84</v>
      </c>
    </row>
    <row r="133" spans="1:5" x14ac:dyDescent="0.3">
      <c r="A133" t="s">
        <v>157</v>
      </c>
      <c r="B133" t="s">
        <v>30</v>
      </c>
      <c r="C133">
        <v>76544</v>
      </c>
      <c r="D133">
        <v>8632.77</v>
      </c>
      <c r="E133">
        <v>12.87</v>
      </c>
    </row>
    <row r="134" spans="1:5" x14ac:dyDescent="0.3">
      <c r="A134" t="s">
        <v>43</v>
      </c>
      <c r="B134" t="s">
        <v>17</v>
      </c>
      <c r="C134">
        <v>41168</v>
      </c>
      <c r="D134">
        <v>8226.77</v>
      </c>
      <c r="E134">
        <v>42.55</v>
      </c>
    </row>
    <row r="135" spans="1:5" x14ac:dyDescent="0.3">
      <c r="A135" t="s">
        <v>44</v>
      </c>
      <c r="B135" t="s">
        <v>19</v>
      </c>
      <c r="C135">
        <v>16256</v>
      </c>
      <c r="D135">
        <v>2127.1799999999998</v>
      </c>
      <c r="E135">
        <v>38.94</v>
      </c>
    </row>
    <row r="136" spans="1:5" x14ac:dyDescent="0.3">
      <c r="A136" t="s">
        <v>86</v>
      </c>
      <c r="B136" t="s">
        <v>19</v>
      </c>
      <c r="C136">
        <v>56531</v>
      </c>
      <c r="D136">
        <v>8958.07</v>
      </c>
      <c r="E136">
        <v>83.44</v>
      </c>
    </row>
    <row r="137" spans="1:5" x14ac:dyDescent="0.3">
      <c r="A137" t="s">
        <v>191</v>
      </c>
      <c r="B137" t="s">
        <v>12</v>
      </c>
      <c r="C137">
        <v>43346</v>
      </c>
      <c r="D137">
        <v>5559.12</v>
      </c>
      <c r="E137">
        <v>39.4</v>
      </c>
    </row>
    <row r="138" spans="1:5" x14ac:dyDescent="0.3">
      <c r="A138" t="s">
        <v>32</v>
      </c>
      <c r="B138" t="s">
        <v>7</v>
      </c>
      <c r="C138">
        <v>10933</v>
      </c>
      <c r="D138">
        <v>9004.3700000000008</v>
      </c>
      <c r="E138">
        <v>26.84</v>
      </c>
    </row>
    <row r="139" spans="1:5" x14ac:dyDescent="0.3">
      <c r="A139" t="s">
        <v>179</v>
      </c>
      <c r="B139" t="s">
        <v>7</v>
      </c>
      <c r="C139">
        <v>94393</v>
      </c>
      <c r="D139">
        <v>6691.7</v>
      </c>
      <c r="E139">
        <v>74.790000000000006</v>
      </c>
    </row>
    <row r="140" spans="1:5" x14ac:dyDescent="0.3">
      <c r="A140" t="s">
        <v>39</v>
      </c>
      <c r="B140" t="s">
        <v>7</v>
      </c>
      <c r="C140">
        <v>80904</v>
      </c>
      <c r="D140">
        <v>3263.09</v>
      </c>
      <c r="E140">
        <v>58.37</v>
      </c>
    </row>
    <row r="141" spans="1:5" x14ac:dyDescent="0.3">
      <c r="A141" t="s">
        <v>162</v>
      </c>
      <c r="B141" t="s">
        <v>30</v>
      </c>
      <c r="C141">
        <v>94347</v>
      </c>
      <c r="D141">
        <v>2272.58</v>
      </c>
      <c r="E141">
        <v>34.75</v>
      </c>
    </row>
    <row r="142" spans="1:5" x14ac:dyDescent="0.3">
      <c r="A142" t="s">
        <v>213</v>
      </c>
      <c r="B142" t="s">
        <v>12</v>
      </c>
      <c r="C142">
        <v>58622</v>
      </c>
      <c r="D142">
        <v>7795.36</v>
      </c>
      <c r="E142">
        <v>59.81</v>
      </c>
    </row>
    <row r="143" spans="1:5" x14ac:dyDescent="0.3">
      <c r="A143" t="s">
        <v>195</v>
      </c>
      <c r="B143" t="s">
        <v>7</v>
      </c>
      <c r="C143">
        <v>68278</v>
      </c>
      <c r="D143">
        <v>3272.65</v>
      </c>
      <c r="E143">
        <v>30.47</v>
      </c>
    </row>
    <row r="144" spans="1:5" x14ac:dyDescent="0.3">
      <c r="A144" t="s">
        <v>128</v>
      </c>
      <c r="B144" t="s">
        <v>12</v>
      </c>
      <c r="C144">
        <v>29406</v>
      </c>
      <c r="D144">
        <v>5281.69</v>
      </c>
      <c r="E144">
        <v>27.01</v>
      </c>
    </row>
    <row r="145" spans="1:5" x14ac:dyDescent="0.3">
      <c r="A145" t="s">
        <v>104</v>
      </c>
      <c r="B145" t="s">
        <v>17</v>
      </c>
      <c r="C145">
        <v>16868</v>
      </c>
      <c r="D145">
        <v>1378.01</v>
      </c>
      <c r="E145">
        <v>47.52</v>
      </c>
    </row>
    <row r="146" spans="1:5" x14ac:dyDescent="0.3">
      <c r="A146" t="s">
        <v>118</v>
      </c>
      <c r="B146" t="s">
        <v>30</v>
      </c>
      <c r="C146">
        <v>68492</v>
      </c>
      <c r="D146">
        <v>3533.88</v>
      </c>
      <c r="E146">
        <v>52.99</v>
      </c>
    </row>
    <row r="147" spans="1:5" x14ac:dyDescent="0.3">
      <c r="A147" t="s">
        <v>207</v>
      </c>
      <c r="B147" t="s">
        <v>17</v>
      </c>
      <c r="C147">
        <v>99115</v>
      </c>
      <c r="D147">
        <v>827.26</v>
      </c>
      <c r="E147">
        <v>28.88</v>
      </c>
    </row>
    <row r="148" spans="1:5" x14ac:dyDescent="0.3">
      <c r="A148" t="s">
        <v>193</v>
      </c>
      <c r="B148" t="s">
        <v>12</v>
      </c>
      <c r="C148">
        <v>13333</v>
      </c>
      <c r="D148">
        <v>6102.15</v>
      </c>
      <c r="E148">
        <v>17.670000000000002</v>
      </c>
    </row>
    <row r="149" spans="1:5" x14ac:dyDescent="0.3">
      <c r="A149" t="s">
        <v>124</v>
      </c>
      <c r="B149" t="s">
        <v>12</v>
      </c>
      <c r="C149">
        <v>47491</v>
      </c>
      <c r="D149">
        <v>5781.05</v>
      </c>
      <c r="E149">
        <v>92.18</v>
      </c>
    </row>
    <row r="150" spans="1:5" x14ac:dyDescent="0.3">
      <c r="A150" t="s">
        <v>151</v>
      </c>
      <c r="B150" t="s">
        <v>12</v>
      </c>
      <c r="C150">
        <v>61207</v>
      </c>
      <c r="D150">
        <v>6922.33</v>
      </c>
      <c r="E150">
        <v>9.1999999999999993</v>
      </c>
    </row>
    <row r="151" spans="1:5" x14ac:dyDescent="0.3">
      <c r="A151" t="s">
        <v>200</v>
      </c>
      <c r="B151" t="s">
        <v>30</v>
      </c>
      <c r="C151">
        <v>46863</v>
      </c>
      <c r="D151">
        <v>6762.98</v>
      </c>
      <c r="E151">
        <v>23.45</v>
      </c>
    </row>
    <row r="152" spans="1:5" x14ac:dyDescent="0.3">
      <c r="A152" t="s">
        <v>156</v>
      </c>
      <c r="B152" t="s">
        <v>17</v>
      </c>
      <c r="C152">
        <v>81057</v>
      </c>
      <c r="D152">
        <v>675.41</v>
      </c>
      <c r="E152">
        <v>55.44</v>
      </c>
    </row>
    <row r="153" spans="1:5" x14ac:dyDescent="0.3">
      <c r="A153" t="s">
        <v>113</v>
      </c>
      <c r="B153" t="s">
        <v>30</v>
      </c>
      <c r="C153">
        <v>90679</v>
      </c>
      <c r="D153">
        <v>7266.82</v>
      </c>
      <c r="E153">
        <v>23.3</v>
      </c>
    </row>
    <row r="154" spans="1:5" x14ac:dyDescent="0.3">
      <c r="A154" t="s">
        <v>25</v>
      </c>
      <c r="B154" t="s">
        <v>19</v>
      </c>
      <c r="C154">
        <v>95306</v>
      </c>
      <c r="D154">
        <v>9037.76</v>
      </c>
      <c r="E154">
        <v>13.35</v>
      </c>
    </row>
    <row r="155" spans="1:5" x14ac:dyDescent="0.3">
      <c r="A155" t="s">
        <v>177</v>
      </c>
      <c r="B155" t="s">
        <v>7</v>
      </c>
      <c r="C155">
        <v>17097</v>
      </c>
      <c r="D155">
        <v>9061.7800000000007</v>
      </c>
      <c r="E155">
        <v>95.92</v>
      </c>
    </row>
    <row r="156" spans="1:5" x14ac:dyDescent="0.3">
      <c r="A156" t="s">
        <v>142</v>
      </c>
      <c r="B156" t="s">
        <v>17</v>
      </c>
      <c r="C156">
        <v>75736</v>
      </c>
      <c r="D156">
        <v>6287.07</v>
      </c>
      <c r="E156">
        <v>63.11</v>
      </c>
    </row>
    <row r="157" spans="1:5" x14ac:dyDescent="0.3">
      <c r="A157" t="s">
        <v>140</v>
      </c>
      <c r="B157" t="s">
        <v>17</v>
      </c>
      <c r="C157">
        <v>88308</v>
      </c>
      <c r="D157">
        <v>7802.07</v>
      </c>
      <c r="E157">
        <v>36.130000000000003</v>
      </c>
    </row>
    <row r="158" spans="1:5" x14ac:dyDescent="0.3">
      <c r="A158" t="s">
        <v>161</v>
      </c>
      <c r="B158" t="s">
        <v>7</v>
      </c>
      <c r="C158">
        <v>15788</v>
      </c>
      <c r="D158">
        <v>1824.14</v>
      </c>
      <c r="E158">
        <v>52.78</v>
      </c>
    </row>
    <row r="159" spans="1:5" x14ac:dyDescent="0.3">
      <c r="A159" t="s">
        <v>21</v>
      </c>
      <c r="B159" t="s">
        <v>19</v>
      </c>
      <c r="C159">
        <v>61157</v>
      </c>
      <c r="D159">
        <v>7331.54</v>
      </c>
      <c r="E159">
        <v>55.52</v>
      </c>
    </row>
    <row r="160" spans="1:5" x14ac:dyDescent="0.3">
      <c r="A160" t="s">
        <v>155</v>
      </c>
      <c r="B160" t="s">
        <v>7</v>
      </c>
      <c r="C160">
        <v>72224</v>
      </c>
      <c r="D160">
        <v>1613.32</v>
      </c>
      <c r="E160">
        <v>39.21</v>
      </c>
    </row>
    <row r="161" spans="1:5" x14ac:dyDescent="0.3">
      <c r="A161" t="s">
        <v>204</v>
      </c>
      <c r="B161" t="s">
        <v>30</v>
      </c>
      <c r="C161">
        <v>36423</v>
      </c>
      <c r="D161">
        <v>589.96</v>
      </c>
      <c r="E161">
        <v>30.9</v>
      </c>
    </row>
    <row r="162" spans="1:5" x14ac:dyDescent="0.3">
      <c r="A162" t="s">
        <v>89</v>
      </c>
      <c r="B162" t="s">
        <v>17</v>
      </c>
      <c r="C162">
        <v>36171</v>
      </c>
      <c r="D162">
        <v>6864.38</v>
      </c>
      <c r="E162">
        <v>37.03</v>
      </c>
    </row>
    <row r="163" spans="1:5" x14ac:dyDescent="0.3">
      <c r="A163" t="s">
        <v>74</v>
      </c>
      <c r="B163" t="s">
        <v>19</v>
      </c>
      <c r="C163">
        <v>18175</v>
      </c>
      <c r="D163">
        <v>8349.49</v>
      </c>
      <c r="E163">
        <v>39.97</v>
      </c>
    </row>
    <row r="164" spans="1:5" x14ac:dyDescent="0.3">
      <c r="A164" t="s">
        <v>220</v>
      </c>
      <c r="B164" t="s">
        <v>12</v>
      </c>
      <c r="C164">
        <v>97040</v>
      </c>
      <c r="D164">
        <v>5727.14</v>
      </c>
      <c r="E164">
        <v>38.19</v>
      </c>
    </row>
    <row r="165" spans="1:5" x14ac:dyDescent="0.3">
      <c r="A165" t="s">
        <v>145</v>
      </c>
      <c r="B165" t="s">
        <v>7</v>
      </c>
      <c r="C165">
        <v>60710</v>
      </c>
      <c r="D165">
        <v>2726.26</v>
      </c>
      <c r="E165">
        <v>83.02</v>
      </c>
    </row>
    <row r="166" spans="1:5" x14ac:dyDescent="0.3">
      <c r="A166" t="s">
        <v>214</v>
      </c>
      <c r="B166" t="s">
        <v>30</v>
      </c>
      <c r="C166">
        <v>79330</v>
      </c>
      <c r="D166">
        <v>6075.23</v>
      </c>
      <c r="E166">
        <v>83.97</v>
      </c>
    </row>
    <row r="167" spans="1:5" x14ac:dyDescent="0.3">
      <c r="A167" t="s">
        <v>40</v>
      </c>
      <c r="B167" t="s">
        <v>19</v>
      </c>
      <c r="C167">
        <v>96474</v>
      </c>
      <c r="D167">
        <v>7574.39</v>
      </c>
      <c r="E167">
        <v>95.54</v>
      </c>
    </row>
    <row r="168" spans="1:5" x14ac:dyDescent="0.3">
      <c r="A168" t="s">
        <v>131</v>
      </c>
      <c r="B168" t="s">
        <v>17</v>
      </c>
      <c r="C168">
        <v>94128</v>
      </c>
      <c r="D168">
        <v>8117.82</v>
      </c>
      <c r="E168">
        <v>73.83</v>
      </c>
    </row>
    <row r="169" spans="1:5" x14ac:dyDescent="0.3">
      <c r="A169" t="s">
        <v>147</v>
      </c>
      <c r="B169" t="s">
        <v>17</v>
      </c>
      <c r="C169">
        <v>24095</v>
      </c>
      <c r="D169">
        <v>3167.52</v>
      </c>
      <c r="E169">
        <v>31.02</v>
      </c>
    </row>
    <row r="170" spans="1:5" x14ac:dyDescent="0.3">
      <c r="A170" t="s">
        <v>148</v>
      </c>
      <c r="B170" t="s">
        <v>17</v>
      </c>
      <c r="C170">
        <v>44994</v>
      </c>
      <c r="D170">
        <v>7305.59</v>
      </c>
      <c r="E170">
        <v>91.53</v>
      </c>
    </row>
    <row r="171" spans="1:5" x14ac:dyDescent="0.3">
      <c r="A171" t="s">
        <v>171</v>
      </c>
      <c r="B171" t="s">
        <v>17</v>
      </c>
      <c r="C171">
        <v>24502</v>
      </c>
      <c r="D171">
        <v>7466.86</v>
      </c>
      <c r="E171">
        <v>88.83</v>
      </c>
    </row>
    <row r="172" spans="1:5" x14ac:dyDescent="0.3">
      <c r="A172" t="s">
        <v>150</v>
      </c>
      <c r="B172" t="s">
        <v>30</v>
      </c>
      <c r="C172">
        <v>98356</v>
      </c>
      <c r="D172">
        <v>6968.69</v>
      </c>
      <c r="E172">
        <v>81.72</v>
      </c>
    </row>
    <row r="173" spans="1:5" x14ac:dyDescent="0.3">
      <c r="A173" t="s">
        <v>66</v>
      </c>
      <c r="B173" t="s">
        <v>30</v>
      </c>
      <c r="C173">
        <v>98396</v>
      </c>
      <c r="D173">
        <v>5174.07</v>
      </c>
      <c r="E173">
        <v>63.38</v>
      </c>
    </row>
    <row r="174" spans="1:5" x14ac:dyDescent="0.3">
      <c r="A174" t="s">
        <v>55</v>
      </c>
      <c r="B174" t="s">
        <v>12</v>
      </c>
      <c r="C174">
        <v>38181</v>
      </c>
      <c r="D174">
        <v>691.84</v>
      </c>
      <c r="E174">
        <v>33.53</v>
      </c>
    </row>
    <row r="175" spans="1:5" x14ac:dyDescent="0.3">
      <c r="A175" t="s">
        <v>122</v>
      </c>
      <c r="B175" t="s">
        <v>19</v>
      </c>
      <c r="C175">
        <v>95962</v>
      </c>
      <c r="D175">
        <v>524.72</v>
      </c>
      <c r="E175">
        <v>49.55</v>
      </c>
    </row>
    <row r="176" spans="1:5" x14ac:dyDescent="0.3">
      <c r="A176" t="s">
        <v>52</v>
      </c>
      <c r="B176" t="s">
        <v>19</v>
      </c>
      <c r="C176">
        <v>94949</v>
      </c>
      <c r="D176">
        <v>9714.76</v>
      </c>
      <c r="E176">
        <v>64.900000000000006</v>
      </c>
    </row>
    <row r="177" spans="1:5" x14ac:dyDescent="0.3">
      <c r="A177" t="s">
        <v>92</v>
      </c>
      <c r="B177" t="s">
        <v>30</v>
      </c>
      <c r="C177">
        <v>18726</v>
      </c>
      <c r="D177">
        <v>5099.54</v>
      </c>
      <c r="E177">
        <v>71.05</v>
      </c>
    </row>
    <row r="178" spans="1:5" x14ac:dyDescent="0.3">
      <c r="A178" t="s">
        <v>163</v>
      </c>
      <c r="B178" t="s">
        <v>19</v>
      </c>
      <c r="C178">
        <v>87482</v>
      </c>
      <c r="D178">
        <v>2231.7399999999998</v>
      </c>
      <c r="E178">
        <v>45.43</v>
      </c>
    </row>
    <row r="179" spans="1:5" x14ac:dyDescent="0.3">
      <c r="A179" t="s">
        <v>187</v>
      </c>
      <c r="B179" t="s">
        <v>19</v>
      </c>
      <c r="C179">
        <v>94861</v>
      </c>
      <c r="D179">
        <v>8363.57</v>
      </c>
      <c r="E179">
        <v>90.29</v>
      </c>
    </row>
    <row r="180" spans="1:5" x14ac:dyDescent="0.3">
      <c r="A180" t="s">
        <v>219</v>
      </c>
      <c r="B180" t="s">
        <v>12</v>
      </c>
      <c r="C180">
        <v>84524</v>
      </c>
      <c r="D180">
        <v>9350.11</v>
      </c>
      <c r="E180">
        <v>27.53</v>
      </c>
    </row>
    <row r="181" spans="1:5" x14ac:dyDescent="0.3">
      <c r="A181" t="s">
        <v>216</v>
      </c>
      <c r="B181" t="s">
        <v>17</v>
      </c>
      <c r="C181">
        <v>13302</v>
      </c>
      <c r="D181">
        <v>821.51</v>
      </c>
      <c r="E181">
        <v>69.599999999999994</v>
      </c>
    </row>
    <row r="182" spans="1:5" x14ac:dyDescent="0.3">
      <c r="A182" t="s">
        <v>70</v>
      </c>
      <c r="B182" t="s">
        <v>19</v>
      </c>
      <c r="C182">
        <v>42485</v>
      </c>
      <c r="D182">
        <v>4755.75</v>
      </c>
      <c r="E182">
        <v>10.19</v>
      </c>
    </row>
    <row r="183" spans="1:5" x14ac:dyDescent="0.3">
      <c r="A183" t="s">
        <v>57</v>
      </c>
      <c r="B183" t="s">
        <v>19</v>
      </c>
      <c r="C183">
        <v>41027</v>
      </c>
      <c r="D183">
        <v>7285.85</v>
      </c>
      <c r="E183">
        <v>59.87</v>
      </c>
    </row>
    <row r="184" spans="1:5" x14ac:dyDescent="0.3">
      <c r="A184" t="s">
        <v>132</v>
      </c>
      <c r="B184" t="s">
        <v>19</v>
      </c>
      <c r="C184">
        <v>29860</v>
      </c>
      <c r="D184">
        <v>3956.23</v>
      </c>
      <c r="E184">
        <v>57.5</v>
      </c>
    </row>
    <row r="185" spans="1:5" x14ac:dyDescent="0.3">
      <c r="A185" t="s">
        <v>108</v>
      </c>
      <c r="B185" t="s">
        <v>7</v>
      </c>
      <c r="C185">
        <v>22201</v>
      </c>
      <c r="D185">
        <v>2853.66</v>
      </c>
      <c r="E185">
        <v>71.94</v>
      </c>
    </row>
    <row r="186" spans="1:5" x14ac:dyDescent="0.3">
      <c r="A186" t="s">
        <v>172</v>
      </c>
      <c r="B186" t="s">
        <v>7</v>
      </c>
      <c r="C186">
        <v>68820</v>
      </c>
      <c r="D186">
        <v>9612.25</v>
      </c>
      <c r="E186">
        <v>83.51</v>
      </c>
    </row>
    <row r="187" spans="1:5" x14ac:dyDescent="0.3">
      <c r="A187" t="s">
        <v>77</v>
      </c>
      <c r="B187" t="s">
        <v>30</v>
      </c>
      <c r="C187">
        <v>61942</v>
      </c>
      <c r="D187">
        <v>4891.32</v>
      </c>
      <c r="E187">
        <v>91.59</v>
      </c>
    </row>
    <row r="188" spans="1:5" x14ac:dyDescent="0.3">
      <c r="A188" t="s">
        <v>199</v>
      </c>
      <c r="B188" t="s">
        <v>17</v>
      </c>
      <c r="C188">
        <v>77317</v>
      </c>
      <c r="D188">
        <v>4862.95</v>
      </c>
      <c r="E188">
        <v>89.78</v>
      </c>
    </row>
    <row r="189" spans="1:5" x14ac:dyDescent="0.3">
      <c r="A189" t="s">
        <v>217</v>
      </c>
      <c r="B189" t="s">
        <v>19</v>
      </c>
      <c r="C189">
        <v>80824</v>
      </c>
      <c r="D189">
        <v>2858.92</v>
      </c>
      <c r="E189">
        <v>13.97</v>
      </c>
    </row>
    <row r="190" spans="1:5" x14ac:dyDescent="0.3">
      <c r="A190" t="s">
        <v>212</v>
      </c>
      <c r="B190" t="s">
        <v>7</v>
      </c>
      <c r="C190">
        <v>67820</v>
      </c>
      <c r="D190">
        <v>8177.95</v>
      </c>
      <c r="E190">
        <v>40.69</v>
      </c>
    </row>
    <row r="191" spans="1:5" x14ac:dyDescent="0.3">
      <c r="A191" t="s">
        <v>67</v>
      </c>
      <c r="B191" t="s">
        <v>7</v>
      </c>
      <c r="C191">
        <v>70582</v>
      </c>
      <c r="D191">
        <v>7517.59</v>
      </c>
      <c r="E191">
        <v>95.71</v>
      </c>
    </row>
    <row r="192" spans="1:5" x14ac:dyDescent="0.3">
      <c r="A192" t="s">
        <v>78</v>
      </c>
      <c r="B192" t="s">
        <v>7</v>
      </c>
      <c r="C192">
        <v>86557</v>
      </c>
      <c r="D192">
        <v>8631.2800000000007</v>
      </c>
      <c r="E192">
        <v>69.53</v>
      </c>
    </row>
    <row r="193" spans="1:5" x14ac:dyDescent="0.3">
      <c r="A193" t="s">
        <v>152</v>
      </c>
      <c r="B193" t="s">
        <v>30</v>
      </c>
      <c r="C193">
        <v>21914</v>
      </c>
      <c r="D193">
        <v>5897.27</v>
      </c>
      <c r="E193">
        <v>49.41</v>
      </c>
    </row>
    <row r="194" spans="1:5" x14ac:dyDescent="0.3">
      <c r="A194" t="s">
        <v>87</v>
      </c>
      <c r="B194" t="s">
        <v>12</v>
      </c>
      <c r="C194">
        <v>15333</v>
      </c>
      <c r="D194">
        <v>2570.54</v>
      </c>
      <c r="E194">
        <v>41.07</v>
      </c>
    </row>
    <row r="195" spans="1:5" x14ac:dyDescent="0.3">
      <c r="A195" t="s">
        <v>35</v>
      </c>
      <c r="B195" t="s">
        <v>19</v>
      </c>
      <c r="C195">
        <v>42382</v>
      </c>
      <c r="D195">
        <v>5116.6899999999996</v>
      </c>
      <c r="E195">
        <v>80.42</v>
      </c>
    </row>
    <row r="196" spans="1:5" x14ac:dyDescent="0.3">
      <c r="A196" t="s">
        <v>154</v>
      </c>
      <c r="B196" t="s">
        <v>12</v>
      </c>
      <c r="C196">
        <v>87012</v>
      </c>
      <c r="D196">
        <v>7478.13</v>
      </c>
      <c r="E196">
        <v>27.22</v>
      </c>
    </row>
    <row r="197" spans="1:5" x14ac:dyDescent="0.3">
      <c r="A197" t="s">
        <v>84</v>
      </c>
      <c r="B197" t="s">
        <v>30</v>
      </c>
      <c r="C197">
        <v>85444</v>
      </c>
      <c r="D197">
        <v>852.57</v>
      </c>
      <c r="E197">
        <v>72.650000000000006</v>
      </c>
    </row>
    <row r="198" spans="1:5" x14ac:dyDescent="0.3">
      <c r="A198" t="s">
        <v>76</v>
      </c>
      <c r="B198" t="s">
        <v>17</v>
      </c>
      <c r="C198">
        <v>59617</v>
      </c>
      <c r="D198">
        <v>5000.95</v>
      </c>
      <c r="E198">
        <v>80.36</v>
      </c>
    </row>
    <row r="199" spans="1:5" x14ac:dyDescent="0.3">
      <c r="A199" t="s">
        <v>50</v>
      </c>
      <c r="B199" t="s">
        <v>19</v>
      </c>
      <c r="C199">
        <v>40577</v>
      </c>
      <c r="D199">
        <v>4280.82</v>
      </c>
      <c r="E199">
        <v>79.88</v>
      </c>
    </row>
    <row r="200" spans="1:5" x14ac:dyDescent="0.3">
      <c r="A200" t="s">
        <v>117</v>
      </c>
      <c r="B200" t="s">
        <v>7</v>
      </c>
      <c r="C200">
        <v>89321</v>
      </c>
      <c r="D200">
        <v>9836.34</v>
      </c>
      <c r="E200">
        <v>16.989999999999998</v>
      </c>
    </row>
    <row r="201" spans="1:5" x14ac:dyDescent="0.3">
      <c r="A201" t="s">
        <v>182</v>
      </c>
      <c r="B201" t="s">
        <v>12</v>
      </c>
      <c r="C201">
        <v>21081</v>
      </c>
      <c r="D201">
        <v>9001.77</v>
      </c>
      <c r="E201">
        <v>49.27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392A-38FB-4A3E-AB7E-C8DBBD477434}">
  <sheetPr>
    <tabColor rgb="FF00B050"/>
  </sheetPr>
  <dimension ref="A1:D364"/>
  <sheetViews>
    <sheetView workbookViewId="0">
      <selection activeCell="D1" sqref="D1"/>
    </sheetView>
  </sheetViews>
  <sheetFormatPr defaultRowHeight="14" x14ac:dyDescent="0.3"/>
  <cols>
    <col min="1" max="1" width="11" customWidth="1"/>
    <col min="2" max="2" width="12.1640625" customWidth="1"/>
    <col min="3" max="3" width="36.9140625" customWidth="1"/>
    <col min="4" max="4" width="23" customWidth="1"/>
  </cols>
  <sheetData>
    <row r="1" spans="1:4" x14ac:dyDescent="0.3">
      <c r="A1" t="s">
        <v>0</v>
      </c>
      <c r="B1" t="s">
        <v>224</v>
      </c>
      <c r="C1" t="s">
        <v>225</v>
      </c>
      <c r="D1" t="s">
        <v>226</v>
      </c>
    </row>
    <row r="2" spans="1:4" x14ac:dyDescent="0.3">
      <c r="A2" t="s">
        <v>20</v>
      </c>
      <c r="B2" t="s">
        <v>227</v>
      </c>
      <c r="C2">
        <v>959.2</v>
      </c>
      <c r="D2">
        <v>38.840000000000003</v>
      </c>
    </row>
    <row r="3" spans="1:4" x14ac:dyDescent="0.3">
      <c r="A3" t="s">
        <v>100</v>
      </c>
      <c r="B3" t="s">
        <v>227</v>
      </c>
      <c r="C3">
        <v>959.2</v>
      </c>
      <c r="D3">
        <v>36.92</v>
      </c>
    </row>
    <row r="4" spans="1:4" x14ac:dyDescent="0.3">
      <c r="A4" t="s">
        <v>193</v>
      </c>
      <c r="B4" t="s">
        <v>227</v>
      </c>
      <c r="C4">
        <v>959.2</v>
      </c>
      <c r="D4">
        <v>24.24</v>
      </c>
    </row>
    <row r="5" spans="1:4" x14ac:dyDescent="0.3">
      <c r="A5" t="s">
        <v>128</v>
      </c>
      <c r="B5" t="s">
        <v>229</v>
      </c>
      <c r="C5">
        <v>231.68</v>
      </c>
      <c r="D5">
        <v>13.88</v>
      </c>
    </row>
    <row r="6" spans="1:4" x14ac:dyDescent="0.3">
      <c r="A6" t="s">
        <v>100</v>
      </c>
      <c r="B6" t="s">
        <v>229</v>
      </c>
      <c r="C6">
        <v>231.68</v>
      </c>
      <c r="D6">
        <v>10.02</v>
      </c>
    </row>
    <row r="7" spans="1:4" x14ac:dyDescent="0.3">
      <c r="A7" t="s">
        <v>36</v>
      </c>
      <c r="B7" t="s">
        <v>229</v>
      </c>
      <c r="C7">
        <v>231.68</v>
      </c>
      <c r="D7">
        <v>15.92</v>
      </c>
    </row>
    <row r="8" spans="1:4" x14ac:dyDescent="0.3">
      <c r="A8" t="s">
        <v>200</v>
      </c>
      <c r="B8" t="s">
        <v>229</v>
      </c>
      <c r="C8">
        <v>231.68</v>
      </c>
      <c r="D8">
        <v>35.92</v>
      </c>
    </row>
    <row r="9" spans="1:4" x14ac:dyDescent="0.3">
      <c r="A9" t="s">
        <v>65</v>
      </c>
      <c r="B9" t="s">
        <v>229</v>
      </c>
      <c r="C9">
        <v>231.68</v>
      </c>
      <c r="D9">
        <v>24.26</v>
      </c>
    </row>
    <row r="10" spans="1:4" x14ac:dyDescent="0.3">
      <c r="A10" t="s">
        <v>66</v>
      </c>
      <c r="B10" t="s">
        <v>231</v>
      </c>
      <c r="C10">
        <v>714.03</v>
      </c>
      <c r="D10">
        <v>36.89</v>
      </c>
    </row>
    <row r="11" spans="1:4" x14ac:dyDescent="0.3">
      <c r="A11" t="s">
        <v>92</v>
      </c>
      <c r="B11" t="s">
        <v>231</v>
      </c>
      <c r="C11">
        <v>714.03</v>
      </c>
      <c r="D11">
        <v>32.29</v>
      </c>
    </row>
    <row r="12" spans="1:4" x14ac:dyDescent="0.3">
      <c r="A12" t="s">
        <v>95</v>
      </c>
      <c r="B12" t="s">
        <v>231</v>
      </c>
      <c r="C12">
        <v>714.03</v>
      </c>
      <c r="D12">
        <v>10.84</v>
      </c>
    </row>
    <row r="13" spans="1:4" x14ac:dyDescent="0.3">
      <c r="A13" t="s">
        <v>220</v>
      </c>
      <c r="B13" t="s">
        <v>231</v>
      </c>
      <c r="C13">
        <v>714.03</v>
      </c>
      <c r="D13">
        <v>19.98</v>
      </c>
    </row>
    <row r="14" spans="1:4" x14ac:dyDescent="0.3">
      <c r="A14" t="s">
        <v>161</v>
      </c>
      <c r="B14" t="s">
        <v>233</v>
      </c>
      <c r="C14">
        <v>571.88</v>
      </c>
      <c r="D14">
        <v>8.17</v>
      </c>
    </row>
    <row r="15" spans="1:4" x14ac:dyDescent="0.3">
      <c r="A15" t="s">
        <v>53</v>
      </c>
      <c r="B15" t="s">
        <v>233</v>
      </c>
      <c r="C15">
        <v>571.88</v>
      </c>
      <c r="D15">
        <v>20.93</v>
      </c>
    </row>
    <row r="16" spans="1:4" x14ac:dyDescent="0.3">
      <c r="A16" t="s">
        <v>191</v>
      </c>
      <c r="B16" t="s">
        <v>233</v>
      </c>
      <c r="C16">
        <v>571.88</v>
      </c>
      <c r="D16">
        <v>32.18</v>
      </c>
    </row>
    <row r="17" spans="1:4" x14ac:dyDescent="0.3">
      <c r="A17" t="s">
        <v>157</v>
      </c>
      <c r="B17" t="s">
        <v>233</v>
      </c>
      <c r="C17">
        <v>571.88</v>
      </c>
      <c r="D17">
        <v>30.1</v>
      </c>
    </row>
    <row r="18" spans="1:4" x14ac:dyDescent="0.3">
      <c r="A18" t="s">
        <v>202</v>
      </c>
      <c r="B18" t="s">
        <v>233</v>
      </c>
      <c r="C18">
        <v>571.88</v>
      </c>
      <c r="D18">
        <v>8.6199999999999992</v>
      </c>
    </row>
    <row r="19" spans="1:4" x14ac:dyDescent="0.3">
      <c r="A19" t="s">
        <v>120</v>
      </c>
      <c r="B19" t="s">
        <v>235</v>
      </c>
      <c r="C19">
        <v>114.57</v>
      </c>
      <c r="D19">
        <v>9.83</v>
      </c>
    </row>
    <row r="20" spans="1:4" x14ac:dyDescent="0.3">
      <c r="A20" t="s">
        <v>182</v>
      </c>
      <c r="B20" t="s">
        <v>235</v>
      </c>
      <c r="C20">
        <v>114.57</v>
      </c>
      <c r="D20">
        <v>44.17</v>
      </c>
    </row>
    <row r="21" spans="1:4" x14ac:dyDescent="0.3">
      <c r="A21" t="s">
        <v>129</v>
      </c>
      <c r="B21" t="s">
        <v>235</v>
      </c>
      <c r="C21">
        <v>114.57</v>
      </c>
      <c r="D21">
        <v>36.04</v>
      </c>
    </row>
    <row r="22" spans="1:4" x14ac:dyDescent="0.3">
      <c r="A22" t="s">
        <v>55</v>
      </c>
      <c r="B22" t="s">
        <v>235</v>
      </c>
      <c r="C22">
        <v>114.57</v>
      </c>
      <c r="D22">
        <v>9.9600000000000009</v>
      </c>
    </row>
    <row r="23" spans="1:4" x14ac:dyDescent="0.3">
      <c r="A23" t="s">
        <v>22</v>
      </c>
      <c r="B23" t="s">
        <v>237</v>
      </c>
      <c r="C23">
        <v>790.74</v>
      </c>
      <c r="D23">
        <v>12.77</v>
      </c>
    </row>
    <row r="24" spans="1:4" x14ac:dyDescent="0.3">
      <c r="A24" t="s">
        <v>152</v>
      </c>
      <c r="B24" t="s">
        <v>237</v>
      </c>
      <c r="C24">
        <v>790.74</v>
      </c>
      <c r="D24">
        <v>15.07</v>
      </c>
    </row>
    <row r="25" spans="1:4" x14ac:dyDescent="0.3">
      <c r="A25" t="s">
        <v>212</v>
      </c>
      <c r="B25" t="s">
        <v>237</v>
      </c>
      <c r="C25">
        <v>790.74</v>
      </c>
      <c r="D25">
        <v>15.94</v>
      </c>
    </row>
    <row r="26" spans="1:4" x14ac:dyDescent="0.3">
      <c r="A26" t="s">
        <v>148</v>
      </c>
      <c r="B26" t="s">
        <v>237</v>
      </c>
      <c r="C26">
        <v>790.74</v>
      </c>
      <c r="D26">
        <v>27.44</v>
      </c>
    </row>
    <row r="27" spans="1:4" x14ac:dyDescent="0.3">
      <c r="A27" t="s">
        <v>146</v>
      </c>
      <c r="B27" t="s">
        <v>237</v>
      </c>
      <c r="C27">
        <v>790.74</v>
      </c>
      <c r="D27">
        <v>28.78</v>
      </c>
    </row>
    <row r="28" spans="1:4" x14ac:dyDescent="0.3">
      <c r="A28" t="s">
        <v>118</v>
      </c>
      <c r="B28" t="s">
        <v>239</v>
      </c>
      <c r="C28">
        <v>847.51</v>
      </c>
      <c r="D28">
        <v>7.14</v>
      </c>
    </row>
    <row r="29" spans="1:4" x14ac:dyDescent="0.3">
      <c r="A29" t="s">
        <v>171</v>
      </c>
      <c r="B29" t="s">
        <v>239</v>
      </c>
      <c r="C29">
        <v>847.51</v>
      </c>
      <c r="D29">
        <v>26.48</v>
      </c>
    </row>
    <row r="30" spans="1:4" x14ac:dyDescent="0.3">
      <c r="A30" t="s">
        <v>91</v>
      </c>
      <c r="B30" t="s">
        <v>239</v>
      </c>
      <c r="C30">
        <v>847.51</v>
      </c>
      <c r="D30">
        <v>28.45</v>
      </c>
    </row>
    <row r="31" spans="1:4" x14ac:dyDescent="0.3">
      <c r="A31" t="s">
        <v>119</v>
      </c>
      <c r="B31" t="s">
        <v>239</v>
      </c>
      <c r="C31">
        <v>847.51</v>
      </c>
      <c r="D31">
        <v>9.9</v>
      </c>
    </row>
    <row r="32" spans="1:4" x14ac:dyDescent="0.3">
      <c r="A32" t="s">
        <v>156</v>
      </c>
      <c r="B32" t="s">
        <v>239</v>
      </c>
      <c r="C32">
        <v>847.51</v>
      </c>
      <c r="D32">
        <v>28.03</v>
      </c>
    </row>
    <row r="33" spans="1:4" x14ac:dyDescent="0.3">
      <c r="A33" t="s">
        <v>47</v>
      </c>
      <c r="B33" t="s">
        <v>241</v>
      </c>
      <c r="C33">
        <v>610.79999999999995</v>
      </c>
      <c r="D33">
        <v>29.15</v>
      </c>
    </row>
    <row r="34" spans="1:4" x14ac:dyDescent="0.3">
      <c r="A34" t="s">
        <v>31</v>
      </c>
      <c r="B34" t="s">
        <v>241</v>
      </c>
      <c r="C34">
        <v>610.79999999999995</v>
      </c>
      <c r="D34">
        <v>26.58</v>
      </c>
    </row>
    <row r="35" spans="1:4" x14ac:dyDescent="0.3">
      <c r="A35" t="s">
        <v>83</v>
      </c>
      <c r="B35" t="s">
        <v>241</v>
      </c>
      <c r="C35">
        <v>610.79999999999995</v>
      </c>
      <c r="D35">
        <v>14.23</v>
      </c>
    </row>
    <row r="36" spans="1:4" x14ac:dyDescent="0.3">
      <c r="A36" t="s">
        <v>184</v>
      </c>
      <c r="B36" t="s">
        <v>241</v>
      </c>
      <c r="C36">
        <v>610.79999999999995</v>
      </c>
      <c r="D36">
        <v>30.04</v>
      </c>
    </row>
    <row r="37" spans="1:4" x14ac:dyDescent="0.3">
      <c r="A37" t="s">
        <v>177</v>
      </c>
      <c r="B37" t="s">
        <v>243</v>
      </c>
      <c r="C37">
        <v>390.06</v>
      </c>
      <c r="D37">
        <v>18.010000000000002</v>
      </c>
    </row>
    <row r="38" spans="1:4" x14ac:dyDescent="0.3">
      <c r="A38" t="s">
        <v>166</v>
      </c>
      <c r="B38" t="s">
        <v>243</v>
      </c>
      <c r="C38">
        <v>390.06</v>
      </c>
      <c r="D38">
        <v>27.42</v>
      </c>
    </row>
    <row r="39" spans="1:4" x14ac:dyDescent="0.3">
      <c r="A39" t="s">
        <v>81</v>
      </c>
      <c r="B39" t="s">
        <v>243</v>
      </c>
      <c r="C39">
        <v>390.06</v>
      </c>
      <c r="D39">
        <v>23.14</v>
      </c>
    </row>
    <row r="40" spans="1:4" x14ac:dyDescent="0.3">
      <c r="A40" t="s">
        <v>87</v>
      </c>
      <c r="B40" t="s">
        <v>243</v>
      </c>
      <c r="C40">
        <v>390.06</v>
      </c>
      <c r="D40">
        <v>31.43</v>
      </c>
    </row>
    <row r="41" spans="1:4" x14ac:dyDescent="0.3">
      <c r="A41" t="s">
        <v>75</v>
      </c>
      <c r="B41" t="s">
        <v>245</v>
      </c>
      <c r="C41">
        <v>932.3</v>
      </c>
      <c r="D41">
        <v>16.93</v>
      </c>
    </row>
    <row r="42" spans="1:4" x14ac:dyDescent="0.3">
      <c r="A42" t="s">
        <v>95</v>
      </c>
      <c r="B42" t="s">
        <v>245</v>
      </c>
      <c r="C42">
        <v>932.3</v>
      </c>
      <c r="D42">
        <v>30.55</v>
      </c>
    </row>
    <row r="43" spans="1:4" x14ac:dyDescent="0.3">
      <c r="A43" t="s">
        <v>50</v>
      </c>
      <c r="B43" t="s">
        <v>245</v>
      </c>
      <c r="C43">
        <v>932.3</v>
      </c>
      <c r="D43">
        <v>10.19</v>
      </c>
    </row>
    <row r="44" spans="1:4" x14ac:dyDescent="0.3">
      <c r="A44" t="s">
        <v>209</v>
      </c>
      <c r="B44" t="s">
        <v>245</v>
      </c>
      <c r="C44">
        <v>932.3</v>
      </c>
      <c r="D44">
        <v>13.43</v>
      </c>
    </row>
    <row r="45" spans="1:4" x14ac:dyDescent="0.3">
      <c r="A45" t="s">
        <v>33</v>
      </c>
      <c r="B45" t="s">
        <v>245</v>
      </c>
      <c r="C45">
        <v>932.3</v>
      </c>
      <c r="D45">
        <v>28.9</v>
      </c>
    </row>
    <row r="46" spans="1:4" x14ac:dyDescent="0.3">
      <c r="A46" t="s">
        <v>156</v>
      </c>
      <c r="B46" t="s">
        <v>247</v>
      </c>
      <c r="C46">
        <v>795.74</v>
      </c>
      <c r="D46">
        <v>22.49</v>
      </c>
    </row>
    <row r="47" spans="1:4" x14ac:dyDescent="0.3">
      <c r="A47" t="s">
        <v>219</v>
      </c>
      <c r="B47" t="s">
        <v>247</v>
      </c>
      <c r="C47">
        <v>795.74</v>
      </c>
      <c r="D47">
        <v>18.73</v>
      </c>
    </row>
    <row r="48" spans="1:4" x14ac:dyDescent="0.3">
      <c r="A48" t="s">
        <v>62</v>
      </c>
      <c r="B48" t="s">
        <v>247</v>
      </c>
      <c r="C48">
        <v>795.74</v>
      </c>
      <c r="D48">
        <v>26.99</v>
      </c>
    </row>
    <row r="49" spans="1:4" x14ac:dyDescent="0.3">
      <c r="A49" t="s">
        <v>150</v>
      </c>
      <c r="B49" t="s">
        <v>247</v>
      </c>
      <c r="C49">
        <v>795.74</v>
      </c>
      <c r="D49">
        <v>22.41</v>
      </c>
    </row>
    <row r="50" spans="1:4" x14ac:dyDescent="0.3">
      <c r="A50" t="s">
        <v>216</v>
      </c>
      <c r="B50" t="s">
        <v>247</v>
      </c>
      <c r="C50">
        <v>795.74</v>
      </c>
      <c r="D50">
        <v>9.39</v>
      </c>
    </row>
    <row r="51" spans="1:4" x14ac:dyDescent="0.3">
      <c r="A51" t="s">
        <v>215</v>
      </c>
      <c r="B51" t="s">
        <v>249</v>
      </c>
      <c r="C51">
        <v>986.62</v>
      </c>
      <c r="D51">
        <v>42.1</v>
      </c>
    </row>
    <row r="52" spans="1:4" x14ac:dyDescent="0.3">
      <c r="A52" t="s">
        <v>176</v>
      </c>
      <c r="B52" t="s">
        <v>249</v>
      </c>
      <c r="C52">
        <v>986.62</v>
      </c>
      <c r="D52">
        <v>17.04</v>
      </c>
    </row>
    <row r="53" spans="1:4" x14ac:dyDescent="0.3">
      <c r="A53" t="s">
        <v>103</v>
      </c>
      <c r="B53" t="s">
        <v>249</v>
      </c>
      <c r="C53">
        <v>986.62</v>
      </c>
      <c r="D53">
        <v>40.86</v>
      </c>
    </row>
    <row r="54" spans="1:4" x14ac:dyDescent="0.3">
      <c r="A54" t="s">
        <v>118</v>
      </c>
      <c r="B54" t="s">
        <v>251</v>
      </c>
      <c r="C54">
        <v>467.3</v>
      </c>
      <c r="D54">
        <v>46.85</v>
      </c>
    </row>
    <row r="55" spans="1:4" x14ac:dyDescent="0.3">
      <c r="A55" t="s">
        <v>167</v>
      </c>
      <c r="B55" t="s">
        <v>251</v>
      </c>
      <c r="C55">
        <v>467.3</v>
      </c>
      <c r="D55">
        <v>53.15</v>
      </c>
    </row>
    <row r="56" spans="1:4" x14ac:dyDescent="0.3">
      <c r="A56" t="s">
        <v>156</v>
      </c>
      <c r="B56" t="s">
        <v>253</v>
      </c>
      <c r="C56">
        <v>807.86</v>
      </c>
      <c r="D56">
        <v>67.87</v>
      </c>
    </row>
    <row r="57" spans="1:4" x14ac:dyDescent="0.3">
      <c r="A57" t="s">
        <v>213</v>
      </c>
      <c r="B57" t="s">
        <v>253</v>
      </c>
      <c r="C57">
        <v>807.86</v>
      </c>
      <c r="D57">
        <v>32.130000000000003</v>
      </c>
    </row>
    <row r="58" spans="1:4" x14ac:dyDescent="0.3">
      <c r="A58" t="s">
        <v>46</v>
      </c>
      <c r="B58" t="s">
        <v>255</v>
      </c>
      <c r="C58">
        <v>264.23</v>
      </c>
      <c r="D58">
        <v>11.71</v>
      </c>
    </row>
    <row r="59" spans="1:4" x14ac:dyDescent="0.3">
      <c r="A59" t="s">
        <v>6</v>
      </c>
      <c r="B59" t="s">
        <v>255</v>
      </c>
      <c r="C59">
        <v>264.23</v>
      </c>
      <c r="D59">
        <v>28.19</v>
      </c>
    </row>
    <row r="60" spans="1:4" x14ac:dyDescent="0.3">
      <c r="A60" t="s">
        <v>87</v>
      </c>
      <c r="B60" t="s">
        <v>255</v>
      </c>
      <c r="C60">
        <v>264.23</v>
      </c>
      <c r="D60">
        <v>29.84</v>
      </c>
    </row>
    <row r="61" spans="1:4" x14ac:dyDescent="0.3">
      <c r="A61" t="s">
        <v>129</v>
      </c>
      <c r="B61" t="s">
        <v>255</v>
      </c>
      <c r="C61">
        <v>264.23</v>
      </c>
      <c r="D61">
        <v>30.26</v>
      </c>
    </row>
    <row r="62" spans="1:4" x14ac:dyDescent="0.3">
      <c r="A62" t="s">
        <v>192</v>
      </c>
      <c r="B62" t="s">
        <v>257</v>
      </c>
      <c r="C62">
        <v>724.63</v>
      </c>
      <c r="D62">
        <v>14.96</v>
      </c>
    </row>
    <row r="63" spans="1:4" x14ac:dyDescent="0.3">
      <c r="A63" t="s">
        <v>18</v>
      </c>
      <c r="B63" t="s">
        <v>257</v>
      </c>
      <c r="C63">
        <v>724.63</v>
      </c>
      <c r="D63">
        <v>27.81</v>
      </c>
    </row>
    <row r="64" spans="1:4" x14ac:dyDescent="0.3">
      <c r="A64" t="s">
        <v>25</v>
      </c>
      <c r="B64" t="s">
        <v>257</v>
      </c>
      <c r="C64">
        <v>724.63</v>
      </c>
      <c r="D64">
        <v>21.2</v>
      </c>
    </row>
    <row r="65" spans="1:4" x14ac:dyDescent="0.3">
      <c r="A65" t="s">
        <v>75</v>
      </c>
      <c r="B65" t="s">
        <v>257</v>
      </c>
      <c r="C65">
        <v>724.63</v>
      </c>
      <c r="D65">
        <v>23.39</v>
      </c>
    </row>
    <row r="66" spans="1:4" x14ac:dyDescent="0.3">
      <c r="A66" t="s">
        <v>43</v>
      </c>
      <c r="B66" t="s">
        <v>257</v>
      </c>
      <c r="C66">
        <v>724.63</v>
      </c>
      <c r="D66">
        <v>12.64</v>
      </c>
    </row>
    <row r="67" spans="1:4" x14ac:dyDescent="0.3">
      <c r="A67" t="s">
        <v>149</v>
      </c>
      <c r="B67" t="s">
        <v>259</v>
      </c>
      <c r="C67">
        <v>341.24</v>
      </c>
      <c r="D67">
        <v>19.309999999999999</v>
      </c>
    </row>
    <row r="68" spans="1:4" x14ac:dyDescent="0.3">
      <c r="A68" t="s">
        <v>26</v>
      </c>
      <c r="B68" t="s">
        <v>259</v>
      </c>
      <c r="C68">
        <v>341.24</v>
      </c>
      <c r="D68">
        <v>80.69</v>
      </c>
    </row>
    <row r="69" spans="1:4" x14ac:dyDescent="0.3">
      <c r="A69" t="s">
        <v>203</v>
      </c>
      <c r="B69" t="s">
        <v>261</v>
      </c>
      <c r="C69">
        <v>763.97</v>
      </c>
      <c r="D69">
        <v>22.42</v>
      </c>
    </row>
    <row r="70" spans="1:4" x14ac:dyDescent="0.3">
      <c r="A70" t="s">
        <v>183</v>
      </c>
      <c r="B70" t="s">
        <v>261</v>
      </c>
      <c r="C70">
        <v>763.97</v>
      </c>
      <c r="D70">
        <v>24.91</v>
      </c>
    </row>
    <row r="71" spans="1:4" x14ac:dyDescent="0.3">
      <c r="A71" t="s">
        <v>57</v>
      </c>
      <c r="B71" t="s">
        <v>261</v>
      </c>
      <c r="C71">
        <v>763.97</v>
      </c>
      <c r="D71">
        <v>34.14</v>
      </c>
    </row>
    <row r="72" spans="1:4" x14ac:dyDescent="0.3">
      <c r="A72" t="s">
        <v>128</v>
      </c>
      <c r="B72" t="s">
        <v>261</v>
      </c>
      <c r="C72">
        <v>763.97</v>
      </c>
      <c r="D72">
        <v>9.5</v>
      </c>
    </row>
    <row r="73" spans="1:4" x14ac:dyDescent="0.3">
      <c r="A73" t="s">
        <v>91</v>
      </c>
      <c r="B73" t="s">
        <v>261</v>
      </c>
      <c r="C73">
        <v>763.97</v>
      </c>
      <c r="D73">
        <v>9.02</v>
      </c>
    </row>
    <row r="74" spans="1:4" x14ac:dyDescent="0.3">
      <c r="A74" t="s">
        <v>56</v>
      </c>
      <c r="B74" t="s">
        <v>263</v>
      </c>
      <c r="C74">
        <v>459.56</v>
      </c>
      <c r="D74">
        <v>23.81</v>
      </c>
    </row>
    <row r="75" spans="1:4" x14ac:dyDescent="0.3">
      <c r="A75" t="s">
        <v>58</v>
      </c>
      <c r="B75" t="s">
        <v>263</v>
      </c>
      <c r="C75">
        <v>459.56</v>
      </c>
      <c r="D75">
        <v>28.62</v>
      </c>
    </row>
    <row r="76" spans="1:4" x14ac:dyDescent="0.3">
      <c r="A76" t="s">
        <v>196</v>
      </c>
      <c r="B76" t="s">
        <v>263</v>
      </c>
      <c r="C76">
        <v>459.56</v>
      </c>
      <c r="D76">
        <v>29.71</v>
      </c>
    </row>
    <row r="77" spans="1:4" x14ac:dyDescent="0.3">
      <c r="A77" t="s">
        <v>90</v>
      </c>
      <c r="B77" t="s">
        <v>263</v>
      </c>
      <c r="C77">
        <v>459.56</v>
      </c>
      <c r="D77">
        <v>10.31</v>
      </c>
    </row>
    <row r="78" spans="1:4" x14ac:dyDescent="0.3">
      <c r="A78" t="s">
        <v>143</v>
      </c>
      <c r="B78" t="s">
        <v>263</v>
      </c>
      <c r="C78">
        <v>459.56</v>
      </c>
      <c r="D78">
        <v>7.54</v>
      </c>
    </row>
    <row r="79" spans="1:4" x14ac:dyDescent="0.3">
      <c r="A79" t="s">
        <v>146</v>
      </c>
      <c r="B79" t="s">
        <v>265</v>
      </c>
      <c r="C79">
        <v>181.54</v>
      </c>
      <c r="D79">
        <v>44.31</v>
      </c>
    </row>
    <row r="80" spans="1:4" x14ac:dyDescent="0.3">
      <c r="A80" t="s">
        <v>89</v>
      </c>
      <c r="B80" t="s">
        <v>265</v>
      </c>
      <c r="C80">
        <v>181.54</v>
      </c>
      <c r="D80">
        <v>55.69</v>
      </c>
    </row>
    <row r="81" spans="1:4" x14ac:dyDescent="0.3">
      <c r="A81" t="s">
        <v>33</v>
      </c>
      <c r="B81" t="s">
        <v>267</v>
      </c>
      <c r="C81">
        <v>553.44000000000005</v>
      </c>
      <c r="D81">
        <v>11.07</v>
      </c>
    </row>
    <row r="82" spans="1:4" x14ac:dyDescent="0.3">
      <c r="A82" t="s">
        <v>96</v>
      </c>
      <c r="B82" t="s">
        <v>267</v>
      </c>
      <c r="C82">
        <v>553.44000000000005</v>
      </c>
      <c r="D82">
        <v>29.01</v>
      </c>
    </row>
    <row r="83" spans="1:4" x14ac:dyDescent="0.3">
      <c r="A83" t="s">
        <v>130</v>
      </c>
      <c r="B83" t="s">
        <v>267</v>
      </c>
      <c r="C83">
        <v>553.44000000000005</v>
      </c>
      <c r="D83">
        <v>13.24</v>
      </c>
    </row>
    <row r="84" spans="1:4" x14ac:dyDescent="0.3">
      <c r="A84" t="s">
        <v>205</v>
      </c>
      <c r="B84" t="s">
        <v>267</v>
      </c>
      <c r="C84">
        <v>553.44000000000005</v>
      </c>
      <c r="D84">
        <v>23.44</v>
      </c>
    </row>
    <row r="85" spans="1:4" x14ac:dyDescent="0.3">
      <c r="A85" t="s">
        <v>18</v>
      </c>
      <c r="B85" t="s">
        <v>267</v>
      </c>
      <c r="C85">
        <v>553.44000000000005</v>
      </c>
      <c r="D85">
        <v>23.25</v>
      </c>
    </row>
    <row r="86" spans="1:4" x14ac:dyDescent="0.3">
      <c r="A86" t="s">
        <v>196</v>
      </c>
      <c r="B86" t="s">
        <v>269</v>
      </c>
      <c r="C86">
        <v>275.77</v>
      </c>
      <c r="D86">
        <v>33.61</v>
      </c>
    </row>
    <row r="87" spans="1:4" x14ac:dyDescent="0.3">
      <c r="A87" t="s">
        <v>75</v>
      </c>
      <c r="B87" t="s">
        <v>269</v>
      </c>
      <c r="C87">
        <v>275.77</v>
      </c>
      <c r="D87">
        <v>38.229999999999997</v>
      </c>
    </row>
    <row r="88" spans="1:4" x14ac:dyDescent="0.3">
      <c r="A88" t="s">
        <v>47</v>
      </c>
      <c r="B88" t="s">
        <v>269</v>
      </c>
      <c r="C88">
        <v>275.77</v>
      </c>
      <c r="D88">
        <v>28.16</v>
      </c>
    </row>
    <row r="89" spans="1:4" x14ac:dyDescent="0.3">
      <c r="A89" t="s">
        <v>108</v>
      </c>
      <c r="B89" t="s">
        <v>271</v>
      </c>
      <c r="C89">
        <v>991.03</v>
      </c>
      <c r="D89">
        <v>21.4</v>
      </c>
    </row>
    <row r="90" spans="1:4" x14ac:dyDescent="0.3">
      <c r="A90" t="s">
        <v>170</v>
      </c>
      <c r="B90" t="s">
        <v>271</v>
      </c>
      <c r="C90">
        <v>991.03</v>
      </c>
      <c r="D90">
        <v>23.33</v>
      </c>
    </row>
    <row r="91" spans="1:4" x14ac:dyDescent="0.3">
      <c r="A91" t="s">
        <v>89</v>
      </c>
      <c r="B91" t="s">
        <v>271</v>
      </c>
      <c r="C91">
        <v>991.03</v>
      </c>
      <c r="D91">
        <v>14.33</v>
      </c>
    </row>
    <row r="92" spans="1:4" x14ac:dyDescent="0.3">
      <c r="A92" t="s">
        <v>80</v>
      </c>
      <c r="B92" t="s">
        <v>271</v>
      </c>
      <c r="C92">
        <v>991.03</v>
      </c>
      <c r="D92">
        <v>13.32</v>
      </c>
    </row>
    <row r="93" spans="1:4" x14ac:dyDescent="0.3">
      <c r="A93" t="s">
        <v>125</v>
      </c>
      <c r="B93" t="s">
        <v>271</v>
      </c>
      <c r="C93">
        <v>991.03</v>
      </c>
      <c r="D93">
        <v>27.62</v>
      </c>
    </row>
    <row r="94" spans="1:4" x14ac:dyDescent="0.3">
      <c r="A94" t="s">
        <v>89</v>
      </c>
      <c r="B94" t="s">
        <v>273</v>
      </c>
      <c r="C94">
        <v>818.45</v>
      </c>
      <c r="D94">
        <v>24.01</v>
      </c>
    </row>
    <row r="95" spans="1:4" x14ac:dyDescent="0.3">
      <c r="A95" t="s">
        <v>208</v>
      </c>
      <c r="B95" t="s">
        <v>273</v>
      </c>
      <c r="C95">
        <v>818.45</v>
      </c>
      <c r="D95">
        <v>19.420000000000002</v>
      </c>
    </row>
    <row r="96" spans="1:4" x14ac:dyDescent="0.3">
      <c r="A96" t="s">
        <v>74</v>
      </c>
      <c r="B96" t="s">
        <v>273</v>
      </c>
      <c r="C96">
        <v>818.45</v>
      </c>
      <c r="D96">
        <v>19.04</v>
      </c>
    </row>
    <row r="97" spans="1:4" x14ac:dyDescent="0.3">
      <c r="A97" t="s">
        <v>61</v>
      </c>
      <c r="B97" t="s">
        <v>273</v>
      </c>
      <c r="C97">
        <v>818.45</v>
      </c>
      <c r="D97">
        <v>9.9499999999999993</v>
      </c>
    </row>
    <row r="98" spans="1:4" x14ac:dyDescent="0.3">
      <c r="A98" t="s">
        <v>207</v>
      </c>
      <c r="B98" t="s">
        <v>273</v>
      </c>
      <c r="C98">
        <v>818.45</v>
      </c>
      <c r="D98">
        <v>27.59</v>
      </c>
    </row>
    <row r="99" spans="1:4" x14ac:dyDescent="0.3">
      <c r="A99" t="s">
        <v>168</v>
      </c>
      <c r="B99" t="s">
        <v>275</v>
      </c>
      <c r="C99">
        <v>289.77</v>
      </c>
      <c r="D99">
        <v>19.260000000000002</v>
      </c>
    </row>
    <row r="100" spans="1:4" x14ac:dyDescent="0.3">
      <c r="A100" t="s">
        <v>187</v>
      </c>
      <c r="B100" t="s">
        <v>275</v>
      </c>
      <c r="C100">
        <v>289.77</v>
      </c>
      <c r="D100">
        <v>11.3</v>
      </c>
    </row>
    <row r="101" spans="1:4" x14ac:dyDescent="0.3">
      <c r="A101" t="s">
        <v>191</v>
      </c>
      <c r="B101" t="s">
        <v>275</v>
      </c>
      <c r="C101">
        <v>289.77</v>
      </c>
      <c r="D101">
        <v>32.17</v>
      </c>
    </row>
    <row r="102" spans="1:4" x14ac:dyDescent="0.3">
      <c r="A102" t="s">
        <v>137</v>
      </c>
      <c r="B102" t="s">
        <v>275</v>
      </c>
      <c r="C102">
        <v>289.77</v>
      </c>
      <c r="D102">
        <v>37.270000000000003</v>
      </c>
    </row>
    <row r="103" spans="1:4" x14ac:dyDescent="0.3">
      <c r="A103" t="s">
        <v>140</v>
      </c>
      <c r="B103" t="s">
        <v>277</v>
      </c>
      <c r="C103">
        <v>557.72</v>
      </c>
      <c r="D103">
        <v>62.75</v>
      </c>
    </row>
    <row r="104" spans="1:4" x14ac:dyDescent="0.3">
      <c r="A104" t="s">
        <v>178</v>
      </c>
      <c r="B104" t="s">
        <v>277</v>
      </c>
      <c r="C104">
        <v>557.72</v>
      </c>
      <c r="D104">
        <v>37.25</v>
      </c>
    </row>
    <row r="105" spans="1:4" x14ac:dyDescent="0.3">
      <c r="A105" t="s">
        <v>145</v>
      </c>
      <c r="B105" t="s">
        <v>279</v>
      </c>
      <c r="C105">
        <v>714.81</v>
      </c>
      <c r="D105">
        <v>58.54</v>
      </c>
    </row>
    <row r="106" spans="1:4" x14ac:dyDescent="0.3">
      <c r="A106" t="s">
        <v>200</v>
      </c>
      <c r="B106" t="s">
        <v>279</v>
      </c>
      <c r="C106">
        <v>714.81</v>
      </c>
      <c r="D106">
        <v>41.46</v>
      </c>
    </row>
    <row r="107" spans="1:4" x14ac:dyDescent="0.3">
      <c r="A107" t="s">
        <v>75</v>
      </c>
      <c r="B107" t="s">
        <v>281</v>
      </c>
      <c r="C107">
        <v>318.55</v>
      </c>
      <c r="D107">
        <v>60.19</v>
      </c>
    </row>
    <row r="108" spans="1:4" x14ac:dyDescent="0.3">
      <c r="A108" t="s">
        <v>101</v>
      </c>
      <c r="B108" t="s">
        <v>281</v>
      </c>
      <c r="C108">
        <v>318.55</v>
      </c>
      <c r="D108">
        <v>39.81</v>
      </c>
    </row>
    <row r="109" spans="1:4" x14ac:dyDescent="0.3">
      <c r="A109" t="s">
        <v>184</v>
      </c>
      <c r="B109" t="s">
        <v>283</v>
      </c>
      <c r="C109">
        <v>649.76</v>
      </c>
      <c r="D109">
        <v>19.84</v>
      </c>
    </row>
    <row r="110" spans="1:4" x14ac:dyDescent="0.3">
      <c r="A110" t="s">
        <v>80</v>
      </c>
      <c r="B110" t="s">
        <v>283</v>
      </c>
      <c r="C110">
        <v>649.76</v>
      </c>
      <c r="D110">
        <v>33.200000000000003</v>
      </c>
    </row>
    <row r="111" spans="1:4" x14ac:dyDescent="0.3">
      <c r="A111" t="s">
        <v>92</v>
      </c>
      <c r="B111" t="s">
        <v>283</v>
      </c>
      <c r="C111">
        <v>649.76</v>
      </c>
      <c r="D111">
        <v>46.96</v>
      </c>
    </row>
    <row r="112" spans="1:4" x14ac:dyDescent="0.3">
      <c r="A112" t="s">
        <v>212</v>
      </c>
      <c r="B112" t="s">
        <v>285</v>
      </c>
      <c r="C112">
        <v>830.73</v>
      </c>
      <c r="D112">
        <v>35.35</v>
      </c>
    </row>
    <row r="113" spans="1:4" x14ac:dyDescent="0.3">
      <c r="A113" t="s">
        <v>116</v>
      </c>
      <c r="B113" t="s">
        <v>285</v>
      </c>
      <c r="C113">
        <v>830.73</v>
      </c>
      <c r="D113">
        <v>46.68</v>
      </c>
    </row>
    <row r="114" spans="1:4" x14ac:dyDescent="0.3">
      <c r="A114" t="s">
        <v>29</v>
      </c>
      <c r="B114" t="s">
        <v>285</v>
      </c>
      <c r="C114">
        <v>830.73</v>
      </c>
      <c r="D114">
        <v>17.97</v>
      </c>
    </row>
    <row r="115" spans="1:4" x14ac:dyDescent="0.3">
      <c r="A115" t="s">
        <v>31</v>
      </c>
      <c r="B115" t="s">
        <v>287</v>
      </c>
      <c r="C115">
        <v>526.54999999999995</v>
      </c>
      <c r="D115">
        <v>11.07</v>
      </c>
    </row>
    <row r="116" spans="1:4" x14ac:dyDescent="0.3">
      <c r="A116" t="s">
        <v>195</v>
      </c>
      <c r="B116" t="s">
        <v>287</v>
      </c>
      <c r="C116">
        <v>526.54999999999995</v>
      </c>
      <c r="D116">
        <v>30.4</v>
      </c>
    </row>
    <row r="117" spans="1:4" x14ac:dyDescent="0.3">
      <c r="A117" t="s">
        <v>128</v>
      </c>
      <c r="B117" t="s">
        <v>287</v>
      </c>
      <c r="C117">
        <v>526.54999999999995</v>
      </c>
      <c r="D117">
        <v>20.63</v>
      </c>
    </row>
    <row r="118" spans="1:4" x14ac:dyDescent="0.3">
      <c r="A118" t="s">
        <v>53</v>
      </c>
      <c r="B118" t="s">
        <v>287</v>
      </c>
      <c r="C118">
        <v>526.54999999999995</v>
      </c>
      <c r="D118">
        <v>37.909999999999997</v>
      </c>
    </row>
    <row r="119" spans="1:4" x14ac:dyDescent="0.3">
      <c r="A119" t="s">
        <v>124</v>
      </c>
      <c r="B119" t="s">
        <v>289</v>
      </c>
      <c r="C119">
        <v>344.93</v>
      </c>
      <c r="D119">
        <v>36.229999999999997</v>
      </c>
    </row>
    <row r="120" spans="1:4" x14ac:dyDescent="0.3">
      <c r="A120" t="s">
        <v>159</v>
      </c>
      <c r="B120" t="s">
        <v>289</v>
      </c>
      <c r="C120">
        <v>344.93</v>
      </c>
      <c r="D120">
        <v>43.18</v>
      </c>
    </row>
    <row r="121" spans="1:4" x14ac:dyDescent="0.3">
      <c r="A121" t="s">
        <v>171</v>
      </c>
      <c r="B121" t="s">
        <v>289</v>
      </c>
      <c r="C121">
        <v>344.93</v>
      </c>
      <c r="D121">
        <v>20.59</v>
      </c>
    </row>
    <row r="122" spans="1:4" x14ac:dyDescent="0.3">
      <c r="A122" t="s">
        <v>182</v>
      </c>
      <c r="B122" t="s">
        <v>291</v>
      </c>
      <c r="C122">
        <v>571.66</v>
      </c>
      <c r="D122">
        <v>33.06</v>
      </c>
    </row>
    <row r="123" spans="1:4" x14ac:dyDescent="0.3">
      <c r="A123" t="s">
        <v>72</v>
      </c>
      <c r="B123" t="s">
        <v>291</v>
      </c>
      <c r="C123">
        <v>571.66</v>
      </c>
      <c r="D123">
        <v>6.78</v>
      </c>
    </row>
    <row r="124" spans="1:4" x14ac:dyDescent="0.3">
      <c r="A124" t="s">
        <v>190</v>
      </c>
      <c r="B124" t="s">
        <v>291</v>
      </c>
      <c r="C124">
        <v>571.66</v>
      </c>
      <c r="D124">
        <v>14.81</v>
      </c>
    </row>
    <row r="125" spans="1:4" x14ac:dyDescent="0.3">
      <c r="A125" t="s">
        <v>50</v>
      </c>
      <c r="B125" t="s">
        <v>291</v>
      </c>
      <c r="C125">
        <v>571.66</v>
      </c>
      <c r="D125">
        <v>27.48</v>
      </c>
    </row>
    <row r="126" spans="1:4" x14ac:dyDescent="0.3">
      <c r="A126" t="s">
        <v>153</v>
      </c>
      <c r="B126" t="s">
        <v>291</v>
      </c>
      <c r="C126">
        <v>571.66</v>
      </c>
      <c r="D126">
        <v>17.87</v>
      </c>
    </row>
    <row r="127" spans="1:4" x14ac:dyDescent="0.3">
      <c r="A127" t="s">
        <v>168</v>
      </c>
      <c r="B127" t="s">
        <v>293</v>
      </c>
      <c r="C127">
        <v>867.66</v>
      </c>
      <c r="D127">
        <v>15.41</v>
      </c>
    </row>
    <row r="128" spans="1:4" x14ac:dyDescent="0.3">
      <c r="A128" t="s">
        <v>29</v>
      </c>
      <c r="B128" t="s">
        <v>293</v>
      </c>
      <c r="C128">
        <v>867.66</v>
      </c>
      <c r="D128">
        <v>32.74</v>
      </c>
    </row>
    <row r="129" spans="1:4" x14ac:dyDescent="0.3">
      <c r="A129" t="s">
        <v>172</v>
      </c>
      <c r="B129" t="s">
        <v>293</v>
      </c>
      <c r="C129">
        <v>867.66</v>
      </c>
      <c r="D129">
        <v>18.88</v>
      </c>
    </row>
    <row r="130" spans="1:4" x14ac:dyDescent="0.3">
      <c r="A130" t="s">
        <v>179</v>
      </c>
      <c r="B130" t="s">
        <v>293</v>
      </c>
      <c r="C130">
        <v>867.66</v>
      </c>
      <c r="D130">
        <v>32.97</v>
      </c>
    </row>
    <row r="131" spans="1:4" x14ac:dyDescent="0.3">
      <c r="A131" t="s">
        <v>128</v>
      </c>
      <c r="B131" t="s">
        <v>295</v>
      </c>
      <c r="C131">
        <v>479.41</v>
      </c>
      <c r="D131">
        <v>28.17</v>
      </c>
    </row>
    <row r="132" spans="1:4" x14ac:dyDescent="0.3">
      <c r="A132" t="s">
        <v>194</v>
      </c>
      <c r="B132" t="s">
        <v>295</v>
      </c>
      <c r="C132">
        <v>479.41</v>
      </c>
      <c r="D132">
        <v>13.64</v>
      </c>
    </row>
    <row r="133" spans="1:4" x14ac:dyDescent="0.3">
      <c r="A133" t="s">
        <v>90</v>
      </c>
      <c r="B133" t="s">
        <v>295</v>
      </c>
      <c r="C133">
        <v>479.41</v>
      </c>
      <c r="D133">
        <v>17.22</v>
      </c>
    </row>
    <row r="134" spans="1:4" x14ac:dyDescent="0.3">
      <c r="A134" t="s">
        <v>181</v>
      </c>
      <c r="B134" t="s">
        <v>295</v>
      </c>
      <c r="C134">
        <v>479.41</v>
      </c>
      <c r="D134">
        <v>19.7</v>
      </c>
    </row>
    <row r="135" spans="1:4" x14ac:dyDescent="0.3">
      <c r="A135" t="s">
        <v>108</v>
      </c>
      <c r="B135" t="s">
        <v>295</v>
      </c>
      <c r="C135">
        <v>479.41</v>
      </c>
      <c r="D135">
        <v>21.26</v>
      </c>
    </row>
    <row r="136" spans="1:4" x14ac:dyDescent="0.3">
      <c r="A136" t="s">
        <v>220</v>
      </c>
      <c r="B136" t="s">
        <v>297</v>
      </c>
      <c r="C136">
        <v>173.67</v>
      </c>
      <c r="D136">
        <v>32.96</v>
      </c>
    </row>
    <row r="137" spans="1:4" x14ac:dyDescent="0.3">
      <c r="A137" t="s">
        <v>107</v>
      </c>
      <c r="B137" t="s">
        <v>297</v>
      </c>
      <c r="C137">
        <v>173.67</v>
      </c>
      <c r="D137">
        <v>67.040000000000006</v>
      </c>
    </row>
    <row r="138" spans="1:4" x14ac:dyDescent="0.3">
      <c r="A138" t="s">
        <v>197</v>
      </c>
      <c r="B138" t="s">
        <v>299</v>
      </c>
      <c r="C138">
        <v>694.92</v>
      </c>
      <c r="D138">
        <v>9.8699999999999992</v>
      </c>
    </row>
    <row r="139" spans="1:4" x14ac:dyDescent="0.3">
      <c r="A139" t="s">
        <v>220</v>
      </c>
      <c r="B139" t="s">
        <v>299</v>
      </c>
      <c r="C139">
        <v>694.92</v>
      </c>
      <c r="D139">
        <v>27</v>
      </c>
    </row>
    <row r="140" spans="1:4" x14ac:dyDescent="0.3">
      <c r="A140" t="s">
        <v>11</v>
      </c>
      <c r="B140" t="s">
        <v>299</v>
      </c>
      <c r="C140">
        <v>694.92</v>
      </c>
      <c r="D140">
        <v>26.24</v>
      </c>
    </row>
    <row r="141" spans="1:4" x14ac:dyDescent="0.3">
      <c r="A141" t="s">
        <v>68</v>
      </c>
      <c r="B141" t="s">
        <v>299</v>
      </c>
      <c r="C141">
        <v>694.92</v>
      </c>
      <c r="D141">
        <v>23.67</v>
      </c>
    </row>
    <row r="142" spans="1:4" x14ac:dyDescent="0.3">
      <c r="A142" t="s">
        <v>156</v>
      </c>
      <c r="B142" t="s">
        <v>299</v>
      </c>
      <c r="C142">
        <v>694.92</v>
      </c>
      <c r="D142">
        <v>13.22</v>
      </c>
    </row>
    <row r="143" spans="1:4" x14ac:dyDescent="0.3">
      <c r="A143" t="s">
        <v>179</v>
      </c>
      <c r="B143" t="s">
        <v>301</v>
      </c>
      <c r="C143">
        <v>230.57</v>
      </c>
      <c r="D143">
        <v>39.520000000000003</v>
      </c>
    </row>
    <row r="144" spans="1:4" x14ac:dyDescent="0.3">
      <c r="A144" t="s">
        <v>136</v>
      </c>
      <c r="B144" t="s">
        <v>301</v>
      </c>
      <c r="C144">
        <v>230.57</v>
      </c>
      <c r="D144">
        <v>60.48</v>
      </c>
    </row>
    <row r="145" spans="1:4" x14ac:dyDescent="0.3">
      <c r="A145" t="s">
        <v>109</v>
      </c>
      <c r="B145" t="s">
        <v>303</v>
      </c>
      <c r="C145">
        <v>796.34</v>
      </c>
      <c r="D145">
        <v>33.590000000000003</v>
      </c>
    </row>
    <row r="146" spans="1:4" x14ac:dyDescent="0.3">
      <c r="A146" t="s">
        <v>44</v>
      </c>
      <c r="B146" t="s">
        <v>303</v>
      </c>
      <c r="C146">
        <v>796.34</v>
      </c>
      <c r="D146">
        <v>66.41</v>
      </c>
    </row>
    <row r="147" spans="1:4" x14ac:dyDescent="0.3">
      <c r="A147" t="s">
        <v>131</v>
      </c>
      <c r="B147" t="s">
        <v>305</v>
      </c>
      <c r="C147">
        <v>532.27</v>
      </c>
      <c r="D147">
        <v>31.74</v>
      </c>
    </row>
    <row r="148" spans="1:4" x14ac:dyDescent="0.3">
      <c r="A148" t="s">
        <v>76</v>
      </c>
      <c r="B148" t="s">
        <v>305</v>
      </c>
      <c r="C148">
        <v>532.27</v>
      </c>
      <c r="D148">
        <v>25.24</v>
      </c>
    </row>
    <row r="149" spans="1:4" x14ac:dyDescent="0.3">
      <c r="A149" t="s">
        <v>50</v>
      </c>
      <c r="B149" t="s">
        <v>305</v>
      </c>
      <c r="C149">
        <v>532.27</v>
      </c>
      <c r="D149">
        <v>27.82</v>
      </c>
    </row>
    <row r="150" spans="1:4" x14ac:dyDescent="0.3">
      <c r="A150" t="s">
        <v>27</v>
      </c>
      <c r="B150" t="s">
        <v>305</v>
      </c>
      <c r="C150">
        <v>532.27</v>
      </c>
      <c r="D150">
        <v>15.2</v>
      </c>
    </row>
    <row r="151" spans="1:4" x14ac:dyDescent="0.3">
      <c r="A151" t="s">
        <v>197</v>
      </c>
      <c r="B151" t="s">
        <v>307</v>
      </c>
      <c r="C151">
        <v>184.92</v>
      </c>
      <c r="D151">
        <v>24.97</v>
      </c>
    </row>
    <row r="152" spans="1:4" x14ac:dyDescent="0.3">
      <c r="A152" t="s">
        <v>130</v>
      </c>
      <c r="B152" t="s">
        <v>307</v>
      </c>
      <c r="C152">
        <v>184.92</v>
      </c>
      <c r="D152">
        <v>25.14</v>
      </c>
    </row>
    <row r="153" spans="1:4" x14ac:dyDescent="0.3">
      <c r="A153" t="s">
        <v>173</v>
      </c>
      <c r="B153" t="s">
        <v>307</v>
      </c>
      <c r="C153">
        <v>184.92</v>
      </c>
      <c r="D153">
        <v>19.55</v>
      </c>
    </row>
    <row r="154" spans="1:4" x14ac:dyDescent="0.3">
      <c r="A154" t="s">
        <v>44</v>
      </c>
      <c r="B154" t="s">
        <v>307</v>
      </c>
      <c r="C154">
        <v>184.92</v>
      </c>
      <c r="D154">
        <v>6.31</v>
      </c>
    </row>
    <row r="155" spans="1:4" x14ac:dyDescent="0.3">
      <c r="A155" t="s">
        <v>187</v>
      </c>
      <c r="B155" t="s">
        <v>307</v>
      </c>
      <c r="C155">
        <v>184.92</v>
      </c>
      <c r="D155">
        <v>24.04</v>
      </c>
    </row>
    <row r="156" spans="1:4" x14ac:dyDescent="0.3">
      <c r="A156" t="s">
        <v>206</v>
      </c>
      <c r="B156" t="s">
        <v>309</v>
      </c>
      <c r="C156">
        <v>249.3</v>
      </c>
      <c r="D156">
        <v>32.97</v>
      </c>
    </row>
    <row r="157" spans="1:4" x14ac:dyDescent="0.3">
      <c r="A157" t="s">
        <v>159</v>
      </c>
      <c r="B157" t="s">
        <v>309</v>
      </c>
      <c r="C157">
        <v>249.3</v>
      </c>
      <c r="D157">
        <v>20.68</v>
      </c>
    </row>
    <row r="158" spans="1:4" x14ac:dyDescent="0.3">
      <c r="A158" t="s">
        <v>61</v>
      </c>
      <c r="B158" t="s">
        <v>309</v>
      </c>
      <c r="C158">
        <v>249.3</v>
      </c>
      <c r="D158">
        <v>23.15</v>
      </c>
    </row>
    <row r="159" spans="1:4" x14ac:dyDescent="0.3">
      <c r="A159" t="s">
        <v>56</v>
      </c>
      <c r="B159" t="s">
        <v>309</v>
      </c>
      <c r="C159">
        <v>249.3</v>
      </c>
      <c r="D159">
        <v>23.2</v>
      </c>
    </row>
    <row r="160" spans="1:4" x14ac:dyDescent="0.3">
      <c r="A160" t="s">
        <v>208</v>
      </c>
      <c r="B160" t="s">
        <v>311</v>
      </c>
      <c r="C160">
        <v>783.77</v>
      </c>
      <c r="D160">
        <v>25.79</v>
      </c>
    </row>
    <row r="161" spans="1:4" x14ac:dyDescent="0.3">
      <c r="A161" t="s">
        <v>53</v>
      </c>
      <c r="B161" t="s">
        <v>311</v>
      </c>
      <c r="C161">
        <v>783.77</v>
      </c>
      <c r="D161">
        <v>11.14</v>
      </c>
    </row>
    <row r="162" spans="1:4" x14ac:dyDescent="0.3">
      <c r="A162" t="s">
        <v>197</v>
      </c>
      <c r="B162" t="s">
        <v>311</v>
      </c>
      <c r="C162">
        <v>783.77</v>
      </c>
      <c r="D162">
        <v>31.48</v>
      </c>
    </row>
    <row r="163" spans="1:4" x14ac:dyDescent="0.3">
      <c r="A163" t="s">
        <v>21</v>
      </c>
      <c r="B163" t="s">
        <v>311</v>
      </c>
      <c r="C163">
        <v>783.77</v>
      </c>
      <c r="D163">
        <v>31.59</v>
      </c>
    </row>
    <row r="164" spans="1:4" x14ac:dyDescent="0.3">
      <c r="A164" t="s">
        <v>139</v>
      </c>
      <c r="B164" t="s">
        <v>313</v>
      </c>
      <c r="C164">
        <v>785.8</v>
      </c>
      <c r="D164">
        <v>19.649999999999999</v>
      </c>
    </row>
    <row r="165" spans="1:4" x14ac:dyDescent="0.3">
      <c r="A165" t="s">
        <v>77</v>
      </c>
      <c r="B165" t="s">
        <v>313</v>
      </c>
      <c r="C165">
        <v>785.8</v>
      </c>
      <c r="D165">
        <v>8.84</v>
      </c>
    </row>
    <row r="166" spans="1:4" x14ac:dyDescent="0.3">
      <c r="A166" t="s">
        <v>31</v>
      </c>
      <c r="B166" t="s">
        <v>313</v>
      </c>
      <c r="C166">
        <v>785.8</v>
      </c>
      <c r="D166">
        <v>17.420000000000002</v>
      </c>
    </row>
    <row r="167" spans="1:4" x14ac:dyDescent="0.3">
      <c r="A167" t="s">
        <v>121</v>
      </c>
      <c r="B167" t="s">
        <v>313</v>
      </c>
      <c r="C167">
        <v>785.8</v>
      </c>
      <c r="D167">
        <v>22.92</v>
      </c>
    </row>
    <row r="168" spans="1:4" x14ac:dyDescent="0.3">
      <c r="A168" t="s">
        <v>116</v>
      </c>
      <c r="B168" t="s">
        <v>313</v>
      </c>
      <c r="C168">
        <v>785.8</v>
      </c>
      <c r="D168">
        <v>31.16</v>
      </c>
    </row>
    <row r="169" spans="1:4" x14ac:dyDescent="0.3">
      <c r="A169" t="s">
        <v>206</v>
      </c>
      <c r="B169" t="s">
        <v>315</v>
      </c>
      <c r="C169">
        <v>105.67</v>
      </c>
      <c r="D169">
        <v>57.09</v>
      </c>
    </row>
    <row r="170" spans="1:4" x14ac:dyDescent="0.3">
      <c r="A170" t="s">
        <v>117</v>
      </c>
      <c r="B170" t="s">
        <v>315</v>
      </c>
      <c r="C170">
        <v>105.67</v>
      </c>
      <c r="D170">
        <v>15.41</v>
      </c>
    </row>
    <row r="171" spans="1:4" x14ac:dyDescent="0.3">
      <c r="A171" t="s">
        <v>109</v>
      </c>
      <c r="B171" t="s">
        <v>315</v>
      </c>
      <c r="C171">
        <v>105.67</v>
      </c>
      <c r="D171">
        <v>12.64</v>
      </c>
    </row>
    <row r="172" spans="1:4" x14ac:dyDescent="0.3">
      <c r="A172" t="s">
        <v>47</v>
      </c>
      <c r="B172" t="s">
        <v>315</v>
      </c>
      <c r="C172">
        <v>105.67</v>
      </c>
      <c r="D172">
        <v>14.86</v>
      </c>
    </row>
    <row r="173" spans="1:4" x14ac:dyDescent="0.3">
      <c r="A173" t="s">
        <v>61</v>
      </c>
      <c r="B173" t="s">
        <v>317</v>
      </c>
      <c r="C173">
        <v>579.80999999999995</v>
      </c>
      <c r="D173">
        <v>19.899999999999999</v>
      </c>
    </row>
    <row r="174" spans="1:4" x14ac:dyDescent="0.3">
      <c r="A174" t="s">
        <v>175</v>
      </c>
      <c r="B174" t="s">
        <v>317</v>
      </c>
      <c r="C174">
        <v>579.80999999999995</v>
      </c>
      <c r="D174">
        <v>34.93</v>
      </c>
    </row>
    <row r="175" spans="1:4" x14ac:dyDescent="0.3">
      <c r="A175" t="s">
        <v>154</v>
      </c>
      <c r="B175" t="s">
        <v>317</v>
      </c>
      <c r="C175">
        <v>579.80999999999995</v>
      </c>
      <c r="D175">
        <v>28.6</v>
      </c>
    </row>
    <row r="176" spans="1:4" x14ac:dyDescent="0.3">
      <c r="A176" t="s">
        <v>65</v>
      </c>
      <c r="B176" t="s">
        <v>317</v>
      </c>
      <c r="C176">
        <v>579.80999999999995</v>
      </c>
      <c r="D176">
        <v>16.57</v>
      </c>
    </row>
    <row r="177" spans="1:4" x14ac:dyDescent="0.3">
      <c r="A177" t="s">
        <v>130</v>
      </c>
      <c r="B177" t="s">
        <v>319</v>
      </c>
      <c r="C177">
        <v>851.48</v>
      </c>
      <c r="D177">
        <v>21.87</v>
      </c>
    </row>
    <row r="178" spans="1:4" x14ac:dyDescent="0.3">
      <c r="A178" t="s">
        <v>142</v>
      </c>
      <c r="B178" t="s">
        <v>319</v>
      </c>
      <c r="C178">
        <v>851.48</v>
      </c>
      <c r="D178">
        <v>25.39</v>
      </c>
    </row>
    <row r="179" spans="1:4" x14ac:dyDescent="0.3">
      <c r="A179" t="s">
        <v>42</v>
      </c>
      <c r="B179" t="s">
        <v>319</v>
      </c>
      <c r="C179">
        <v>851.48</v>
      </c>
      <c r="D179">
        <v>13.07</v>
      </c>
    </row>
    <row r="180" spans="1:4" x14ac:dyDescent="0.3">
      <c r="A180" t="s">
        <v>124</v>
      </c>
      <c r="B180" t="s">
        <v>319</v>
      </c>
      <c r="C180">
        <v>851.48</v>
      </c>
      <c r="D180">
        <v>39.67</v>
      </c>
    </row>
    <row r="181" spans="1:4" x14ac:dyDescent="0.3">
      <c r="A181" t="s">
        <v>60</v>
      </c>
      <c r="B181" t="s">
        <v>321</v>
      </c>
      <c r="C181">
        <v>209.33</v>
      </c>
      <c r="D181">
        <v>30.01</v>
      </c>
    </row>
    <row r="182" spans="1:4" x14ac:dyDescent="0.3">
      <c r="A182" t="s">
        <v>214</v>
      </c>
      <c r="B182" t="s">
        <v>321</v>
      </c>
      <c r="C182">
        <v>209.33</v>
      </c>
      <c r="D182">
        <v>13.62</v>
      </c>
    </row>
    <row r="183" spans="1:4" x14ac:dyDescent="0.3">
      <c r="A183" t="s">
        <v>79</v>
      </c>
      <c r="B183" t="s">
        <v>321</v>
      </c>
      <c r="C183">
        <v>209.33</v>
      </c>
      <c r="D183">
        <v>39.549999999999997</v>
      </c>
    </row>
    <row r="184" spans="1:4" x14ac:dyDescent="0.3">
      <c r="A184" t="s">
        <v>148</v>
      </c>
      <c r="B184" t="s">
        <v>321</v>
      </c>
      <c r="C184">
        <v>209.33</v>
      </c>
      <c r="D184">
        <v>16.82</v>
      </c>
    </row>
    <row r="185" spans="1:4" x14ac:dyDescent="0.3">
      <c r="A185" t="s">
        <v>77</v>
      </c>
      <c r="B185" t="s">
        <v>323</v>
      </c>
      <c r="C185">
        <v>548.4</v>
      </c>
      <c r="D185">
        <v>33.659999999999997</v>
      </c>
    </row>
    <row r="186" spans="1:4" x14ac:dyDescent="0.3">
      <c r="A186" t="s">
        <v>175</v>
      </c>
      <c r="B186" t="s">
        <v>323</v>
      </c>
      <c r="C186">
        <v>548.4</v>
      </c>
      <c r="D186">
        <v>66.34</v>
      </c>
    </row>
    <row r="187" spans="1:4" x14ac:dyDescent="0.3">
      <c r="A187" t="s">
        <v>45</v>
      </c>
      <c r="B187" t="s">
        <v>325</v>
      </c>
      <c r="C187">
        <v>432.23</v>
      </c>
      <c r="D187">
        <v>13.54</v>
      </c>
    </row>
    <row r="188" spans="1:4" x14ac:dyDescent="0.3">
      <c r="A188" t="s">
        <v>132</v>
      </c>
      <c r="B188" t="s">
        <v>325</v>
      </c>
      <c r="C188">
        <v>432.23</v>
      </c>
      <c r="D188">
        <v>17.78</v>
      </c>
    </row>
    <row r="189" spans="1:4" x14ac:dyDescent="0.3">
      <c r="A189" t="s">
        <v>193</v>
      </c>
      <c r="B189" t="s">
        <v>325</v>
      </c>
      <c r="C189">
        <v>432.23</v>
      </c>
      <c r="D189">
        <v>44.31</v>
      </c>
    </row>
    <row r="190" spans="1:4" x14ac:dyDescent="0.3">
      <c r="A190" t="s">
        <v>81</v>
      </c>
      <c r="B190" t="s">
        <v>325</v>
      </c>
      <c r="C190">
        <v>432.23</v>
      </c>
      <c r="D190">
        <v>24.38</v>
      </c>
    </row>
    <row r="191" spans="1:4" x14ac:dyDescent="0.3">
      <c r="A191" t="s">
        <v>162</v>
      </c>
      <c r="B191" t="s">
        <v>327</v>
      </c>
      <c r="C191">
        <v>472.66</v>
      </c>
      <c r="D191">
        <v>44.97</v>
      </c>
    </row>
    <row r="192" spans="1:4" x14ac:dyDescent="0.3">
      <c r="A192" t="s">
        <v>218</v>
      </c>
      <c r="B192" t="s">
        <v>327</v>
      </c>
      <c r="C192">
        <v>472.66</v>
      </c>
      <c r="D192">
        <v>55.03</v>
      </c>
    </row>
    <row r="193" spans="1:4" x14ac:dyDescent="0.3">
      <c r="A193" t="s">
        <v>131</v>
      </c>
      <c r="B193" t="s">
        <v>329</v>
      </c>
      <c r="C193">
        <v>773.96</v>
      </c>
      <c r="D193">
        <v>31.32</v>
      </c>
    </row>
    <row r="194" spans="1:4" x14ac:dyDescent="0.3">
      <c r="A194" t="s">
        <v>174</v>
      </c>
      <c r="B194" t="s">
        <v>329</v>
      </c>
      <c r="C194">
        <v>773.96</v>
      </c>
      <c r="D194">
        <v>29.26</v>
      </c>
    </row>
    <row r="195" spans="1:4" x14ac:dyDescent="0.3">
      <c r="A195" t="s">
        <v>196</v>
      </c>
      <c r="B195" t="s">
        <v>329</v>
      </c>
      <c r="C195">
        <v>773.96</v>
      </c>
      <c r="D195">
        <v>39.42</v>
      </c>
    </row>
    <row r="196" spans="1:4" x14ac:dyDescent="0.3">
      <c r="A196" t="s">
        <v>111</v>
      </c>
      <c r="B196" t="s">
        <v>331</v>
      </c>
      <c r="C196">
        <v>951.35</v>
      </c>
      <c r="D196">
        <v>47.12</v>
      </c>
    </row>
    <row r="197" spans="1:4" x14ac:dyDescent="0.3">
      <c r="A197" t="s">
        <v>89</v>
      </c>
      <c r="B197" t="s">
        <v>331</v>
      </c>
      <c r="C197">
        <v>951.35</v>
      </c>
      <c r="D197">
        <v>19.579999999999998</v>
      </c>
    </row>
    <row r="198" spans="1:4" x14ac:dyDescent="0.3">
      <c r="A198" t="s">
        <v>38</v>
      </c>
      <c r="B198" t="s">
        <v>331</v>
      </c>
      <c r="C198">
        <v>951.35</v>
      </c>
      <c r="D198">
        <v>33.299999999999997</v>
      </c>
    </row>
    <row r="199" spans="1:4" x14ac:dyDescent="0.3">
      <c r="A199" t="s">
        <v>127</v>
      </c>
      <c r="B199" t="s">
        <v>333</v>
      </c>
      <c r="C199">
        <v>568.27</v>
      </c>
      <c r="D199">
        <v>18.03</v>
      </c>
    </row>
    <row r="200" spans="1:4" x14ac:dyDescent="0.3">
      <c r="A200" t="s">
        <v>132</v>
      </c>
      <c r="B200" t="s">
        <v>333</v>
      </c>
      <c r="C200">
        <v>568.27</v>
      </c>
      <c r="D200">
        <v>9.16</v>
      </c>
    </row>
    <row r="201" spans="1:4" x14ac:dyDescent="0.3">
      <c r="A201" t="s">
        <v>197</v>
      </c>
      <c r="B201" t="s">
        <v>333</v>
      </c>
      <c r="C201">
        <v>568.27</v>
      </c>
      <c r="D201">
        <v>18.07</v>
      </c>
    </row>
    <row r="202" spans="1:4" x14ac:dyDescent="0.3">
      <c r="A202" t="s">
        <v>121</v>
      </c>
      <c r="B202" t="s">
        <v>333</v>
      </c>
      <c r="C202">
        <v>568.27</v>
      </c>
      <c r="D202">
        <v>33.340000000000003</v>
      </c>
    </row>
    <row r="203" spans="1:4" x14ac:dyDescent="0.3">
      <c r="A203" t="s">
        <v>139</v>
      </c>
      <c r="B203" t="s">
        <v>333</v>
      </c>
      <c r="C203">
        <v>568.27</v>
      </c>
      <c r="D203">
        <v>21.4</v>
      </c>
    </row>
    <row r="204" spans="1:4" x14ac:dyDescent="0.3">
      <c r="A204" t="s">
        <v>178</v>
      </c>
      <c r="B204" t="s">
        <v>335</v>
      </c>
      <c r="C204">
        <v>880.2</v>
      </c>
      <c r="D204">
        <v>73.95</v>
      </c>
    </row>
    <row r="205" spans="1:4" x14ac:dyDescent="0.3">
      <c r="A205" t="s">
        <v>46</v>
      </c>
      <c r="B205" t="s">
        <v>335</v>
      </c>
      <c r="C205">
        <v>880.2</v>
      </c>
      <c r="D205">
        <v>26.05</v>
      </c>
    </row>
    <row r="206" spans="1:4" x14ac:dyDescent="0.3">
      <c r="A206" t="s">
        <v>212</v>
      </c>
      <c r="B206" t="s">
        <v>337</v>
      </c>
      <c r="C206">
        <v>780.4</v>
      </c>
      <c r="D206">
        <v>22.01</v>
      </c>
    </row>
    <row r="207" spans="1:4" x14ac:dyDescent="0.3">
      <c r="A207" t="s">
        <v>95</v>
      </c>
      <c r="B207" t="s">
        <v>337</v>
      </c>
      <c r="C207">
        <v>780.4</v>
      </c>
      <c r="D207">
        <v>7.66</v>
      </c>
    </row>
    <row r="208" spans="1:4" x14ac:dyDescent="0.3">
      <c r="A208" t="s">
        <v>211</v>
      </c>
      <c r="B208" t="s">
        <v>337</v>
      </c>
      <c r="C208">
        <v>780.4</v>
      </c>
      <c r="D208">
        <v>24.87</v>
      </c>
    </row>
    <row r="209" spans="1:4" x14ac:dyDescent="0.3">
      <c r="A209" t="s">
        <v>63</v>
      </c>
      <c r="B209" t="s">
        <v>337</v>
      </c>
      <c r="C209">
        <v>780.4</v>
      </c>
      <c r="D209">
        <v>30.98</v>
      </c>
    </row>
    <row r="210" spans="1:4" x14ac:dyDescent="0.3">
      <c r="A210" t="s">
        <v>149</v>
      </c>
      <c r="B210" t="s">
        <v>337</v>
      </c>
      <c r="C210">
        <v>780.4</v>
      </c>
      <c r="D210">
        <v>14.47</v>
      </c>
    </row>
    <row r="211" spans="1:4" x14ac:dyDescent="0.3">
      <c r="A211" t="s">
        <v>115</v>
      </c>
      <c r="B211" t="s">
        <v>339</v>
      </c>
      <c r="C211">
        <v>769.39</v>
      </c>
      <c r="D211">
        <v>35.29</v>
      </c>
    </row>
    <row r="212" spans="1:4" x14ac:dyDescent="0.3">
      <c r="A212" t="s">
        <v>173</v>
      </c>
      <c r="B212" t="s">
        <v>339</v>
      </c>
      <c r="C212">
        <v>769.39</v>
      </c>
      <c r="D212">
        <v>32.43</v>
      </c>
    </row>
    <row r="213" spans="1:4" x14ac:dyDescent="0.3">
      <c r="A213" t="s">
        <v>77</v>
      </c>
      <c r="B213" t="s">
        <v>339</v>
      </c>
      <c r="C213">
        <v>769.39</v>
      </c>
      <c r="D213">
        <v>32.28</v>
      </c>
    </row>
    <row r="214" spans="1:4" x14ac:dyDescent="0.3">
      <c r="A214" t="s">
        <v>88</v>
      </c>
      <c r="B214" t="s">
        <v>341</v>
      </c>
      <c r="C214">
        <v>436.04</v>
      </c>
      <c r="D214">
        <v>19.36</v>
      </c>
    </row>
    <row r="215" spans="1:4" x14ac:dyDescent="0.3">
      <c r="A215" t="s">
        <v>159</v>
      </c>
      <c r="B215" t="s">
        <v>341</v>
      </c>
      <c r="C215">
        <v>436.04</v>
      </c>
      <c r="D215">
        <v>26.07</v>
      </c>
    </row>
    <row r="216" spans="1:4" x14ac:dyDescent="0.3">
      <c r="A216" t="s">
        <v>89</v>
      </c>
      <c r="B216" t="s">
        <v>341</v>
      </c>
      <c r="C216">
        <v>436.04</v>
      </c>
      <c r="D216">
        <v>8.35</v>
      </c>
    </row>
    <row r="217" spans="1:4" x14ac:dyDescent="0.3">
      <c r="A217" t="s">
        <v>69</v>
      </c>
      <c r="B217" t="s">
        <v>341</v>
      </c>
      <c r="C217">
        <v>436.04</v>
      </c>
      <c r="D217">
        <v>31.8</v>
      </c>
    </row>
    <row r="218" spans="1:4" x14ac:dyDescent="0.3">
      <c r="A218" t="s">
        <v>96</v>
      </c>
      <c r="B218" t="s">
        <v>341</v>
      </c>
      <c r="C218">
        <v>436.04</v>
      </c>
      <c r="D218">
        <v>14.41</v>
      </c>
    </row>
    <row r="219" spans="1:4" x14ac:dyDescent="0.3">
      <c r="A219" t="s">
        <v>79</v>
      </c>
      <c r="B219" t="s">
        <v>343</v>
      </c>
      <c r="C219">
        <v>241.41</v>
      </c>
      <c r="D219">
        <v>25.32</v>
      </c>
    </row>
    <row r="220" spans="1:4" x14ac:dyDescent="0.3">
      <c r="A220" t="s">
        <v>219</v>
      </c>
      <c r="B220" t="s">
        <v>343</v>
      </c>
      <c r="C220">
        <v>241.41</v>
      </c>
      <c r="D220">
        <v>9.99</v>
      </c>
    </row>
    <row r="221" spans="1:4" x14ac:dyDescent="0.3">
      <c r="A221" t="s">
        <v>108</v>
      </c>
      <c r="B221" t="s">
        <v>343</v>
      </c>
      <c r="C221">
        <v>241.41</v>
      </c>
      <c r="D221">
        <v>26.86</v>
      </c>
    </row>
    <row r="222" spans="1:4" x14ac:dyDescent="0.3">
      <c r="A222" t="s">
        <v>52</v>
      </c>
      <c r="B222" t="s">
        <v>343</v>
      </c>
      <c r="C222">
        <v>241.41</v>
      </c>
      <c r="D222">
        <v>20.62</v>
      </c>
    </row>
    <row r="223" spans="1:4" x14ac:dyDescent="0.3">
      <c r="A223" t="s">
        <v>29</v>
      </c>
      <c r="B223" t="s">
        <v>343</v>
      </c>
      <c r="C223">
        <v>241.41</v>
      </c>
      <c r="D223">
        <v>17.22</v>
      </c>
    </row>
    <row r="224" spans="1:4" x14ac:dyDescent="0.3">
      <c r="A224" t="s">
        <v>137</v>
      </c>
      <c r="B224" t="s">
        <v>345</v>
      </c>
      <c r="C224">
        <v>311.36</v>
      </c>
      <c r="D224">
        <v>29.66</v>
      </c>
    </row>
    <row r="225" spans="1:4" x14ac:dyDescent="0.3">
      <c r="A225" t="s">
        <v>93</v>
      </c>
      <c r="B225" t="s">
        <v>345</v>
      </c>
      <c r="C225">
        <v>311.36</v>
      </c>
      <c r="D225">
        <v>26.09</v>
      </c>
    </row>
    <row r="226" spans="1:4" x14ac:dyDescent="0.3">
      <c r="A226" t="s">
        <v>16</v>
      </c>
      <c r="B226" t="s">
        <v>345</v>
      </c>
      <c r="C226">
        <v>311.36</v>
      </c>
      <c r="D226">
        <v>28.72</v>
      </c>
    </row>
    <row r="227" spans="1:4" x14ac:dyDescent="0.3">
      <c r="A227" t="s">
        <v>215</v>
      </c>
      <c r="B227" t="s">
        <v>345</v>
      </c>
      <c r="C227">
        <v>311.36</v>
      </c>
      <c r="D227">
        <v>15.53</v>
      </c>
    </row>
    <row r="228" spans="1:4" x14ac:dyDescent="0.3">
      <c r="A228" t="s">
        <v>217</v>
      </c>
      <c r="B228" t="s">
        <v>347</v>
      </c>
      <c r="C228">
        <v>638.89</v>
      </c>
      <c r="D228">
        <v>21.98</v>
      </c>
    </row>
    <row r="229" spans="1:4" x14ac:dyDescent="0.3">
      <c r="A229" t="s">
        <v>163</v>
      </c>
      <c r="B229" t="s">
        <v>347</v>
      </c>
      <c r="C229">
        <v>638.89</v>
      </c>
      <c r="D229">
        <v>24.69</v>
      </c>
    </row>
    <row r="230" spans="1:4" x14ac:dyDescent="0.3">
      <c r="A230" t="s">
        <v>85</v>
      </c>
      <c r="B230" t="s">
        <v>347</v>
      </c>
      <c r="C230">
        <v>638.89</v>
      </c>
      <c r="D230">
        <v>35.04</v>
      </c>
    </row>
    <row r="231" spans="1:4" x14ac:dyDescent="0.3">
      <c r="A231" t="s">
        <v>177</v>
      </c>
      <c r="B231" t="s">
        <v>347</v>
      </c>
      <c r="C231">
        <v>638.89</v>
      </c>
      <c r="D231">
        <v>18.28</v>
      </c>
    </row>
    <row r="232" spans="1:4" x14ac:dyDescent="0.3">
      <c r="A232" t="s">
        <v>89</v>
      </c>
      <c r="B232" t="s">
        <v>349</v>
      </c>
      <c r="C232">
        <v>850.09</v>
      </c>
      <c r="D232">
        <v>15.67</v>
      </c>
    </row>
    <row r="233" spans="1:4" x14ac:dyDescent="0.3">
      <c r="A233" t="s">
        <v>192</v>
      </c>
      <c r="B233" t="s">
        <v>349</v>
      </c>
      <c r="C233">
        <v>850.09</v>
      </c>
      <c r="D233">
        <v>34.01</v>
      </c>
    </row>
    <row r="234" spans="1:4" x14ac:dyDescent="0.3">
      <c r="A234" t="s">
        <v>208</v>
      </c>
      <c r="B234" t="s">
        <v>349</v>
      </c>
      <c r="C234">
        <v>850.09</v>
      </c>
      <c r="D234">
        <v>18.190000000000001</v>
      </c>
    </row>
    <row r="235" spans="1:4" x14ac:dyDescent="0.3">
      <c r="A235" t="s">
        <v>111</v>
      </c>
      <c r="B235" t="s">
        <v>349</v>
      </c>
      <c r="C235">
        <v>850.09</v>
      </c>
      <c r="D235">
        <v>32.130000000000003</v>
      </c>
    </row>
    <row r="236" spans="1:4" x14ac:dyDescent="0.3">
      <c r="A236" t="s">
        <v>33</v>
      </c>
      <c r="B236" t="s">
        <v>351</v>
      </c>
      <c r="C236">
        <v>891.15</v>
      </c>
      <c r="D236">
        <v>29.18</v>
      </c>
    </row>
    <row r="237" spans="1:4" x14ac:dyDescent="0.3">
      <c r="A237" t="s">
        <v>81</v>
      </c>
      <c r="B237" t="s">
        <v>351</v>
      </c>
      <c r="C237">
        <v>891.15</v>
      </c>
      <c r="D237">
        <v>32.229999999999997</v>
      </c>
    </row>
    <row r="238" spans="1:4" x14ac:dyDescent="0.3">
      <c r="A238" t="s">
        <v>200</v>
      </c>
      <c r="B238" t="s">
        <v>351</v>
      </c>
      <c r="C238">
        <v>891.15</v>
      </c>
      <c r="D238">
        <v>11.71</v>
      </c>
    </row>
    <row r="239" spans="1:4" x14ac:dyDescent="0.3">
      <c r="A239" t="s">
        <v>47</v>
      </c>
      <c r="B239" t="s">
        <v>351</v>
      </c>
      <c r="C239">
        <v>891.15</v>
      </c>
      <c r="D239">
        <v>17.03</v>
      </c>
    </row>
    <row r="240" spans="1:4" x14ac:dyDescent="0.3">
      <c r="A240" t="s">
        <v>111</v>
      </c>
      <c r="B240" t="s">
        <v>351</v>
      </c>
      <c r="C240">
        <v>891.15</v>
      </c>
      <c r="D240">
        <v>9.85</v>
      </c>
    </row>
    <row r="241" spans="1:4" x14ac:dyDescent="0.3">
      <c r="A241" t="s">
        <v>102</v>
      </c>
      <c r="B241" t="s">
        <v>353</v>
      </c>
      <c r="C241">
        <v>662.74</v>
      </c>
      <c r="D241">
        <v>20.66</v>
      </c>
    </row>
    <row r="242" spans="1:4" x14ac:dyDescent="0.3">
      <c r="A242" t="s">
        <v>77</v>
      </c>
      <c r="B242" t="s">
        <v>353</v>
      </c>
      <c r="C242">
        <v>662.74</v>
      </c>
      <c r="D242">
        <v>32.19</v>
      </c>
    </row>
    <row r="243" spans="1:4" x14ac:dyDescent="0.3">
      <c r="A243" t="s">
        <v>36</v>
      </c>
      <c r="B243" t="s">
        <v>353</v>
      </c>
      <c r="C243">
        <v>662.74</v>
      </c>
      <c r="D243">
        <v>10.36</v>
      </c>
    </row>
    <row r="244" spans="1:4" x14ac:dyDescent="0.3">
      <c r="A244" t="s">
        <v>70</v>
      </c>
      <c r="B244" t="s">
        <v>353</v>
      </c>
      <c r="C244">
        <v>662.74</v>
      </c>
      <c r="D244">
        <v>36.79</v>
      </c>
    </row>
    <row r="245" spans="1:4" x14ac:dyDescent="0.3">
      <c r="A245" t="s">
        <v>44</v>
      </c>
      <c r="B245" t="s">
        <v>355</v>
      </c>
      <c r="C245">
        <v>527.37</v>
      </c>
      <c r="D245">
        <v>21.43</v>
      </c>
    </row>
    <row r="246" spans="1:4" x14ac:dyDescent="0.3">
      <c r="A246" t="s">
        <v>27</v>
      </c>
      <c r="B246" t="s">
        <v>355</v>
      </c>
      <c r="C246">
        <v>527.37</v>
      </c>
      <c r="D246">
        <v>39.29</v>
      </c>
    </row>
    <row r="247" spans="1:4" x14ac:dyDescent="0.3">
      <c r="A247" t="s">
        <v>41</v>
      </c>
      <c r="B247" t="s">
        <v>355</v>
      </c>
      <c r="C247">
        <v>527.37</v>
      </c>
      <c r="D247">
        <v>39.28</v>
      </c>
    </row>
    <row r="248" spans="1:4" x14ac:dyDescent="0.3">
      <c r="A248" t="s">
        <v>40</v>
      </c>
      <c r="B248" t="s">
        <v>357</v>
      </c>
      <c r="C248">
        <v>886.71</v>
      </c>
      <c r="D248">
        <v>24.84</v>
      </c>
    </row>
    <row r="249" spans="1:4" x14ac:dyDescent="0.3">
      <c r="A249" t="s">
        <v>48</v>
      </c>
      <c r="B249" t="s">
        <v>357</v>
      </c>
      <c r="C249">
        <v>886.71</v>
      </c>
      <c r="D249">
        <v>29.53</v>
      </c>
    </row>
    <row r="250" spans="1:4" x14ac:dyDescent="0.3">
      <c r="A250" t="s">
        <v>128</v>
      </c>
      <c r="B250" t="s">
        <v>357</v>
      </c>
      <c r="C250">
        <v>886.71</v>
      </c>
      <c r="D250">
        <v>45.63</v>
      </c>
    </row>
    <row r="251" spans="1:4" x14ac:dyDescent="0.3">
      <c r="A251" t="s">
        <v>129</v>
      </c>
      <c r="B251" t="s">
        <v>359</v>
      </c>
      <c r="C251">
        <v>764.33</v>
      </c>
      <c r="D251">
        <v>16.100000000000001</v>
      </c>
    </row>
    <row r="252" spans="1:4" x14ac:dyDescent="0.3">
      <c r="A252" t="s">
        <v>121</v>
      </c>
      <c r="B252" t="s">
        <v>359</v>
      </c>
      <c r="C252">
        <v>764.33</v>
      </c>
      <c r="D252">
        <v>19.68</v>
      </c>
    </row>
    <row r="253" spans="1:4" x14ac:dyDescent="0.3">
      <c r="A253" t="s">
        <v>182</v>
      </c>
      <c r="B253" t="s">
        <v>359</v>
      </c>
      <c r="C253">
        <v>764.33</v>
      </c>
      <c r="D253">
        <v>20.28</v>
      </c>
    </row>
    <row r="254" spans="1:4" x14ac:dyDescent="0.3">
      <c r="A254" t="s">
        <v>176</v>
      </c>
      <c r="B254" t="s">
        <v>359</v>
      </c>
      <c r="C254">
        <v>764.33</v>
      </c>
      <c r="D254">
        <v>22.97</v>
      </c>
    </row>
    <row r="255" spans="1:4" x14ac:dyDescent="0.3">
      <c r="A255" t="s">
        <v>156</v>
      </c>
      <c r="B255" t="s">
        <v>359</v>
      </c>
      <c r="C255">
        <v>764.33</v>
      </c>
      <c r="D255">
        <v>20.97</v>
      </c>
    </row>
    <row r="256" spans="1:4" x14ac:dyDescent="0.3">
      <c r="A256" t="s">
        <v>95</v>
      </c>
      <c r="B256" t="s">
        <v>361</v>
      </c>
      <c r="C256">
        <v>319.93</v>
      </c>
      <c r="D256">
        <v>47.73</v>
      </c>
    </row>
    <row r="257" spans="1:4" x14ac:dyDescent="0.3">
      <c r="A257" t="s">
        <v>25</v>
      </c>
      <c r="B257" t="s">
        <v>361</v>
      </c>
      <c r="C257">
        <v>319.93</v>
      </c>
      <c r="D257">
        <v>17.920000000000002</v>
      </c>
    </row>
    <row r="258" spans="1:4" x14ac:dyDescent="0.3">
      <c r="A258" t="s">
        <v>84</v>
      </c>
      <c r="B258" t="s">
        <v>361</v>
      </c>
      <c r="C258">
        <v>319.93</v>
      </c>
      <c r="D258">
        <v>34.35</v>
      </c>
    </row>
    <row r="259" spans="1:4" x14ac:dyDescent="0.3">
      <c r="A259" t="s">
        <v>172</v>
      </c>
      <c r="B259" t="s">
        <v>363</v>
      </c>
      <c r="C259">
        <v>798.96</v>
      </c>
      <c r="D259">
        <v>31.87</v>
      </c>
    </row>
    <row r="260" spans="1:4" x14ac:dyDescent="0.3">
      <c r="A260" t="s">
        <v>95</v>
      </c>
      <c r="B260" t="s">
        <v>363</v>
      </c>
      <c r="C260">
        <v>798.96</v>
      </c>
      <c r="D260">
        <v>68.13</v>
      </c>
    </row>
    <row r="261" spans="1:4" x14ac:dyDescent="0.3">
      <c r="A261" t="s">
        <v>167</v>
      </c>
      <c r="B261" t="s">
        <v>365</v>
      </c>
      <c r="C261">
        <v>360.75</v>
      </c>
      <c r="D261">
        <v>61.93</v>
      </c>
    </row>
    <row r="262" spans="1:4" x14ac:dyDescent="0.3">
      <c r="A262" t="s">
        <v>171</v>
      </c>
      <c r="B262" t="s">
        <v>365</v>
      </c>
      <c r="C262">
        <v>360.75</v>
      </c>
      <c r="D262">
        <v>19.52</v>
      </c>
    </row>
    <row r="263" spans="1:4" x14ac:dyDescent="0.3">
      <c r="A263" t="s">
        <v>16</v>
      </c>
      <c r="B263" t="s">
        <v>365</v>
      </c>
      <c r="C263">
        <v>360.75</v>
      </c>
      <c r="D263">
        <v>18.55</v>
      </c>
    </row>
    <row r="264" spans="1:4" x14ac:dyDescent="0.3">
      <c r="A264" t="s">
        <v>16</v>
      </c>
      <c r="B264" t="s">
        <v>367</v>
      </c>
      <c r="C264">
        <v>268.16000000000003</v>
      </c>
      <c r="D264">
        <v>28.46</v>
      </c>
    </row>
    <row r="265" spans="1:4" x14ac:dyDescent="0.3">
      <c r="A265" t="s">
        <v>165</v>
      </c>
      <c r="B265" t="s">
        <v>367</v>
      </c>
      <c r="C265">
        <v>268.16000000000003</v>
      </c>
      <c r="D265">
        <v>9.08</v>
      </c>
    </row>
    <row r="266" spans="1:4" x14ac:dyDescent="0.3">
      <c r="A266" t="s">
        <v>54</v>
      </c>
      <c r="B266" t="s">
        <v>367</v>
      </c>
      <c r="C266">
        <v>268.16000000000003</v>
      </c>
      <c r="D266">
        <v>13.78</v>
      </c>
    </row>
    <row r="267" spans="1:4" x14ac:dyDescent="0.3">
      <c r="A267" t="s">
        <v>93</v>
      </c>
      <c r="B267" t="s">
        <v>367</v>
      </c>
      <c r="C267">
        <v>268.16000000000003</v>
      </c>
      <c r="D267">
        <v>34.700000000000003</v>
      </c>
    </row>
    <row r="268" spans="1:4" x14ac:dyDescent="0.3">
      <c r="A268" t="s">
        <v>202</v>
      </c>
      <c r="B268" t="s">
        <v>367</v>
      </c>
      <c r="C268">
        <v>268.16000000000003</v>
      </c>
      <c r="D268">
        <v>13.98</v>
      </c>
    </row>
    <row r="269" spans="1:4" x14ac:dyDescent="0.3">
      <c r="A269" t="s">
        <v>50</v>
      </c>
      <c r="B269" t="s">
        <v>369</v>
      </c>
      <c r="C269">
        <v>931.73</v>
      </c>
      <c r="D269">
        <v>53.73</v>
      </c>
    </row>
    <row r="270" spans="1:4" x14ac:dyDescent="0.3">
      <c r="A270" t="s">
        <v>138</v>
      </c>
      <c r="B270" t="s">
        <v>369</v>
      </c>
      <c r="C270">
        <v>931.73</v>
      </c>
      <c r="D270">
        <v>46.27</v>
      </c>
    </row>
    <row r="271" spans="1:4" x14ac:dyDescent="0.3">
      <c r="A271" t="s">
        <v>35</v>
      </c>
      <c r="B271" t="s">
        <v>371</v>
      </c>
      <c r="C271">
        <v>626.54</v>
      </c>
      <c r="D271">
        <v>70.540000000000006</v>
      </c>
    </row>
    <row r="272" spans="1:4" x14ac:dyDescent="0.3">
      <c r="A272" t="s">
        <v>73</v>
      </c>
      <c r="B272" t="s">
        <v>371</v>
      </c>
      <c r="C272">
        <v>626.54</v>
      </c>
      <c r="D272">
        <v>29.46</v>
      </c>
    </row>
    <row r="273" spans="1:4" x14ac:dyDescent="0.3">
      <c r="A273" t="s">
        <v>132</v>
      </c>
      <c r="B273" t="s">
        <v>373</v>
      </c>
      <c r="C273">
        <v>673.97</v>
      </c>
      <c r="D273">
        <v>77.36</v>
      </c>
    </row>
    <row r="274" spans="1:4" x14ac:dyDescent="0.3">
      <c r="A274" t="s">
        <v>179</v>
      </c>
      <c r="B274" t="s">
        <v>373</v>
      </c>
      <c r="C274">
        <v>673.97</v>
      </c>
      <c r="D274">
        <v>22.64</v>
      </c>
    </row>
    <row r="275" spans="1:4" x14ac:dyDescent="0.3">
      <c r="A275" t="s">
        <v>26</v>
      </c>
      <c r="B275" t="s">
        <v>375</v>
      </c>
      <c r="C275">
        <v>362.43</v>
      </c>
      <c r="D275">
        <v>45.19</v>
      </c>
    </row>
    <row r="276" spans="1:4" x14ac:dyDescent="0.3">
      <c r="A276" t="s">
        <v>164</v>
      </c>
      <c r="B276" t="s">
        <v>375</v>
      </c>
      <c r="C276">
        <v>362.43</v>
      </c>
      <c r="D276">
        <v>54.81</v>
      </c>
    </row>
    <row r="277" spans="1:4" x14ac:dyDescent="0.3">
      <c r="A277" t="s">
        <v>71</v>
      </c>
      <c r="B277" t="s">
        <v>377</v>
      </c>
      <c r="C277">
        <v>111.84</v>
      </c>
      <c r="D277">
        <v>15.85</v>
      </c>
    </row>
    <row r="278" spans="1:4" x14ac:dyDescent="0.3">
      <c r="A278" t="s">
        <v>56</v>
      </c>
      <c r="B278" t="s">
        <v>377</v>
      </c>
      <c r="C278">
        <v>111.84</v>
      </c>
      <c r="D278">
        <v>11.34</v>
      </c>
    </row>
    <row r="279" spans="1:4" x14ac:dyDescent="0.3">
      <c r="A279" t="s">
        <v>20</v>
      </c>
      <c r="B279" t="s">
        <v>377</v>
      </c>
      <c r="C279">
        <v>111.84</v>
      </c>
      <c r="D279">
        <v>20.86</v>
      </c>
    </row>
    <row r="280" spans="1:4" x14ac:dyDescent="0.3">
      <c r="A280" t="s">
        <v>204</v>
      </c>
      <c r="B280" t="s">
        <v>377</v>
      </c>
      <c r="C280">
        <v>111.84</v>
      </c>
      <c r="D280">
        <v>23.26</v>
      </c>
    </row>
    <row r="281" spans="1:4" x14ac:dyDescent="0.3">
      <c r="A281" t="s">
        <v>155</v>
      </c>
      <c r="B281" t="s">
        <v>377</v>
      </c>
      <c r="C281">
        <v>111.84</v>
      </c>
      <c r="D281">
        <v>28.69</v>
      </c>
    </row>
    <row r="282" spans="1:4" x14ac:dyDescent="0.3">
      <c r="A282" t="s">
        <v>84</v>
      </c>
      <c r="B282" t="s">
        <v>379</v>
      </c>
      <c r="C282">
        <v>669.59</v>
      </c>
      <c r="D282">
        <v>30.85</v>
      </c>
    </row>
    <row r="283" spans="1:4" x14ac:dyDescent="0.3">
      <c r="A283" t="s">
        <v>205</v>
      </c>
      <c r="B283" t="s">
        <v>379</v>
      </c>
      <c r="C283">
        <v>669.59</v>
      </c>
      <c r="D283">
        <v>23.15</v>
      </c>
    </row>
    <row r="284" spans="1:4" x14ac:dyDescent="0.3">
      <c r="A284" t="s">
        <v>58</v>
      </c>
      <c r="B284" t="s">
        <v>379</v>
      </c>
      <c r="C284">
        <v>669.59</v>
      </c>
      <c r="D284">
        <v>17.989999999999998</v>
      </c>
    </row>
    <row r="285" spans="1:4" x14ac:dyDescent="0.3">
      <c r="A285" t="s">
        <v>103</v>
      </c>
      <c r="B285" t="s">
        <v>379</v>
      </c>
      <c r="C285">
        <v>669.59</v>
      </c>
      <c r="D285">
        <v>28</v>
      </c>
    </row>
    <row r="286" spans="1:4" x14ac:dyDescent="0.3">
      <c r="A286" t="s">
        <v>198</v>
      </c>
      <c r="B286" t="s">
        <v>381</v>
      </c>
      <c r="C286">
        <v>431.16</v>
      </c>
      <c r="D286">
        <v>48.25</v>
      </c>
    </row>
    <row r="287" spans="1:4" x14ac:dyDescent="0.3">
      <c r="A287" t="s">
        <v>89</v>
      </c>
      <c r="B287" t="s">
        <v>381</v>
      </c>
      <c r="C287">
        <v>431.16</v>
      </c>
      <c r="D287">
        <v>51.75</v>
      </c>
    </row>
    <row r="288" spans="1:4" x14ac:dyDescent="0.3">
      <c r="A288" t="s">
        <v>153</v>
      </c>
      <c r="B288" t="s">
        <v>383</v>
      </c>
      <c r="C288">
        <v>616.03</v>
      </c>
      <c r="D288">
        <v>25.58</v>
      </c>
    </row>
    <row r="289" spans="1:4" x14ac:dyDescent="0.3">
      <c r="A289" t="s">
        <v>95</v>
      </c>
      <c r="B289" t="s">
        <v>383</v>
      </c>
      <c r="C289">
        <v>616.03</v>
      </c>
      <c r="D289">
        <v>9.34</v>
      </c>
    </row>
    <row r="290" spans="1:4" x14ac:dyDescent="0.3">
      <c r="A290" t="s">
        <v>65</v>
      </c>
      <c r="B290" t="s">
        <v>383</v>
      </c>
      <c r="C290">
        <v>616.03</v>
      </c>
      <c r="D290">
        <v>31.8</v>
      </c>
    </row>
    <row r="291" spans="1:4" x14ac:dyDescent="0.3">
      <c r="A291" t="s">
        <v>54</v>
      </c>
      <c r="B291" t="s">
        <v>383</v>
      </c>
      <c r="C291">
        <v>616.03</v>
      </c>
      <c r="D291">
        <v>7.05</v>
      </c>
    </row>
    <row r="292" spans="1:4" x14ac:dyDescent="0.3">
      <c r="A292" t="s">
        <v>218</v>
      </c>
      <c r="B292" t="s">
        <v>383</v>
      </c>
      <c r="C292">
        <v>616.03</v>
      </c>
      <c r="D292">
        <v>26.23</v>
      </c>
    </row>
    <row r="293" spans="1:4" x14ac:dyDescent="0.3">
      <c r="A293" t="s">
        <v>38</v>
      </c>
      <c r="B293" t="s">
        <v>385</v>
      </c>
      <c r="C293">
        <v>285.99</v>
      </c>
      <c r="D293">
        <v>33.700000000000003</v>
      </c>
    </row>
    <row r="294" spans="1:4" x14ac:dyDescent="0.3">
      <c r="A294" t="s">
        <v>75</v>
      </c>
      <c r="B294" t="s">
        <v>385</v>
      </c>
      <c r="C294">
        <v>285.99</v>
      </c>
      <c r="D294">
        <v>20.440000000000001</v>
      </c>
    </row>
    <row r="295" spans="1:4" x14ac:dyDescent="0.3">
      <c r="A295" t="s">
        <v>84</v>
      </c>
      <c r="B295" t="s">
        <v>385</v>
      </c>
      <c r="C295">
        <v>285.99</v>
      </c>
      <c r="D295">
        <v>20.3</v>
      </c>
    </row>
    <row r="296" spans="1:4" x14ac:dyDescent="0.3">
      <c r="A296" t="s">
        <v>154</v>
      </c>
      <c r="B296" t="s">
        <v>385</v>
      </c>
      <c r="C296">
        <v>285.99</v>
      </c>
      <c r="D296">
        <v>25.56</v>
      </c>
    </row>
    <row r="297" spans="1:4" x14ac:dyDescent="0.3">
      <c r="A297" t="s">
        <v>111</v>
      </c>
      <c r="B297" t="s">
        <v>387</v>
      </c>
      <c r="C297">
        <v>466.93</v>
      </c>
      <c r="D297">
        <v>54.56</v>
      </c>
    </row>
    <row r="298" spans="1:4" x14ac:dyDescent="0.3">
      <c r="A298" t="s">
        <v>212</v>
      </c>
      <c r="B298" t="s">
        <v>387</v>
      </c>
      <c r="C298">
        <v>466.93</v>
      </c>
      <c r="D298">
        <v>45.44</v>
      </c>
    </row>
    <row r="299" spans="1:4" x14ac:dyDescent="0.3">
      <c r="A299" t="s">
        <v>37</v>
      </c>
      <c r="B299" t="s">
        <v>389</v>
      </c>
      <c r="C299">
        <v>224.5</v>
      </c>
      <c r="D299">
        <v>39.29</v>
      </c>
    </row>
    <row r="300" spans="1:4" x14ac:dyDescent="0.3">
      <c r="A300" t="s">
        <v>62</v>
      </c>
      <c r="B300" t="s">
        <v>389</v>
      </c>
      <c r="C300">
        <v>224.5</v>
      </c>
      <c r="D300">
        <v>60.71</v>
      </c>
    </row>
    <row r="301" spans="1:4" x14ac:dyDescent="0.3">
      <c r="A301" t="s">
        <v>56</v>
      </c>
      <c r="B301" t="s">
        <v>391</v>
      </c>
      <c r="C301">
        <v>143.16999999999999</v>
      </c>
      <c r="D301">
        <v>20.92</v>
      </c>
    </row>
    <row r="302" spans="1:4" x14ac:dyDescent="0.3">
      <c r="A302" t="s">
        <v>201</v>
      </c>
      <c r="B302" t="s">
        <v>391</v>
      </c>
      <c r="C302">
        <v>143.16999999999999</v>
      </c>
      <c r="D302">
        <v>52.46</v>
      </c>
    </row>
    <row r="303" spans="1:4" x14ac:dyDescent="0.3">
      <c r="A303" t="s">
        <v>50</v>
      </c>
      <c r="B303" t="s">
        <v>391</v>
      </c>
      <c r="C303">
        <v>143.16999999999999</v>
      </c>
      <c r="D303">
        <v>26.62</v>
      </c>
    </row>
    <row r="304" spans="1:4" x14ac:dyDescent="0.3">
      <c r="A304" t="s">
        <v>149</v>
      </c>
      <c r="B304" t="s">
        <v>393</v>
      </c>
      <c r="C304">
        <v>958.01</v>
      </c>
      <c r="D304">
        <v>20.84</v>
      </c>
    </row>
    <row r="305" spans="1:4" x14ac:dyDescent="0.3">
      <c r="A305" t="s">
        <v>131</v>
      </c>
      <c r="B305" t="s">
        <v>393</v>
      </c>
      <c r="C305">
        <v>958.01</v>
      </c>
      <c r="D305">
        <v>23.43</v>
      </c>
    </row>
    <row r="306" spans="1:4" x14ac:dyDescent="0.3">
      <c r="A306" t="s">
        <v>211</v>
      </c>
      <c r="B306" t="s">
        <v>393</v>
      </c>
      <c r="C306">
        <v>958.01</v>
      </c>
      <c r="D306">
        <v>10.45</v>
      </c>
    </row>
    <row r="307" spans="1:4" x14ac:dyDescent="0.3">
      <c r="A307" t="s">
        <v>66</v>
      </c>
      <c r="B307" t="s">
        <v>393</v>
      </c>
      <c r="C307">
        <v>958.01</v>
      </c>
      <c r="D307">
        <v>24.36</v>
      </c>
    </row>
    <row r="308" spans="1:4" x14ac:dyDescent="0.3">
      <c r="A308" t="s">
        <v>163</v>
      </c>
      <c r="B308" t="s">
        <v>393</v>
      </c>
      <c r="C308">
        <v>958.01</v>
      </c>
      <c r="D308">
        <v>20.91</v>
      </c>
    </row>
    <row r="309" spans="1:4" x14ac:dyDescent="0.3">
      <c r="A309" t="s">
        <v>85</v>
      </c>
      <c r="B309" t="s">
        <v>395</v>
      </c>
      <c r="C309">
        <v>960.4</v>
      </c>
      <c r="D309">
        <v>28.89</v>
      </c>
    </row>
    <row r="310" spans="1:4" x14ac:dyDescent="0.3">
      <c r="A310" t="s">
        <v>199</v>
      </c>
      <c r="B310" t="s">
        <v>395</v>
      </c>
      <c r="C310">
        <v>960.4</v>
      </c>
      <c r="D310">
        <v>31.34</v>
      </c>
    </row>
    <row r="311" spans="1:4" x14ac:dyDescent="0.3">
      <c r="A311" t="s">
        <v>115</v>
      </c>
      <c r="B311" t="s">
        <v>395</v>
      </c>
      <c r="C311">
        <v>960.4</v>
      </c>
      <c r="D311">
        <v>29.13</v>
      </c>
    </row>
    <row r="312" spans="1:4" x14ac:dyDescent="0.3">
      <c r="A312" t="s">
        <v>186</v>
      </c>
      <c r="B312" t="s">
        <v>395</v>
      </c>
      <c r="C312">
        <v>960.4</v>
      </c>
      <c r="D312">
        <v>10.65</v>
      </c>
    </row>
    <row r="313" spans="1:4" x14ac:dyDescent="0.3">
      <c r="A313" t="s">
        <v>207</v>
      </c>
      <c r="B313" t="s">
        <v>397</v>
      </c>
      <c r="C313">
        <v>685.27</v>
      </c>
      <c r="D313">
        <v>13.38</v>
      </c>
    </row>
    <row r="314" spans="1:4" x14ac:dyDescent="0.3">
      <c r="A314" t="s">
        <v>141</v>
      </c>
      <c r="B314" t="s">
        <v>397</v>
      </c>
      <c r="C314">
        <v>685.27</v>
      </c>
      <c r="D314">
        <v>33.94</v>
      </c>
    </row>
    <row r="315" spans="1:4" x14ac:dyDescent="0.3">
      <c r="A315" t="s">
        <v>208</v>
      </c>
      <c r="B315" t="s">
        <v>397</v>
      </c>
      <c r="C315">
        <v>685.27</v>
      </c>
      <c r="D315">
        <v>52.68</v>
      </c>
    </row>
    <row r="316" spans="1:4" x14ac:dyDescent="0.3">
      <c r="A316" t="s">
        <v>142</v>
      </c>
      <c r="B316" t="s">
        <v>399</v>
      </c>
      <c r="C316">
        <v>923.3</v>
      </c>
      <c r="D316">
        <v>19.93</v>
      </c>
    </row>
    <row r="317" spans="1:4" x14ac:dyDescent="0.3">
      <c r="A317" t="s">
        <v>100</v>
      </c>
      <c r="B317" t="s">
        <v>399</v>
      </c>
      <c r="C317">
        <v>923.3</v>
      </c>
      <c r="D317">
        <v>22.18</v>
      </c>
    </row>
    <row r="318" spans="1:4" x14ac:dyDescent="0.3">
      <c r="A318" t="s">
        <v>53</v>
      </c>
      <c r="B318" t="s">
        <v>399</v>
      </c>
      <c r="C318">
        <v>923.3</v>
      </c>
      <c r="D318">
        <v>21.75</v>
      </c>
    </row>
    <row r="319" spans="1:4" x14ac:dyDescent="0.3">
      <c r="A319" t="s">
        <v>190</v>
      </c>
      <c r="B319" t="s">
        <v>399</v>
      </c>
      <c r="C319">
        <v>923.3</v>
      </c>
      <c r="D319">
        <v>19.28</v>
      </c>
    </row>
    <row r="320" spans="1:4" x14ac:dyDescent="0.3">
      <c r="A320" t="s">
        <v>117</v>
      </c>
      <c r="B320" t="s">
        <v>399</v>
      </c>
      <c r="C320">
        <v>923.3</v>
      </c>
      <c r="D320">
        <v>16.86</v>
      </c>
    </row>
    <row r="321" spans="1:4" x14ac:dyDescent="0.3">
      <c r="A321" t="s">
        <v>118</v>
      </c>
      <c r="B321" t="s">
        <v>401</v>
      </c>
      <c r="C321">
        <v>635.72</v>
      </c>
      <c r="D321">
        <v>32.64</v>
      </c>
    </row>
    <row r="322" spans="1:4" x14ac:dyDescent="0.3">
      <c r="A322" t="s">
        <v>134</v>
      </c>
      <c r="B322" t="s">
        <v>401</v>
      </c>
      <c r="C322">
        <v>635.72</v>
      </c>
      <c r="D322">
        <v>67.36</v>
      </c>
    </row>
    <row r="323" spans="1:4" x14ac:dyDescent="0.3">
      <c r="A323" t="s">
        <v>150</v>
      </c>
      <c r="B323" t="s">
        <v>403</v>
      </c>
      <c r="C323">
        <v>943.59</v>
      </c>
      <c r="D323">
        <v>23.38</v>
      </c>
    </row>
    <row r="324" spans="1:4" x14ac:dyDescent="0.3">
      <c r="A324" t="s">
        <v>113</v>
      </c>
      <c r="B324" t="s">
        <v>403</v>
      </c>
      <c r="C324">
        <v>943.59</v>
      </c>
      <c r="D324">
        <v>15.81</v>
      </c>
    </row>
    <row r="325" spans="1:4" x14ac:dyDescent="0.3">
      <c r="A325" t="s">
        <v>51</v>
      </c>
      <c r="B325" t="s">
        <v>403</v>
      </c>
      <c r="C325">
        <v>943.59</v>
      </c>
      <c r="D325">
        <v>16.02</v>
      </c>
    </row>
    <row r="326" spans="1:4" x14ac:dyDescent="0.3">
      <c r="A326" t="s">
        <v>204</v>
      </c>
      <c r="B326" t="s">
        <v>403</v>
      </c>
      <c r="C326">
        <v>943.59</v>
      </c>
      <c r="D326">
        <v>21.25</v>
      </c>
    </row>
    <row r="327" spans="1:4" x14ac:dyDescent="0.3">
      <c r="A327" t="s">
        <v>86</v>
      </c>
      <c r="B327" t="s">
        <v>403</v>
      </c>
      <c r="C327">
        <v>943.59</v>
      </c>
      <c r="D327">
        <v>23.54</v>
      </c>
    </row>
    <row r="328" spans="1:4" x14ac:dyDescent="0.3">
      <c r="A328" t="s">
        <v>164</v>
      </c>
      <c r="B328" t="s">
        <v>405</v>
      </c>
      <c r="C328">
        <v>773.32</v>
      </c>
      <c r="D328">
        <v>43.98</v>
      </c>
    </row>
    <row r="329" spans="1:4" x14ac:dyDescent="0.3">
      <c r="A329" t="s">
        <v>71</v>
      </c>
      <c r="B329" t="s">
        <v>405</v>
      </c>
      <c r="C329">
        <v>773.32</v>
      </c>
      <c r="D329">
        <v>56.02</v>
      </c>
    </row>
    <row r="330" spans="1:4" x14ac:dyDescent="0.3">
      <c r="A330" t="s">
        <v>112</v>
      </c>
      <c r="B330" t="s">
        <v>407</v>
      </c>
      <c r="C330">
        <v>756.78</v>
      </c>
      <c r="D330">
        <v>28.42</v>
      </c>
    </row>
    <row r="331" spans="1:4" x14ac:dyDescent="0.3">
      <c r="A331" t="s">
        <v>77</v>
      </c>
      <c r="B331" t="s">
        <v>407</v>
      </c>
      <c r="C331">
        <v>756.78</v>
      </c>
      <c r="D331">
        <v>35.64</v>
      </c>
    </row>
    <row r="332" spans="1:4" x14ac:dyDescent="0.3">
      <c r="A332" t="s">
        <v>39</v>
      </c>
      <c r="B332" t="s">
        <v>407</v>
      </c>
      <c r="C332">
        <v>756.78</v>
      </c>
      <c r="D332">
        <v>35.950000000000003</v>
      </c>
    </row>
    <row r="333" spans="1:4" x14ac:dyDescent="0.3">
      <c r="A333" t="s">
        <v>38</v>
      </c>
      <c r="B333" t="s">
        <v>409</v>
      </c>
      <c r="C333">
        <v>286.72000000000003</v>
      </c>
      <c r="D333">
        <v>37.46</v>
      </c>
    </row>
    <row r="334" spans="1:4" x14ac:dyDescent="0.3">
      <c r="A334" t="s">
        <v>109</v>
      </c>
      <c r="B334" t="s">
        <v>409</v>
      </c>
      <c r="C334">
        <v>286.72000000000003</v>
      </c>
      <c r="D334">
        <v>19.39</v>
      </c>
    </row>
    <row r="335" spans="1:4" x14ac:dyDescent="0.3">
      <c r="A335" t="s">
        <v>80</v>
      </c>
      <c r="B335" t="s">
        <v>409</v>
      </c>
      <c r="C335">
        <v>286.72000000000003</v>
      </c>
      <c r="D335">
        <v>23.21</v>
      </c>
    </row>
    <row r="336" spans="1:4" x14ac:dyDescent="0.3">
      <c r="A336" t="s">
        <v>100</v>
      </c>
      <c r="B336" t="s">
        <v>409</v>
      </c>
      <c r="C336">
        <v>286.72000000000003</v>
      </c>
      <c r="D336">
        <v>19.95</v>
      </c>
    </row>
    <row r="337" spans="1:4" x14ac:dyDescent="0.3">
      <c r="A337" t="s">
        <v>94</v>
      </c>
      <c r="B337" t="s">
        <v>411</v>
      </c>
      <c r="C337">
        <v>991.36</v>
      </c>
      <c r="D337">
        <v>35.39</v>
      </c>
    </row>
    <row r="338" spans="1:4" x14ac:dyDescent="0.3">
      <c r="A338" t="s">
        <v>193</v>
      </c>
      <c r="B338" t="s">
        <v>411</v>
      </c>
      <c r="C338">
        <v>991.36</v>
      </c>
      <c r="D338">
        <v>25.3</v>
      </c>
    </row>
    <row r="339" spans="1:4" x14ac:dyDescent="0.3">
      <c r="A339" t="s">
        <v>53</v>
      </c>
      <c r="B339" t="s">
        <v>411</v>
      </c>
      <c r="C339">
        <v>991.36</v>
      </c>
      <c r="D339">
        <v>21.04</v>
      </c>
    </row>
    <row r="340" spans="1:4" x14ac:dyDescent="0.3">
      <c r="A340" t="s">
        <v>122</v>
      </c>
      <c r="B340" t="s">
        <v>411</v>
      </c>
      <c r="C340">
        <v>991.36</v>
      </c>
      <c r="D340">
        <v>18.28</v>
      </c>
    </row>
    <row r="341" spans="1:4" x14ac:dyDescent="0.3">
      <c r="A341" t="s">
        <v>162</v>
      </c>
      <c r="B341" t="s">
        <v>413</v>
      </c>
      <c r="C341">
        <v>962.92</v>
      </c>
      <c r="D341">
        <v>47.31</v>
      </c>
    </row>
    <row r="342" spans="1:4" x14ac:dyDescent="0.3">
      <c r="A342" t="s">
        <v>139</v>
      </c>
      <c r="B342" t="s">
        <v>413</v>
      </c>
      <c r="C342">
        <v>962.92</v>
      </c>
      <c r="D342">
        <v>13.98</v>
      </c>
    </row>
    <row r="343" spans="1:4" x14ac:dyDescent="0.3">
      <c r="A343" t="s">
        <v>218</v>
      </c>
      <c r="B343" t="s">
        <v>413</v>
      </c>
      <c r="C343">
        <v>962.92</v>
      </c>
      <c r="D343">
        <v>16.52</v>
      </c>
    </row>
    <row r="344" spans="1:4" x14ac:dyDescent="0.3">
      <c r="A344" t="s">
        <v>146</v>
      </c>
      <c r="B344" t="s">
        <v>413</v>
      </c>
      <c r="C344">
        <v>962.92</v>
      </c>
      <c r="D344">
        <v>22.19</v>
      </c>
    </row>
    <row r="345" spans="1:4" x14ac:dyDescent="0.3">
      <c r="A345" t="s">
        <v>207</v>
      </c>
      <c r="B345" t="s">
        <v>415</v>
      </c>
      <c r="C345">
        <v>464.62</v>
      </c>
      <c r="D345">
        <v>25.22</v>
      </c>
    </row>
    <row r="346" spans="1:4" x14ac:dyDescent="0.3">
      <c r="A346" t="s">
        <v>170</v>
      </c>
      <c r="B346" t="s">
        <v>415</v>
      </c>
      <c r="C346">
        <v>464.62</v>
      </c>
      <c r="D346">
        <v>26.48</v>
      </c>
    </row>
    <row r="347" spans="1:4" x14ac:dyDescent="0.3">
      <c r="A347" t="s">
        <v>44</v>
      </c>
      <c r="B347" t="s">
        <v>415</v>
      </c>
      <c r="C347">
        <v>464.62</v>
      </c>
      <c r="D347">
        <v>33.71</v>
      </c>
    </row>
    <row r="348" spans="1:4" x14ac:dyDescent="0.3">
      <c r="A348" t="s">
        <v>22</v>
      </c>
      <c r="B348" t="s">
        <v>415</v>
      </c>
      <c r="C348">
        <v>464.62</v>
      </c>
      <c r="D348">
        <v>14.58</v>
      </c>
    </row>
    <row r="349" spans="1:4" x14ac:dyDescent="0.3">
      <c r="A349" t="s">
        <v>192</v>
      </c>
      <c r="B349" t="s">
        <v>417</v>
      </c>
      <c r="C349">
        <v>640.87</v>
      </c>
      <c r="D349">
        <v>43.29</v>
      </c>
    </row>
    <row r="350" spans="1:4" x14ac:dyDescent="0.3">
      <c r="A350" t="s">
        <v>211</v>
      </c>
      <c r="B350" t="s">
        <v>417</v>
      </c>
      <c r="C350">
        <v>640.87</v>
      </c>
      <c r="D350">
        <v>56.71</v>
      </c>
    </row>
    <row r="351" spans="1:4" x14ac:dyDescent="0.3">
      <c r="A351" t="s">
        <v>140</v>
      </c>
      <c r="B351" t="s">
        <v>419</v>
      </c>
      <c r="C351">
        <v>329.11</v>
      </c>
      <c r="D351">
        <v>20.53</v>
      </c>
    </row>
    <row r="352" spans="1:4" x14ac:dyDescent="0.3">
      <c r="A352" t="s">
        <v>164</v>
      </c>
      <c r="B352" t="s">
        <v>419</v>
      </c>
      <c r="C352">
        <v>329.11</v>
      </c>
      <c r="D352">
        <v>21.38</v>
      </c>
    </row>
    <row r="353" spans="1:4" x14ac:dyDescent="0.3">
      <c r="A353" t="s">
        <v>93</v>
      </c>
      <c r="B353" t="s">
        <v>419</v>
      </c>
      <c r="C353">
        <v>329.11</v>
      </c>
      <c r="D353">
        <v>21.21</v>
      </c>
    </row>
    <row r="354" spans="1:4" x14ac:dyDescent="0.3">
      <c r="A354" t="s">
        <v>58</v>
      </c>
      <c r="B354" t="s">
        <v>419</v>
      </c>
      <c r="C354">
        <v>329.11</v>
      </c>
      <c r="D354">
        <v>24.05</v>
      </c>
    </row>
    <row r="355" spans="1:4" x14ac:dyDescent="0.3">
      <c r="A355" t="s">
        <v>21</v>
      </c>
      <c r="B355" t="s">
        <v>419</v>
      </c>
      <c r="C355">
        <v>329.11</v>
      </c>
      <c r="D355">
        <v>12.82</v>
      </c>
    </row>
    <row r="356" spans="1:4" x14ac:dyDescent="0.3">
      <c r="A356" t="s">
        <v>108</v>
      </c>
      <c r="B356" t="s">
        <v>421</v>
      </c>
      <c r="C356">
        <v>608.07000000000005</v>
      </c>
      <c r="D356">
        <v>20.76</v>
      </c>
    </row>
    <row r="357" spans="1:4" x14ac:dyDescent="0.3">
      <c r="A357" t="s">
        <v>147</v>
      </c>
      <c r="B357" t="s">
        <v>421</v>
      </c>
      <c r="C357">
        <v>608.07000000000005</v>
      </c>
      <c r="D357">
        <v>13.98</v>
      </c>
    </row>
    <row r="358" spans="1:4" x14ac:dyDescent="0.3">
      <c r="A358" t="s">
        <v>193</v>
      </c>
      <c r="B358" t="s">
        <v>421</v>
      </c>
      <c r="C358">
        <v>608.07000000000005</v>
      </c>
      <c r="D358">
        <v>9.57</v>
      </c>
    </row>
    <row r="359" spans="1:4" x14ac:dyDescent="0.3">
      <c r="A359" t="s">
        <v>167</v>
      </c>
      <c r="B359" t="s">
        <v>421</v>
      </c>
      <c r="C359">
        <v>608.07000000000005</v>
      </c>
      <c r="D359">
        <v>23.8</v>
      </c>
    </row>
    <row r="360" spans="1:4" x14ac:dyDescent="0.3">
      <c r="A360" t="s">
        <v>31</v>
      </c>
      <c r="B360" t="s">
        <v>421</v>
      </c>
      <c r="C360">
        <v>608.07000000000005</v>
      </c>
      <c r="D360">
        <v>31.9</v>
      </c>
    </row>
    <row r="361" spans="1:4" x14ac:dyDescent="0.3">
      <c r="A361" t="s">
        <v>107</v>
      </c>
      <c r="B361" t="s">
        <v>423</v>
      </c>
      <c r="C361">
        <v>256.33999999999997</v>
      </c>
      <c r="D361">
        <v>49.4</v>
      </c>
    </row>
    <row r="362" spans="1:4" x14ac:dyDescent="0.3">
      <c r="A362" t="s">
        <v>153</v>
      </c>
      <c r="B362" t="s">
        <v>423</v>
      </c>
      <c r="C362">
        <v>256.33999999999997</v>
      </c>
      <c r="D362">
        <v>50.6</v>
      </c>
    </row>
    <row r="363" spans="1:4" x14ac:dyDescent="0.3">
      <c r="A363" t="s">
        <v>108</v>
      </c>
      <c r="B363" t="s">
        <v>425</v>
      </c>
      <c r="C363">
        <v>169.33</v>
      </c>
      <c r="D363">
        <v>52.13</v>
      </c>
    </row>
    <row r="364" spans="1:4" x14ac:dyDescent="0.3">
      <c r="A364" t="s">
        <v>171</v>
      </c>
      <c r="B364" t="s">
        <v>425</v>
      </c>
      <c r="C364">
        <v>169.33</v>
      </c>
      <c r="D364">
        <v>47.87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F9F3-6638-414F-A2D4-0FDB16116703}">
  <sheetPr>
    <tabColor rgb="FFC6553A"/>
  </sheetPr>
  <dimension ref="A1:Z10"/>
  <sheetViews>
    <sheetView showGridLines="0" zoomScaleNormal="100" workbookViewId="0"/>
  </sheetViews>
  <sheetFormatPr defaultRowHeight="14" x14ac:dyDescent="0.3"/>
  <cols>
    <col min="1" max="1" width="16.5" customWidth="1"/>
    <col min="2" max="2" width="20.83203125" customWidth="1"/>
    <col min="4" max="4" width="20.83203125" customWidth="1"/>
    <col min="5" max="5" width="15.25" customWidth="1"/>
    <col min="6" max="9" width="10.75" customWidth="1"/>
    <col min="11" max="11" width="12.33203125" customWidth="1"/>
    <col min="12" max="12" width="20.83203125" customWidth="1"/>
    <col min="13" max="14" width="7.75" customWidth="1"/>
    <col min="15" max="15" width="10.6640625" customWidth="1"/>
    <col min="17" max="17" width="12.33203125" customWidth="1"/>
    <col min="18" max="18" width="20.83203125" customWidth="1"/>
    <col min="22" max="22" width="19.25" bestFit="1" customWidth="1"/>
    <col min="23" max="23" width="14.25" bestFit="1" customWidth="1"/>
    <col min="24" max="25" width="7.75" bestFit="1" customWidth="1"/>
    <col min="26" max="26" width="10" bestFit="1" customWidth="1"/>
  </cols>
  <sheetData>
    <row r="1" spans="1:26" x14ac:dyDescent="0.3">
      <c r="A1" s="12" t="s">
        <v>439</v>
      </c>
      <c r="D1" s="12" t="s">
        <v>443</v>
      </c>
      <c r="K1" s="12" t="s">
        <v>445</v>
      </c>
      <c r="Q1" s="12" t="s">
        <v>446</v>
      </c>
      <c r="V1" s="12" t="s">
        <v>465</v>
      </c>
    </row>
    <row r="3" spans="1:26" x14ac:dyDescent="0.3">
      <c r="A3" s="13" t="s">
        <v>440</v>
      </c>
      <c r="B3" t="s">
        <v>442</v>
      </c>
      <c r="D3" s="13" t="s">
        <v>442</v>
      </c>
      <c r="E3" s="13" t="s">
        <v>444</v>
      </c>
      <c r="K3" s="13" t="s">
        <v>440</v>
      </c>
      <c r="L3" s="22" t="s">
        <v>442</v>
      </c>
      <c r="Q3" s="13" t="s">
        <v>440</v>
      </c>
      <c r="R3" t="s">
        <v>442</v>
      </c>
      <c r="V3" s="13" t="s">
        <v>442</v>
      </c>
      <c r="W3" s="13" t="s">
        <v>444</v>
      </c>
    </row>
    <row r="4" spans="1:26" x14ac:dyDescent="0.3">
      <c r="A4" s="14" t="s">
        <v>30</v>
      </c>
      <c r="B4" s="15">
        <v>1361113.2999999998</v>
      </c>
      <c r="D4" s="13" t="s">
        <v>440</v>
      </c>
      <c r="E4" t="s">
        <v>8</v>
      </c>
      <c r="F4" t="s">
        <v>13</v>
      </c>
      <c r="G4" t="s">
        <v>34</v>
      </c>
      <c r="H4" t="s">
        <v>23</v>
      </c>
      <c r="I4" t="s">
        <v>441</v>
      </c>
      <c r="K4" s="14" t="s">
        <v>9</v>
      </c>
      <c r="L4" s="15">
        <v>1766860.3199999987</v>
      </c>
      <c r="Q4" s="14">
        <v>2022</v>
      </c>
      <c r="R4" s="15">
        <v>2613289.060000001</v>
      </c>
      <c r="V4" s="13" t="s">
        <v>440</v>
      </c>
      <c r="W4" t="s">
        <v>14</v>
      </c>
      <c r="X4" t="s">
        <v>28</v>
      </c>
      <c r="Y4" t="s">
        <v>9</v>
      </c>
      <c r="Z4" t="s">
        <v>441</v>
      </c>
    </row>
    <row r="5" spans="1:26" x14ac:dyDescent="0.3">
      <c r="A5" s="14" t="s">
        <v>19</v>
      </c>
      <c r="B5" s="15">
        <v>1128000.0800000008</v>
      </c>
      <c r="D5" s="14" t="s">
        <v>30</v>
      </c>
      <c r="E5">
        <v>340708.90000000031</v>
      </c>
      <c r="F5">
        <v>326256.60000000021</v>
      </c>
      <c r="G5">
        <v>360843.2199999998</v>
      </c>
      <c r="H5">
        <v>333304.57999999996</v>
      </c>
      <c r="I5">
        <v>1361113.3000000003</v>
      </c>
      <c r="K5" s="14" t="s">
        <v>14</v>
      </c>
      <c r="L5" s="15">
        <v>1763843.530000001</v>
      </c>
      <c r="Q5" s="14">
        <v>2023</v>
      </c>
      <c r="R5" s="15">
        <v>2603102.9299999997</v>
      </c>
      <c r="V5" s="14" t="s">
        <v>30</v>
      </c>
      <c r="W5" s="15">
        <v>472128.33000000019</v>
      </c>
      <c r="X5" s="15">
        <v>450934.48000000004</v>
      </c>
      <c r="Y5" s="15">
        <v>438050.49000000028</v>
      </c>
      <c r="Z5" s="15">
        <v>1361113.3000000005</v>
      </c>
    </row>
    <row r="6" spans="1:26" x14ac:dyDescent="0.3">
      <c r="A6" s="14" t="s">
        <v>17</v>
      </c>
      <c r="B6" s="15">
        <v>964689.56999999855</v>
      </c>
      <c r="D6" s="14" t="s">
        <v>19</v>
      </c>
      <c r="E6">
        <v>259864.56000000003</v>
      </c>
      <c r="F6">
        <v>306288.79999999993</v>
      </c>
      <c r="G6">
        <v>300529.85000000009</v>
      </c>
      <c r="H6">
        <v>261316.87000000002</v>
      </c>
      <c r="I6">
        <v>1128000.08</v>
      </c>
      <c r="K6" s="14" t="s">
        <v>28</v>
      </c>
      <c r="L6" s="15">
        <v>1685688.1400000006</v>
      </c>
      <c r="Q6" s="14" t="s">
        <v>441</v>
      </c>
      <c r="R6" s="15">
        <v>5216391.99</v>
      </c>
      <c r="V6" s="14" t="s">
        <v>19</v>
      </c>
      <c r="W6" s="15">
        <v>402291.23000000016</v>
      </c>
      <c r="X6" s="15">
        <v>335605.63</v>
      </c>
      <c r="Y6" s="15">
        <v>390103.21999999974</v>
      </c>
      <c r="Z6" s="15">
        <v>1128000.0799999998</v>
      </c>
    </row>
    <row r="7" spans="1:26" x14ac:dyDescent="0.3">
      <c r="A7" s="14" t="s">
        <v>7</v>
      </c>
      <c r="B7" s="15">
        <v>946514.4500000003</v>
      </c>
      <c r="D7" s="14" t="s">
        <v>17</v>
      </c>
      <c r="E7">
        <v>263715.99</v>
      </c>
      <c r="F7">
        <v>229041.97000000003</v>
      </c>
      <c r="G7">
        <v>252643.38999999996</v>
      </c>
      <c r="H7">
        <v>219288.22000000003</v>
      </c>
      <c r="I7">
        <v>964689.57000000007</v>
      </c>
      <c r="K7" s="14" t="s">
        <v>441</v>
      </c>
      <c r="L7" s="15">
        <v>5216391.99</v>
      </c>
      <c r="V7" s="14" t="s">
        <v>17</v>
      </c>
      <c r="W7" s="15">
        <v>280089.42999999982</v>
      </c>
      <c r="X7" s="15">
        <v>325701.40000000002</v>
      </c>
      <c r="Y7" s="15">
        <v>358898.73999999982</v>
      </c>
      <c r="Z7" s="15">
        <v>964689.5699999996</v>
      </c>
    </row>
    <row r="8" spans="1:26" x14ac:dyDescent="0.3">
      <c r="A8" s="14" t="s">
        <v>12</v>
      </c>
      <c r="B8" s="15">
        <v>816074.58999999939</v>
      </c>
      <c r="D8" s="14" t="s">
        <v>7</v>
      </c>
      <c r="E8">
        <v>203900.77000000002</v>
      </c>
      <c r="F8">
        <v>284347.80000000005</v>
      </c>
      <c r="G8">
        <v>217291.78000000003</v>
      </c>
      <c r="H8">
        <v>240974.1</v>
      </c>
      <c r="I8">
        <v>946514.45000000007</v>
      </c>
      <c r="Q8" s="12" t="s">
        <v>447</v>
      </c>
      <c r="S8" s="16">
        <f>GETPIVOTDATA("Emissions (tons)",$Q$3,"Year",2022)-GETPIVOTDATA("Emissions (tons)",$Q$3,"Year",2023)</f>
        <v>10186.130000001285</v>
      </c>
      <c r="V8" s="14" t="s">
        <v>7</v>
      </c>
      <c r="W8" s="15">
        <v>333523.87000000011</v>
      </c>
      <c r="X8" s="15">
        <v>320044.65999999997</v>
      </c>
      <c r="Y8" s="15">
        <v>292945.92000000022</v>
      </c>
      <c r="Z8" s="15">
        <v>946514.45000000019</v>
      </c>
    </row>
    <row r="9" spans="1:26" x14ac:dyDescent="0.3">
      <c r="A9" s="14" t="s">
        <v>441</v>
      </c>
      <c r="B9" s="15">
        <v>5216391.9899999984</v>
      </c>
      <c r="D9" s="14" t="s">
        <v>12</v>
      </c>
      <c r="E9">
        <v>188012.59</v>
      </c>
      <c r="F9">
        <v>211151.08000000002</v>
      </c>
      <c r="G9">
        <v>214720.80000000002</v>
      </c>
      <c r="H9">
        <v>202190.11999999997</v>
      </c>
      <c r="I9">
        <v>816074.59000000008</v>
      </c>
      <c r="V9" s="14" t="s">
        <v>12</v>
      </c>
      <c r="W9" s="15">
        <v>275810.67000000004</v>
      </c>
      <c r="X9" s="15">
        <v>253401.97</v>
      </c>
      <c r="Y9" s="15">
        <v>286861.94999999995</v>
      </c>
      <c r="Z9" s="15">
        <v>816074.59</v>
      </c>
    </row>
    <row r="10" spans="1:26" x14ac:dyDescent="0.3">
      <c r="D10" s="14" t="s">
        <v>441</v>
      </c>
      <c r="E10">
        <v>1256202.8100000003</v>
      </c>
      <c r="F10">
        <v>1357086.25</v>
      </c>
      <c r="G10">
        <v>1346029.0399999998</v>
      </c>
      <c r="H10">
        <v>1257073.8900000001</v>
      </c>
      <c r="I10">
        <v>5216391.9900000012</v>
      </c>
      <c r="V10" s="14" t="s">
        <v>441</v>
      </c>
      <c r="W10" s="15">
        <v>1763843.5300000005</v>
      </c>
      <c r="X10" s="15">
        <v>1685688.1400000001</v>
      </c>
      <c r="Y10" s="15">
        <v>1766860.32</v>
      </c>
      <c r="Z10" s="15">
        <v>5216391.99</v>
      </c>
    </row>
  </sheetData>
  <pageMargins left="0.7" right="0.7" top="0.75" bottom="0.75" header="0.3" footer="0.3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1BDE-D240-4101-B9AD-05EC724B1BDC}">
  <sheetPr>
    <tabColor rgb="FFFFC000"/>
  </sheetPr>
  <dimension ref="A1:O2001"/>
  <sheetViews>
    <sheetView zoomScale="90" zoomScaleNormal="90" workbookViewId="0"/>
  </sheetViews>
  <sheetFormatPr defaultRowHeight="14" x14ac:dyDescent="0.3"/>
  <cols>
    <col min="1" max="1" width="11" customWidth="1"/>
    <col min="2" max="2" width="16.5" customWidth="1"/>
    <col min="3" max="3" width="17.25" customWidth="1"/>
    <col min="4" max="4" width="7.9140625" customWidth="1"/>
    <col min="5" max="5" width="11.33203125" customWidth="1"/>
    <col min="6" max="6" width="16.75" customWidth="1"/>
    <col min="7" max="7" width="25.4140625" customWidth="1"/>
    <col min="8" max="8" width="27" customWidth="1"/>
    <col min="9" max="9" width="13.83203125" customWidth="1"/>
  </cols>
  <sheetData>
    <row r="1" spans="1:1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221</v>
      </c>
      <c r="H1" s="17" t="s">
        <v>222</v>
      </c>
      <c r="I1" s="17" t="s">
        <v>223</v>
      </c>
    </row>
    <row r="2" spans="1:1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2435.6</v>
      </c>
      <c r="G2">
        <f>INDEX(Operational[Production Volume (units)],MATCH(Emission8[[#This Row],[Facility ID]],Operational[Facility ID],0))</f>
        <v>77330</v>
      </c>
      <c r="H2">
        <f>INDEX(Operational[Energy Consumption (MWh)],MATCH(Emission8[[#This Row],[Facility ID]],Operational[Facility ID],0))</f>
        <v>6936.58</v>
      </c>
      <c r="I2">
        <f>INDEX(Operational[Waste (tons)],MATCH(Emission8[[#This Row],[Facility ID]],Operational[Facility ID],0))</f>
        <v>82.3</v>
      </c>
      <c r="K2" s="12" t="s">
        <v>453</v>
      </c>
    </row>
    <row r="3" spans="1:15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835.45</v>
      </c>
      <c r="G3">
        <f>INDEX(Operational[Production Volume (units)],MATCH(Emission8[[#This Row],[Facility ID]],Operational[Facility ID],0))</f>
        <v>44657</v>
      </c>
      <c r="H3">
        <f>INDEX(Operational[Energy Consumption (MWh)],MATCH(Emission8[[#This Row],[Facility ID]],Operational[Facility ID],0))</f>
        <v>7867.98</v>
      </c>
      <c r="I3">
        <f>INDEX(Operational[Waste (tons)],MATCH(Emission8[[#This Row],[Facility ID]],Operational[Facility ID],0))</f>
        <v>96.01</v>
      </c>
      <c r="K3" s="17" t="s">
        <v>448</v>
      </c>
      <c r="L3" s="17">
        <f>_xlfn.QUARTILE.EXC(Emission8[Emissions (tons)],1)</f>
        <v>1396.6275000000001</v>
      </c>
      <c r="M3" s="17"/>
      <c r="N3" s="17"/>
      <c r="O3" s="17"/>
    </row>
    <row r="4" spans="1:15" x14ac:dyDescent="0.3">
      <c r="A4" t="s">
        <v>16</v>
      </c>
      <c r="B4" t="s">
        <v>17</v>
      </c>
      <c r="C4" t="s">
        <v>13</v>
      </c>
      <c r="D4" t="s">
        <v>14</v>
      </c>
      <c r="E4" t="s">
        <v>15</v>
      </c>
      <c r="F4">
        <v>3430.45</v>
      </c>
      <c r="G4">
        <f>INDEX(Operational[Production Volume (units)],MATCH(Emission8[[#This Row],[Facility ID]],Operational[Facility ID],0))</f>
        <v>43512</v>
      </c>
      <c r="H4">
        <f>INDEX(Operational[Energy Consumption (MWh)],MATCH(Emission8[[#This Row],[Facility ID]],Operational[Facility ID],0))</f>
        <v>5352.18</v>
      </c>
      <c r="I4">
        <f>INDEX(Operational[Waste (tons)],MATCH(Emission8[[#This Row],[Facility ID]],Operational[Facility ID],0))</f>
        <v>6.17</v>
      </c>
      <c r="K4" s="17" t="s">
        <v>449</v>
      </c>
      <c r="L4" s="12">
        <f>_xlfn.QUARTILE.EXC(Emission8[Emissions (tons)],3)</f>
        <v>3827.48</v>
      </c>
    </row>
    <row r="5" spans="1:15" x14ac:dyDescent="0.3">
      <c r="A5" t="s">
        <v>18</v>
      </c>
      <c r="B5" t="s">
        <v>19</v>
      </c>
      <c r="C5" t="s">
        <v>8</v>
      </c>
      <c r="D5" t="s">
        <v>14</v>
      </c>
      <c r="E5" t="s">
        <v>15</v>
      </c>
      <c r="F5">
        <v>4214.24</v>
      </c>
      <c r="G5">
        <f>INDEX(Operational[Production Volume (units)],MATCH(Emission8[[#This Row],[Facility ID]],Operational[Facility ID],0))</f>
        <v>98682</v>
      </c>
      <c r="H5">
        <f>INDEX(Operational[Energy Consumption (MWh)],MATCH(Emission8[[#This Row],[Facility ID]],Operational[Facility ID],0))</f>
        <v>6220.56</v>
      </c>
      <c r="I5">
        <f>INDEX(Operational[Waste (tons)],MATCH(Emission8[[#This Row],[Facility ID]],Operational[Facility ID],0))</f>
        <v>70.099999999999994</v>
      </c>
      <c r="K5" s="17" t="s">
        <v>450</v>
      </c>
      <c r="L5" s="12">
        <f>L4-L3</f>
        <v>2430.8525</v>
      </c>
    </row>
    <row r="6" spans="1:15" x14ac:dyDescent="0.3">
      <c r="A6" t="s">
        <v>20</v>
      </c>
      <c r="B6" t="s">
        <v>17</v>
      </c>
      <c r="C6" t="s">
        <v>13</v>
      </c>
      <c r="D6" t="s">
        <v>9</v>
      </c>
      <c r="E6" t="s">
        <v>10</v>
      </c>
      <c r="F6">
        <v>605.59</v>
      </c>
      <c r="G6">
        <f>INDEX(Operational[Production Volume (units)],MATCH(Emission8[[#This Row],[Facility ID]],Operational[Facility ID],0))</f>
        <v>29895</v>
      </c>
      <c r="H6">
        <f>INDEX(Operational[Energy Consumption (MWh)],MATCH(Emission8[[#This Row],[Facility ID]],Operational[Facility ID],0))</f>
        <v>1631.08</v>
      </c>
      <c r="I6">
        <f>INDEX(Operational[Waste (tons)],MATCH(Emission8[[#This Row],[Facility ID]],Operational[Facility ID],0))</f>
        <v>39.93</v>
      </c>
      <c r="K6" s="17" t="s">
        <v>451</v>
      </c>
      <c r="L6" s="12">
        <f>(L3-1.5*L5)</f>
        <v>-2249.6512499999999</v>
      </c>
    </row>
    <row r="7" spans="1:15" x14ac:dyDescent="0.3">
      <c r="A7" t="s">
        <v>21</v>
      </c>
      <c r="B7" t="s">
        <v>19</v>
      </c>
      <c r="C7" t="s">
        <v>13</v>
      </c>
      <c r="D7" t="s">
        <v>14</v>
      </c>
      <c r="E7" t="s">
        <v>10</v>
      </c>
      <c r="F7">
        <v>656.33</v>
      </c>
      <c r="G7">
        <f>INDEX(Operational[Production Volume (units)],MATCH(Emission8[[#This Row],[Facility ID]],Operational[Facility ID],0))</f>
        <v>61157</v>
      </c>
      <c r="H7">
        <f>INDEX(Operational[Energy Consumption (MWh)],MATCH(Emission8[[#This Row],[Facility ID]],Operational[Facility ID],0))</f>
        <v>7331.54</v>
      </c>
      <c r="I7">
        <f>INDEX(Operational[Waste (tons)],MATCH(Emission8[[#This Row],[Facility ID]],Operational[Facility ID],0))</f>
        <v>55.52</v>
      </c>
      <c r="K7" s="17" t="s">
        <v>452</v>
      </c>
      <c r="L7" s="12">
        <f>(L4+1.5*L5)</f>
        <v>7473.75875</v>
      </c>
    </row>
    <row r="8" spans="1:15" x14ac:dyDescent="0.3">
      <c r="A8" t="s">
        <v>22</v>
      </c>
      <c r="B8" t="s">
        <v>12</v>
      </c>
      <c r="C8" t="s">
        <v>23</v>
      </c>
      <c r="D8" t="s">
        <v>9</v>
      </c>
      <c r="E8" t="s">
        <v>24</v>
      </c>
      <c r="F8">
        <v>4455.93</v>
      </c>
      <c r="G8">
        <f>INDEX(Operational[Production Volume (units)],MATCH(Emission8[[#This Row],[Facility ID]],Operational[Facility ID],0))</f>
        <v>47484</v>
      </c>
      <c r="H8">
        <f>INDEX(Operational[Energy Consumption (MWh)],MATCH(Emission8[[#This Row],[Facility ID]],Operational[Facility ID],0))</f>
        <v>3396.39</v>
      </c>
      <c r="I8">
        <f>INDEX(Operational[Waste (tons)],MATCH(Emission8[[#This Row],[Facility ID]],Operational[Facility ID],0))</f>
        <v>19.510000000000002</v>
      </c>
    </row>
    <row r="9" spans="1:15" x14ac:dyDescent="0.3">
      <c r="A9" t="s">
        <v>25</v>
      </c>
      <c r="B9" t="s">
        <v>19</v>
      </c>
      <c r="C9" t="s">
        <v>13</v>
      </c>
      <c r="D9" t="s">
        <v>9</v>
      </c>
      <c r="E9" t="s">
        <v>10</v>
      </c>
      <c r="F9">
        <v>660.2</v>
      </c>
      <c r="G9">
        <f>INDEX(Operational[Production Volume (units)],MATCH(Emission8[[#This Row],[Facility ID]],Operational[Facility ID],0))</f>
        <v>95306</v>
      </c>
      <c r="H9">
        <f>INDEX(Operational[Energy Consumption (MWh)],MATCH(Emission8[[#This Row],[Facility ID]],Operational[Facility ID],0))</f>
        <v>9037.76</v>
      </c>
      <c r="I9">
        <f>INDEX(Operational[Waste (tons)],MATCH(Emission8[[#This Row],[Facility ID]],Operational[Facility ID],0))</f>
        <v>13.35</v>
      </c>
      <c r="K9" s="12" t="s">
        <v>454</v>
      </c>
    </row>
    <row r="10" spans="1:15" x14ac:dyDescent="0.3">
      <c r="A10" t="s">
        <v>26</v>
      </c>
      <c r="B10" t="s">
        <v>17</v>
      </c>
      <c r="C10" t="s">
        <v>23</v>
      </c>
      <c r="D10" t="s">
        <v>9</v>
      </c>
      <c r="E10" t="s">
        <v>10</v>
      </c>
      <c r="F10">
        <v>1883.3</v>
      </c>
      <c r="G10">
        <f>INDEX(Operational[Production Volume (units)],MATCH(Emission8[[#This Row],[Facility ID]],Operational[Facility ID],0))</f>
        <v>17311</v>
      </c>
      <c r="H10">
        <f>INDEX(Operational[Energy Consumption (MWh)],MATCH(Emission8[[#This Row],[Facility ID]],Operational[Facility ID],0))</f>
        <v>2257.38</v>
      </c>
      <c r="I10">
        <f>INDEX(Operational[Waste (tons)],MATCH(Emission8[[#This Row],[Facility ID]],Operational[Facility ID],0))</f>
        <v>91.07</v>
      </c>
      <c r="K10" s="17" t="s">
        <v>448</v>
      </c>
      <c r="L10" s="12">
        <f>_xlfn.QUARTILE.EXC(Emission8[Production Volume (units)],1)</f>
        <v>32131</v>
      </c>
    </row>
    <row r="11" spans="1:15" x14ac:dyDescent="0.3">
      <c r="A11" t="s">
        <v>27</v>
      </c>
      <c r="B11" t="s">
        <v>12</v>
      </c>
      <c r="C11" t="s">
        <v>8</v>
      </c>
      <c r="D11" t="s">
        <v>28</v>
      </c>
      <c r="E11" t="s">
        <v>24</v>
      </c>
      <c r="F11">
        <v>221.01</v>
      </c>
      <c r="G11">
        <f>INDEX(Operational[Production Volume (units)],MATCH(Emission8[[#This Row],[Facility ID]],Operational[Facility ID],0))</f>
        <v>91031</v>
      </c>
      <c r="H11">
        <f>INDEX(Operational[Energy Consumption (MWh)],MATCH(Emission8[[#This Row],[Facility ID]],Operational[Facility ID],0))</f>
        <v>1783.57</v>
      </c>
      <c r="I11">
        <f>INDEX(Operational[Waste (tons)],MATCH(Emission8[[#This Row],[Facility ID]],Operational[Facility ID],0))</f>
        <v>32.049999999999997</v>
      </c>
      <c r="K11" s="17" t="s">
        <v>449</v>
      </c>
      <c r="L11" s="12">
        <f>_xlfn.QUARTILE.EXC(Production_Volume__units,3)</f>
        <v>77326.75</v>
      </c>
    </row>
    <row r="12" spans="1:15" x14ac:dyDescent="0.3">
      <c r="A12" t="s">
        <v>29</v>
      </c>
      <c r="B12" t="s">
        <v>30</v>
      </c>
      <c r="C12" t="s">
        <v>8</v>
      </c>
      <c r="D12" t="s">
        <v>28</v>
      </c>
      <c r="E12" t="s">
        <v>10</v>
      </c>
      <c r="F12">
        <v>4737.0600000000004</v>
      </c>
      <c r="G12">
        <f>INDEX(Operational[Production Volume (units)],MATCH(Emission8[[#This Row],[Facility ID]],Operational[Facility ID],0))</f>
        <v>32131</v>
      </c>
      <c r="H12">
        <f>INDEX(Operational[Energy Consumption (MWh)],MATCH(Emission8[[#This Row],[Facility ID]],Operational[Facility ID],0))</f>
        <v>1474.23</v>
      </c>
      <c r="I12">
        <f>INDEX(Operational[Waste (tons)],MATCH(Emission8[[#This Row],[Facility ID]],Operational[Facility ID],0))</f>
        <v>45.47</v>
      </c>
      <c r="K12" s="17" t="s">
        <v>450</v>
      </c>
      <c r="L12" s="12">
        <f>L11-L10</f>
        <v>45195.75</v>
      </c>
    </row>
    <row r="13" spans="1:15" x14ac:dyDescent="0.3">
      <c r="A13" t="s">
        <v>31</v>
      </c>
      <c r="B13" t="s">
        <v>30</v>
      </c>
      <c r="C13" t="s">
        <v>8</v>
      </c>
      <c r="D13" t="s">
        <v>9</v>
      </c>
      <c r="E13" t="s">
        <v>24</v>
      </c>
      <c r="F13">
        <v>1951.28</v>
      </c>
      <c r="G13">
        <f>INDEX(Operational[Production Volume (units)],MATCH(Emission8[[#This Row],[Facility ID]],Operational[Facility ID],0))</f>
        <v>84851</v>
      </c>
      <c r="H13">
        <f>INDEX(Operational[Energy Consumption (MWh)],MATCH(Emission8[[#This Row],[Facility ID]],Operational[Facility ID],0))</f>
        <v>560.75</v>
      </c>
      <c r="I13">
        <f>INDEX(Operational[Waste (tons)],MATCH(Emission8[[#This Row],[Facility ID]],Operational[Facility ID],0))</f>
        <v>80.23</v>
      </c>
      <c r="K13" s="17" t="s">
        <v>451</v>
      </c>
      <c r="L13" s="12">
        <f>(L10-1.5*L12)</f>
        <v>-35662.625</v>
      </c>
    </row>
    <row r="14" spans="1:15" x14ac:dyDescent="0.3">
      <c r="A14" t="s">
        <v>32</v>
      </c>
      <c r="B14" t="s">
        <v>7</v>
      </c>
      <c r="C14" t="s">
        <v>13</v>
      </c>
      <c r="D14" t="s">
        <v>28</v>
      </c>
      <c r="E14" t="s">
        <v>10</v>
      </c>
      <c r="F14">
        <v>4320.1099999999997</v>
      </c>
      <c r="G14">
        <f>INDEX(Operational[Production Volume (units)],MATCH(Emission8[[#This Row],[Facility ID]],Operational[Facility ID],0))</f>
        <v>10933</v>
      </c>
      <c r="H14">
        <f>INDEX(Operational[Energy Consumption (MWh)],MATCH(Emission8[[#This Row],[Facility ID]],Operational[Facility ID],0))</f>
        <v>9004.3700000000008</v>
      </c>
      <c r="I14">
        <f>INDEX(Operational[Waste (tons)],MATCH(Emission8[[#This Row],[Facility ID]],Operational[Facility ID],0))</f>
        <v>26.84</v>
      </c>
      <c r="K14" s="17" t="s">
        <v>452</v>
      </c>
      <c r="L14" s="12">
        <f>(L11+1.5*L12)</f>
        <v>145120.375</v>
      </c>
    </row>
    <row r="15" spans="1:15" x14ac:dyDescent="0.3">
      <c r="A15" t="s">
        <v>21</v>
      </c>
      <c r="B15" t="s">
        <v>19</v>
      </c>
      <c r="C15" t="s">
        <v>8</v>
      </c>
      <c r="D15" t="s">
        <v>28</v>
      </c>
      <c r="E15" t="s">
        <v>15</v>
      </c>
      <c r="F15">
        <v>2179.33</v>
      </c>
      <c r="G15">
        <f>INDEX(Operational[Production Volume (units)],MATCH(Emission8[[#This Row],[Facility ID]],Operational[Facility ID],0))</f>
        <v>61157</v>
      </c>
      <c r="H15">
        <f>INDEX(Operational[Energy Consumption (MWh)],MATCH(Emission8[[#This Row],[Facility ID]],Operational[Facility ID],0))</f>
        <v>7331.54</v>
      </c>
      <c r="I15">
        <f>INDEX(Operational[Waste (tons)],MATCH(Emission8[[#This Row],[Facility ID]],Operational[Facility ID],0))</f>
        <v>55.52</v>
      </c>
    </row>
    <row r="16" spans="1:15" x14ac:dyDescent="0.3">
      <c r="A16" t="s">
        <v>33</v>
      </c>
      <c r="B16" t="s">
        <v>19</v>
      </c>
      <c r="C16" t="s">
        <v>34</v>
      </c>
      <c r="D16" t="s">
        <v>14</v>
      </c>
      <c r="E16" t="s">
        <v>10</v>
      </c>
      <c r="F16">
        <v>3612.19</v>
      </c>
      <c r="G16">
        <f>INDEX(Operational[Production Volume (units)],MATCH(Emission8[[#This Row],[Facility ID]],Operational[Facility ID],0))</f>
        <v>65719</v>
      </c>
      <c r="H16">
        <f>INDEX(Operational[Energy Consumption (MWh)],MATCH(Emission8[[#This Row],[Facility ID]],Operational[Facility ID],0))</f>
        <v>9362.41</v>
      </c>
      <c r="I16">
        <f>INDEX(Operational[Waste (tons)],MATCH(Emission8[[#This Row],[Facility ID]],Operational[Facility ID],0))</f>
        <v>86.55</v>
      </c>
      <c r="K16" s="18" t="s">
        <v>455</v>
      </c>
    </row>
    <row r="17" spans="1:12" ht="14.5" x14ac:dyDescent="0.35">
      <c r="A17" t="s">
        <v>35</v>
      </c>
      <c r="B17" t="s">
        <v>19</v>
      </c>
      <c r="C17" t="s">
        <v>8</v>
      </c>
      <c r="D17" t="s">
        <v>28</v>
      </c>
      <c r="E17" t="s">
        <v>24</v>
      </c>
      <c r="F17">
        <v>1270.3599999999999</v>
      </c>
      <c r="G17">
        <f>INDEX(Operational[Production Volume (units)],MATCH(Emission8[[#This Row],[Facility ID]],Operational[Facility ID],0))</f>
        <v>42382</v>
      </c>
      <c r="H17">
        <f>INDEX(Operational[Energy Consumption (MWh)],MATCH(Emission8[[#This Row],[Facility ID]],Operational[Facility ID],0))</f>
        <v>5116.6899999999996</v>
      </c>
      <c r="I17">
        <f>INDEX(Operational[Waste (tons)],MATCH(Emission8[[#This Row],[Facility ID]],Operational[Facility ID],0))</f>
        <v>80.42</v>
      </c>
      <c r="K17" s="23" t="s">
        <v>448</v>
      </c>
      <c r="L17" s="12">
        <f>_xlfn.QUARTILE.EXC(Energy_Consumption__MWh,1)</f>
        <v>3167.52</v>
      </c>
    </row>
    <row r="18" spans="1:12" x14ac:dyDescent="0.3">
      <c r="A18" t="s">
        <v>36</v>
      </c>
      <c r="B18" t="s">
        <v>12</v>
      </c>
      <c r="C18" t="s">
        <v>23</v>
      </c>
      <c r="D18" t="s">
        <v>28</v>
      </c>
      <c r="E18" t="s">
        <v>10</v>
      </c>
      <c r="F18">
        <v>1630.06</v>
      </c>
      <c r="G18">
        <f>INDEX(Operational[Production Volume (units)],MATCH(Emission8[[#This Row],[Facility ID]],Operational[Facility ID],0))</f>
        <v>40226</v>
      </c>
      <c r="H18">
        <f>INDEX(Operational[Energy Consumption (MWh)],MATCH(Emission8[[#This Row],[Facility ID]],Operational[Facility ID],0))</f>
        <v>7868.86</v>
      </c>
      <c r="I18">
        <f>INDEX(Operational[Waste (tons)],MATCH(Emission8[[#This Row],[Facility ID]],Operational[Facility ID],0))</f>
        <v>80.53</v>
      </c>
      <c r="K18" s="17" t="s">
        <v>449</v>
      </c>
      <c r="L18" s="12">
        <f>_xlfn.QUARTILE.EXC(Energy_Consumption__MWh,3)</f>
        <v>7574.39</v>
      </c>
    </row>
    <row r="19" spans="1:12" x14ac:dyDescent="0.3">
      <c r="A19" t="s">
        <v>37</v>
      </c>
      <c r="B19" t="s">
        <v>17</v>
      </c>
      <c r="C19" t="s">
        <v>34</v>
      </c>
      <c r="D19" t="s">
        <v>9</v>
      </c>
      <c r="E19" t="s">
        <v>24</v>
      </c>
      <c r="F19">
        <v>3063.61</v>
      </c>
      <c r="G19">
        <f>INDEX(Operational[Production Volume (units)],MATCH(Emission8[[#This Row],[Facility ID]],Operational[Facility ID],0))</f>
        <v>71747</v>
      </c>
      <c r="H19">
        <f>INDEX(Operational[Energy Consumption (MWh)],MATCH(Emission8[[#This Row],[Facility ID]],Operational[Facility ID],0))</f>
        <v>9838.66</v>
      </c>
      <c r="I19">
        <f>INDEX(Operational[Waste (tons)],MATCH(Emission8[[#This Row],[Facility ID]],Operational[Facility ID],0))</f>
        <v>7.25</v>
      </c>
      <c r="K19" s="17" t="s">
        <v>450</v>
      </c>
      <c r="L19" s="12">
        <f>L18-L17</f>
        <v>4406.8700000000008</v>
      </c>
    </row>
    <row r="20" spans="1:12" x14ac:dyDescent="0.3">
      <c r="A20" t="s">
        <v>38</v>
      </c>
      <c r="B20" t="s">
        <v>30</v>
      </c>
      <c r="C20" t="s">
        <v>8</v>
      </c>
      <c r="D20" t="s">
        <v>9</v>
      </c>
      <c r="E20" t="s">
        <v>24</v>
      </c>
      <c r="F20">
        <v>2447.42</v>
      </c>
      <c r="G20">
        <f>INDEX(Operational[Production Volume (units)],MATCH(Emission8[[#This Row],[Facility ID]],Operational[Facility ID],0))</f>
        <v>57215</v>
      </c>
      <c r="H20">
        <f>INDEX(Operational[Energy Consumption (MWh)],MATCH(Emission8[[#This Row],[Facility ID]],Operational[Facility ID],0))</f>
        <v>3227.1</v>
      </c>
      <c r="I20">
        <f>INDEX(Operational[Waste (tons)],MATCH(Emission8[[#This Row],[Facility ID]],Operational[Facility ID],0))</f>
        <v>32.909999999999997</v>
      </c>
      <c r="K20" s="17" t="s">
        <v>451</v>
      </c>
      <c r="L20" s="12">
        <f>(L17-1.5*L19)</f>
        <v>-3442.7850000000012</v>
      </c>
    </row>
    <row r="21" spans="1:12" x14ac:dyDescent="0.3">
      <c r="A21" t="s">
        <v>39</v>
      </c>
      <c r="B21" t="s">
        <v>7</v>
      </c>
      <c r="C21" t="s">
        <v>13</v>
      </c>
      <c r="D21" t="s">
        <v>28</v>
      </c>
      <c r="E21" t="s">
        <v>24</v>
      </c>
      <c r="F21">
        <v>4170.13</v>
      </c>
      <c r="G21">
        <f>INDEX(Operational[Production Volume (units)],MATCH(Emission8[[#This Row],[Facility ID]],Operational[Facility ID],0))</f>
        <v>80904</v>
      </c>
      <c r="H21">
        <f>INDEX(Operational[Energy Consumption (MWh)],MATCH(Emission8[[#This Row],[Facility ID]],Operational[Facility ID],0))</f>
        <v>3263.09</v>
      </c>
      <c r="I21">
        <f>INDEX(Operational[Waste (tons)],MATCH(Emission8[[#This Row],[Facility ID]],Operational[Facility ID],0))</f>
        <v>58.37</v>
      </c>
      <c r="K21" s="17" t="s">
        <v>452</v>
      </c>
      <c r="L21" s="12">
        <f>(L18+1.5*L19)</f>
        <v>14184.695000000002</v>
      </c>
    </row>
    <row r="22" spans="1:12" x14ac:dyDescent="0.3">
      <c r="A22" t="s">
        <v>40</v>
      </c>
      <c r="B22" t="s">
        <v>19</v>
      </c>
      <c r="C22" t="s">
        <v>23</v>
      </c>
      <c r="D22" t="s">
        <v>9</v>
      </c>
      <c r="E22" t="s">
        <v>15</v>
      </c>
      <c r="F22">
        <v>2099.64</v>
      </c>
      <c r="G22">
        <f>INDEX(Operational[Production Volume (units)],MATCH(Emission8[[#This Row],[Facility ID]],Operational[Facility ID],0))</f>
        <v>96474</v>
      </c>
      <c r="H22">
        <f>INDEX(Operational[Energy Consumption (MWh)],MATCH(Emission8[[#This Row],[Facility ID]],Operational[Facility ID],0))</f>
        <v>7574.39</v>
      </c>
      <c r="I22">
        <f>INDEX(Operational[Waste (tons)],MATCH(Emission8[[#This Row],[Facility ID]],Operational[Facility ID],0))</f>
        <v>95.54</v>
      </c>
    </row>
    <row r="23" spans="1:12" x14ac:dyDescent="0.3">
      <c r="A23" t="s">
        <v>41</v>
      </c>
      <c r="B23" t="s">
        <v>30</v>
      </c>
      <c r="C23" t="s">
        <v>23</v>
      </c>
      <c r="D23" t="s">
        <v>28</v>
      </c>
      <c r="E23" t="s">
        <v>15</v>
      </c>
      <c r="F23">
        <v>3701.02</v>
      </c>
      <c r="G23">
        <f>INDEX(Operational[Production Volume (units)],MATCH(Emission8[[#This Row],[Facility ID]],Operational[Facility ID],0))</f>
        <v>61743</v>
      </c>
      <c r="H23">
        <f>INDEX(Operational[Energy Consumption (MWh)],MATCH(Emission8[[#This Row],[Facility ID]],Operational[Facility ID],0))</f>
        <v>7426.75</v>
      </c>
      <c r="I23">
        <f>INDEX(Operational[Waste (tons)],MATCH(Emission8[[#This Row],[Facility ID]],Operational[Facility ID],0))</f>
        <v>26.39</v>
      </c>
      <c r="K23" s="12" t="s">
        <v>456</v>
      </c>
    </row>
    <row r="24" spans="1:12" x14ac:dyDescent="0.3">
      <c r="A24" t="s">
        <v>42</v>
      </c>
      <c r="B24" t="s">
        <v>30</v>
      </c>
      <c r="C24" t="s">
        <v>23</v>
      </c>
      <c r="D24" t="s">
        <v>28</v>
      </c>
      <c r="E24" t="s">
        <v>10</v>
      </c>
      <c r="F24">
        <v>1262.77</v>
      </c>
      <c r="G24">
        <f>INDEX(Operational[Production Volume (units)],MATCH(Emission8[[#This Row],[Facility ID]],Operational[Facility ID],0))</f>
        <v>41539</v>
      </c>
      <c r="H24">
        <f>INDEX(Operational[Energy Consumption (MWh)],MATCH(Emission8[[#This Row],[Facility ID]],Operational[Facility ID],0))</f>
        <v>982.8</v>
      </c>
      <c r="I24">
        <f>INDEX(Operational[Waste (tons)],MATCH(Emission8[[#This Row],[Facility ID]],Operational[Facility ID],0))</f>
        <v>79.7</v>
      </c>
      <c r="K24" s="17" t="s">
        <v>448</v>
      </c>
      <c r="L24" s="12">
        <f>_xlfn.QUARTILE.EXC(Waste__tons,1)</f>
        <v>32.78</v>
      </c>
    </row>
    <row r="25" spans="1:12" x14ac:dyDescent="0.3">
      <c r="A25" t="s">
        <v>43</v>
      </c>
      <c r="B25" t="s">
        <v>17</v>
      </c>
      <c r="C25" t="s">
        <v>8</v>
      </c>
      <c r="D25" t="s">
        <v>14</v>
      </c>
      <c r="E25" t="s">
        <v>24</v>
      </c>
      <c r="F25">
        <v>2741.92</v>
      </c>
      <c r="G25">
        <f>INDEX(Operational[Production Volume (units)],MATCH(Emission8[[#This Row],[Facility ID]],Operational[Facility ID],0))</f>
        <v>41168</v>
      </c>
      <c r="H25">
        <f>INDEX(Operational[Energy Consumption (MWh)],MATCH(Emission8[[#This Row],[Facility ID]],Operational[Facility ID],0))</f>
        <v>8226.77</v>
      </c>
      <c r="I25">
        <f>INDEX(Operational[Waste (tons)],MATCH(Emission8[[#This Row],[Facility ID]],Operational[Facility ID],0))</f>
        <v>42.55</v>
      </c>
      <c r="K25" s="17" t="s">
        <v>449</v>
      </c>
      <c r="L25" s="12">
        <f>_xlfn.QUARTILE.EXC(Waste__tons,3)</f>
        <v>75.459999999999994</v>
      </c>
    </row>
    <row r="26" spans="1:12" x14ac:dyDescent="0.3">
      <c r="A26" t="s">
        <v>29</v>
      </c>
      <c r="B26" t="s">
        <v>30</v>
      </c>
      <c r="C26" t="s">
        <v>8</v>
      </c>
      <c r="D26" t="s">
        <v>14</v>
      </c>
      <c r="E26" t="s">
        <v>24</v>
      </c>
      <c r="F26">
        <v>1824.14</v>
      </c>
      <c r="G26">
        <f>INDEX(Operational[Production Volume (units)],MATCH(Emission8[[#This Row],[Facility ID]],Operational[Facility ID],0))</f>
        <v>32131</v>
      </c>
      <c r="H26">
        <f>INDEX(Operational[Energy Consumption (MWh)],MATCH(Emission8[[#This Row],[Facility ID]],Operational[Facility ID],0))</f>
        <v>1474.23</v>
      </c>
      <c r="I26">
        <f>INDEX(Operational[Waste (tons)],MATCH(Emission8[[#This Row],[Facility ID]],Operational[Facility ID],0))</f>
        <v>45.47</v>
      </c>
      <c r="K26" s="17" t="s">
        <v>450</v>
      </c>
      <c r="L26" s="12">
        <f>L25-L24</f>
        <v>42.679999999999993</v>
      </c>
    </row>
    <row r="27" spans="1:12" x14ac:dyDescent="0.3">
      <c r="A27" t="s">
        <v>44</v>
      </c>
      <c r="B27" t="s">
        <v>19</v>
      </c>
      <c r="C27" t="s">
        <v>23</v>
      </c>
      <c r="D27" t="s">
        <v>9</v>
      </c>
      <c r="E27" t="s">
        <v>10</v>
      </c>
      <c r="F27">
        <v>738.44</v>
      </c>
      <c r="G27">
        <f>INDEX(Operational[Production Volume (units)],MATCH(Emission8[[#This Row],[Facility ID]],Operational[Facility ID],0))</f>
        <v>16256</v>
      </c>
      <c r="H27">
        <f>INDEX(Operational[Energy Consumption (MWh)],MATCH(Emission8[[#This Row],[Facility ID]],Operational[Facility ID],0))</f>
        <v>2127.1799999999998</v>
      </c>
      <c r="I27">
        <f>INDEX(Operational[Waste (tons)],MATCH(Emission8[[#This Row],[Facility ID]],Operational[Facility ID],0))</f>
        <v>38.94</v>
      </c>
      <c r="K27" s="17" t="s">
        <v>451</v>
      </c>
      <c r="L27" s="12">
        <f>(L24-1.5*L26)</f>
        <v>-31.239999999999981</v>
      </c>
    </row>
    <row r="28" spans="1:12" x14ac:dyDescent="0.3">
      <c r="A28" t="s">
        <v>45</v>
      </c>
      <c r="B28" t="s">
        <v>7</v>
      </c>
      <c r="C28" t="s">
        <v>13</v>
      </c>
      <c r="D28" t="s">
        <v>9</v>
      </c>
      <c r="E28" t="s">
        <v>15</v>
      </c>
      <c r="F28">
        <v>2856.76</v>
      </c>
      <c r="G28">
        <f>INDEX(Operational[Production Volume (units)],MATCH(Emission8[[#This Row],[Facility ID]],Operational[Facility ID],0))</f>
        <v>49924</v>
      </c>
      <c r="H28">
        <f>INDEX(Operational[Energy Consumption (MWh)],MATCH(Emission8[[#This Row],[Facility ID]],Operational[Facility ID],0))</f>
        <v>2199.16</v>
      </c>
      <c r="I28">
        <f>INDEX(Operational[Waste (tons)],MATCH(Emission8[[#This Row],[Facility ID]],Operational[Facility ID],0))</f>
        <v>75.48</v>
      </c>
      <c r="K28" s="17" t="s">
        <v>452</v>
      </c>
      <c r="L28" s="12">
        <f>(L25+1.5*L26)</f>
        <v>139.47999999999996</v>
      </c>
    </row>
    <row r="29" spans="1:12" x14ac:dyDescent="0.3">
      <c r="A29" t="s">
        <v>46</v>
      </c>
      <c r="B29" t="s">
        <v>30</v>
      </c>
      <c r="C29" t="s">
        <v>13</v>
      </c>
      <c r="D29" t="s">
        <v>14</v>
      </c>
      <c r="E29" t="s">
        <v>24</v>
      </c>
      <c r="F29">
        <v>1787.35</v>
      </c>
      <c r="G29">
        <f>INDEX(Operational[Production Volume (units)],MATCH(Emission8[[#This Row],[Facility ID]],Operational[Facility ID],0))</f>
        <v>43490</v>
      </c>
      <c r="H29">
        <f>INDEX(Operational[Energy Consumption (MWh)],MATCH(Emission8[[#This Row],[Facility ID]],Operational[Facility ID],0))</f>
        <v>9300.8799999999992</v>
      </c>
      <c r="I29">
        <f>INDEX(Operational[Waste (tons)],MATCH(Emission8[[#This Row],[Facility ID]],Operational[Facility ID],0))</f>
        <v>58.43</v>
      </c>
    </row>
    <row r="30" spans="1:12" x14ac:dyDescent="0.3">
      <c r="A30" t="s">
        <v>47</v>
      </c>
      <c r="B30" t="s">
        <v>30</v>
      </c>
      <c r="C30" t="s">
        <v>23</v>
      </c>
      <c r="D30" t="s">
        <v>9</v>
      </c>
      <c r="E30" t="s">
        <v>15</v>
      </c>
      <c r="F30">
        <v>5138.83</v>
      </c>
      <c r="G30">
        <f>INDEX(Operational[Production Volume (units)],MATCH(Emission8[[#This Row],[Facility ID]],Operational[Facility ID],0))</f>
        <v>53661</v>
      </c>
      <c r="H30">
        <f>INDEX(Operational[Energy Consumption (MWh)],MATCH(Emission8[[#This Row],[Facility ID]],Operational[Facility ID],0))</f>
        <v>6965.81</v>
      </c>
      <c r="I30">
        <f>INDEX(Operational[Waste (tons)],MATCH(Emission8[[#This Row],[Facility ID]],Operational[Facility ID],0))</f>
        <v>69.400000000000006</v>
      </c>
      <c r="K30" s="19" t="s">
        <v>457</v>
      </c>
      <c r="L30" s="20"/>
    </row>
    <row r="31" spans="1:12" x14ac:dyDescent="0.3">
      <c r="A31" t="s">
        <v>48</v>
      </c>
      <c r="B31" t="s">
        <v>19</v>
      </c>
      <c r="C31" t="s">
        <v>8</v>
      </c>
      <c r="D31" t="s">
        <v>9</v>
      </c>
      <c r="E31" t="s">
        <v>10</v>
      </c>
      <c r="F31">
        <v>5005.4399999999996</v>
      </c>
      <c r="G31">
        <f>INDEX(Operational[Production Volume (units)],MATCH(Emission8[[#This Row],[Facility ID]],Operational[Facility ID],0))</f>
        <v>11952</v>
      </c>
      <c r="H31">
        <f>INDEX(Operational[Energy Consumption (MWh)],MATCH(Emission8[[#This Row],[Facility ID]],Operational[Facility ID],0))</f>
        <v>4637.74</v>
      </c>
      <c r="I31">
        <f>INDEX(Operational[Waste (tons)],MATCH(Emission8[[#This Row],[Facility ID]],Operational[Facility ID],0))</f>
        <v>63.78</v>
      </c>
    </row>
    <row r="32" spans="1:12" x14ac:dyDescent="0.3">
      <c r="A32" t="s">
        <v>49</v>
      </c>
      <c r="B32" t="s">
        <v>19</v>
      </c>
      <c r="C32" t="s">
        <v>23</v>
      </c>
      <c r="D32" t="s">
        <v>28</v>
      </c>
      <c r="E32" t="s">
        <v>24</v>
      </c>
      <c r="F32">
        <v>4053.3</v>
      </c>
      <c r="G32">
        <f>INDEX(Operational[Production Volume (units)],MATCH(Emission8[[#This Row],[Facility ID]],Operational[Facility ID],0))</f>
        <v>50306</v>
      </c>
      <c r="H32">
        <f>INDEX(Operational[Energy Consumption (MWh)],MATCH(Emission8[[#This Row],[Facility ID]],Operational[Facility ID],0))</f>
        <v>7031.37</v>
      </c>
      <c r="I32">
        <f>INDEX(Operational[Waste (tons)],MATCH(Emission8[[#This Row],[Facility ID]],Operational[Facility ID],0))</f>
        <v>13.27</v>
      </c>
    </row>
    <row r="33" spans="1:9" x14ac:dyDescent="0.3">
      <c r="A33" t="s">
        <v>50</v>
      </c>
      <c r="B33" t="s">
        <v>19</v>
      </c>
      <c r="C33" t="s">
        <v>23</v>
      </c>
      <c r="D33" t="s">
        <v>28</v>
      </c>
      <c r="E33" t="s">
        <v>24</v>
      </c>
      <c r="F33">
        <v>280.72000000000003</v>
      </c>
      <c r="G33">
        <f>INDEX(Operational[Production Volume (units)],MATCH(Emission8[[#This Row],[Facility ID]],Operational[Facility ID],0))</f>
        <v>40577</v>
      </c>
      <c r="H33">
        <f>INDEX(Operational[Energy Consumption (MWh)],MATCH(Emission8[[#This Row],[Facility ID]],Operational[Facility ID],0))</f>
        <v>4280.82</v>
      </c>
      <c r="I33">
        <f>INDEX(Operational[Waste (tons)],MATCH(Emission8[[#This Row],[Facility ID]],Operational[Facility ID],0))</f>
        <v>79.88</v>
      </c>
    </row>
    <row r="34" spans="1:9" x14ac:dyDescent="0.3">
      <c r="A34" t="s">
        <v>51</v>
      </c>
      <c r="B34" t="s">
        <v>30</v>
      </c>
      <c r="C34" t="s">
        <v>23</v>
      </c>
      <c r="D34" t="s">
        <v>14</v>
      </c>
      <c r="E34" t="s">
        <v>24</v>
      </c>
      <c r="F34">
        <v>329.41</v>
      </c>
      <c r="G34">
        <f>INDEX(Operational[Production Volume (units)],MATCH(Emission8[[#This Row],[Facility ID]],Operational[Facility ID],0))</f>
        <v>44164</v>
      </c>
      <c r="H34">
        <f>INDEX(Operational[Energy Consumption (MWh)],MATCH(Emission8[[#This Row],[Facility ID]],Operational[Facility ID],0))</f>
        <v>3869.32</v>
      </c>
      <c r="I34">
        <f>INDEX(Operational[Waste (tons)],MATCH(Emission8[[#This Row],[Facility ID]],Operational[Facility ID],0))</f>
        <v>13.81</v>
      </c>
    </row>
    <row r="35" spans="1:9" x14ac:dyDescent="0.3">
      <c r="A35" t="s">
        <v>52</v>
      </c>
      <c r="B35" t="s">
        <v>19</v>
      </c>
      <c r="C35" t="s">
        <v>13</v>
      </c>
      <c r="D35" t="s">
        <v>14</v>
      </c>
      <c r="E35" t="s">
        <v>15</v>
      </c>
      <c r="F35">
        <v>4133.74</v>
      </c>
      <c r="G35">
        <f>INDEX(Operational[Production Volume (units)],MATCH(Emission8[[#This Row],[Facility ID]],Operational[Facility ID],0))</f>
        <v>94949</v>
      </c>
      <c r="H35">
        <f>INDEX(Operational[Energy Consumption (MWh)],MATCH(Emission8[[#This Row],[Facility ID]],Operational[Facility ID],0))</f>
        <v>9714.76</v>
      </c>
      <c r="I35">
        <f>INDEX(Operational[Waste (tons)],MATCH(Emission8[[#This Row],[Facility ID]],Operational[Facility ID],0))</f>
        <v>64.900000000000006</v>
      </c>
    </row>
    <row r="36" spans="1:9" x14ac:dyDescent="0.3">
      <c r="A36" t="s">
        <v>53</v>
      </c>
      <c r="B36" t="s">
        <v>7</v>
      </c>
      <c r="C36" t="s">
        <v>34</v>
      </c>
      <c r="D36" t="s">
        <v>28</v>
      </c>
      <c r="E36" t="s">
        <v>15</v>
      </c>
      <c r="F36">
        <v>2773.3</v>
      </c>
      <c r="G36">
        <f>INDEX(Operational[Production Volume (units)],MATCH(Emission8[[#This Row],[Facility ID]],Operational[Facility ID],0))</f>
        <v>90632</v>
      </c>
      <c r="H36">
        <f>INDEX(Operational[Energy Consumption (MWh)],MATCH(Emission8[[#This Row],[Facility ID]],Operational[Facility ID],0))</f>
        <v>5292.17</v>
      </c>
      <c r="I36">
        <f>INDEX(Operational[Waste (tons)],MATCH(Emission8[[#This Row],[Facility ID]],Operational[Facility ID],0))</f>
        <v>78.45</v>
      </c>
    </row>
    <row r="37" spans="1:9" x14ac:dyDescent="0.3">
      <c r="A37" t="s">
        <v>54</v>
      </c>
      <c r="B37" t="s">
        <v>12</v>
      </c>
      <c r="C37" t="s">
        <v>13</v>
      </c>
      <c r="D37" t="s">
        <v>9</v>
      </c>
      <c r="E37" t="s">
        <v>10</v>
      </c>
      <c r="F37">
        <v>3482.08</v>
      </c>
      <c r="G37">
        <f>INDEX(Operational[Production Volume (units)],MATCH(Emission8[[#This Row],[Facility ID]],Operational[Facility ID],0))</f>
        <v>58111</v>
      </c>
      <c r="H37">
        <f>INDEX(Operational[Energy Consumption (MWh)],MATCH(Emission8[[#This Row],[Facility ID]],Operational[Facility ID],0))</f>
        <v>4610.8999999999996</v>
      </c>
      <c r="I37">
        <f>INDEX(Operational[Waste (tons)],MATCH(Emission8[[#This Row],[Facility ID]],Operational[Facility ID],0))</f>
        <v>21.53</v>
      </c>
    </row>
    <row r="38" spans="1:9" x14ac:dyDescent="0.3">
      <c r="A38" t="s">
        <v>55</v>
      </c>
      <c r="B38" t="s">
        <v>12</v>
      </c>
      <c r="C38" t="s">
        <v>34</v>
      </c>
      <c r="D38" t="s">
        <v>9</v>
      </c>
      <c r="E38" t="s">
        <v>10</v>
      </c>
      <c r="F38">
        <v>1953.71</v>
      </c>
      <c r="G38">
        <f>INDEX(Operational[Production Volume (units)],MATCH(Emission8[[#This Row],[Facility ID]],Operational[Facility ID],0))</f>
        <v>38181</v>
      </c>
      <c r="H38">
        <f>INDEX(Operational[Energy Consumption (MWh)],MATCH(Emission8[[#This Row],[Facility ID]],Operational[Facility ID],0))</f>
        <v>691.84</v>
      </c>
      <c r="I38">
        <f>INDEX(Operational[Waste (tons)],MATCH(Emission8[[#This Row],[Facility ID]],Operational[Facility ID],0))</f>
        <v>33.53</v>
      </c>
    </row>
    <row r="39" spans="1:9" x14ac:dyDescent="0.3">
      <c r="A39" t="s">
        <v>29</v>
      </c>
      <c r="B39" t="s">
        <v>30</v>
      </c>
      <c r="C39" t="s">
        <v>34</v>
      </c>
      <c r="D39" t="s">
        <v>14</v>
      </c>
      <c r="E39" t="s">
        <v>15</v>
      </c>
      <c r="F39">
        <v>4444.76</v>
      </c>
      <c r="G39">
        <f>INDEX(Operational[Production Volume (units)],MATCH(Emission8[[#This Row],[Facility ID]],Operational[Facility ID],0))</f>
        <v>32131</v>
      </c>
      <c r="H39">
        <f>INDEX(Operational[Energy Consumption (MWh)],MATCH(Emission8[[#This Row],[Facility ID]],Operational[Facility ID],0))</f>
        <v>1474.23</v>
      </c>
      <c r="I39">
        <f>INDEX(Operational[Waste (tons)],MATCH(Emission8[[#This Row],[Facility ID]],Operational[Facility ID],0))</f>
        <v>45.47</v>
      </c>
    </row>
    <row r="40" spans="1:9" x14ac:dyDescent="0.3">
      <c r="A40" t="s">
        <v>55</v>
      </c>
      <c r="B40" t="s">
        <v>12</v>
      </c>
      <c r="C40" t="s">
        <v>23</v>
      </c>
      <c r="D40" t="s">
        <v>28</v>
      </c>
      <c r="E40" t="s">
        <v>15</v>
      </c>
      <c r="F40">
        <v>1836.99</v>
      </c>
      <c r="G40">
        <f>INDEX(Operational[Production Volume (units)],MATCH(Emission8[[#This Row],[Facility ID]],Operational[Facility ID],0))</f>
        <v>38181</v>
      </c>
      <c r="H40">
        <f>INDEX(Operational[Energy Consumption (MWh)],MATCH(Emission8[[#This Row],[Facility ID]],Operational[Facility ID],0))</f>
        <v>691.84</v>
      </c>
      <c r="I40">
        <f>INDEX(Operational[Waste (tons)],MATCH(Emission8[[#This Row],[Facility ID]],Operational[Facility ID],0))</f>
        <v>33.53</v>
      </c>
    </row>
    <row r="41" spans="1:9" x14ac:dyDescent="0.3">
      <c r="A41" t="s">
        <v>56</v>
      </c>
      <c r="B41" t="s">
        <v>19</v>
      </c>
      <c r="C41" t="s">
        <v>8</v>
      </c>
      <c r="D41" t="s">
        <v>14</v>
      </c>
      <c r="E41" t="s">
        <v>15</v>
      </c>
      <c r="F41">
        <v>793.9</v>
      </c>
      <c r="G41">
        <f>INDEX(Operational[Production Volume (units)],MATCH(Emission8[[#This Row],[Facility ID]],Operational[Facility ID],0))</f>
        <v>43747</v>
      </c>
      <c r="H41">
        <f>INDEX(Operational[Energy Consumption (MWh)],MATCH(Emission8[[#This Row],[Facility ID]],Operational[Facility ID],0))</f>
        <v>3453.48</v>
      </c>
      <c r="I41">
        <f>INDEX(Operational[Waste (tons)],MATCH(Emission8[[#This Row],[Facility ID]],Operational[Facility ID],0))</f>
        <v>98.78</v>
      </c>
    </row>
    <row r="42" spans="1:9" x14ac:dyDescent="0.3">
      <c r="A42" t="s">
        <v>57</v>
      </c>
      <c r="B42" t="s">
        <v>19</v>
      </c>
      <c r="C42" t="s">
        <v>34</v>
      </c>
      <c r="D42" t="s">
        <v>28</v>
      </c>
      <c r="E42" t="s">
        <v>24</v>
      </c>
      <c r="F42">
        <v>1445.28</v>
      </c>
      <c r="G42">
        <f>INDEX(Operational[Production Volume (units)],MATCH(Emission8[[#This Row],[Facility ID]],Operational[Facility ID],0))</f>
        <v>41027</v>
      </c>
      <c r="H42">
        <f>INDEX(Operational[Energy Consumption (MWh)],MATCH(Emission8[[#This Row],[Facility ID]],Operational[Facility ID],0))</f>
        <v>7285.85</v>
      </c>
      <c r="I42">
        <f>INDEX(Operational[Waste (tons)],MATCH(Emission8[[#This Row],[Facility ID]],Operational[Facility ID],0))</f>
        <v>59.87</v>
      </c>
    </row>
    <row r="43" spans="1:9" x14ac:dyDescent="0.3">
      <c r="A43" t="s">
        <v>58</v>
      </c>
      <c r="B43" t="s">
        <v>17</v>
      </c>
      <c r="C43" t="s">
        <v>34</v>
      </c>
      <c r="D43" t="s">
        <v>9</v>
      </c>
      <c r="E43" t="s">
        <v>24</v>
      </c>
      <c r="F43">
        <v>1246.73</v>
      </c>
      <c r="G43">
        <f>INDEX(Operational[Production Volume (units)],MATCH(Emission8[[#This Row],[Facility ID]],Operational[Facility ID],0))</f>
        <v>32246</v>
      </c>
      <c r="H43">
        <f>INDEX(Operational[Energy Consumption (MWh)],MATCH(Emission8[[#This Row],[Facility ID]],Operational[Facility ID],0))</f>
        <v>7903.93</v>
      </c>
      <c r="I43">
        <f>INDEX(Operational[Waste (tons)],MATCH(Emission8[[#This Row],[Facility ID]],Operational[Facility ID],0))</f>
        <v>42.12</v>
      </c>
    </row>
    <row r="44" spans="1:9" x14ac:dyDescent="0.3">
      <c r="A44" t="s">
        <v>59</v>
      </c>
      <c r="B44" t="s">
        <v>17</v>
      </c>
      <c r="C44" t="s">
        <v>34</v>
      </c>
      <c r="D44" t="s">
        <v>14</v>
      </c>
      <c r="E44" t="s">
        <v>10</v>
      </c>
      <c r="F44">
        <v>527.16999999999996</v>
      </c>
      <c r="G44">
        <f>INDEX(Operational[Production Volume (units)],MATCH(Emission8[[#This Row],[Facility ID]],Operational[Facility ID],0))</f>
        <v>15553</v>
      </c>
      <c r="H44">
        <f>INDEX(Operational[Energy Consumption (MWh)],MATCH(Emission8[[#This Row],[Facility ID]],Operational[Facility ID],0))</f>
        <v>3909.51</v>
      </c>
      <c r="I44">
        <f>INDEX(Operational[Waste (tons)],MATCH(Emission8[[#This Row],[Facility ID]],Operational[Facility ID],0))</f>
        <v>46.44</v>
      </c>
    </row>
    <row r="45" spans="1:9" x14ac:dyDescent="0.3">
      <c r="A45" t="s">
        <v>60</v>
      </c>
      <c r="B45" t="s">
        <v>12</v>
      </c>
      <c r="C45" t="s">
        <v>34</v>
      </c>
      <c r="D45" t="s">
        <v>14</v>
      </c>
      <c r="E45" t="s">
        <v>15</v>
      </c>
      <c r="F45">
        <v>542.33000000000004</v>
      </c>
      <c r="G45">
        <f>INDEX(Operational[Production Volume (units)],MATCH(Emission8[[#This Row],[Facility ID]],Operational[Facility ID],0))</f>
        <v>25148</v>
      </c>
      <c r="H45">
        <f>INDEX(Operational[Energy Consumption (MWh)],MATCH(Emission8[[#This Row],[Facility ID]],Operational[Facility ID],0))</f>
        <v>9604.5499999999993</v>
      </c>
      <c r="I45">
        <f>INDEX(Operational[Waste (tons)],MATCH(Emission8[[#This Row],[Facility ID]],Operational[Facility ID],0))</f>
        <v>63.47</v>
      </c>
    </row>
    <row r="46" spans="1:9" x14ac:dyDescent="0.3">
      <c r="A46" t="s">
        <v>61</v>
      </c>
      <c r="B46" t="s">
        <v>30</v>
      </c>
      <c r="C46" t="s">
        <v>34</v>
      </c>
      <c r="D46" t="s">
        <v>28</v>
      </c>
      <c r="E46" t="s">
        <v>24</v>
      </c>
      <c r="F46">
        <v>636.07000000000005</v>
      </c>
      <c r="G46">
        <f>INDEX(Operational[Production Volume (units)],MATCH(Emission8[[#This Row],[Facility ID]],Operational[Facility ID],0))</f>
        <v>95718</v>
      </c>
      <c r="H46">
        <f>INDEX(Operational[Energy Consumption (MWh)],MATCH(Emission8[[#This Row],[Facility ID]],Operational[Facility ID],0))</f>
        <v>2443.12</v>
      </c>
      <c r="I46">
        <f>INDEX(Operational[Waste (tons)],MATCH(Emission8[[#This Row],[Facility ID]],Operational[Facility ID],0))</f>
        <v>35.49</v>
      </c>
    </row>
    <row r="47" spans="1:9" x14ac:dyDescent="0.3">
      <c r="A47" t="s">
        <v>62</v>
      </c>
      <c r="B47" t="s">
        <v>30</v>
      </c>
      <c r="C47" t="s">
        <v>34</v>
      </c>
      <c r="D47" t="s">
        <v>9</v>
      </c>
      <c r="E47" t="s">
        <v>15</v>
      </c>
      <c r="F47">
        <v>3898.2</v>
      </c>
      <c r="G47">
        <f>INDEX(Operational[Production Volume (units)],MATCH(Emission8[[#This Row],[Facility ID]],Operational[Facility ID],0))</f>
        <v>22309</v>
      </c>
      <c r="H47">
        <f>INDEX(Operational[Energy Consumption (MWh)],MATCH(Emission8[[#This Row],[Facility ID]],Operational[Facility ID],0))</f>
        <v>3656.29</v>
      </c>
      <c r="I47">
        <f>INDEX(Operational[Waste (tons)],MATCH(Emission8[[#This Row],[Facility ID]],Operational[Facility ID],0))</f>
        <v>75.25</v>
      </c>
    </row>
    <row r="48" spans="1:9" x14ac:dyDescent="0.3">
      <c r="A48" t="s">
        <v>63</v>
      </c>
      <c r="B48" t="s">
        <v>12</v>
      </c>
      <c r="C48" t="s">
        <v>34</v>
      </c>
      <c r="D48" t="s">
        <v>9</v>
      </c>
      <c r="E48" t="s">
        <v>24</v>
      </c>
      <c r="F48">
        <v>525.25</v>
      </c>
      <c r="G48">
        <f>INDEX(Operational[Production Volume (units)],MATCH(Emission8[[#This Row],[Facility ID]],Operational[Facility ID],0))</f>
        <v>33688</v>
      </c>
      <c r="H48">
        <f>INDEX(Operational[Energy Consumption (MWh)],MATCH(Emission8[[#This Row],[Facility ID]],Operational[Facility ID],0))</f>
        <v>9495.48</v>
      </c>
      <c r="I48">
        <f>INDEX(Operational[Waste (tons)],MATCH(Emission8[[#This Row],[Facility ID]],Operational[Facility ID],0))</f>
        <v>55.55</v>
      </c>
    </row>
    <row r="49" spans="1:9" x14ac:dyDescent="0.3">
      <c r="A49" t="s">
        <v>64</v>
      </c>
      <c r="B49" t="s">
        <v>30</v>
      </c>
      <c r="C49" t="s">
        <v>8</v>
      </c>
      <c r="D49" t="s">
        <v>14</v>
      </c>
      <c r="E49" t="s">
        <v>15</v>
      </c>
      <c r="F49">
        <v>1135.03</v>
      </c>
      <c r="G49">
        <f>INDEX(Operational[Production Volume (units)],MATCH(Emission8[[#This Row],[Facility ID]],Operational[Facility ID],0))</f>
        <v>52836</v>
      </c>
      <c r="H49">
        <f>INDEX(Operational[Energy Consumption (MWh)],MATCH(Emission8[[#This Row],[Facility ID]],Operational[Facility ID],0))</f>
        <v>9330.2999999999993</v>
      </c>
      <c r="I49">
        <f>INDEX(Operational[Waste (tons)],MATCH(Emission8[[#This Row],[Facility ID]],Operational[Facility ID],0))</f>
        <v>87.27</v>
      </c>
    </row>
    <row r="50" spans="1:9" x14ac:dyDescent="0.3">
      <c r="A50" t="s">
        <v>37</v>
      </c>
      <c r="B50" t="s">
        <v>17</v>
      </c>
      <c r="C50" t="s">
        <v>23</v>
      </c>
      <c r="D50" t="s">
        <v>9</v>
      </c>
      <c r="E50" t="s">
        <v>24</v>
      </c>
      <c r="F50">
        <v>1670.51</v>
      </c>
      <c r="G50">
        <f>INDEX(Operational[Production Volume (units)],MATCH(Emission8[[#This Row],[Facility ID]],Operational[Facility ID],0))</f>
        <v>71747</v>
      </c>
      <c r="H50">
        <f>INDEX(Operational[Energy Consumption (MWh)],MATCH(Emission8[[#This Row],[Facility ID]],Operational[Facility ID],0))</f>
        <v>9838.66</v>
      </c>
      <c r="I50">
        <f>INDEX(Operational[Waste (tons)],MATCH(Emission8[[#This Row],[Facility ID]],Operational[Facility ID],0))</f>
        <v>7.25</v>
      </c>
    </row>
    <row r="51" spans="1:9" x14ac:dyDescent="0.3">
      <c r="A51" t="s">
        <v>65</v>
      </c>
      <c r="B51" t="s">
        <v>30</v>
      </c>
      <c r="C51" t="s">
        <v>13</v>
      </c>
      <c r="D51" t="s">
        <v>9</v>
      </c>
      <c r="E51" t="s">
        <v>10</v>
      </c>
      <c r="F51">
        <v>939.61</v>
      </c>
      <c r="G51">
        <f>INDEX(Operational[Production Volume (units)],MATCH(Emission8[[#This Row],[Facility ID]],Operational[Facility ID],0))</f>
        <v>99026</v>
      </c>
      <c r="H51">
        <f>INDEX(Operational[Energy Consumption (MWh)],MATCH(Emission8[[#This Row],[Facility ID]],Operational[Facility ID],0))</f>
        <v>5453.2</v>
      </c>
      <c r="I51">
        <f>INDEX(Operational[Waste (tons)],MATCH(Emission8[[#This Row],[Facility ID]],Operational[Facility ID],0))</f>
        <v>57.49</v>
      </c>
    </row>
    <row r="52" spans="1:9" x14ac:dyDescent="0.3">
      <c r="A52" t="s">
        <v>49</v>
      </c>
      <c r="B52" t="s">
        <v>19</v>
      </c>
      <c r="C52" t="s">
        <v>34</v>
      </c>
      <c r="D52" t="s">
        <v>28</v>
      </c>
      <c r="E52" t="s">
        <v>10</v>
      </c>
      <c r="F52">
        <v>1436.13</v>
      </c>
      <c r="G52">
        <f>INDEX(Operational[Production Volume (units)],MATCH(Emission8[[#This Row],[Facility ID]],Operational[Facility ID],0))</f>
        <v>50306</v>
      </c>
      <c r="H52">
        <f>INDEX(Operational[Energy Consumption (MWh)],MATCH(Emission8[[#This Row],[Facility ID]],Operational[Facility ID],0))</f>
        <v>7031.37</v>
      </c>
      <c r="I52">
        <f>INDEX(Operational[Waste (tons)],MATCH(Emission8[[#This Row],[Facility ID]],Operational[Facility ID],0))</f>
        <v>13.27</v>
      </c>
    </row>
    <row r="53" spans="1:9" x14ac:dyDescent="0.3">
      <c r="A53" t="s">
        <v>66</v>
      </c>
      <c r="B53" t="s">
        <v>30</v>
      </c>
      <c r="C53" t="s">
        <v>34</v>
      </c>
      <c r="D53" t="s">
        <v>9</v>
      </c>
      <c r="E53" t="s">
        <v>24</v>
      </c>
      <c r="F53">
        <v>3950</v>
      </c>
      <c r="G53">
        <f>INDEX(Operational[Production Volume (units)],MATCH(Emission8[[#This Row],[Facility ID]],Operational[Facility ID],0))</f>
        <v>98396</v>
      </c>
      <c r="H53">
        <f>INDEX(Operational[Energy Consumption (MWh)],MATCH(Emission8[[#This Row],[Facility ID]],Operational[Facility ID],0))</f>
        <v>5174.07</v>
      </c>
      <c r="I53">
        <f>INDEX(Operational[Waste (tons)],MATCH(Emission8[[#This Row],[Facility ID]],Operational[Facility ID],0))</f>
        <v>63.38</v>
      </c>
    </row>
    <row r="54" spans="1:9" x14ac:dyDescent="0.3">
      <c r="A54" t="s">
        <v>67</v>
      </c>
      <c r="B54" t="s">
        <v>7</v>
      </c>
      <c r="C54" t="s">
        <v>8</v>
      </c>
      <c r="D54" t="s">
        <v>9</v>
      </c>
      <c r="E54" t="s">
        <v>10</v>
      </c>
      <c r="F54">
        <v>4777.7700000000004</v>
      </c>
      <c r="G54">
        <f>INDEX(Operational[Production Volume (units)],MATCH(Emission8[[#This Row],[Facility ID]],Operational[Facility ID],0))</f>
        <v>70582</v>
      </c>
      <c r="H54">
        <f>INDEX(Operational[Energy Consumption (MWh)],MATCH(Emission8[[#This Row],[Facility ID]],Operational[Facility ID],0))</f>
        <v>7517.59</v>
      </c>
      <c r="I54">
        <f>INDEX(Operational[Waste (tons)],MATCH(Emission8[[#This Row],[Facility ID]],Operational[Facility ID],0))</f>
        <v>95.71</v>
      </c>
    </row>
    <row r="55" spans="1:9" x14ac:dyDescent="0.3">
      <c r="A55" t="s">
        <v>68</v>
      </c>
      <c r="B55" t="s">
        <v>12</v>
      </c>
      <c r="C55" t="s">
        <v>13</v>
      </c>
      <c r="D55" t="s">
        <v>9</v>
      </c>
      <c r="E55" t="s">
        <v>10</v>
      </c>
      <c r="F55">
        <v>739.48</v>
      </c>
      <c r="G55">
        <f>INDEX(Operational[Production Volume (units)],MATCH(Emission8[[#This Row],[Facility ID]],Operational[Facility ID],0))</f>
        <v>69100</v>
      </c>
      <c r="H55">
        <f>INDEX(Operational[Energy Consumption (MWh)],MATCH(Emission8[[#This Row],[Facility ID]],Operational[Facility ID],0))</f>
        <v>9356.02</v>
      </c>
      <c r="I55">
        <f>INDEX(Operational[Waste (tons)],MATCH(Emission8[[#This Row],[Facility ID]],Operational[Facility ID],0))</f>
        <v>16.5</v>
      </c>
    </row>
    <row r="56" spans="1:9" x14ac:dyDescent="0.3">
      <c r="A56" t="s">
        <v>69</v>
      </c>
      <c r="B56" t="s">
        <v>7</v>
      </c>
      <c r="C56" t="s">
        <v>23</v>
      </c>
      <c r="D56" t="s">
        <v>14</v>
      </c>
      <c r="E56" t="s">
        <v>10</v>
      </c>
      <c r="F56">
        <v>2957.08</v>
      </c>
      <c r="G56">
        <f>INDEX(Operational[Production Volume (units)],MATCH(Emission8[[#This Row],[Facility ID]],Operational[Facility ID],0))</f>
        <v>34725</v>
      </c>
      <c r="H56">
        <f>INDEX(Operational[Energy Consumption (MWh)],MATCH(Emission8[[#This Row],[Facility ID]],Operational[Facility ID],0))</f>
        <v>3269.89</v>
      </c>
      <c r="I56">
        <f>INDEX(Operational[Waste (tons)],MATCH(Emission8[[#This Row],[Facility ID]],Operational[Facility ID],0))</f>
        <v>78.86</v>
      </c>
    </row>
    <row r="57" spans="1:9" x14ac:dyDescent="0.3">
      <c r="A57" t="s">
        <v>70</v>
      </c>
      <c r="B57" t="s">
        <v>19</v>
      </c>
      <c r="C57" t="s">
        <v>13</v>
      </c>
      <c r="D57" t="s">
        <v>28</v>
      </c>
      <c r="E57" t="s">
        <v>24</v>
      </c>
      <c r="F57">
        <v>4782.28</v>
      </c>
      <c r="G57">
        <f>INDEX(Operational[Production Volume (units)],MATCH(Emission8[[#This Row],[Facility ID]],Operational[Facility ID],0))</f>
        <v>42485</v>
      </c>
      <c r="H57">
        <f>INDEX(Operational[Energy Consumption (MWh)],MATCH(Emission8[[#This Row],[Facility ID]],Operational[Facility ID],0))</f>
        <v>4755.75</v>
      </c>
      <c r="I57">
        <f>INDEX(Operational[Waste (tons)],MATCH(Emission8[[#This Row],[Facility ID]],Operational[Facility ID],0))</f>
        <v>10.19</v>
      </c>
    </row>
    <row r="58" spans="1:9" x14ac:dyDescent="0.3">
      <c r="A58" t="s">
        <v>53</v>
      </c>
      <c r="B58" t="s">
        <v>7</v>
      </c>
      <c r="C58" t="s">
        <v>34</v>
      </c>
      <c r="D58" t="s">
        <v>14</v>
      </c>
      <c r="E58" t="s">
        <v>15</v>
      </c>
      <c r="F58">
        <v>3836.23</v>
      </c>
      <c r="G58">
        <f>INDEX(Operational[Production Volume (units)],MATCH(Emission8[[#This Row],[Facility ID]],Operational[Facility ID],0))</f>
        <v>90632</v>
      </c>
      <c r="H58">
        <f>INDEX(Operational[Energy Consumption (MWh)],MATCH(Emission8[[#This Row],[Facility ID]],Operational[Facility ID],0))</f>
        <v>5292.17</v>
      </c>
      <c r="I58">
        <f>INDEX(Operational[Waste (tons)],MATCH(Emission8[[#This Row],[Facility ID]],Operational[Facility ID],0))</f>
        <v>78.45</v>
      </c>
    </row>
    <row r="59" spans="1:9" x14ac:dyDescent="0.3">
      <c r="A59" t="s">
        <v>71</v>
      </c>
      <c r="B59" t="s">
        <v>7</v>
      </c>
      <c r="C59" t="s">
        <v>13</v>
      </c>
      <c r="D59" t="s">
        <v>28</v>
      </c>
      <c r="E59" t="s">
        <v>10</v>
      </c>
      <c r="F59">
        <v>4410.6400000000003</v>
      </c>
      <c r="G59">
        <f>INDEX(Operational[Production Volume (units)],MATCH(Emission8[[#This Row],[Facility ID]],Operational[Facility ID],0))</f>
        <v>68018</v>
      </c>
      <c r="H59">
        <f>INDEX(Operational[Energy Consumption (MWh)],MATCH(Emission8[[#This Row],[Facility ID]],Operational[Facility ID],0))</f>
        <v>3523.4</v>
      </c>
      <c r="I59">
        <f>INDEX(Operational[Waste (tons)],MATCH(Emission8[[#This Row],[Facility ID]],Operational[Facility ID],0))</f>
        <v>92.26</v>
      </c>
    </row>
    <row r="60" spans="1:9" x14ac:dyDescent="0.3">
      <c r="A60" t="s">
        <v>70</v>
      </c>
      <c r="B60" t="s">
        <v>19</v>
      </c>
      <c r="C60" t="s">
        <v>34</v>
      </c>
      <c r="D60" t="s">
        <v>28</v>
      </c>
      <c r="E60" t="s">
        <v>24</v>
      </c>
      <c r="F60">
        <v>1861.93</v>
      </c>
      <c r="G60">
        <f>INDEX(Operational[Production Volume (units)],MATCH(Emission8[[#This Row],[Facility ID]],Operational[Facility ID],0))</f>
        <v>42485</v>
      </c>
      <c r="H60">
        <f>INDEX(Operational[Energy Consumption (MWh)],MATCH(Emission8[[#This Row],[Facility ID]],Operational[Facility ID],0))</f>
        <v>4755.75</v>
      </c>
      <c r="I60">
        <f>INDEX(Operational[Waste (tons)],MATCH(Emission8[[#This Row],[Facility ID]],Operational[Facility ID],0))</f>
        <v>10.19</v>
      </c>
    </row>
    <row r="61" spans="1:9" x14ac:dyDescent="0.3">
      <c r="A61" t="s">
        <v>72</v>
      </c>
      <c r="B61" t="s">
        <v>19</v>
      </c>
      <c r="C61" t="s">
        <v>8</v>
      </c>
      <c r="D61" t="s">
        <v>14</v>
      </c>
      <c r="E61" t="s">
        <v>10</v>
      </c>
      <c r="F61">
        <v>3332.83</v>
      </c>
      <c r="G61">
        <f>INDEX(Operational[Production Volume (units)],MATCH(Emission8[[#This Row],[Facility ID]],Operational[Facility ID],0))</f>
        <v>29318</v>
      </c>
      <c r="H61">
        <f>INDEX(Operational[Energy Consumption (MWh)],MATCH(Emission8[[#This Row],[Facility ID]],Operational[Facility ID],0))</f>
        <v>9860.6200000000008</v>
      </c>
      <c r="I61">
        <f>INDEX(Operational[Waste (tons)],MATCH(Emission8[[#This Row],[Facility ID]],Operational[Facility ID],0))</f>
        <v>14.58</v>
      </c>
    </row>
    <row r="62" spans="1:9" x14ac:dyDescent="0.3">
      <c r="A62" t="s">
        <v>73</v>
      </c>
      <c r="B62" t="s">
        <v>30</v>
      </c>
      <c r="C62" t="s">
        <v>34</v>
      </c>
      <c r="D62" t="s">
        <v>28</v>
      </c>
      <c r="E62" t="s">
        <v>24</v>
      </c>
      <c r="F62">
        <v>2649.83</v>
      </c>
      <c r="G62">
        <f>INDEX(Operational[Production Volume (units)],MATCH(Emission8[[#This Row],[Facility ID]],Operational[Facility ID],0))</f>
        <v>55974</v>
      </c>
      <c r="H62">
        <f>INDEX(Operational[Energy Consumption (MWh)],MATCH(Emission8[[#This Row],[Facility ID]],Operational[Facility ID],0))</f>
        <v>7542.28</v>
      </c>
      <c r="I62">
        <f>INDEX(Operational[Waste (tons)],MATCH(Emission8[[#This Row],[Facility ID]],Operational[Facility ID],0))</f>
        <v>72.430000000000007</v>
      </c>
    </row>
    <row r="63" spans="1:9" x14ac:dyDescent="0.3">
      <c r="A63" t="s">
        <v>74</v>
      </c>
      <c r="B63" t="s">
        <v>19</v>
      </c>
      <c r="C63" t="s">
        <v>8</v>
      </c>
      <c r="D63" t="s">
        <v>14</v>
      </c>
      <c r="E63" t="s">
        <v>24</v>
      </c>
      <c r="F63">
        <v>3224.33</v>
      </c>
      <c r="G63">
        <f>INDEX(Operational[Production Volume (units)],MATCH(Emission8[[#This Row],[Facility ID]],Operational[Facility ID],0))</f>
        <v>18175</v>
      </c>
      <c r="H63">
        <f>INDEX(Operational[Energy Consumption (MWh)],MATCH(Emission8[[#This Row],[Facility ID]],Operational[Facility ID],0))</f>
        <v>8349.49</v>
      </c>
      <c r="I63">
        <f>INDEX(Operational[Waste (tons)],MATCH(Emission8[[#This Row],[Facility ID]],Operational[Facility ID],0))</f>
        <v>39.97</v>
      </c>
    </row>
    <row r="64" spans="1:9" x14ac:dyDescent="0.3">
      <c r="A64" t="s">
        <v>22</v>
      </c>
      <c r="B64" t="s">
        <v>12</v>
      </c>
      <c r="C64" t="s">
        <v>23</v>
      </c>
      <c r="D64" t="s">
        <v>9</v>
      </c>
      <c r="E64" t="s">
        <v>10</v>
      </c>
      <c r="F64">
        <v>881.22</v>
      </c>
      <c r="G64">
        <f>INDEX(Operational[Production Volume (units)],MATCH(Emission8[[#This Row],[Facility ID]],Operational[Facility ID],0))</f>
        <v>47484</v>
      </c>
      <c r="H64">
        <f>INDEX(Operational[Energy Consumption (MWh)],MATCH(Emission8[[#This Row],[Facility ID]],Operational[Facility ID],0))</f>
        <v>3396.39</v>
      </c>
      <c r="I64">
        <f>INDEX(Operational[Waste (tons)],MATCH(Emission8[[#This Row],[Facility ID]],Operational[Facility ID],0))</f>
        <v>19.510000000000002</v>
      </c>
    </row>
    <row r="65" spans="1:9" x14ac:dyDescent="0.3">
      <c r="A65" t="s">
        <v>75</v>
      </c>
      <c r="B65" t="s">
        <v>19</v>
      </c>
      <c r="C65" t="s">
        <v>13</v>
      </c>
      <c r="D65" t="s">
        <v>9</v>
      </c>
      <c r="E65" t="s">
        <v>15</v>
      </c>
      <c r="F65">
        <v>5563.32</v>
      </c>
      <c r="G65">
        <f>INDEX(Operational[Production Volume (units)],MATCH(Emission8[[#This Row],[Facility ID]],Operational[Facility ID],0))</f>
        <v>54136</v>
      </c>
      <c r="H65">
        <f>INDEX(Operational[Energy Consumption (MWh)],MATCH(Emission8[[#This Row],[Facility ID]],Operational[Facility ID],0))</f>
        <v>2775.38</v>
      </c>
      <c r="I65">
        <f>INDEX(Operational[Waste (tons)],MATCH(Emission8[[#This Row],[Facility ID]],Operational[Facility ID],0))</f>
        <v>75.459999999999994</v>
      </c>
    </row>
    <row r="66" spans="1:9" x14ac:dyDescent="0.3">
      <c r="A66" t="s">
        <v>76</v>
      </c>
      <c r="B66" t="s">
        <v>17</v>
      </c>
      <c r="C66" t="s">
        <v>34</v>
      </c>
      <c r="D66" t="s">
        <v>28</v>
      </c>
      <c r="E66" t="s">
        <v>24</v>
      </c>
      <c r="F66">
        <v>2558.1799999999998</v>
      </c>
      <c r="G66">
        <f>INDEX(Operational[Production Volume (units)],MATCH(Emission8[[#This Row],[Facility ID]],Operational[Facility ID],0))</f>
        <v>59617</v>
      </c>
      <c r="H66">
        <f>INDEX(Operational[Energy Consumption (MWh)],MATCH(Emission8[[#This Row],[Facility ID]],Operational[Facility ID],0))</f>
        <v>5000.95</v>
      </c>
      <c r="I66">
        <f>INDEX(Operational[Waste (tons)],MATCH(Emission8[[#This Row],[Facility ID]],Operational[Facility ID],0))</f>
        <v>80.36</v>
      </c>
    </row>
    <row r="67" spans="1:9" x14ac:dyDescent="0.3">
      <c r="A67" t="s">
        <v>77</v>
      </c>
      <c r="B67" t="s">
        <v>30</v>
      </c>
      <c r="C67" t="s">
        <v>23</v>
      </c>
      <c r="D67" t="s">
        <v>9</v>
      </c>
      <c r="E67" t="s">
        <v>10</v>
      </c>
      <c r="F67">
        <v>2013.87</v>
      </c>
      <c r="G67">
        <f>INDEX(Operational[Production Volume (units)],MATCH(Emission8[[#This Row],[Facility ID]],Operational[Facility ID],0))</f>
        <v>61942</v>
      </c>
      <c r="H67">
        <f>INDEX(Operational[Energy Consumption (MWh)],MATCH(Emission8[[#This Row],[Facility ID]],Operational[Facility ID],0))</f>
        <v>4891.32</v>
      </c>
      <c r="I67">
        <f>INDEX(Operational[Waste (tons)],MATCH(Emission8[[#This Row],[Facility ID]],Operational[Facility ID],0))</f>
        <v>91.59</v>
      </c>
    </row>
    <row r="68" spans="1:9" x14ac:dyDescent="0.3">
      <c r="A68" t="s">
        <v>78</v>
      </c>
      <c r="B68" t="s">
        <v>7</v>
      </c>
      <c r="C68" t="s">
        <v>23</v>
      </c>
      <c r="D68" t="s">
        <v>28</v>
      </c>
      <c r="E68" t="s">
        <v>15</v>
      </c>
      <c r="F68">
        <v>1752.18</v>
      </c>
      <c r="G68">
        <f>INDEX(Operational[Production Volume (units)],MATCH(Emission8[[#This Row],[Facility ID]],Operational[Facility ID],0))</f>
        <v>86557</v>
      </c>
      <c r="H68">
        <f>INDEX(Operational[Energy Consumption (MWh)],MATCH(Emission8[[#This Row],[Facility ID]],Operational[Facility ID],0))</f>
        <v>8631.2800000000007</v>
      </c>
      <c r="I68">
        <f>INDEX(Operational[Waste (tons)],MATCH(Emission8[[#This Row],[Facility ID]],Operational[Facility ID],0))</f>
        <v>69.53</v>
      </c>
    </row>
    <row r="69" spans="1:9" x14ac:dyDescent="0.3">
      <c r="A69" t="s">
        <v>79</v>
      </c>
      <c r="B69" t="s">
        <v>17</v>
      </c>
      <c r="C69" t="s">
        <v>13</v>
      </c>
      <c r="D69" t="s">
        <v>28</v>
      </c>
      <c r="E69" t="s">
        <v>24</v>
      </c>
      <c r="F69">
        <v>4152.92</v>
      </c>
      <c r="G69">
        <f>INDEX(Operational[Production Volume (units)],MATCH(Emission8[[#This Row],[Facility ID]],Operational[Facility ID],0))</f>
        <v>40503</v>
      </c>
      <c r="H69">
        <f>INDEX(Operational[Energy Consumption (MWh)],MATCH(Emission8[[#This Row],[Facility ID]],Operational[Facility ID],0))</f>
        <v>7447.46</v>
      </c>
      <c r="I69">
        <f>INDEX(Operational[Waste (tons)],MATCH(Emission8[[#This Row],[Facility ID]],Operational[Facility ID],0))</f>
        <v>98.27</v>
      </c>
    </row>
    <row r="70" spans="1:9" x14ac:dyDescent="0.3">
      <c r="A70" t="s">
        <v>80</v>
      </c>
      <c r="B70" t="s">
        <v>17</v>
      </c>
      <c r="C70" t="s">
        <v>13</v>
      </c>
      <c r="D70" t="s">
        <v>28</v>
      </c>
      <c r="E70" t="s">
        <v>15</v>
      </c>
      <c r="F70">
        <v>61.94</v>
      </c>
      <c r="G70">
        <f>INDEX(Operational[Production Volume (units)],MATCH(Emission8[[#This Row],[Facility ID]],Operational[Facility ID],0))</f>
        <v>75508</v>
      </c>
      <c r="H70">
        <f>INDEX(Operational[Energy Consumption (MWh)],MATCH(Emission8[[#This Row],[Facility ID]],Operational[Facility ID],0))</f>
        <v>6856.22</v>
      </c>
      <c r="I70">
        <f>INDEX(Operational[Waste (tons)],MATCH(Emission8[[#This Row],[Facility ID]],Operational[Facility ID],0))</f>
        <v>18.2</v>
      </c>
    </row>
    <row r="71" spans="1:9" x14ac:dyDescent="0.3">
      <c r="A71" t="s">
        <v>66</v>
      </c>
      <c r="B71" t="s">
        <v>30</v>
      </c>
      <c r="C71" t="s">
        <v>34</v>
      </c>
      <c r="D71" t="s">
        <v>9</v>
      </c>
      <c r="E71" t="s">
        <v>15</v>
      </c>
      <c r="F71">
        <v>4862.4399999999996</v>
      </c>
      <c r="G71">
        <f>INDEX(Operational[Production Volume (units)],MATCH(Emission8[[#This Row],[Facility ID]],Operational[Facility ID],0))</f>
        <v>98396</v>
      </c>
      <c r="H71">
        <f>INDEX(Operational[Energy Consumption (MWh)],MATCH(Emission8[[#This Row],[Facility ID]],Operational[Facility ID],0))</f>
        <v>5174.07</v>
      </c>
      <c r="I71">
        <f>INDEX(Operational[Waste (tons)],MATCH(Emission8[[#This Row],[Facility ID]],Operational[Facility ID],0))</f>
        <v>63.38</v>
      </c>
    </row>
    <row r="72" spans="1:9" x14ac:dyDescent="0.3">
      <c r="A72" t="s">
        <v>81</v>
      </c>
      <c r="B72" t="s">
        <v>12</v>
      </c>
      <c r="C72" t="s">
        <v>23</v>
      </c>
      <c r="D72" t="s">
        <v>9</v>
      </c>
      <c r="E72" t="s">
        <v>10</v>
      </c>
      <c r="F72">
        <v>1930.13</v>
      </c>
      <c r="G72">
        <f>INDEX(Operational[Production Volume (units)],MATCH(Emission8[[#This Row],[Facility ID]],Operational[Facility ID],0))</f>
        <v>93661</v>
      </c>
      <c r="H72">
        <f>INDEX(Operational[Energy Consumption (MWh)],MATCH(Emission8[[#This Row],[Facility ID]],Operational[Facility ID],0))</f>
        <v>7324.58</v>
      </c>
      <c r="I72">
        <f>INDEX(Operational[Waste (tons)],MATCH(Emission8[[#This Row],[Facility ID]],Operational[Facility ID],0))</f>
        <v>23.55</v>
      </c>
    </row>
    <row r="73" spans="1:9" x14ac:dyDescent="0.3">
      <c r="A73" t="s">
        <v>82</v>
      </c>
      <c r="B73" t="s">
        <v>17</v>
      </c>
      <c r="C73" t="s">
        <v>34</v>
      </c>
      <c r="D73" t="s">
        <v>28</v>
      </c>
      <c r="E73" t="s">
        <v>24</v>
      </c>
      <c r="F73">
        <v>2818.75</v>
      </c>
      <c r="G73">
        <f>INDEX(Operational[Production Volume (units)],MATCH(Emission8[[#This Row],[Facility ID]],Operational[Facility ID],0))</f>
        <v>93409</v>
      </c>
      <c r="H73">
        <f>INDEX(Operational[Energy Consumption (MWh)],MATCH(Emission8[[#This Row],[Facility ID]],Operational[Facility ID],0))</f>
        <v>2375.83</v>
      </c>
      <c r="I73">
        <f>INDEX(Operational[Waste (tons)],MATCH(Emission8[[#This Row],[Facility ID]],Operational[Facility ID],0))</f>
        <v>5.83</v>
      </c>
    </row>
    <row r="74" spans="1:9" x14ac:dyDescent="0.3">
      <c r="A74" t="s">
        <v>83</v>
      </c>
      <c r="B74" t="s">
        <v>17</v>
      </c>
      <c r="C74" t="s">
        <v>8</v>
      </c>
      <c r="D74" t="s">
        <v>9</v>
      </c>
      <c r="E74" t="s">
        <v>24</v>
      </c>
      <c r="F74">
        <v>2368.67</v>
      </c>
      <c r="G74">
        <f>INDEX(Operational[Production Volume (units)],MATCH(Emission8[[#This Row],[Facility ID]],Operational[Facility ID],0))</f>
        <v>30934</v>
      </c>
      <c r="H74">
        <f>INDEX(Operational[Energy Consumption (MWh)],MATCH(Emission8[[#This Row],[Facility ID]],Operational[Facility ID],0))</f>
        <v>4175.6499999999996</v>
      </c>
      <c r="I74">
        <f>INDEX(Operational[Waste (tons)],MATCH(Emission8[[#This Row],[Facility ID]],Operational[Facility ID],0))</f>
        <v>77.290000000000006</v>
      </c>
    </row>
    <row r="75" spans="1:9" x14ac:dyDescent="0.3">
      <c r="A75" t="s">
        <v>54</v>
      </c>
      <c r="B75" t="s">
        <v>12</v>
      </c>
      <c r="C75" t="s">
        <v>34</v>
      </c>
      <c r="D75" t="s">
        <v>14</v>
      </c>
      <c r="E75" t="s">
        <v>15</v>
      </c>
      <c r="F75">
        <v>1533.98</v>
      </c>
      <c r="G75">
        <f>INDEX(Operational[Production Volume (units)],MATCH(Emission8[[#This Row],[Facility ID]],Operational[Facility ID],0))</f>
        <v>58111</v>
      </c>
      <c r="H75">
        <f>INDEX(Operational[Energy Consumption (MWh)],MATCH(Emission8[[#This Row],[Facility ID]],Operational[Facility ID],0))</f>
        <v>4610.8999999999996</v>
      </c>
      <c r="I75">
        <f>INDEX(Operational[Waste (tons)],MATCH(Emission8[[#This Row],[Facility ID]],Operational[Facility ID],0))</f>
        <v>21.53</v>
      </c>
    </row>
    <row r="76" spans="1:9" x14ac:dyDescent="0.3">
      <c r="A76" t="s">
        <v>68</v>
      </c>
      <c r="B76" t="s">
        <v>12</v>
      </c>
      <c r="C76" t="s">
        <v>34</v>
      </c>
      <c r="D76" t="s">
        <v>14</v>
      </c>
      <c r="E76" t="s">
        <v>24</v>
      </c>
      <c r="F76">
        <v>249.89</v>
      </c>
      <c r="G76">
        <f>INDEX(Operational[Production Volume (units)],MATCH(Emission8[[#This Row],[Facility ID]],Operational[Facility ID],0))</f>
        <v>69100</v>
      </c>
      <c r="H76">
        <f>INDEX(Operational[Energy Consumption (MWh)],MATCH(Emission8[[#This Row],[Facility ID]],Operational[Facility ID],0))</f>
        <v>9356.02</v>
      </c>
      <c r="I76">
        <f>INDEX(Operational[Waste (tons)],MATCH(Emission8[[#This Row],[Facility ID]],Operational[Facility ID],0))</f>
        <v>16.5</v>
      </c>
    </row>
    <row r="77" spans="1:9" x14ac:dyDescent="0.3">
      <c r="A77" t="s">
        <v>84</v>
      </c>
      <c r="B77" t="s">
        <v>30</v>
      </c>
      <c r="C77" t="s">
        <v>13</v>
      </c>
      <c r="D77" t="s">
        <v>9</v>
      </c>
      <c r="E77" t="s">
        <v>15</v>
      </c>
      <c r="F77">
        <v>4797.88</v>
      </c>
      <c r="G77">
        <f>INDEX(Operational[Production Volume (units)],MATCH(Emission8[[#This Row],[Facility ID]],Operational[Facility ID],0))</f>
        <v>85444</v>
      </c>
      <c r="H77">
        <f>INDEX(Operational[Energy Consumption (MWh)],MATCH(Emission8[[#This Row],[Facility ID]],Operational[Facility ID],0))</f>
        <v>852.57</v>
      </c>
      <c r="I77">
        <f>INDEX(Operational[Waste (tons)],MATCH(Emission8[[#This Row],[Facility ID]],Operational[Facility ID],0))</f>
        <v>72.650000000000006</v>
      </c>
    </row>
    <row r="78" spans="1:9" x14ac:dyDescent="0.3">
      <c r="A78" t="s">
        <v>85</v>
      </c>
      <c r="B78" t="s">
        <v>30</v>
      </c>
      <c r="C78" t="s">
        <v>23</v>
      </c>
      <c r="D78" t="s">
        <v>14</v>
      </c>
      <c r="E78" t="s">
        <v>24</v>
      </c>
      <c r="F78">
        <v>534.05999999999995</v>
      </c>
      <c r="G78">
        <f>INDEX(Operational[Production Volume (units)],MATCH(Emission8[[#This Row],[Facility ID]],Operational[Facility ID],0))</f>
        <v>45519</v>
      </c>
      <c r="H78">
        <f>INDEX(Operational[Energy Consumption (MWh)],MATCH(Emission8[[#This Row],[Facility ID]],Operational[Facility ID],0))</f>
        <v>7987.69</v>
      </c>
      <c r="I78">
        <f>INDEX(Operational[Waste (tons)],MATCH(Emission8[[#This Row],[Facility ID]],Operational[Facility ID],0))</f>
        <v>10.86</v>
      </c>
    </row>
    <row r="79" spans="1:9" x14ac:dyDescent="0.3">
      <c r="A79" t="s">
        <v>86</v>
      </c>
      <c r="B79" t="s">
        <v>19</v>
      </c>
      <c r="C79" t="s">
        <v>13</v>
      </c>
      <c r="D79" t="s">
        <v>14</v>
      </c>
      <c r="E79" t="s">
        <v>10</v>
      </c>
      <c r="F79">
        <v>4285.8999999999996</v>
      </c>
      <c r="G79">
        <f>INDEX(Operational[Production Volume (units)],MATCH(Emission8[[#This Row],[Facility ID]],Operational[Facility ID],0))</f>
        <v>56531</v>
      </c>
      <c r="H79">
        <f>INDEX(Operational[Energy Consumption (MWh)],MATCH(Emission8[[#This Row],[Facility ID]],Operational[Facility ID],0))</f>
        <v>8958.07</v>
      </c>
      <c r="I79">
        <f>INDEX(Operational[Waste (tons)],MATCH(Emission8[[#This Row],[Facility ID]],Operational[Facility ID],0))</f>
        <v>83.44</v>
      </c>
    </row>
    <row r="80" spans="1:9" x14ac:dyDescent="0.3">
      <c r="A80" t="s">
        <v>87</v>
      </c>
      <c r="B80" t="s">
        <v>12</v>
      </c>
      <c r="C80" t="s">
        <v>34</v>
      </c>
      <c r="D80" t="s">
        <v>28</v>
      </c>
      <c r="E80" t="s">
        <v>10</v>
      </c>
      <c r="F80">
        <v>1042.25</v>
      </c>
      <c r="G80">
        <f>INDEX(Operational[Production Volume (units)],MATCH(Emission8[[#This Row],[Facility ID]],Operational[Facility ID],0))</f>
        <v>15333</v>
      </c>
      <c r="H80">
        <f>INDEX(Operational[Energy Consumption (MWh)],MATCH(Emission8[[#This Row],[Facility ID]],Operational[Facility ID],0))</f>
        <v>2570.54</v>
      </c>
      <c r="I80">
        <f>INDEX(Operational[Waste (tons)],MATCH(Emission8[[#This Row],[Facility ID]],Operational[Facility ID],0))</f>
        <v>41.07</v>
      </c>
    </row>
    <row r="81" spans="1:9" x14ac:dyDescent="0.3">
      <c r="A81" t="s">
        <v>88</v>
      </c>
      <c r="B81" t="s">
        <v>7</v>
      </c>
      <c r="C81" t="s">
        <v>34</v>
      </c>
      <c r="D81" t="s">
        <v>9</v>
      </c>
      <c r="E81" t="s">
        <v>24</v>
      </c>
      <c r="F81">
        <v>1836.69</v>
      </c>
      <c r="G81">
        <f>INDEX(Operational[Production Volume (units)],MATCH(Emission8[[#This Row],[Facility ID]],Operational[Facility ID],0))</f>
        <v>44825</v>
      </c>
      <c r="H81">
        <f>INDEX(Operational[Energy Consumption (MWh)],MATCH(Emission8[[#This Row],[Facility ID]],Operational[Facility ID],0))</f>
        <v>6023.03</v>
      </c>
      <c r="I81">
        <f>INDEX(Operational[Waste (tons)],MATCH(Emission8[[#This Row],[Facility ID]],Operational[Facility ID],0))</f>
        <v>27.2</v>
      </c>
    </row>
    <row r="82" spans="1:9" x14ac:dyDescent="0.3">
      <c r="A82" t="s">
        <v>89</v>
      </c>
      <c r="B82" t="s">
        <v>17</v>
      </c>
      <c r="C82" t="s">
        <v>13</v>
      </c>
      <c r="D82" t="s">
        <v>28</v>
      </c>
      <c r="E82" t="s">
        <v>15</v>
      </c>
      <c r="F82">
        <v>3337.6</v>
      </c>
      <c r="G82">
        <f>INDEX(Operational[Production Volume (units)],MATCH(Emission8[[#This Row],[Facility ID]],Operational[Facility ID],0))</f>
        <v>36171</v>
      </c>
      <c r="H82">
        <f>INDEX(Operational[Energy Consumption (MWh)],MATCH(Emission8[[#This Row],[Facility ID]],Operational[Facility ID],0))</f>
        <v>6864.38</v>
      </c>
      <c r="I82">
        <f>INDEX(Operational[Waste (tons)],MATCH(Emission8[[#This Row],[Facility ID]],Operational[Facility ID],0))</f>
        <v>37.03</v>
      </c>
    </row>
    <row r="83" spans="1:9" x14ac:dyDescent="0.3">
      <c r="A83" t="s">
        <v>32</v>
      </c>
      <c r="B83" t="s">
        <v>7</v>
      </c>
      <c r="C83" t="s">
        <v>34</v>
      </c>
      <c r="D83" t="s">
        <v>14</v>
      </c>
      <c r="E83" t="s">
        <v>15</v>
      </c>
      <c r="F83">
        <v>2632.11</v>
      </c>
      <c r="G83">
        <f>INDEX(Operational[Production Volume (units)],MATCH(Emission8[[#This Row],[Facility ID]],Operational[Facility ID],0))</f>
        <v>10933</v>
      </c>
      <c r="H83">
        <f>INDEX(Operational[Energy Consumption (MWh)],MATCH(Emission8[[#This Row],[Facility ID]],Operational[Facility ID],0))</f>
        <v>9004.3700000000008</v>
      </c>
      <c r="I83">
        <f>INDEX(Operational[Waste (tons)],MATCH(Emission8[[#This Row],[Facility ID]],Operational[Facility ID],0))</f>
        <v>26.84</v>
      </c>
    </row>
    <row r="84" spans="1:9" x14ac:dyDescent="0.3">
      <c r="A84" t="s">
        <v>90</v>
      </c>
      <c r="B84" t="s">
        <v>19</v>
      </c>
      <c r="C84" t="s">
        <v>23</v>
      </c>
      <c r="D84" t="s">
        <v>28</v>
      </c>
      <c r="E84" t="s">
        <v>24</v>
      </c>
      <c r="F84">
        <v>2011.5</v>
      </c>
      <c r="G84">
        <f>INDEX(Operational[Production Volume (units)],MATCH(Emission8[[#This Row],[Facility ID]],Operational[Facility ID],0))</f>
        <v>97337</v>
      </c>
      <c r="H84">
        <f>INDEX(Operational[Energy Consumption (MWh)],MATCH(Emission8[[#This Row],[Facility ID]],Operational[Facility ID],0))</f>
        <v>3362.06</v>
      </c>
      <c r="I84">
        <f>INDEX(Operational[Waste (tons)],MATCH(Emission8[[#This Row],[Facility ID]],Operational[Facility ID],0))</f>
        <v>55.46</v>
      </c>
    </row>
    <row r="85" spans="1:9" x14ac:dyDescent="0.3">
      <c r="A85" t="s">
        <v>91</v>
      </c>
      <c r="B85" t="s">
        <v>30</v>
      </c>
      <c r="C85" t="s">
        <v>23</v>
      </c>
      <c r="D85" t="s">
        <v>28</v>
      </c>
      <c r="E85" t="s">
        <v>15</v>
      </c>
      <c r="F85">
        <v>724.26</v>
      </c>
      <c r="G85">
        <f>INDEX(Operational[Production Volume (units)],MATCH(Emission8[[#This Row],[Facility ID]],Operational[Facility ID],0))</f>
        <v>20207</v>
      </c>
      <c r="H85">
        <f>INDEX(Operational[Energy Consumption (MWh)],MATCH(Emission8[[#This Row],[Facility ID]],Operational[Facility ID],0))</f>
        <v>5369.46</v>
      </c>
      <c r="I85">
        <f>INDEX(Operational[Waste (tons)],MATCH(Emission8[[#This Row],[Facility ID]],Operational[Facility ID],0))</f>
        <v>57.51</v>
      </c>
    </row>
    <row r="86" spans="1:9" x14ac:dyDescent="0.3">
      <c r="A86" t="s">
        <v>6</v>
      </c>
      <c r="B86" t="s">
        <v>7</v>
      </c>
      <c r="C86" t="s">
        <v>23</v>
      </c>
      <c r="D86" t="s">
        <v>14</v>
      </c>
      <c r="E86" t="s">
        <v>24</v>
      </c>
      <c r="F86">
        <v>2373.2600000000002</v>
      </c>
      <c r="G86">
        <f>INDEX(Operational[Production Volume (units)],MATCH(Emission8[[#This Row],[Facility ID]],Operational[Facility ID],0))</f>
        <v>77330</v>
      </c>
      <c r="H86">
        <f>INDEX(Operational[Energy Consumption (MWh)],MATCH(Emission8[[#This Row],[Facility ID]],Operational[Facility ID],0))</f>
        <v>6936.58</v>
      </c>
      <c r="I86">
        <f>INDEX(Operational[Waste (tons)],MATCH(Emission8[[#This Row],[Facility ID]],Operational[Facility ID],0))</f>
        <v>82.3</v>
      </c>
    </row>
    <row r="87" spans="1:9" x14ac:dyDescent="0.3">
      <c r="A87" t="s">
        <v>47</v>
      </c>
      <c r="B87" t="s">
        <v>30</v>
      </c>
      <c r="C87" t="s">
        <v>34</v>
      </c>
      <c r="D87" t="s">
        <v>28</v>
      </c>
      <c r="E87" t="s">
        <v>24</v>
      </c>
      <c r="F87">
        <v>1440.9</v>
      </c>
      <c r="G87">
        <f>INDEX(Operational[Production Volume (units)],MATCH(Emission8[[#This Row],[Facility ID]],Operational[Facility ID],0))</f>
        <v>53661</v>
      </c>
      <c r="H87">
        <f>INDEX(Operational[Energy Consumption (MWh)],MATCH(Emission8[[#This Row],[Facility ID]],Operational[Facility ID],0))</f>
        <v>6965.81</v>
      </c>
      <c r="I87">
        <f>INDEX(Operational[Waste (tons)],MATCH(Emission8[[#This Row],[Facility ID]],Operational[Facility ID],0))</f>
        <v>69.400000000000006</v>
      </c>
    </row>
    <row r="88" spans="1:9" x14ac:dyDescent="0.3">
      <c r="A88" t="s">
        <v>92</v>
      </c>
      <c r="B88" t="s">
        <v>30</v>
      </c>
      <c r="C88" t="s">
        <v>13</v>
      </c>
      <c r="D88" t="s">
        <v>28</v>
      </c>
      <c r="E88" t="s">
        <v>10</v>
      </c>
      <c r="F88">
        <v>569.39</v>
      </c>
      <c r="G88">
        <f>INDEX(Operational[Production Volume (units)],MATCH(Emission8[[#This Row],[Facility ID]],Operational[Facility ID],0))</f>
        <v>18726</v>
      </c>
      <c r="H88">
        <f>INDEX(Operational[Energy Consumption (MWh)],MATCH(Emission8[[#This Row],[Facility ID]],Operational[Facility ID],0))</f>
        <v>5099.54</v>
      </c>
      <c r="I88">
        <f>INDEX(Operational[Waste (tons)],MATCH(Emission8[[#This Row],[Facility ID]],Operational[Facility ID],0))</f>
        <v>71.05</v>
      </c>
    </row>
    <row r="89" spans="1:9" x14ac:dyDescent="0.3">
      <c r="A89" t="s">
        <v>43</v>
      </c>
      <c r="B89" t="s">
        <v>17</v>
      </c>
      <c r="C89" t="s">
        <v>23</v>
      </c>
      <c r="D89" t="s">
        <v>14</v>
      </c>
      <c r="E89" t="s">
        <v>24</v>
      </c>
      <c r="F89">
        <v>1161.74</v>
      </c>
      <c r="G89">
        <f>INDEX(Operational[Production Volume (units)],MATCH(Emission8[[#This Row],[Facility ID]],Operational[Facility ID],0))</f>
        <v>41168</v>
      </c>
      <c r="H89">
        <f>INDEX(Operational[Energy Consumption (MWh)],MATCH(Emission8[[#This Row],[Facility ID]],Operational[Facility ID],0))</f>
        <v>8226.77</v>
      </c>
      <c r="I89">
        <f>INDEX(Operational[Waste (tons)],MATCH(Emission8[[#This Row],[Facility ID]],Operational[Facility ID],0))</f>
        <v>42.55</v>
      </c>
    </row>
    <row r="90" spans="1:9" x14ac:dyDescent="0.3">
      <c r="A90" t="s">
        <v>37</v>
      </c>
      <c r="B90" t="s">
        <v>17</v>
      </c>
      <c r="C90" t="s">
        <v>8</v>
      </c>
      <c r="D90" t="s">
        <v>9</v>
      </c>
      <c r="E90" t="s">
        <v>24</v>
      </c>
      <c r="F90">
        <v>4200.5</v>
      </c>
      <c r="G90">
        <f>INDEX(Operational[Production Volume (units)],MATCH(Emission8[[#This Row],[Facility ID]],Operational[Facility ID],0))</f>
        <v>71747</v>
      </c>
      <c r="H90">
        <f>INDEX(Operational[Energy Consumption (MWh)],MATCH(Emission8[[#This Row],[Facility ID]],Operational[Facility ID],0))</f>
        <v>9838.66</v>
      </c>
      <c r="I90">
        <f>INDEX(Operational[Waste (tons)],MATCH(Emission8[[#This Row],[Facility ID]],Operational[Facility ID],0))</f>
        <v>7.25</v>
      </c>
    </row>
    <row r="91" spans="1:9" x14ac:dyDescent="0.3">
      <c r="A91" t="s">
        <v>55</v>
      </c>
      <c r="B91" t="s">
        <v>12</v>
      </c>
      <c r="C91" t="s">
        <v>8</v>
      </c>
      <c r="D91" t="s">
        <v>14</v>
      </c>
      <c r="E91" t="s">
        <v>15</v>
      </c>
      <c r="F91">
        <v>2311.5500000000002</v>
      </c>
      <c r="G91">
        <f>INDEX(Operational[Production Volume (units)],MATCH(Emission8[[#This Row],[Facility ID]],Operational[Facility ID],0))</f>
        <v>38181</v>
      </c>
      <c r="H91">
        <f>INDEX(Operational[Energy Consumption (MWh)],MATCH(Emission8[[#This Row],[Facility ID]],Operational[Facility ID],0))</f>
        <v>691.84</v>
      </c>
      <c r="I91">
        <f>INDEX(Operational[Waste (tons)],MATCH(Emission8[[#This Row],[Facility ID]],Operational[Facility ID],0))</f>
        <v>33.53</v>
      </c>
    </row>
    <row r="92" spans="1:9" x14ac:dyDescent="0.3">
      <c r="A92" t="s">
        <v>93</v>
      </c>
      <c r="B92" t="s">
        <v>30</v>
      </c>
      <c r="C92" t="s">
        <v>8</v>
      </c>
      <c r="D92" t="s">
        <v>28</v>
      </c>
      <c r="E92" t="s">
        <v>15</v>
      </c>
      <c r="F92">
        <v>2116.64</v>
      </c>
      <c r="G92">
        <f>INDEX(Operational[Production Volume (units)],MATCH(Emission8[[#This Row],[Facility ID]],Operational[Facility ID],0))</f>
        <v>26378</v>
      </c>
      <c r="H92">
        <f>INDEX(Operational[Energy Consumption (MWh)],MATCH(Emission8[[#This Row],[Facility ID]],Operational[Facility ID],0))</f>
        <v>2915.44</v>
      </c>
      <c r="I92">
        <f>INDEX(Operational[Waste (tons)],MATCH(Emission8[[#This Row],[Facility ID]],Operational[Facility ID],0))</f>
        <v>29.84</v>
      </c>
    </row>
    <row r="93" spans="1:9" x14ac:dyDescent="0.3">
      <c r="A93" t="s">
        <v>94</v>
      </c>
      <c r="B93" t="s">
        <v>7</v>
      </c>
      <c r="C93" t="s">
        <v>13</v>
      </c>
      <c r="D93" t="s">
        <v>28</v>
      </c>
      <c r="E93" t="s">
        <v>15</v>
      </c>
      <c r="F93">
        <v>2833.88</v>
      </c>
      <c r="G93">
        <f>INDEX(Operational[Production Volume (units)],MATCH(Emission8[[#This Row],[Facility ID]],Operational[Facility ID],0))</f>
        <v>26338</v>
      </c>
      <c r="H93">
        <f>INDEX(Operational[Energy Consumption (MWh)],MATCH(Emission8[[#This Row],[Facility ID]],Operational[Facility ID],0))</f>
        <v>578.73</v>
      </c>
      <c r="I93">
        <f>INDEX(Operational[Waste (tons)],MATCH(Emission8[[#This Row],[Facility ID]],Operational[Facility ID],0))</f>
        <v>72.52</v>
      </c>
    </row>
    <row r="94" spans="1:9" x14ac:dyDescent="0.3">
      <c r="A94" t="s">
        <v>95</v>
      </c>
      <c r="B94" t="s">
        <v>30</v>
      </c>
      <c r="C94" t="s">
        <v>8</v>
      </c>
      <c r="D94" t="s">
        <v>28</v>
      </c>
      <c r="E94" t="s">
        <v>10</v>
      </c>
      <c r="F94">
        <v>2605.96</v>
      </c>
      <c r="G94">
        <f>INDEX(Operational[Production Volume (units)],MATCH(Emission8[[#This Row],[Facility ID]],Operational[Facility ID],0))</f>
        <v>51800</v>
      </c>
      <c r="H94">
        <f>INDEX(Operational[Energy Consumption (MWh)],MATCH(Emission8[[#This Row],[Facility ID]],Operational[Facility ID],0))</f>
        <v>3042.95</v>
      </c>
      <c r="I94">
        <f>INDEX(Operational[Waste (tons)],MATCH(Emission8[[#This Row],[Facility ID]],Operational[Facility ID],0))</f>
        <v>71.87</v>
      </c>
    </row>
    <row r="95" spans="1:9" x14ac:dyDescent="0.3">
      <c r="A95" t="s">
        <v>69</v>
      </c>
      <c r="B95" t="s">
        <v>7</v>
      </c>
      <c r="C95" t="s">
        <v>34</v>
      </c>
      <c r="D95" t="s">
        <v>9</v>
      </c>
      <c r="E95" t="s">
        <v>24</v>
      </c>
      <c r="F95">
        <v>532.45000000000005</v>
      </c>
      <c r="G95">
        <f>INDEX(Operational[Production Volume (units)],MATCH(Emission8[[#This Row],[Facility ID]],Operational[Facility ID],0))</f>
        <v>34725</v>
      </c>
      <c r="H95">
        <f>INDEX(Operational[Energy Consumption (MWh)],MATCH(Emission8[[#This Row],[Facility ID]],Operational[Facility ID],0))</f>
        <v>3269.89</v>
      </c>
      <c r="I95">
        <f>INDEX(Operational[Waste (tons)],MATCH(Emission8[[#This Row],[Facility ID]],Operational[Facility ID],0))</f>
        <v>78.86</v>
      </c>
    </row>
    <row r="96" spans="1:9" x14ac:dyDescent="0.3">
      <c r="A96" t="s">
        <v>96</v>
      </c>
      <c r="B96" t="s">
        <v>19</v>
      </c>
      <c r="C96" t="s">
        <v>13</v>
      </c>
      <c r="D96" t="s">
        <v>9</v>
      </c>
      <c r="E96" t="s">
        <v>24</v>
      </c>
      <c r="F96">
        <v>1876.96</v>
      </c>
      <c r="G96">
        <f>INDEX(Operational[Production Volume (units)],MATCH(Emission8[[#This Row],[Facility ID]],Operational[Facility ID],0))</f>
        <v>53942</v>
      </c>
      <c r="H96">
        <f>INDEX(Operational[Energy Consumption (MWh)],MATCH(Emission8[[#This Row],[Facility ID]],Operational[Facility ID],0))</f>
        <v>5904.31</v>
      </c>
      <c r="I96">
        <f>INDEX(Operational[Waste (tons)],MATCH(Emission8[[#This Row],[Facility ID]],Operational[Facility ID],0))</f>
        <v>32.78</v>
      </c>
    </row>
    <row r="97" spans="1:9" x14ac:dyDescent="0.3">
      <c r="A97" t="s">
        <v>97</v>
      </c>
      <c r="B97" t="s">
        <v>7</v>
      </c>
      <c r="C97" t="s">
        <v>13</v>
      </c>
      <c r="D97" t="s">
        <v>14</v>
      </c>
      <c r="E97" t="s">
        <v>15</v>
      </c>
      <c r="F97">
        <v>522.41</v>
      </c>
      <c r="G97">
        <f>INDEX(Operational[Production Volume (units)],MATCH(Emission8[[#This Row],[Facility ID]],Operational[Facility ID],0))</f>
        <v>78624</v>
      </c>
      <c r="H97">
        <f>INDEX(Operational[Energy Consumption (MWh)],MATCH(Emission8[[#This Row],[Facility ID]],Operational[Facility ID],0))</f>
        <v>2373.27</v>
      </c>
      <c r="I97">
        <f>INDEX(Operational[Waste (tons)],MATCH(Emission8[[#This Row],[Facility ID]],Operational[Facility ID],0))</f>
        <v>25.07</v>
      </c>
    </row>
    <row r="98" spans="1:9" x14ac:dyDescent="0.3">
      <c r="A98" t="s">
        <v>98</v>
      </c>
      <c r="B98" t="s">
        <v>19</v>
      </c>
      <c r="C98" t="s">
        <v>23</v>
      </c>
      <c r="D98" t="s">
        <v>9</v>
      </c>
      <c r="E98" t="s">
        <v>10</v>
      </c>
      <c r="F98">
        <v>4953.9799999999996</v>
      </c>
      <c r="G98">
        <f>INDEX(Operational[Production Volume (units)],MATCH(Emission8[[#This Row],[Facility ID]],Operational[Facility ID],0))</f>
        <v>26170</v>
      </c>
      <c r="H98">
        <f>INDEX(Operational[Energy Consumption (MWh)],MATCH(Emission8[[#This Row],[Facility ID]],Operational[Facility ID],0))</f>
        <v>8057.54</v>
      </c>
      <c r="I98">
        <f>INDEX(Operational[Waste (tons)],MATCH(Emission8[[#This Row],[Facility ID]],Operational[Facility ID],0))</f>
        <v>63.71</v>
      </c>
    </row>
    <row r="99" spans="1:9" x14ac:dyDescent="0.3">
      <c r="A99" t="s">
        <v>99</v>
      </c>
      <c r="B99" t="s">
        <v>19</v>
      </c>
      <c r="C99" t="s">
        <v>13</v>
      </c>
      <c r="D99" t="s">
        <v>9</v>
      </c>
      <c r="E99" t="s">
        <v>15</v>
      </c>
      <c r="F99">
        <v>2322.96</v>
      </c>
      <c r="G99">
        <f>INDEX(Operational[Production Volume (units)],MATCH(Emission8[[#This Row],[Facility ID]],Operational[Facility ID],0))</f>
        <v>77400</v>
      </c>
      <c r="H99">
        <f>INDEX(Operational[Energy Consumption (MWh)],MATCH(Emission8[[#This Row],[Facility ID]],Operational[Facility ID],0))</f>
        <v>7504.8</v>
      </c>
      <c r="I99">
        <f>INDEX(Operational[Waste (tons)],MATCH(Emission8[[#This Row],[Facility ID]],Operational[Facility ID],0))</f>
        <v>68.819999999999993</v>
      </c>
    </row>
    <row r="100" spans="1:9" x14ac:dyDescent="0.3">
      <c r="A100" t="s">
        <v>80</v>
      </c>
      <c r="B100" t="s">
        <v>17</v>
      </c>
      <c r="C100" t="s">
        <v>34</v>
      </c>
      <c r="D100" t="s">
        <v>28</v>
      </c>
      <c r="E100" t="s">
        <v>24</v>
      </c>
      <c r="F100">
        <v>4662.91</v>
      </c>
      <c r="G100">
        <f>INDEX(Operational[Production Volume (units)],MATCH(Emission8[[#This Row],[Facility ID]],Operational[Facility ID],0))</f>
        <v>75508</v>
      </c>
      <c r="H100">
        <f>INDEX(Operational[Energy Consumption (MWh)],MATCH(Emission8[[#This Row],[Facility ID]],Operational[Facility ID],0))</f>
        <v>6856.22</v>
      </c>
      <c r="I100">
        <f>INDEX(Operational[Waste (tons)],MATCH(Emission8[[#This Row],[Facility ID]],Operational[Facility ID],0))</f>
        <v>18.2</v>
      </c>
    </row>
    <row r="101" spans="1:9" x14ac:dyDescent="0.3">
      <c r="A101" t="s">
        <v>100</v>
      </c>
      <c r="B101" t="s">
        <v>7</v>
      </c>
      <c r="C101" t="s">
        <v>23</v>
      </c>
      <c r="D101" t="s">
        <v>28</v>
      </c>
      <c r="E101" t="s">
        <v>24</v>
      </c>
      <c r="F101">
        <v>1907.29</v>
      </c>
      <c r="G101">
        <f>INDEX(Operational[Production Volume (units)],MATCH(Emission8[[#This Row],[Facility ID]],Operational[Facility ID],0))</f>
        <v>17468</v>
      </c>
      <c r="H101">
        <f>INDEX(Operational[Energy Consumption (MWh)],MATCH(Emission8[[#This Row],[Facility ID]],Operational[Facility ID],0))</f>
        <v>6359.73</v>
      </c>
      <c r="I101">
        <f>INDEX(Operational[Waste (tons)],MATCH(Emission8[[#This Row],[Facility ID]],Operational[Facility ID],0))</f>
        <v>5.22</v>
      </c>
    </row>
    <row r="102" spans="1:9" x14ac:dyDescent="0.3">
      <c r="A102" t="s">
        <v>101</v>
      </c>
      <c r="B102" t="s">
        <v>19</v>
      </c>
      <c r="C102" t="s">
        <v>13</v>
      </c>
      <c r="D102" t="s">
        <v>9</v>
      </c>
      <c r="E102" t="s">
        <v>15</v>
      </c>
      <c r="F102">
        <v>1668.59</v>
      </c>
      <c r="G102">
        <f>INDEX(Operational[Production Volume (units)],MATCH(Emission8[[#This Row],[Facility ID]],Operational[Facility ID],0))</f>
        <v>39050</v>
      </c>
      <c r="H102">
        <f>INDEX(Operational[Energy Consumption (MWh)],MATCH(Emission8[[#This Row],[Facility ID]],Operational[Facility ID],0))</f>
        <v>5885.73</v>
      </c>
      <c r="I102">
        <f>INDEX(Operational[Waste (tons)],MATCH(Emission8[[#This Row],[Facility ID]],Operational[Facility ID],0))</f>
        <v>93.04</v>
      </c>
    </row>
    <row r="103" spans="1:9" x14ac:dyDescent="0.3">
      <c r="A103" t="s">
        <v>102</v>
      </c>
      <c r="B103" t="s">
        <v>19</v>
      </c>
      <c r="C103" t="s">
        <v>34</v>
      </c>
      <c r="D103" t="s">
        <v>14</v>
      </c>
      <c r="E103" t="s">
        <v>24</v>
      </c>
      <c r="F103">
        <v>3260.51</v>
      </c>
      <c r="G103">
        <f>INDEX(Operational[Production Volume (units)],MATCH(Emission8[[#This Row],[Facility ID]],Operational[Facility ID],0))</f>
        <v>86263</v>
      </c>
      <c r="H103">
        <f>INDEX(Operational[Energy Consumption (MWh)],MATCH(Emission8[[#This Row],[Facility ID]],Operational[Facility ID],0))</f>
        <v>3213.71</v>
      </c>
      <c r="I103">
        <f>INDEX(Operational[Waste (tons)],MATCH(Emission8[[#This Row],[Facility ID]],Operational[Facility ID],0))</f>
        <v>98.39</v>
      </c>
    </row>
    <row r="104" spans="1:9" x14ac:dyDescent="0.3">
      <c r="A104" t="s">
        <v>103</v>
      </c>
      <c r="B104" t="s">
        <v>19</v>
      </c>
      <c r="C104" t="s">
        <v>8</v>
      </c>
      <c r="D104" t="s">
        <v>14</v>
      </c>
      <c r="E104" t="s">
        <v>10</v>
      </c>
      <c r="F104">
        <v>2218.4699999999998</v>
      </c>
      <c r="G104">
        <f>INDEX(Operational[Production Volume (units)],MATCH(Emission8[[#This Row],[Facility ID]],Operational[Facility ID],0))</f>
        <v>38869</v>
      </c>
      <c r="H104">
        <f>INDEX(Operational[Energy Consumption (MWh)],MATCH(Emission8[[#This Row],[Facility ID]],Operational[Facility ID],0))</f>
        <v>5109.76</v>
      </c>
      <c r="I104">
        <f>INDEX(Operational[Waste (tons)],MATCH(Emission8[[#This Row],[Facility ID]],Operational[Facility ID],0))</f>
        <v>35.270000000000003</v>
      </c>
    </row>
    <row r="105" spans="1:9" x14ac:dyDescent="0.3">
      <c r="A105" t="s">
        <v>78</v>
      </c>
      <c r="B105" t="s">
        <v>7</v>
      </c>
      <c r="C105" t="s">
        <v>34</v>
      </c>
      <c r="D105" t="s">
        <v>14</v>
      </c>
      <c r="E105" t="s">
        <v>10</v>
      </c>
      <c r="F105">
        <v>479.85</v>
      </c>
      <c r="G105">
        <f>INDEX(Operational[Production Volume (units)],MATCH(Emission8[[#This Row],[Facility ID]],Operational[Facility ID],0))</f>
        <v>86557</v>
      </c>
      <c r="H105">
        <f>INDEX(Operational[Energy Consumption (MWh)],MATCH(Emission8[[#This Row],[Facility ID]],Operational[Facility ID],0))</f>
        <v>8631.2800000000007</v>
      </c>
      <c r="I105">
        <f>INDEX(Operational[Waste (tons)],MATCH(Emission8[[#This Row],[Facility ID]],Operational[Facility ID],0))</f>
        <v>69.53</v>
      </c>
    </row>
    <row r="106" spans="1:9" x14ac:dyDescent="0.3">
      <c r="A106" t="s">
        <v>104</v>
      </c>
      <c r="B106" t="s">
        <v>17</v>
      </c>
      <c r="C106" t="s">
        <v>8</v>
      </c>
      <c r="D106" t="s">
        <v>28</v>
      </c>
      <c r="E106" t="s">
        <v>15</v>
      </c>
      <c r="F106">
        <v>401.65</v>
      </c>
      <c r="G106">
        <f>INDEX(Operational[Production Volume (units)],MATCH(Emission8[[#This Row],[Facility ID]],Operational[Facility ID],0))</f>
        <v>16868</v>
      </c>
      <c r="H106">
        <f>INDEX(Operational[Energy Consumption (MWh)],MATCH(Emission8[[#This Row],[Facility ID]],Operational[Facility ID],0))</f>
        <v>1378.01</v>
      </c>
      <c r="I106">
        <f>INDEX(Operational[Waste (tons)],MATCH(Emission8[[#This Row],[Facility ID]],Operational[Facility ID],0))</f>
        <v>47.52</v>
      </c>
    </row>
    <row r="107" spans="1:9" x14ac:dyDescent="0.3">
      <c r="A107" t="s">
        <v>105</v>
      </c>
      <c r="B107" t="s">
        <v>30</v>
      </c>
      <c r="C107" t="s">
        <v>34</v>
      </c>
      <c r="D107" t="s">
        <v>28</v>
      </c>
      <c r="E107" t="s">
        <v>24</v>
      </c>
      <c r="F107">
        <v>4844.9399999999996</v>
      </c>
      <c r="G107">
        <f>INDEX(Operational[Production Volume (units)],MATCH(Emission8[[#This Row],[Facility ID]],Operational[Facility ID],0))</f>
        <v>87337</v>
      </c>
      <c r="H107">
        <f>INDEX(Operational[Energy Consumption (MWh)],MATCH(Emission8[[#This Row],[Facility ID]],Operational[Facility ID],0))</f>
        <v>3603.06</v>
      </c>
      <c r="I107">
        <f>INDEX(Operational[Waste (tons)],MATCH(Emission8[[#This Row],[Facility ID]],Operational[Facility ID],0))</f>
        <v>67.13</v>
      </c>
    </row>
    <row r="108" spans="1:9" x14ac:dyDescent="0.3">
      <c r="A108" t="s">
        <v>106</v>
      </c>
      <c r="B108" t="s">
        <v>12</v>
      </c>
      <c r="C108" t="s">
        <v>34</v>
      </c>
      <c r="D108" t="s">
        <v>14</v>
      </c>
      <c r="E108" t="s">
        <v>10</v>
      </c>
      <c r="F108">
        <v>1954.31</v>
      </c>
      <c r="G108">
        <f>INDEX(Operational[Production Volume (units)],MATCH(Emission8[[#This Row],[Facility ID]],Operational[Facility ID],0))</f>
        <v>21386</v>
      </c>
      <c r="H108">
        <f>INDEX(Operational[Energy Consumption (MWh)],MATCH(Emission8[[#This Row],[Facility ID]],Operational[Facility ID],0))</f>
        <v>2271.92</v>
      </c>
      <c r="I108">
        <f>INDEX(Operational[Waste (tons)],MATCH(Emission8[[#This Row],[Facility ID]],Operational[Facility ID],0))</f>
        <v>49.67</v>
      </c>
    </row>
    <row r="109" spans="1:9" x14ac:dyDescent="0.3">
      <c r="A109" t="s">
        <v>66</v>
      </c>
      <c r="B109" t="s">
        <v>30</v>
      </c>
      <c r="C109" t="s">
        <v>23</v>
      </c>
      <c r="D109" t="s">
        <v>28</v>
      </c>
      <c r="E109" t="s">
        <v>15</v>
      </c>
      <c r="F109">
        <v>2094.86</v>
      </c>
      <c r="G109">
        <f>INDEX(Operational[Production Volume (units)],MATCH(Emission8[[#This Row],[Facility ID]],Operational[Facility ID],0))</f>
        <v>98396</v>
      </c>
      <c r="H109">
        <f>INDEX(Operational[Energy Consumption (MWh)],MATCH(Emission8[[#This Row],[Facility ID]],Operational[Facility ID],0))</f>
        <v>5174.07</v>
      </c>
      <c r="I109">
        <f>INDEX(Operational[Waste (tons)],MATCH(Emission8[[#This Row],[Facility ID]],Operational[Facility ID],0))</f>
        <v>63.38</v>
      </c>
    </row>
    <row r="110" spans="1:9" x14ac:dyDescent="0.3">
      <c r="A110" t="s">
        <v>107</v>
      </c>
      <c r="B110" t="s">
        <v>30</v>
      </c>
      <c r="C110" t="s">
        <v>8</v>
      </c>
      <c r="D110" t="s">
        <v>28</v>
      </c>
      <c r="E110" t="s">
        <v>24</v>
      </c>
      <c r="F110">
        <v>3876.8</v>
      </c>
      <c r="G110">
        <f>INDEX(Operational[Production Volume (units)],MATCH(Emission8[[#This Row],[Facility ID]],Operational[Facility ID],0))</f>
        <v>69305</v>
      </c>
      <c r="H110">
        <f>INDEX(Operational[Energy Consumption (MWh)],MATCH(Emission8[[#This Row],[Facility ID]],Operational[Facility ID],0))</f>
        <v>3203.67</v>
      </c>
      <c r="I110">
        <f>INDEX(Operational[Waste (tons)],MATCH(Emission8[[#This Row],[Facility ID]],Operational[Facility ID],0))</f>
        <v>83.65</v>
      </c>
    </row>
    <row r="111" spans="1:9" x14ac:dyDescent="0.3">
      <c r="A111" t="s">
        <v>45</v>
      </c>
      <c r="B111" t="s">
        <v>7</v>
      </c>
      <c r="C111" t="s">
        <v>34</v>
      </c>
      <c r="D111" t="s">
        <v>28</v>
      </c>
      <c r="E111" t="s">
        <v>10</v>
      </c>
      <c r="F111">
        <v>3209.34</v>
      </c>
      <c r="G111">
        <f>INDEX(Operational[Production Volume (units)],MATCH(Emission8[[#This Row],[Facility ID]],Operational[Facility ID],0))</f>
        <v>49924</v>
      </c>
      <c r="H111">
        <f>INDEX(Operational[Energy Consumption (MWh)],MATCH(Emission8[[#This Row],[Facility ID]],Operational[Facility ID],0))</f>
        <v>2199.16</v>
      </c>
      <c r="I111">
        <f>INDEX(Operational[Waste (tons)],MATCH(Emission8[[#This Row],[Facility ID]],Operational[Facility ID],0))</f>
        <v>75.48</v>
      </c>
    </row>
    <row r="112" spans="1:9" x14ac:dyDescent="0.3">
      <c r="A112" t="s">
        <v>108</v>
      </c>
      <c r="B112" t="s">
        <v>7</v>
      </c>
      <c r="C112" t="s">
        <v>8</v>
      </c>
      <c r="D112" t="s">
        <v>28</v>
      </c>
      <c r="E112" t="s">
        <v>24</v>
      </c>
      <c r="F112">
        <v>1290.4100000000001</v>
      </c>
      <c r="G112">
        <f>INDEX(Operational[Production Volume (units)],MATCH(Emission8[[#This Row],[Facility ID]],Operational[Facility ID],0))</f>
        <v>22201</v>
      </c>
      <c r="H112">
        <f>INDEX(Operational[Energy Consumption (MWh)],MATCH(Emission8[[#This Row],[Facility ID]],Operational[Facility ID],0))</f>
        <v>2853.66</v>
      </c>
      <c r="I112">
        <f>INDEX(Operational[Waste (tons)],MATCH(Emission8[[#This Row],[Facility ID]],Operational[Facility ID],0))</f>
        <v>71.94</v>
      </c>
    </row>
    <row r="113" spans="1:9" x14ac:dyDescent="0.3">
      <c r="A113" t="s">
        <v>42</v>
      </c>
      <c r="B113" t="s">
        <v>30</v>
      </c>
      <c r="C113" t="s">
        <v>13</v>
      </c>
      <c r="D113" t="s">
        <v>14</v>
      </c>
      <c r="E113" t="s">
        <v>24</v>
      </c>
      <c r="F113">
        <v>3768.03</v>
      </c>
      <c r="G113">
        <f>INDEX(Operational[Production Volume (units)],MATCH(Emission8[[#This Row],[Facility ID]],Operational[Facility ID],0))</f>
        <v>41539</v>
      </c>
      <c r="H113">
        <f>INDEX(Operational[Energy Consumption (MWh)],MATCH(Emission8[[#This Row],[Facility ID]],Operational[Facility ID],0))</f>
        <v>982.8</v>
      </c>
      <c r="I113">
        <f>INDEX(Operational[Waste (tons)],MATCH(Emission8[[#This Row],[Facility ID]],Operational[Facility ID],0))</f>
        <v>79.7</v>
      </c>
    </row>
    <row r="114" spans="1:9" x14ac:dyDescent="0.3">
      <c r="A114" t="s">
        <v>109</v>
      </c>
      <c r="B114" t="s">
        <v>12</v>
      </c>
      <c r="C114" t="s">
        <v>8</v>
      </c>
      <c r="D114" t="s">
        <v>28</v>
      </c>
      <c r="E114" t="s">
        <v>10</v>
      </c>
      <c r="F114">
        <v>2209.6</v>
      </c>
      <c r="G114">
        <f>INDEX(Operational[Production Volume (units)],MATCH(Emission8[[#This Row],[Facility ID]],Operational[Facility ID],0))</f>
        <v>84721</v>
      </c>
      <c r="H114">
        <f>INDEX(Operational[Energy Consumption (MWh)],MATCH(Emission8[[#This Row],[Facility ID]],Operational[Facility ID],0))</f>
        <v>2278.9699999999998</v>
      </c>
      <c r="I114">
        <f>INDEX(Operational[Waste (tons)],MATCH(Emission8[[#This Row],[Facility ID]],Operational[Facility ID],0))</f>
        <v>68.53</v>
      </c>
    </row>
    <row r="115" spans="1:9" x14ac:dyDescent="0.3">
      <c r="A115" t="s">
        <v>110</v>
      </c>
      <c r="B115" t="s">
        <v>12</v>
      </c>
      <c r="C115" t="s">
        <v>34</v>
      </c>
      <c r="D115" t="s">
        <v>9</v>
      </c>
      <c r="E115" t="s">
        <v>24</v>
      </c>
      <c r="F115">
        <v>3789.17</v>
      </c>
      <c r="G115">
        <f>INDEX(Operational[Production Volume (units)],MATCH(Emission8[[#This Row],[Facility ID]],Operational[Facility ID],0))</f>
        <v>70481</v>
      </c>
      <c r="H115">
        <f>INDEX(Operational[Energy Consumption (MWh)],MATCH(Emission8[[#This Row],[Facility ID]],Operational[Facility ID],0))</f>
        <v>4452.83</v>
      </c>
      <c r="I115">
        <f>INDEX(Operational[Waste (tons)],MATCH(Emission8[[#This Row],[Facility ID]],Operational[Facility ID],0))</f>
        <v>91.26</v>
      </c>
    </row>
    <row r="116" spans="1:9" x14ac:dyDescent="0.3">
      <c r="A116" t="s">
        <v>111</v>
      </c>
      <c r="B116" t="s">
        <v>19</v>
      </c>
      <c r="C116" t="s">
        <v>8</v>
      </c>
      <c r="D116" t="s">
        <v>28</v>
      </c>
      <c r="E116" t="s">
        <v>10</v>
      </c>
      <c r="F116">
        <v>2970.05</v>
      </c>
      <c r="G116">
        <f>INDEX(Operational[Production Volume (units)],MATCH(Emission8[[#This Row],[Facility ID]],Operational[Facility ID],0))</f>
        <v>37309</v>
      </c>
      <c r="H116">
        <f>INDEX(Operational[Energy Consumption (MWh)],MATCH(Emission8[[#This Row],[Facility ID]],Operational[Facility ID],0))</f>
        <v>4508.54</v>
      </c>
      <c r="I116">
        <f>INDEX(Operational[Waste (tons)],MATCH(Emission8[[#This Row],[Facility ID]],Operational[Facility ID],0))</f>
        <v>47.15</v>
      </c>
    </row>
    <row r="117" spans="1:9" x14ac:dyDescent="0.3">
      <c r="A117" t="s">
        <v>112</v>
      </c>
      <c r="B117" t="s">
        <v>30</v>
      </c>
      <c r="C117" t="s">
        <v>23</v>
      </c>
      <c r="D117" t="s">
        <v>28</v>
      </c>
      <c r="E117" t="s">
        <v>10</v>
      </c>
      <c r="F117">
        <v>1858.31</v>
      </c>
      <c r="G117">
        <f>INDEX(Operational[Production Volume (units)],MATCH(Emission8[[#This Row],[Facility ID]],Operational[Facility ID],0))</f>
        <v>43294</v>
      </c>
      <c r="H117">
        <f>INDEX(Operational[Energy Consumption (MWh)],MATCH(Emission8[[#This Row],[Facility ID]],Operational[Facility ID],0))</f>
        <v>3802.13</v>
      </c>
      <c r="I117">
        <f>INDEX(Operational[Waste (tons)],MATCH(Emission8[[#This Row],[Facility ID]],Operational[Facility ID],0))</f>
        <v>45.84</v>
      </c>
    </row>
    <row r="118" spans="1:9" x14ac:dyDescent="0.3">
      <c r="A118" t="s">
        <v>62</v>
      </c>
      <c r="B118" t="s">
        <v>30</v>
      </c>
      <c r="C118" t="s">
        <v>8</v>
      </c>
      <c r="D118" t="s">
        <v>9</v>
      </c>
      <c r="E118" t="s">
        <v>10</v>
      </c>
      <c r="F118">
        <v>3702.95</v>
      </c>
      <c r="G118">
        <f>INDEX(Operational[Production Volume (units)],MATCH(Emission8[[#This Row],[Facility ID]],Operational[Facility ID],0))</f>
        <v>22309</v>
      </c>
      <c r="H118">
        <f>INDEX(Operational[Energy Consumption (MWh)],MATCH(Emission8[[#This Row],[Facility ID]],Operational[Facility ID],0))</f>
        <v>3656.29</v>
      </c>
      <c r="I118">
        <f>INDEX(Operational[Waste (tons)],MATCH(Emission8[[#This Row],[Facility ID]],Operational[Facility ID],0))</f>
        <v>75.25</v>
      </c>
    </row>
    <row r="119" spans="1:9" x14ac:dyDescent="0.3">
      <c r="A119" t="s">
        <v>113</v>
      </c>
      <c r="B119" t="s">
        <v>30</v>
      </c>
      <c r="C119" t="s">
        <v>23</v>
      </c>
      <c r="D119" t="s">
        <v>28</v>
      </c>
      <c r="E119" t="s">
        <v>10</v>
      </c>
      <c r="F119">
        <v>3276</v>
      </c>
      <c r="G119">
        <f>INDEX(Operational[Production Volume (units)],MATCH(Emission8[[#This Row],[Facility ID]],Operational[Facility ID],0))</f>
        <v>90679</v>
      </c>
      <c r="H119">
        <f>INDEX(Operational[Energy Consumption (MWh)],MATCH(Emission8[[#This Row],[Facility ID]],Operational[Facility ID],0))</f>
        <v>7266.82</v>
      </c>
      <c r="I119">
        <f>INDEX(Operational[Waste (tons)],MATCH(Emission8[[#This Row],[Facility ID]],Operational[Facility ID],0))</f>
        <v>23.3</v>
      </c>
    </row>
    <row r="120" spans="1:9" x14ac:dyDescent="0.3">
      <c r="A120" t="s">
        <v>114</v>
      </c>
      <c r="B120" t="s">
        <v>30</v>
      </c>
      <c r="C120" t="s">
        <v>8</v>
      </c>
      <c r="D120" t="s">
        <v>14</v>
      </c>
      <c r="E120" t="s">
        <v>24</v>
      </c>
      <c r="F120">
        <v>526.37</v>
      </c>
      <c r="G120">
        <f>INDEX(Operational[Production Volume (units)],MATCH(Emission8[[#This Row],[Facility ID]],Operational[Facility ID],0))</f>
        <v>29264</v>
      </c>
      <c r="H120">
        <f>INDEX(Operational[Energy Consumption (MWh)],MATCH(Emission8[[#This Row],[Facility ID]],Operational[Facility ID],0))</f>
        <v>8362.7199999999993</v>
      </c>
      <c r="I120">
        <f>INDEX(Operational[Waste (tons)],MATCH(Emission8[[#This Row],[Facility ID]],Operational[Facility ID],0))</f>
        <v>61.93</v>
      </c>
    </row>
    <row r="121" spans="1:9" x14ac:dyDescent="0.3">
      <c r="A121" t="s">
        <v>115</v>
      </c>
      <c r="B121" t="s">
        <v>19</v>
      </c>
      <c r="C121" t="s">
        <v>13</v>
      </c>
      <c r="D121" t="s">
        <v>14</v>
      </c>
      <c r="E121" t="s">
        <v>10</v>
      </c>
      <c r="F121">
        <v>445.6</v>
      </c>
      <c r="G121">
        <f>INDEX(Operational[Production Volume (units)],MATCH(Emission8[[#This Row],[Facility ID]],Operational[Facility ID],0))</f>
        <v>17162</v>
      </c>
      <c r="H121">
        <f>INDEX(Operational[Energy Consumption (MWh)],MATCH(Emission8[[#This Row],[Facility ID]],Operational[Facility ID],0))</f>
        <v>5079.95</v>
      </c>
      <c r="I121">
        <f>INDEX(Operational[Waste (tons)],MATCH(Emission8[[#This Row],[Facility ID]],Operational[Facility ID],0))</f>
        <v>19.239999999999998</v>
      </c>
    </row>
    <row r="122" spans="1:9" x14ac:dyDescent="0.3">
      <c r="A122" t="s">
        <v>116</v>
      </c>
      <c r="B122" t="s">
        <v>17</v>
      </c>
      <c r="C122" t="s">
        <v>34</v>
      </c>
      <c r="D122" t="s">
        <v>9</v>
      </c>
      <c r="E122" t="s">
        <v>15</v>
      </c>
      <c r="F122">
        <v>4486.2700000000004</v>
      </c>
      <c r="G122">
        <f>INDEX(Operational[Production Volume (units)],MATCH(Emission8[[#This Row],[Facility ID]],Operational[Facility ID],0))</f>
        <v>68216</v>
      </c>
      <c r="H122">
        <f>INDEX(Operational[Energy Consumption (MWh)],MATCH(Emission8[[#This Row],[Facility ID]],Operational[Facility ID],0))</f>
        <v>9562.33</v>
      </c>
      <c r="I122">
        <f>INDEX(Operational[Waste (tons)],MATCH(Emission8[[#This Row],[Facility ID]],Operational[Facility ID],0))</f>
        <v>63.59</v>
      </c>
    </row>
    <row r="123" spans="1:9" x14ac:dyDescent="0.3">
      <c r="A123" t="s">
        <v>111</v>
      </c>
      <c r="B123" t="s">
        <v>19</v>
      </c>
      <c r="C123" t="s">
        <v>13</v>
      </c>
      <c r="D123" t="s">
        <v>9</v>
      </c>
      <c r="E123" t="s">
        <v>15</v>
      </c>
      <c r="F123">
        <v>1770.54</v>
      </c>
      <c r="G123">
        <f>INDEX(Operational[Production Volume (units)],MATCH(Emission8[[#This Row],[Facility ID]],Operational[Facility ID],0))</f>
        <v>37309</v>
      </c>
      <c r="H123">
        <f>INDEX(Operational[Energy Consumption (MWh)],MATCH(Emission8[[#This Row],[Facility ID]],Operational[Facility ID],0))</f>
        <v>4508.54</v>
      </c>
      <c r="I123">
        <f>INDEX(Operational[Waste (tons)],MATCH(Emission8[[#This Row],[Facility ID]],Operational[Facility ID],0))</f>
        <v>47.15</v>
      </c>
    </row>
    <row r="124" spans="1:9" x14ac:dyDescent="0.3">
      <c r="A124" t="s">
        <v>102</v>
      </c>
      <c r="B124" t="s">
        <v>19</v>
      </c>
      <c r="C124" t="s">
        <v>34</v>
      </c>
      <c r="D124" t="s">
        <v>9</v>
      </c>
      <c r="E124" t="s">
        <v>24</v>
      </c>
      <c r="F124">
        <v>2762.19</v>
      </c>
      <c r="G124">
        <f>INDEX(Operational[Production Volume (units)],MATCH(Emission8[[#This Row],[Facility ID]],Operational[Facility ID],0))</f>
        <v>86263</v>
      </c>
      <c r="H124">
        <f>INDEX(Operational[Energy Consumption (MWh)],MATCH(Emission8[[#This Row],[Facility ID]],Operational[Facility ID],0))</f>
        <v>3213.71</v>
      </c>
      <c r="I124">
        <f>INDEX(Operational[Waste (tons)],MATCH(Emission8[[#This Row],[Facility ID]],Operational[Facility ID],0))</f>
        <v>98.39</v>
      </c>
    </row>
    <row r="125" spans="1:9" x14ac:dyDescent="0.3">
      <c r="A125" t="s">
        <v>50</v>
      </c>
      <c r="B125" t="s">
        <v>19</v>
      </c>
      <c r="C125" t="s">
        <v>34</v>
      </c>
      <c r="D125" t="s">
        <v>14</v>
      </c>
      <c r="E125" t="s">
        <v>15</v>
      </c>
      <c r="F125">
        <v>1531.3</v>
      </c>
      <c r="G125">
        <f>INDEX(Operational[Production Volume (units)],MATCH(Emission8[[#This Row],[Facility ID]],Operational[Facility ID],0))</f>
        <v>40577</v>
      </c>
      <c r="H125">
        <f>INDEX(Operational[Energy Consumption (MWh)],MATCH(Emission8[[#This Row],[Facility ID]],Operational[Facility ID],0))</f>
        <v>4280.82</v>
      </c>
      <c r="I125">
        <f>INDEX(Operational[Waste (tons)],MATCH(Emission8[[#This Row],[Facility ID]],Operational[Facility ID],0))</f>
        <v>79.88</v>
      </c>
    </row>
    <row r="126" spans="1:9" x14ac:dyDescent="0.3">
      <c r="A126" t="s">
        <v>86</v>
      </c>
      <c r="B126" t="s">
        <v>19</v>
      </c>
      <c r="C126" t="s">
        <v>34</v>
      </c>
      <c r="D126" t="s">
        <v>9</v>
      </c>
      <c r="E126" t="s">
        <v>15</v>
      </c>
      <c r="F126">
        <v>4453.37</v>
      </c>
      <c r="G126">
        <f>INDEX(Operational[Production Volume (units)],MATCH(Emission8[[#This Row],[Facility ID]],Operational[Facility ID],0))</f>
        <v>56531</v>
      </c>
      <c r="H126">
        <f>INDEX(Operational[Energy Consumption (MWh)],MATCH(Emission8[[#This Row],[Facility ID]],Operational[Facility ID],0))</f>
        <v>8958.07</v>
      </c>
      <c r="I126">
        <f>INDEX(Operational[Waste (tons)],MATCH(Emission8[[#This Row],[Facility ID]],Operational[Facility ID],0))</f>
        <v>83.44</v>
      </c>
    </row>
    <row r="127" spans="1:9" x14ac:dyDescent="0.3">
      <c r="A127" t="s">
        <v>71</v>
      </c>
      <c r="B127" t="s">
        <v>7</v>
      </c>
      <c r="C127" t="s">
        <v>23</v>
      </c>
      <c r="D127" t="s">
        <v>28</v>
      </c>
      <c r="E127" t="s">
        <v>10</v>
      </c>
      <c r="F127">
        <v>4934.5600000000004</v>
      </c>
      <c r="G127">
        <f>INDEX(Operational[Production Volume (units)],MATCH(Emission8[[#This Row],[Facility ID]],Operational[Facility ID],0))</f>
        <v>68018</v>
      </c>
      <c r="H127">
        <f>INDEX(Operational[Energy Consumption (MWh)],MATCH(Emission8[[#This Row],[Facility ID]],Operational[Facility ID],0))</f>
        <v>3523.4</v>
      </c>
      <c r="I127">
        <f>INDEX(Operational[Waste (tons)],MATCH(Emission8[[#This Row],[Facility ID]],Operational[Facility ID],0))</f>
        <v>92.26</v>
      </c>
    </row>
    <row r="128" spans="1:9" x14ac:dyDescent="0.3">
      <c r="A128" t="s">
        <v>117</v>
      </c>
      <c r="B128" t="s">
        <v>7</v>
      </c>
      <c r="C128" t="s">
        <v>13</v>
      </c>
      <c r="D128" t="s">
        <v>14</v>
      </c>
      <c r="E128" t="s">
        <v>10</v>
      </c>
      <c r="F128">
        <v>1164.7</v>
      </c>
      <c r="G128">
        <f>INDEX(Operational[Production Volume (units)],MATCH(Emission8[[#This Row],[Facility ID]],Operational[Facility ID],0))</f>
        <v>89321</v>
      </c>
      <c r="H128">
        <f>INDEX(Operational[Energy Consumption (MWh)],MATCH(Emission8[[#This Row],[Facility ID]],Operational[Facility ID],0))</f>
        <v>9836.34</v>
      </c>
      <c r="I128">
        <f>INDEX(Operational[Waste (tons)],MATCH(Emission8[[#This Row],[Facility ID]],Operational[Facility ID],0))</f>
        <v>16.989999999999998</v>
      </c>
    </row>
    <row r="129" spans="1:9" x14ac:dyDescent="0.3">
      <c r="A129" t="s">
        <v>118</v>
      </c>
      <c r="B129" t="s">
        <v>30</v>
      </c>
      <c r="C129" t="s">
        <v>13</v>
      </c>
      <c r="D129" t="s">
        <v>14</v>
      </c>
      <c r="E129" t="s">
        <v>24</v>
      </c>
      <c r="F129">
        <v>2732.08</v>
      </c>
      <c r="G129">
        <f>INDEX(Operational[Production Volume (units)],MATCH(Emission8[[#This Row],[Facility ID]],Operational[Facility ID],0))</f>
        <v>68492</v>
      </c>
      <c r="H129">
        <f>INDEX(Operational[Energy Consumption (MWh)],MATCH(Emission8[[#This Row],[Facility ID]],Operational[Facility ID],0))</f>
        <v>3533.88</v>
      </c>
      <c r="I129">
        <f>INDEX(Operational[Waste (tons)],MATCH(Emission8[[#This Row],[Facility ID]],Operational[Facility ID],0))</f>
        <v>52.99</v>
      </c>
    </row>
    <row r="130" spans="1:9" x14ac:dyDescent="0.3">
      <c r="A130" t="s">
        <v>84</v>
      </c>
      <c r="B130" t="s">
        <v>30</v>
      </c>
      <c r="C130" t="s">
        <v>13</v>
      </c>
      <c r="D130" t="s">
        <v>9</v>
      </c>
      <c r="E130" t="s">
        <v>10</v>
      </c>
      <c r="F130">
        <v>3114.5</v>
      </c>
      <c r="G130">
        <f>INDEX(Operational[Production Volume (units)],MATCH(Emission8[[#This Row],[Facility ID]],Operational[Facility ID],0))</f>
        <v>85444</v>
      </c>
      <c r="H130">
        <f>INDEX(Operational[Energy Consumption (MWh)],MATCH(Emission8[[#This Row],[Facility ID]],Operational[Facility ID],0))</f>
        <v>852.57</v>
      </c>
      <c r="I130">
        <f>INDEX(Operational[Waste (tons)],MATCH(Emission8[[#This Row],[Facility ID]],Operational[Facility ID],0))</f>
        <v>72.650000000000006</v>
      </c>
    </row>
    <row r="131" spans="1:9" x14ac:dyDescent="0.3">
      <c r="A131" t="s">
        <v>119</v>
      </c>
      <c r="B131" t="s">
        <v>30</v>
      </c>
      <c r="C131" t="s">
        <v>23</v>
      </c>
      <c r="D131" t="s">
        <v>14</v>
      </c>
      <c r="E131" t="s">
        <v>10</v>
      </c>
      <c r="F131">
        <v>3329.18</v>
      </c>
      <c r="G131">
        <f>INDEX(Operational[Production Volume (units)],MATCH(Emission8[[#This Row],[Facility ID]],Operational[Facility ID],0))</f>
        <v>80488</v>
      </c>
      <c r="H131">
        <f>INDEX(Operational[Energy Consumption (MWh)],MATCH(Emission8[[#This Row],[Facility ID]],Operational[Facility ID],0))</f>
        <v>7629.95</v>
      </c>
      <c r="I131">
        <f>INDEX(Operational[Waste (tons)],MATCH(Emission8[[#This Row],[Facility ID]],Operational[Facility ID],0))</f>
        <v>63.83</v>
      </c>
    </row>
    <row r="132" spans="1:9" x14ac:dyDescent="0.3">
      <c r="A132" t="s">
        <v>120</v>
      </c>
      <c r="B132" t="s">
        <v>30</v>
      </c>
      <c r="C132" t="s">
        <v>23</v>
      </c>
      <c r="D132" t="s">
        <v>28</v>
      </c>
      <c r="E132" t="s">
        <v>10</v>
      </c>
      <c r="F132">
        <v>3195.93</v>
      </c>
      <c r="G132">
        <f>INDEX(Operational[Production Volume (units)],MATCH(Emission8[[#This Row],[Facility ID]],Operational[Facility ID],0))</f>
        <v>79495</v>
      </c>
      <c r="H132">
        <f>INDEX(Operational[Energy Consumption (MWh)],MATCH(Emission8[[#This Row],[Facility ID]],Operational[Facility ID],0))</f>
        <v>7157.48</v>
      </c>
      <c r="I132">
        <f>INDEX(Operational[Waste (tons)],MATCH(Emission8[[#This Row],[Facility ID]],Operational[Facility ID],0))</f>
        <v>26.84</v>
      </c>
    </row>
    <row r="133" spans="1:9" x14ac:dyDescent="0.3">
      <c r="A133" t="s">
        <v>91</v>
      </c>
      <c r="B133" t="s">
        <v>30</v>
      </c>
      <c r="C133" t="s">
        <v>8</v>
      </c>
      <c r="D133" t="s">
        <v>28</v>
      </c>
      <c r="E133" t="s">
        <v>15</v>
      </c>
      <c r="F133">
        <v>1246.5</v>
      </c>
      <c r="G133">
        <f>INDEX(Operational[Production Volume (units)],MATCH(Emission8[[#This Row],[Facility ID]],Operational[Facility ID],0))</f>
        <v>20207</v>
      </c>
      <c r="H133">
        <f>INDEX(Operational[Energy Consumption (MWh)],MATCH(Emission8[[#This Row],[Facility ID]],Operational[Facility ID],0))</f>
        <v>5369.46</v>
      </c>
      <c r="I133">
        <f>INDEX(Operational[Waste (tons)],MATCH(Emission8[[#This Row],[Facility ID]],Operational[Facility ID],0))</f>
        <v>57.51</v>
      </c>
    </row>
    <row r="134" spans="1:9" x14ac:dyDescent="0.3">
      <c r="A134" t="s">
        <v>121</v>
      </c>
      <c r="B134" t="s">
        <v>30</v>
      </c>
      <c r="C134" t="s">
        <v>8</v>
      </c>
      <c r="D134" t="s">
        <v>28</v>
      </c>
      <c r="E134" t="s">
        <v>10</v>
      </c>
      <c r="F134">
        <v>2737.6</v>
      </c>
      <c r="G134">
        <f>INDEX(Operational[Production Volume (units)],MATCH(Emission8[[#This Row],[Facility ID]],Operational[Facility ID],0))</f>
        <v>58895</v>
      </c>
      <c r="H134">
        <f>INDEX(Operational[Energy Consumption (MWh)],MATCH(Emission8[[#This Row],[Facility ID]],Operational[Facility ID],0))</f>
        <v>3039.17</v>
      </c>
      <c r="I134">
        <f>INDEX(Operational[Waste (tons)],MATCH(Emission8[[#This Row],[Facility ID]],Operational[Facility ID],0))</f>
        <v>59.82</v>
      </c>
    </row>
    <row r="135" spans="1:9" x14ac:dyDescent="0.3">
      <c r="A135" t="s">
        <v>122</v>
      </c>
      <c r="B135" t="s">
        <v>19</v>
      </c>
      <c r="C135" t="s">
        <v>34</v>
      </c>
      <c r="D135" t="s">
        <v>28</v>
      </c>
      <c r="E135" t="s">
        <v>15</v>
      </c>
      <c r="F135">
        <v>1722.2</v>
      </c>
      <c r="G135">
        <f>INDEX(Operational[Production Volume (units)],MATCH(Emission8[[#This Row],[Facility ID]],Operational[Facility ID],0))</f>
        <v>95962</v>
      </c>
      <c r="H135">
        <f>INDEX(Operational[Energy Consumption (MWh)],MATCH(Emission8[[#This Row],[Facility ID]],Operational[Facility ID],0))</f>
        <v>524.72</v>
      </c>
      <c r="I135">
        <f>INDEX(Operational[Waste (tons)],MATCH(Emission8[[#This Row],[Facility ID]],Operational[Facility ID],0))</f>
        <v>49.55</v>
      </c>
    </row>
    <row r="136" spans="1:9" x14ac:dyDescent="0.3">
      <c r="A136" t="s">
        <v>123</v>
      </c>
      <c r="B136" t="s">
        <v>30</v>
      </c>
      <c r="C136" t="s">
        <v>8</v>
      </c>
      <c r="D136" t="s">
        <v>14</v>
      </c>
      <c r="E136" t="s">
        <v>15</v>
      </c>
      <c r="F136">
        <v>4036.12</v>
      </c>
      <c r="G136">
        <f>INDEX(Operational[Production Volume (units)],MATCH(Emission8[[#This Row],[Facility ID]],Operational[Facility ID],0))</f>
        <v>73977</v>
      </c>
      <c r="H136">
        <f>INDEX(Operational[Energy Consumption (MWh)],MATCH(Emission8[[#This Row],[Facility ID]],Operational[Facility ID],0))</f>
        <v>1646.75</v>
      </c>
      <c r="I136">
        <f>INDEX(Operational[Waste (tons)],MATCH(Emission8[[#This Row],[Facility ID]],Operational[Facility ID],0))</f>
        <v>43.77</v>
      </c>
    </row>
    <row r="137" spans="1:9" x14ac:dyDescent="0.3">
      <c r="A137" t="s">
        <v>124</v>
      </c>
      <c r="B137" t="s">
        <v>12</v>
      </c>
      <c r="C137" t="s">
        <v>23</v>
      </c>
      <c r="D137" t="s">
        <v>28</v>
      </c>
      <c r="E137" t="s">
        <v>10</v>
      </c>
      <c r="F137">
        <v>897.74</v>
      </c>
      <c r="G137">
        <f>INDEX(Operational[Production Volume (units)],MATCH(Emission8[[#This Row],[Facility ID]],Operational[Facility ID],0))</f>
        <v>47491</v>
      </c>
      <c r="H137">
        <f>INDEX(Operational[Energy Consumption (MWh)],MATCH(Emission8[[#This Row],[Facility ID]],Operational[Facility ID],0))</f>
        <v>5781.05</v>
      </c>
      <c r="I137">
        <f>INDEX(Operational[Waste (tons)],MATCH(Emission8[[#This Row],[Facility ID]],Operational[Facility ID],0))</f>
        <v>92.18</v>
      </c>
    </row>
    <row r="138" spans="1:9" x14ac:dyDescent="0.3">
      <c r="A138" t="s">
        <v>125</v>
      </c>
      <c r="B138" t="s">
        <v>7</v>
      </c>
      <c r="C138" t="s">
        <v>23</v>
      </c>
      <c r="D138" t="s">
        <v>14</v>
      </c>
      <c r="E138" t="s">
        <v>10</v>
      </c>
      <c r="F138">
        <v>1853.54</v>
      </c>
      <c r="G138">
        <f>INDEX(Operational[Production Volume (units)],MATCH(Emission8[[#This Row],[Facility ID]],Operational[Facility ID],0))</f>
        <v>56392</v>
      </c>
      <c r="H138">
        <f>INDEX(Operational[Energy Consumption (MWh)],MATCH(Emission8[[#This Row],[Facility ID]],Operational[Facility ID],0))</f>
        <v>5703.76</v>
      </c>
      <c r="I138">
        <f>INDEX(Operational[Waste (tons)],MATCH(Emission8[[#This Row],[Facility ID]],Operational[Facility ID],0))</f>
        <v>23.04</v>
      </c>
    </row>
    <row r="139" spans="1:9" x14ac:dyDescent="0.3">
      <c r="A139" t="s">
        <v>121</v>
      </c>
      <c r="B139" t="s">
        <v>30</v>
      </c>
      <c r="C139" t="s">
        <v>34</v>
      </c>
      <c r="D139" t="s">
        <v>14</v>
      </c>
      <c r="E139" t="s">
        <v>15</v>
      </c>
      <c r="F139">
        <v>4674.16</v>
      </c>
      <c r="G139">
        <f>INDEX(Operational[Production Volume (units)],MATCH(Emission8[[#This Row],[Facility ID]],Operational[Facility ID],0))</f>
        <v>58895</v>
      </c>
      <c r="H139">
        <f>INDEX(Operational[Energy Consumption (MWh)],MATCH(Emission8[[#This Row],[Facility ID]],Operational[Facility ID],0))</f>
        <v>3039.17</v>
      </c>
      <c r="I139">
        <f>INDEX(Operational[Waste (tons)],MATCH(Emission8[[#This Row],[Facility ID]],Operational[Facility ID],0))</f>
        <v>59.82</v>
      </c>
    </row>
    <row r="140" spans="1:9" x14ac:dyDescent="0.3">
      <c r="A140" t="s">
        <v>123</v>
      </c>
      <c r="B140" t="s">
        <v>30</v>
      </c>
      <c r="C140" t="s">
        <v>13</v>
      </c>
      <c r="D140" t="s">
        <v>9</v>
      </c>
      <c r="E140" t="s">
        <v>15</v>
      </c>
      <c r="F140">
        <v>4723.6000000000004</v>
      </c>
      <c r="G140">
        <f>INDEX(Operational[Production Volume (units)],MATCH(Emission8[[#This Row],[Facility ID]],Operational[Facility ID],0))</f>
        <v>73977</v>
      </c>
      <c r="H140">
        <f>INDEX(Operational[Energy Consumption (MWh)],MATCH(Emission8[[#This Row],[Facility ID]],Operational[Facility ID],0))</f>
        <v>1646.75</v>
      </c>
      <c r="I140">
        <f>INDEX(Operational[Waste (tons)],MATCH(Emission8[[#This Row],[Facility ID]],Operational[Facility ID],0))</f>
        <v>43.77</v>
      </c>
    </row>
    <row r="141" spans="1:9" x14ac:dyDescent="0.3">
      <c r="A141" t="s">
        <v>117</v>
      </c>
      <c r="B141" t="s">
        <v>7</v>
      </c>
      <c r="C141" t="s">
        <v>23</v>
      </c>
      <c r="D141" t="s">
        <v>9</v>
      </c>
      <c r="E141" t="s">
        <v>10</v>
      </c>
      <c r="F141">
        <v>3244.21</v>
      </c>
      <c r="G141">
        <f>INDEX(Operational[Production Volume (units)],MATCH(Emission8[[#This Row],[Facility ID]],Operational[Facility ID],0))</f>
        <v>89321</v>
      </c>
      <c r="H141">
        <f>INDEX(Operational[Energy Consumption (MWh)],MATCH(Emission8[[#This Row],[Facility ID]],Operational[Facility ID],0))</f>
        <v>9836.34</v>
      </c>
      <c r="I141">
        <f>INDEX(Operational[Waste (tons)],MATCH(Emission8[[#This Row],[Facility ID]],Operational[Facility ID],0))</f>
        <v>16.989999999999998</v>
      </c>
    </row>
    <row r="142" spans="1:9" x14ac:dyDescent="0.3">
      <c r="A142" t="s">
        <v>18</v>
      </c>
      <c r="B142" t="s">
        <v>19</v>
      </c>
      <c r="C142" t="s">
        <v>13</v>
      </c>
      <c r="D142" t="s">
        <v>14</v>
      </c>
      <c r="E142" t="s">
        <v>24</v>
      </c>
      <c r="F142">
        <v>980.22</v>
      </c>
      <c r="G142">
        <f>INDEX(Operational[Production Volume (units)],MATCH(Emission8[[#This Row],[Facility ID]],Operational[Facility ID],0))</f>
        <v>98682</v>
      </c>
      <c r="H142">
        <f>INDEX(Operational[Energy Consumption (MWh)],MATCH(Emission8[[#This Row],[Facility ID]],Operational[Facility ID],0))</f>
        <v>6220.56</v>
      </c>
      <c r="I142">
        <f>INDEX(Operational[Waste (tons)],MATCH(Emission8[[#This Row],[Facility ID]],Operational[Facility ID],0))</f>
        <v>70.099999999999994</v>
      </c>
    </row>
    <row r="143" spans="1:9" x14ac:dyDescent="0.3">
      <c r="A143" t="s">
        <v>126</v>
      </c>
      <c r="B143" t="s">
        <v>30</v>
      </c>
      <c r="C143" t="s">
        <v>8</v>
      </c>
      <c r="D143" t="s">
        <v>28</v>
      </c>
      <c r="E143" t="s">
        <v>15</v>
      </c>
      <c r="F143">
        <v>4810.13</v>
      </c>
      <c r="G143">
        <f>INDEX(Operational[Production Volume (units)],MATCH(Emission8[[#This Row],[Facility ID]],Operational[Facility ID],0))</f>
        <v>35506</v>
      </c>
      <c r="H143">
        <f>INDEX(Operational[Energy Consumption (MWh)],MATCH(Emission8[[#This Row],[Facility ID]],Operational[Facility ID],0))</f>
        <v>1892.04</v>
      </c>
      <c r="I143">
        <f>INDEX(Operational[Waste (tons)],MATCH(Emission8[[#This Row],[Facility ID]],Operational[Facility ID],0))</f>
        <v>61.53</v>
      </c>
    </row>
    <row r="144" spans="1:9" x14ac:dyDescent="0.3">
      <c r="A144" t="s">
        <v>127</v>
      </c>
      <c r="B144" t="s">
        <v>17</v>
      </c>
      <c r="C144" t="s">
        <v>23</v>
      </c>
      <c r="D144" t="s">
        <v>28</v>
      </c>
      <c r="E144" t="s">
        <v>24</v>
      </c>
      <c r="F144">
        <v>3868.27</v>
      </c>
      <c r="G144">
        <f>INDEX(Operational[Production Volume (units)],MATCH(Emission8[[#This Row],[Facility ID]],Operational[Facility ID],0))</f>
        <v>17416</v>
      </c>
      <c r="H144">
        <f>INDEX(Operational[Energy Consumption (MWh)],MATCH(Emission8[[#This Row],[Facility ID]],Operational[Facility ID],0))</f>
        <v>812.06</v>
      </c>
      <c r="I144">
        <f>INDEX(Operational[Waste (tons)],MATCH(Emission8[[#This Row],[Facility ID]],Operational[Facility ID],0))</f>
        <v>5.7</v>
      </c>
    </row>
    <row r="145" spans="1:9" x14ac:dyDescent="0.3">
      <c r="A145" t="s">
        <v>114</v>
      </c>
      <c r="B145" t="s">
        <v>30</v>
      </c>
      <c r="C145" t="s">
        <v>8</v>
      </c>
      <c r="D145" t="s">
        <v>28</v>
      </c>
      <c r="E145" t="s">
        <v>24</v>
      </c>
      <c r="F145">
        <v>714.41</v>
      </c>
      <c r="G145">
        <f>INDEX(Operational[Production Volume (units)],MATCH(Emission8[[#This Row],[Facility ID]],Operational[Facility ID],0))</f>
        <v>29264</v>
      </c>
      <c r="H145">
        <f>INDEX(Operational[Energy Consumption (MWh)],MATCH(Emission8[[#This Row],[Facility ID]],Operational[Facility ID],0))</f>
        <v>8362.7199999999993</v>
      </c>
      <c r="I145">
        <f>INDEX(Operational[Waste (tons)],MATCH(Emission8[[#This Row],[Facility ID]],Operational[Facility ID],0))</f>
        <v>61.93</v>
      </c>
    </row>
    <row r="146" spans="1:9" x14ac:dyDescent="0.3">
      <c r="A146" t="s">
        <v>117</v>
      </c>
      <c r="B146" t="s">
        <v>7</v>
      </c>
      <c r="C146" t="s">
        <v>13</v>
      </c>
      <c r="D146" t="s">
        <v>9</v>
      </c>
      <c r="E146" t="s">
        <v>10</v>
      </c>
      <c r="F146">
        <v>1121.06</v>
      </c>
      <c r="G146">
        <f>INDEX(Operational[Production Volume (units)],MATCH(Emission8[[#This Row],[Facility ID]],Operational[Facility ID],0))</f>
        <v>89321</v>
      </c>
      <c r="H146">
        <f>INDEX(Operational[Energy Consumption (MWh)],MATCH(Emission8[[#This Row],[Facility ID]],Operational[Facility ID],0))</f>
        <v>9836.34</v>
      </c>
      <c r="I146">
        <f>INDEX(Operational[Waste (tons)],MATCH(Emission8[[#This Row],[Facility ID]],Operational[Facility ID],0))</f>
        <v>16.989999999999998</v>
      </c>
    </row>
    <row r="147" spans="1:9" x14ac:dyDescent="0.3">
      <c r="A147" t="s">
        <v>128</v>
      </c>
      <c r="B147" t="s">
        <v>12</v>
      </c>
      <c r="C147" t="s">
        <v>13</v>
      </c>
      <c r="D147" t="s">
        <v>9</v>
      </c>
      <c r="E147" t="s">
        <v>24</v>
      </c>
      <c r="F147">
        <v>1645.67</v>
      </c>
      <c r="G147">
        <f>INDEX(Operational[Production Volume (units)],MATCH(Emission8[[#This Row],[Facility ID]],Operational[Facility ID],0))</f>
        <v>29406</v>
      </c>
      <c r="H147">
        <f>INDEX(Operational[Energy Consumption (MWh)],MATCH(Emission8[[#This Row],[Facility ID]],Operational[Facility ID],0))</f>
        <v>5281.69</v>
      </c>
      <c r="I147">
        <f>INDEX(Operational[Waste (tons)],MATCH(Emission8[[#This Row],[Facility ID]],Operational[Facility ID],0))</f>
        <v>27.01</v>
      </c>
    </row>
    <row r="148" spans="1:9" x14ac:dyDescent="0.3">
      <c r="A148" t="s">
        <v>129</v>
      </c>
      <c r="B148" t="s">
        <v>17</v>
      </c>
      <c r="C148" t="s">
        <v>34</v>
      </c>
      <c r="D148" t="s">
        <v>9</v>
      </c>
      <c r="E148" t="s">
        <v>15</v>
      </c>
      <c r="F148">
        <v>3519.74</v>
      </c>
      <c r="G148">
        <f>INDEX(Operational[Production Volume (units)],MATCH(Emission8[[#This Row],[Facility ID]],Operational[Facility ID],0))</f>
        <v>95292</v>
      </c>
      <c r="H148">
        <f>INDEX(Operational[Energy Consumption (MWh)],MATCH(Emission8[[#This Row],[Facility ID]],Operational[Facility ID],0))</f>
        <v>697.47</v>
      </c>
      <c r="I148">
        <f>INDEX(Operational[Waste (tons)],MATCH(Emission8[[#This Row],[Facility ID]],Operational[Facility ID],0))</f>
        <v>88.35</v>
      </c>
    </row>
    <row r="149" spans="1:9" x14ac:dyDescent="0.3">
      <c r="A149" t="s">
        <v>82</v>
      </c>
      <c r="B149" t="s">
        <v>17</v>
      </c>
      <c r="C149" t="s">
        <v>34</v>
      </c>
      <c r="D149" t="s">
        <v>9</v>
      </c>
      <c r="E149" t="s">
        <v>24</v>
      </c>
      <c r="F149">
        <v>2222.6799999999998</v>
      </c>
      <c r="G149">
        <f>INDEX(Operational[Production Volume (units)],MATCH(Emission8[[#This Row],[Facility ID]],Operational[Facility ID],0))</f>
        <v>93409</v>
      </c>
      <c r="H149">
        <f>INDEX(Operational[Energy Consumption (MWh)],MATCH(Emission8[[#This Row],[Facility ID]],Operational[Facility ID],0))</f>
        <v>2375.83</v>
      </c>
      <c r="I149">
        <f>INDEX(Operational[Waste (tons)],MATCH(Emission8[[#This Row],[Facility ID]],Operational[Facility ID],0))</f>
        <v>5.83</v>
      </c>
    </row>
    <row r="150" spans="1:9" x14ac:dyDescent="0.3">
      <c r="A150" t="s">
        <v>80</v>
      </c>
      <c r="B150" t="s">
        <v>17</v>
      </c>
      <c r="C150" t="s">
        <v>34</v>
      </c>
      <c r="D150" t="s">
        <v>14</v>
      </c>
      <c r="E150" t="s">
        <v>15</v>
      </c>
      <c r="F150">
        <v>261.56</v>
      </c>
      <c r="G150">
        <f>INDEX(Operational[Production Volume (units)],MATCH(Emission8[[#This Row],[Facility ID]],Operational[Facility ID],0))</f>
        <v>75508</v>
      </c>
      <c r="H150">
        <f>INDEX(Operational[Energy Consumption (MWh)],MATCH(Emission8[[#This Row],[Facility ID]],Operational[Facility ID],0))</f>
        <v>6856.22</v>
      </c>
      <c r="I150">
        <f>INDEX(Operational[Waste (tons)],MATCH(Emission8[[#This Row],[Facility ID]],Operational[Facility ID],0))</f>
        <v>18.2</v>
      </c>
    </row>
    <row r="151" spans="1:9" x14ac:dyDescent="0.3">
      <c r="A151" t="s">
        <v>63</v>
      </c>
      <c r="B151" t="s">
        <v>12</v>
      </c>
      <c r="C151" t="s">
        <v>34</v>
      </c>
      <c r="D151" t="s">
        <v>9</v>
      </c>
      <c r="E151" t="s">
        <v>24</v>
      </c>
      <c r="F151">
        <v>4724.5600000000004</v>
      </c>
      <c r="G151">
        <f>INDEX(Operational[Production Volume (units)],MATCH(Emission8[[#This Row],[Facility ID]],Operational[Facility ID],0))</f>
        <v>33688</v>
      </c>
      <c r="H151">
        <f>INDEX(Operational[Energy Consumption (MWh)],MATCH(Emission8[[#This Row],[Facility ID]],Operational[Facility ID],0))</f>
        <v>9495.48</v>
      </c>
      <c r="I151">
        <f>INDEX(Operational[Waste (tons)],MATCH(Emission8[[#This Row],[Facility ID]],Operational[Facility ID],0))</f>
        <v>55.55</v>
      </c>
    </row>
    <row r="152" spans="1:9" x14ac:dyDescent="0.3">
      <c r="A152" t="s">
        <v>130</v>
      </c>
      <c r="B152" t="s">
        <v>12</v>
      </c>
      <c r="C152" t="s">
        <v>13</v>
      </c>
      <c r="D152" t="s">
        <v>14</v>
      </c>
      <c r="E152" t="s">
        <v>10</v>
      </c>
      <c r="F152">
        <v>1696.11</v>
      </c>
      <c r="G152">
        <f>INDEX(Operational[Production Volume (units)],MATCH(Emission8[[#This Row],[Facility ID]],Operational[Facility ID],0))</f>
        <v>82332</v>
      </c>
      <c r="H152">
        <f>INDEX(Operational[Energy Consumption (MWh)],MATCH(Emission8[[#This Row],[Facility ID]],Operational[Facility ID],0))</f>
        <v>7134.86</v>
      </c>
      <c r="I152">
        <f>INDEX(Operational[Waste (tons)],MATCH(Emission8[[#This Row],[Facility ID]],Operational[Facility ID],0))</f>
        <v>22.44</v>
      </c>
    </row>
    <row r="153" spans="1:9" x14ac:dyDescent="0.3">
      <c r="A153" t="s">
        <v>131</v>
      </c>
      <c r="B153" t="s">
        <v>17</v>
      </c>
      <c r="C153" t="s">
        <v>13</v>
      </c>
      <c r="D153" t="s">
        <v>28</v>
      </c>
      <c r="E153" t="s">
        <v>24</v>
      </c>
      <c r="F153">
        <v>1447.34</v>
      </c>
      <c r="G153">
        <f>INDEX(Operational[Production Volume (units)],MATCH(Emission8[[#This Row],[Facility ID]],Operational[Facility ID],0))</f>
        <v>94128</v>
      </c>
      <c r="H153">
        <f>INDEX(Operational[Energy Consumption (MWh)],MATCH(Emission8[[#This Row],[Facility ID]],Operational[Facility ID],0))</f>
        <v>8117.82</v>
      </c>
      <c r="I153">
        <f>INDEX(Operational[Waste (tons)],MATCH(Emission8[[#This Row],[Facility ID]],Operational[Facility ID],0))</f>
        <v>73.83</v>
      </c>
    </row>
    <row r="154" spans="1:9" x14ac:dyDescent="0.3">
      <c r="A154" t="s">
        <v>132</v>
      </c>
      <c r="B154" t="s">
        <v>19</v>
      </c>
      <c r="C154" t="s">
        <v>13</v>
      </c>
      <c r="D154" t="s">
        <v>14</v>
      </c>
      <c r="E154" t="s">
        <v>24</v>
      </c>
      <c r="F154">
        <v>3456.69</v>
      </c>
      <c r="G154">
        <f>INDEX(Operational[Production Volume (units)],MATCH(Emission8[[#This Row],[Facility ID]],Operational[Facility ID],0))</f>
        <v>29860</v>
      </c>
      <c r="H154">
        <f>INDEX(Operational[Energy Consumption (MWh)],MATCH(Emission8[[#This Row],[Facility ID]],Operational[Facility ID],0))</f>
        <v>3956.23</v>
      </c>
      <c r="I154">
        <f>INDEX(Operational[Waste (tons)],MATCH(Emission8[[#This Row],[Facility ID]],Operational[Facility ID],0))</f>
        <v>57.5</v>
      </c>
    </row>
    <row r="155" spans="1:9" x14ac:dyDescent="0.3">
      <c r="A155" t="s">
        <v>47</v>
      </c>
      <c r="B155" t="s">
        <v>30</v>
      </c>
      <c r="C155" t="s">
        <v>34</v>
      </c>
      <c r="D155" t="s">
        <v>28</v>
      </c>
      <c r="E155" t="s">
        <v>10</v>
      </c>
      <c r="F155">
        <v>1842.07</v>
      </c>
      <c r="G155">
        <f>INDEX(Operational[Production Volume (units)],MATCH(Emission8[[#This Row],[Facility ID]],Operational[Facility ID],0))</f>
        <v>53661</v>
      </c>
      <c r="H155">
        <f>INDEX(Operational[Energy Consumption (MWh)],MATCH(Emission8[[#This Row],[Facility ID]],Operational[Facility ID],0))</f>
        <v>6965.81</v>
      </c>
      <c r="I155">
        <f>INDEX(Operational[Waste (tons)],MATCH(Emission8[[#This Row],[Facility ID]],Operational[Facility ID],0))</f>
        <v>69.400000000000006</v>
      </c>
    </row>
    <row r="156" spans="1:9" x14ac:dyDescent="0.3">
      <c r="A156" t="s">
        <v>133</v>
      </c>
      <c r="B156" t="s">
        <v>17</v>
      </c>
      <c r="C156" t="s">
        <v>13</v>
      </c>
      <c r="D156" t="s">
        <v>9</v>
      </c>
      <c r="E156" t="s">
        <v>15</v>
      </c>
      <c r="F156">
        <v>670.69</v>
      </c>
      <c r="G156">
        <f>INDEX(Operational[Production Volume (units)],MATCH(Emission8[[#This Row],[Facility ID]],Operational[Facility ID],0))</f>
        <v>48501</v>
      </c>
      <c r="H156">
        <f>INDEX(Operational[Energy Consumption (MWh)],MATCH(Emission8[[#This Row],[Facility ID]],Operational[Facility ID],0))</f>
        <v>7209.77</v>
      </c>
      <c r="I156">
        <f>INDEX(Operational[Waste (tons)],MATCH(Emission8[[#This Row],[Facility ID]],Operational[Facility ID],0))</f>
        <v>92.51</v>
      </c>
    </row>
    <row r="157" spans="1:9" x14ac:dyDescent="0.3">
      <c r="A157" t="s">
        <v>134</v>
      </c>
      <c r="B157" t="s">
        <v>7</v>
      </c>
      <c r="C157" t="s">
        <v>23</v>
      </c>
      <c r="D157" t="s">
        <v>9</v>
      </c>
      <c r="E157" t="s">
        <v>15</v>
      </c>
      <c r="F157">
        <v>1143.2</v>
      </c>
      <c r="G157">
        <f>INDEX(Operational[Production Volume (units)],MATCH(Emission8[[#This Row],[Facility ID]],Operational[Facility ID],0))</f>
        <v>39568</v>
      </c>
      <c r="H157">
        <f>INDEX(Operational[Energy Consumption (MWh)],MATCH(Emission8[[#This Row],[Facility ID]],Operational[Facility ID],0))</f>
        <v>3580.54</v>
      </c>
      <c r="I157">
        <f>INDEX(Operational[Waste (tons)],MATCH(Emission8[[#This Row],[Facility ID]],Operational[Facility ID],0))</f>
        <v>78.08</v>
      </c>
    </row>
    <row r="158" spans="1:9" x14ac:dyDescent="0.3">
      <c r="A158" t="s">
        <v>80</v>
      </c>
      <c r="B158" t="s">
        <v>17</v>
      </c>
      <c r="C158" t="s">
        <v>23</v>
      </c>
      <c r="D158" t="s">
        <v>9</v>
      </c>
      <c r="E158" t="s">
        <v>10</v>
      </c>
      <c r="F158">
        <v>3475.51</v>
      </c>
      <c r="G158">
        <f>INDEX(Operational[Production Volume (units)],MATCH(Emission8[[#This Row],[Facility ID]],Operational[Facility ID],0))</f>
        <v>75508</v>
      </c>
      <c r="H158">
        <f>INDEX(Operational[Energy Consumption (MWh)],MATCH(Emission8[[#This Row],[Facility ID]],Operational[Facility ID],0))</f>
        <v>6856.22</v>
      </c>
      <c r="I158">
        <f>INDEX(Operational[Waste (tons)],MATCH(Emission8[[#This Row],[Facility ID]],Operational[Facility ID],0))</f>
        <v>18.2</v>
      </c>
    </row>
    <row r="159" spans="1:9" x14ac:dyDescent="0.3">
      <c r="A159" t="s">
        <v>92</v>
      </c>
      <c r="B159" t="s">
        <v>30</v>
      </c>
      <c r="C159" t="s">
        <v>34</v>
      </c>
      <c r="D159" t="s">
        <v>28</v>
      </c>
      <c r="E159" t="s">
        <v>10</v>
      </c>
      <c r="F159">
        <v>1313.1</v>
      </c>
      <c r="G159">
        <f>INDEX(Operational[Production Volume (units)],MATCH(Emission8[[#This Row],[Facility ID]],Operational[Facility ID],0))</f>
        <v>18726</v>
      </c>
      <c r="H159">
        <f>INDEX(Operational[Energy Consumption (MWh)],MATCH(Emission8[[#This Row],[Facility ID]],Operational[Facility ID],0))</f>
        <v>5099.54</v>
      </c>
      <c r="I159">
        <f>INDEX(Operational[Waste (tons)],MATCH(Emission8[[#This Row],[Facility ID]],Operational[Facility ID],0))</f>
        <v>71.05</v>
      </c>
    </row>
    <row r="160" spans="1:9" x14ac:dyDescent="0.3">
      <c r="A160" t="s">
        <v>90</v>
      </c>
      <c r="B160" t="s">
        <v>19</v>
      </c>
      <c r="C160" t="s">
        <v>13</v>
      </c>
      <c r="D160" t="s">
        <v>14</v>
      </c>
      <c r="E160" t="s">
        <v>24</v>
      </c>
      <c r="F160">
        <v>2271.65</v>
      </c>
      <c r="G160">
        <f>INDEX(Operational[Production Volume (units)],MATCH(Emission8[[#This Row],[Facility ID]],Operational[Facility ID],0))</f>
        <v>97337</v>
      </c>
      <c r="H160">
        <f>INDEX(Operational[Energy Consumption (MWh)],MATCH(Emission8[[#This Row],[Facility ID]],Operational[Facility ID],0))</f>
        <v>3362.06</v>
      </c>
      <c r="I160">
        <f>INDEX(Operational[Waste (tons)],MATCH(Emission8[[#This Row],[Facility ID]],Operational[Facility ID],0))</f>
        <v>55.46</v>
      </c>
    </row>
    <row r="161" spans="1:9" x14ac:dyDescent="0.3">
      <c r="A161" t="s">
        <v>80</v>
      </c>
      <c r="B161" t="s">
        <v>17</v>
      </c>
      <c r="C161" t="s">
        <v>8</v>
      </c>
      <c r="D161" t="s">
        <v>9</v>
      </c>
      <c r="E161" t="s">
        <v>15</v>
      </c>
      <c r="F161">
        <v>4185.75</v>
      </c>
      <c r="G161">
        <f>INDEX(Operational[Production Volume (units)],MATCH(Emission8[[#This Row],[Facility ID]],Operational[Facility ID],0))</f>
        <v>75508</v>
      </c>
      <c r="H161">
        <f>INDEX(Operational[Energy Consumption (MWh)],MATCH(Emission8[[#This Row],[Facility ID]],Operational[Facility ID],0))</f>
        <v>6856.22</v>
      </c>
      <c r="I161">
        <f>INDEX(Operational[Waste (tons)],MATCH(Emission8[[#This Row],[Facility ID]],Operational[Facility ID],0))</f>
        <v>18.2</v>
      </c>
    </row>
    <row r="162" spans="1:9" x14ac:dyDescent="0.3">
      <c r="A162" t="s">
        <v>86</v>
      </c>
      <c r="B162" t="s">
        <v>19</v>
      </c>
      <c r="C162" t="s">
        <v>13</v>
      </c>
      <c r="D162" t="s">
        <v>9</v>
      </c>
      <c r="E162" t="s">
        <v>10</v>
      </c>
      <c r="F162">
        <v>704.34</v>
      </c>
      <c r="G162">
        <f>INDEX(Operational[Production Volume (units)],MATCH(Emission8[[#This Row],[Facility ID]],Operational[Facility ID],0))</f>
        <v>56531</v>
      </c>
      <c r="H162">
        <f>INDEX(Operational[Energy Consumption (MWh)],MATCH(Emission8[[#This Row],[Facility ID]],Operational[Facility ID],0))</f>
        <v>8958.07</v>
      </c>
      <c r="I162">
        <f>INDEX(Operational[Waste (tons)],MATCH(Emission8[[#This Row],[Facility ID]],Operational[Facility ID],0))</f>
        <v>83.44</v>
      </c>
    </row>
    <row r="163" spans="1:9" x14ac:dyDescent="0.3">
      <c r="A163" t="s">
        <v>135</v>
      </c>
      <c r="B163" t="s">
        <v>12</v>
      </c>
      <c r="C163" t="s">
        <v>8</v>
      </c>
      <c r="D163" t="s">
        <v>9</v>
      </c>
      <c r="E163" t="s">
        <v>24</v>
      </c>
      <c r="F163">
        <v>801.11</v>
      </c>
      <c r="G163">
        <f>INDEX(Operational[Production Volume (units)],MATCH(Emission8[[#This Row],[Facility ID]],Operational[Facility ID],0))</f>
        <v>39560</v>
      </c>
      <c r="H163">
        <f>INDEX(Operational[Energy Consumption (MWh)],MATCH(Emission8[[#This Row],[Facility ID]],Operational[Facility ID],0))</f>
        <v>8380.77</v>
      </c>
      <c r="I163">
        <f>INDEX(Operational[Waste (tons)],MATCH(Emission8[[#This Row],[Facility ID]],Operational[Facility ID],0))</f>
        <v>94.01</v>
      </c>
    </row>
    <row r="164" spans="1:9" x14ac:dyDescent="0.3">
      <c r="A164" t="s">
        <v>21</v>
      </c>
      <c r="B164" t="s">
        <v>19</v>
      </c>
      <c r="C164" t="s">
        <v>13</v>
      </c>
      <c r="D164" t="s">
        <v>14</v>
      </c>
      <c r="E164" t="s">
        <v>10</v>
      </c>
      <c r="F164">
        <v>1685.02</v>
      </c>
      <c r="G164">
        <f>INDEX(Operational[Production Volume (units)],MATCH(Emission8[[#This Row],[Facility ID]],Operational[Facility ID],0))</f>
        <v>61157</v>
      </c>
      <c r="H164">
        <f>INDEX(Operational[Energy Consumption (MWh)],MATCH(Emission8[[#This Row],[Facility ID]],Operational[Facility ID],0))</f>
        <v>7331.54</v>
      </c>
      <c r="I164">
        <f>INDEX(Operational[Waste (tons)],MATCH(Emission8[[#This Row],[Facility ID]],Operational[Facility ID],0))</f>
        <v>55.52</v>
      </c>
    </row>
    <row r="165" spans="1:9" x14ac:dyDescent="0.3">
      <c r="A165" t="s">
        <v>132</v>
      </c>
      <c r="B165" t="s">
        <v>19</v>
      </c>
      <c r="C165" t="s">
        <v>8</v>
      </c>
      <c r="D165" t="s">
        <v>14</v>
      </c>
      <c r="E165" t="s">
        <v>10</v>
      </c>
      <c r="F165">
        <v>4811.95</v>
      </c>
      <c r="G165">
        <f>INDEX(Operational[Production Volume (units)],MATCH(Emission8[[#This Row],[Facility ID]],Operational[Facility ID],0))</f>
        <v>29860</v>
      </c>
      <c r="H165">
        <f>INDEX(Operational[Energy Consumption (MWh)],MATCH(Emission8[[#This Row],[Facility ID]],Operational[Facility ID],0))</f>
        <v>3956.23</v>
      </c>
      <c r="I165">
        <f>INDEX(Operational[Waste (tons)],MATCH(Emission8[[#This Row],[Facility ID]],Operational[Facility ID],0))</f>
        <v>57.5</v>
      </c>
    </row>
    <row r="166" spans="1:9" x14ac:dyDescent="0.3">
      <c r="A166" t="s">
        <v>136</v>
      </c>
      <c r="B166" t="s">
        <v>17</v>
      </c>
      <c r="C166" t="s">
        <v>23</v>
      </c>
      <c r="D166" t="s">
        <v>9</v>
      </c>
      <c r="E166" t="s">
        <v>24</v>
      </c>
      <c r="F166">
        <v>5093.5200000000004</v>
      </c>
      <c r="G166">
        <f>INDEX(Operational[Production Volume (units)],MATCH(Emission8[[#This Row],[Facility ID]],Operational[Facility ID],0))</f>
        <v>15128</v>
      </c>
      <c r="H166">
        <f>INDEX(Operational[Energy Consumption (MWh)],MATCH(Emission8[[#This Row],[Facility ID]],Operational[Facility ID],0))</f>
        <v>8847.09</v>
      </c>
      <c r="I166">
        <f>INDEX(Operational[Waste (tons)],MATCH(Emission8[[#This Row],[Facility ID]],Operational[Facility ID],0))</f>
        <v>5.25</v>
      </c>
    </row>
    <row r="167" spans="1:9" x14ac:dyDescent="0.3">
      <c r="A167" t="s">
        <v>120</v>
      </c>
      <c r="B167" t="s">
        <v>30</v>
      </c>
      <c r="C167" t="s">
        <v>23</v>
      </c>
      <c r="D167" t="s">
        <v>9</v>
      </c>
      <c r="E167" t="s">
        <v>24</v>
      </c>
      <c r="F167">
        <v>4205.37</v>
      </c>
      <c r="G167">
        <f>INDEX(Operational[Production Volume (units)],MATCH(Emission8[[#This Row],[Facility ID]],Operational[Facility ID],0))</f>
        <v>79495</v>
      </c>
      <c r="H167">
        <f>INDEX(Operational[Energy Consumption (MWh)],MATCH(Emission8[[#This Row],[Facility ID]],Operational[Facility ID],0))</f>
        <v>7157.48</v>
      </c>
      <c r="I167">
        <f>INDEX(Operational[Waste (tons)],MATCH(Emission8[[#This Row],[Facility ID]],Operational[Facility ID],0))</f>
        <v>26.84</v>
      </c>
    </row>
    <row r="168" spans="1:9" x14ac:dyDescent="0.3">
      <c r="A168" t="s">
        <v>56</v>
      </c>
      <c r="B168" t="s">
        <v>19</v>
      </c>
      <c r="C168" t="s">
        <v>23</v>
      </c>
      <c r="D168" t="s">
        <v>9</v>
      </c>
      <c r="E168" t="s">
        <v>15</v>
      </c>
      <c r="F168">
        <v>1288.3499999999999</v>
      </c>
      <c r="G168">
        <f>INDEX(Operational[Production Volume (units)],MATCH(Emission8[[#This Row],[Facility ID]],Operational[Facility ID],0))</f>
        <v>43747</v>
      </c>
      <c r="H168">
        <f>INDEX(Operational[Energy Consumption (MWh)],MATCH(Emission8[[#This Row],[Facility ID]],Operational[Facility ID],0))</f>
        <v>3453.48</v>
      </c>
      <c r="I168">
        <f>INDEX(Operational[Waste (tons)],MATCH(Emission8[[#This Row],[Facility ID]],Operational[Facility ID],0))</f>
        <v>98.78</v>
      </c>
    </row>
    <row r="169" spans="1:9" x14ac:dyDescent="0.3">
      <c r="A169" t="s">
        <v>93</v>
      </c>
      <c r="B169" t="s">
        <v>30</v>
      </c>
      <c r="C169" t="s">
        <v>8</v>
      </c>
      <c r="D169" t="s">
        <v>14</v>
      </c>
      <c r="E169" t="s">
        <v>24</v>
      </c>
      <c r="F169">
        <v>2663.02</v>
      </c>
      <c r="G169">
        <f>INDEX(Operational[Production Volume (units)],MATCH(Emission8[[#This Row],[Facility ID]],Operational[Facility ID],0))</f>
        <v>26378</v>
      </c>
      <c r="H169">
        <f>INDEX(Operational[Energy Consumption (MWh)],MATCH(Emission8[[#This Row],[Facility ID]],Operational[Facility ID],0))</f>
        <v>2915.44</v>
      </c>
      <c r="I169">
        <f>INDEX(Operational[Waste (tons)],MATCH(Emission8[[#This Row],[Facility ID]],Operational[Facility ID],0))</f>
        <v>29.84</v>
      </c>
    </row>
    <row r="170" spans="1:9" x14ac:dyDescent="0.3">
      <c r="A170" t="s">
        <v>136</v>
      </c>
      <c r="B170" t="s">
        <v>17</v>
      </c>
      <c r="C170" t="s">
        <v>8</v>
      </c>
      <c r="D170" t="s">
        <v>14</v>
      </c>
      <c r="E170" t="s">
        <v>10</v>
      </c>
      <c r="F170">
        <v>2844.55</v>
      </c>
      <c r="G170">
        <f>INDEX(Operational[Production Volume (units)],MATCH(Emission8[[#This Row],[Facility ID]],Operational[Facility ID],0))</f>
        <v>15128</v>
      </c>
      <c r="H170">
        <f>INDEX(Operational[Energy Consumption (MWh)],MATCH(Emission8[[#This Row],[Facility ID]],Operational[Facility ID],0))</f>
        <v>8847.09</v>
      </c>
      <c r="I170">
        <f>INDEX(Operational[Waste (tons)],MATCH(Emission8[[#This Row],[Facility ID]],Operational[Facility ID],0))</f>
        <v>5.25</v>
      </c>
    </row>
    <row r="171" spans="1:9" x14ac:dyDescent="0.3">
      <c r="A171" t="s">
        <v>137</v>
      </c>
      <c r="B171" t="s">
        <v>17</v>
      </c>
      <c r="C171" t="s">
        <v>13</v>
      </c>
      <c r="D171" t="s">
        <v>28</v>
      </c>
      <c r="E171" t="s">
        <v>10</v>
      </c>
      <c r="F171">
        <v>1998.08</v>
      </c>
      <c r="G171">
        <f>INDEX(Operational[Production Volume (units)],MATCH(Emission8[[#This Row],[Facility ID]],Operational[Facility ID],0))</f>
        <v>19265</v>
      </c>
      <c r="H171">
        <f>INDEX(Operational[Energy Consumption (MWh)],MATCH(Emission8[[#This Row],[Facility ID]],Operational[Facility ID],0))</f>
        <v>776.6</v>
      </c>
      <c r="I171">
        <f>INDEX(Operational[Waste (tons)],MATCH(Emission8[[#This Row],[Facility ID]],Operational[Facility ID],0))</f>
        <v>39.75</v>
      </c>
    </row>
    <row r="172" spans="1:9" x14ac:dyDescent="0.3">
      <c r="A172" t="s">
        <v>53</v>
      </c>
      <c r="B172" t="s">
        <v>7</v>
      </c>
      <c r="C172" t="s">
        <v>23</v>
      </c>
      <c r="D172" t="s">
        <v>14</v>
      </c>
      <c r="E172" t="s">
        <v>10</v>
      </c>
      <c r="F172">
        <v>241.97</v>
      </c>
      <c r="G172">
        <f>INDEX(Operational[Production Volume (units)],MATCH(Emission8[[#This Row],[Facility ID]],Operational[Facility ID],0))</f>
        <v>90632</v>
      </c>
      <c r="H172">
        <f>INDEX(Operational[Energy Consumption (MWh)],MATCH(Emission8[[#This Row],[Facility ID]],Operational[Facility ID],0))</f>
        <v>5292.17</v>
      </c>
      <c r="I172">
        <f>INDEX(Operational[Waste (tons)],MATCH(Emission8[[#This Row],[Facility ID]],Operational[Facility ID],0))</f>
        <v>78.45</v>
      </c>
    </row>
    <row r="173" spans="1:9" x14ac:dyDescent="0.3">
      <c r="A173" t="s">
        <v>138</v>
      </c>
      <c r="B173" t="s">
        <v>12</v>
      </c>
      <c r="C173" t="s">
        <v>13</v>
      </c>
      <c r="D173" t="s">
        <v>9</v>
      </c>
      <c r="E173" t="s">
        <v>15</v>
      </c>
      <c r="F173">
        <v>2907.89</v>
      </c>
      <c r="G173">
        <f>INDEX(Operational[Production Volume (units)],MATCH(Emission8[[#This Row],[Facility ID]],Operational[Facility ID],0))</f>
        <v>57353</v>
      </c>
      <c r="H173">
        <f>INDEX(Operational[Energy Consumption (MWh)],MATCH(Emission8[[#This Row],[Facility ID]],Operational[Facility ID],0))</f>
        <v>2274.71</v>
      </c>
      <c r="I173">
        <f>INDEX(Operational[Waste (tons)],MATCH(Emission8[[#This Row],[Facility ID]],Operational[Facility ID],0))</f>
        <v>65.34</v>
      </c>
    </row>
    <row r="174" spans="1:9" x14ac:dyDescent="0.3">
      <c r="A174" t="s">
        <v>64</v>
      </c>
      <c r="B174" t="s">
        <v>30</v>
      </c>
      <c r="C174" t="s">
        <v>23</v>
      </c>
      <c r="D174" t="s">
        <v>9</v>
      </c>
      <c r="E174" t="s">
        <v>15</v>
      </c>
      <c r="F174">
        <v>4728.95</v>
      </c>
      <c r="G174">
        <f>INDEX(Operational[Production Volume (units)],MATCH(Emission8[[#This Row],[Facility ID]],Operational[Facility ID],0))</f>
        <v>52836</v>
      </c>
      <c r="H174">
        <f>INDEX(Operational[Energy Consumption (MWh)],MATCH(Emission8[[#This Row],[Facility ID]],Operational[Facility ID],0))</f>
        <v>9330.2999999999993</v>
      </c>
      <c r="I174">
        <f>INDEX(Operational[Waste (tons)],MATCH(Emission8[[#This Row],[Facility ID]],Operational[Facility ID],0))</f>
        <v>87.27</v>
      </c>
    </row>
    <row r="175" spans="1:9" x14ac:dyDescent="0.3">
      <c r="A175" t="s">
        <v>50</v>
      </c>
      <c r="B175" t="s">
        <v>19</v>
      </c>
      <c r="C175" t="s">
        <v>13</v>
      </c>
      <c r="D175" t="s">
        <v>14</v>
      </c>
      <c r="E175" t="s">
        <v>24</v>
      </c>
      <c r="F175">
        <v>4265.8500000000004</v>
      </c>
      <c r="G175">
        <f>INDEX(Operational[Production Volume (units)],MATCH(Emission8[[#This Row],[Facility ID]],Operational[Facility ID],0))</f>
        <v>40577</v>
      </c>
      <c r="H175">
        <f>INDEX(Operational[Energy Consumption (MWh)],MATCH(Emission8[[#This Row],[Facility ID]],Operational[Facility ID],0))</f>
        <v>4280.82</v>
      </c>
      <c r="I175">
        <f>INDEX(Operational[Waste (tons)],MATCH(Emission8[[#This Row],[Facility ID]],Operational[Facility ID],0))</f>
        <v>79.88</v>
      </c>
    </row>
    <row r="176" spans="1:9" x14ac:dyDescent="0.3">
      <c r="A176" t="s">
        <v>139</v>
      </c>
      <c r="B176" t="s">
        <v>7</v>
      </c>
      <c r="C176" t="s">
        <v>23</v>
      </c>
      <c r="D176" t="s">
        <v>9</v>
      </c>
      <c r="E176" t="s">
        <v>24</v>
      </c>
      <c r="F176">
        <v>2361.5500000000002</v>
      </c>
      <c r="G176">
        <f>INDEX(Operational[Production Volume (units)],MATCH(Emission8[[#This Row],[Facility ID]],Operational[Facility ID],0))</f>
        <v>10067</v>
      </c>
      <c r="H176">
        <f>INDEX(Operational[Energy Consumption (MWh)],MATCH(Emission8[[#This Row],[Facility ID]],Operational[Facility ID],0))</f>
        <v>1953.33</v>
      </c>
      <c r="I176">
        <f>INDEX(Operational[Waste (tons)],MATCH(Emission8[[#This Row],[Facility ID]],Operational[Facility ID],0))</f>
        <v>25.15</v>
      </c>
    </row>
    <row r="177" spans="1:9" x14ac:dyDescent="0.3">
      <c r="A177" t="s">
        <v>58</v>
      </c>
      <c r="B177" t="s">
        <v>17</v>
      </c>
      <c r="C177" t="s">
        <v>23</v>
      </c>
      <c r="D177" t="s">
        <v>14</v>
      </c>
      <c r="E177" t="s">
        <v>10</v>
      </c>
      <c r="F177">
        <v>235.74</v>
      </c>
      <c r="G177">
        <f>INDEX(Operational[Production Volume (units)],MATCH(Emission8[[#This Row],[Facility ID]],Operational[Facility ID],0))</f>
        <v>32246</v>
      </c>
      <c r="H177">
        <f>INDEX(Operational[Energy Consumption (MWh)],MATCH(Emission8[[#This Row],[Facility ID]],Operational[Facility ID],0))</f>
        <v>7903.93</v>
      </c>
      <c r="I177">
        <f>INDEX(Operational[Waste (tons)],MATCH(Emission8[[#This Row],[Facility ID]],Operational[Facility ID],0))</f>
        <v>42.12</v>
      </c>
    </row>
    <row r="178" spans="1:9" x14ac:dyDescent="0.3">
      <c r="A178" t="s">
        <v>88</v>
      </c>
      <c r="B178" t="s">
        <v>7</v>
      </c>
      <c r="C178" t="s">
        <v>23</v>
      </c>
      <c r="D178" t="s">
        <v>28</v>
      </c>
      <c r="E178" t="s">
        <v>10</v>
      </c>
      <c r="F178">
        <v>2737</v>
      </c>
      <c r="G178">
        <f>INDEX(Operational[Production Volume (units)],MATCH(Emission8[[#This Row],[Facility ID]],Operational[Facility ID],0))</f>
        <v>44825</v>
      </c>
      <c r="H178">
        <f>INDEX(Operational[Energy Consumption (MWh)],MATCH(Emission8[[#This Row],[Facility ID]],Operational[Facility ID],0))</f>
        <v>6023.03</v>
      </c>
      <c r="I178">
        <f>INDEX(Operational[Waste (tons)],MATCH(Emission8[[#This Row],[Facility ID]],Operational[Facility ID],0))</f>
        <v>27.2</v>
      </c>
    </row>
    <row r="179" spans="1:9" x14ac:dyDescent="0.3">
      <c r="A179" t="s">
        <v>140</v>
      </c>
      <c r="B179" t="s">
        <v>17</v>
      </c>
      <c r="C179" t="s">
        <v>8</v>
      </c>
      <c r="D179" t="s">
        <v>28</v>
      </c>
      <c r="E179" t="s">
        <v>15</v>
      </c>
      <c r="F179">
        <v>1539.15</v>
      </c>
      <c r="G179">
        <f>INDEX(Operational[Production Volume (units)],MATCH(Emission8[[#This Row],[Facility ID]],Operational[Facility ID],0))</f>
        <v>88308</v>
      </c>
      <c r="H179">
        <f>INDEX(Operational[Energy Consumption (MWh)],MATCH(Emission8[[#This Row],[Facility ID]],Operational[Facility ID],0))</f>
        <v>7802.07</v>
      </c>
      <c r="I179">
        <f>INDEX(Operational[Waste (tons)],MATCH(Emission8[[#This Row],[Facility ID]],Operational[Facility ID],0))</f>
        <v>36.130000000000003</v>
      </c>
    </row>
    <row r="180" spans="1:9" x14ac:dyDescent="0.3">
      <c r="A180" t="s">
        <v>82</v>
      </c>
      <c r="B180" t="s">
        <v>17</v>
      </c>
      <c r="C180" t="s">
        <v>8</v>
      </c>
      <c r="D180" t="s">
        <v>28</v>
      </c>
      <c r="E180" t="s">
        <v>10</v>
      </c>
      <c r="F180">
        <v>502.47</v>
      </c>
      <c r="G180">
        <f>INDEX(Operational[Production Volume (units)],MATCH(Emission8[[#This Row],[Facility ID]],Operational[Facility ID],0))</f>
        <v>93409</v>
      </c>
      <c r="H180">
        <f>INDEX(Operational[Energy Consumption (MWh)],MATCH(Emission8[[#This Row],[Facility ID]],Operational[Facility ID],0))</f>
        <v>2375.83</v>
      </c>
      <c r="I180">
        <f>INDEX(Operational[Waste (tons)],MATCH(Emission8[[#This Row],[Facility ID]],Operational[Facility ID],0))</f>
        <v>5.83</v>
      </c>
    </row>
    <row r="181" spans="1:9" x14ac:dyDescent="0.3">
      <c r="A181" t="s">
        <v>120</v>
      </c>
      <c r="B181" t="s">
        <v>30</v>
      </c>
      <c r="C181" t="s">
        <v>8</v>
      </c>
      <c r="D181" t="s">
        <v>14</v>
      </c>
      <c r="E181" t="s">
        <v>15</v>
      </c>
      <c r="F181">
        <v>2710.93</v>
      </c>
      <c r="G181">
        <f>INDEX(Operational[Production Volume (units)],MATCH(Emission8[[#This Row],[Facility ID]],Operational[Facility ID],0))</f>
        <v>79495</v>
      </c>
      <c r="H181">
        <f>INDEX(Operational[Energy Consumption (MWh)],MATCH(Emission8[[#This Row],[Facility ID]],Operational[Facility ID],0))</f>
        <v>7157.48</v>
      </c>
      <c r="I181">
        <f>INDEX(Operational[Waste (tons)],MATCH(Emission8[[#This Row],[Facility ID]],Operational[Facility ID],0))</f>
        <v>26.84</v>
      </c>
    </row>
    <row r="182" spans="1:9" x14ac:dyDescent="0.3">
      <c r="A182" t="s">
        <v>141</v>
      </c>
      <c r="B182" t="s">
        <v>7</v>
      </c>
      <c r="C182" t="s">
        <v>34</v>
      </c>
      <c r="D182" t="s">
        <v>9</v>
      </c>
      <c r="E182" t="s">
        <v>10</v>
      </c>
      <c r="F182">
        <v>2286.2399999999998</v>
      </c>
      <c r="G182">
        <f>INDEX(Operational[Production Volume (units)],MATCH(Emission8[[#This Row],[Facility ID]],Operational[Facility ID],0))</f>
        <v>45644</v>
      </c>
      <c r="H182">
        <f>INDEX(Operational[Energy Consumption (MWh)],MATCH(Emission8[[#This Row],[Facility ID]],Operational[Facility ID],0))</f>
        <v>7724.73</v>
      </c>
      <c r="I182">
        <f>INDEX(Operational[Waste (tons)],MATCH(Emission8[[#This Row],[Facility ID]],Operational[Facility ID],0))</f>
        <v>31</v>
      </c>
    </row>
    <row r="183" spans="1:9" x14ac:dyDescent="0.3">
      <c r="A183" t="s">
        <v>21</v>
      </c>
      <c r="B183" t="s">
        <v>19</v>
      </c>
      <c r="C183" t="s">
        <v>23</v>
      </c>
      <c r="D183" t="s">
        <v>9</v>
      </c>
      <c r="E183" t="s">
        <v>10</v>
      </c>
      <c r="F183">
        <v>3819.98</v>
      </c>
      <c r="G183">
        <f>INDEX(Operational[Production Volume (units)],MATCH(Emission8[[#This Row],[Facility ID]],Operational[Facility ID],0))</f>
        <v>61157</v>
      </c>
      <c r="H183">
        <f>INDEX(Operational[Energy Consumption (MWh)],MATCH(Emission8[[#This Row],[Facility ID]],Operational[Facility ID],0))</f>
        <v>7331.54</v>
      </c>
      <c r="I183">
        <f>INDEX(Operational[Waste (tons)],MATCH(Emission8[[#This Row],[Facility ID]],Operational[Facility ID],0))</f>
        <v>55.52</v>
      </c>
    </row>
    <row r="184" spans="1:9" x14ac:dyDescent="0.3">
      <c r="A184" t="s">
        <v>62</v>
      </c>
      <c r="B184" t="s">
        <v>30</v>
      </c>
      <c r="C184" t="s">
        <v>8</v>
      </c>
      <c r="D184" t="s">
        <v>14</v>
      </c>
      <c r="E184" t="s">
        <v>15</v>
      </c>
      <c r="F184">
        <v>2138.08</v>
      </c>
      <c r="G184">
        <f>INDEX(Operational[Production Volume (units)],MATCH(Emission8[[#This Row],[Facility ID]],Operational[Facility ID],0))</f>
        <v>22309</v>
      </c>
      <c r="H184">
        <f>INDEX(Operational[Energy Consumption (MWh)],MATCH(Emission8[[#This Row],[Facility ID]],Operational[Facility ID],0))</f>
        <v>3656.29</v>
      </c>
      <c r="I184">
        <f>INDEX(Operational[Waste (tons)],MATCH(Emission8[[#This Row],[Facility ID]],Operational[Facility ID],0))</f>
        <v>75.25</v>
      </c>
    </row>
    <row r="185" spans="1:9" x14ac:dyDescent="0.3">
      <c r="A185" t="s">
        <v>142</v>
      </c>
      <c r="B185" t="s">
        <v>17</v>
      </c>
      <c r="C185" t="s">
        <v>8</v>
      </c>
      <c r="D185" t="s">
        <v>28</v>
      </c>
      <c r="E185" t="s">
        <v>24</v>
      </c>
      <c r="F185">
        <v>747.74</v>
      </c>
      <c r="G185">
        <f>INDEX(Operational[Production Volume (units)],MATCH(Emission8[[#This Row],[Facility ID]],Operational[Facility ID],0))</f>
        <v>75736</v>
      </c>
      <c r="H185">
        <f>INDEX(Operational[Energy Consumption (MWh)],MATCH(Emission8[[#This Row],[Facility ID]],Operational[Facility ID],0))</f>
        <v>6287.07</v>
      </c>
      <c r="I185">
        <f>INDEX(Operational[Waste (tons)],MATCH(Emission8[[#This Row],[Facility ID]],Operational[Facility ID],0))</f>
        <v>63.11</v>
      </c>
    </row>
    <row r="186" spans="1:9" x14ac:dyDescent="0.3">
      <c r="A186" t="s">
        <v>143</v>
      </c>
      <c r="B186" t="s">
        <v>17</v>
      </c>
      <c r="C186" t="s">
        <v>34</v>
      </c>
      <c r="D186" t="s">
        <v>28</v>
      </c>
      <c r="E186" t="s">
        <v>24</v>
      </c>
      <c r="F186">
        <v>1025.55</v>
      </c>
      <c r="G186">
        <f>INDEX(Operational[Production Volume (units)],MATCH(Emission8[[#This Row],[Facility ID]],Operational[Facility ID],0))</f>
        <v>94704</v>
      </c>
      <c r="H186">
        <f>INDEX(Operational[Energy Consumption (MWh)],MATCH(Emission8[[#This Row],[Facility ID]],Operational[Facility ID],0))</f>
        <v>6632.95</v>
      </c>
      <c r="I186">
        <f>INDEX(Operational[Waste (tons)],MATCH(Emission8[[#This Row],[Facility ID]],Operational[Facility ID],0))</f>
        <v>14.76</v>
      </c>
    </row>
    <row r="187" spans="1:9" x14ac:dyDescent="0.3">
      <c r="A187" t="s">
        <v>144</v>
      </c>
      <c r="B187" t="s">
        <v>30</v>
      </c>
      <c r="C187" t="s">
        <v>8</v>
      </c>
      <c r="D187" t="s">
        <v>9</v>
      </c>
      <c r="E187" t="s">
        <v>15</v>
      </c>
      <c r="F187">
        <v>3382</v>
      </c>
      <c r="G187">
        <f>INDEX(Operational[Production Volume (units)],MATCH(Emission8[[#This Row],[Facility ID]],Operational[Facility ID],0))</f>
        <v>11426</v>
      </c>
      <c r="H187">
        <f>INDEX(Operational[Energy Consumption (MWh)],MATCH(Emission8[[#This Row],[Facility ID]],Operational[Facility ID],0))</f>
        <v>4439.5600000000004</v>
      </c>
      <c r="I187">
        <f>INDEX(Operational[Waste (tons)],MATCH(Emission8[[#This Row],[Facility ID]],Operational[Facility ID],0))</f>
        <v>52.71</v>
      </c>
    </row>
    <row r="188" spans="1:9" x14ac:dyDescent="0.3">
      <c r="A188" t="s">
        <v>145</v>
      </c>
      <c r="B188" t="s">
        <v>7</v>
      </c>
      <c r="C188" t="s">
        <v>23</v>
      </c>
      <c r="D188" t="s">
        <v>14</v>
      </c>
      <c r="E188" t="s">
        <v>24</v>
      </c>
      <c r="F188">
        <v>1772.18</v>
      </c>
      <c r="G188">
        <f>INDEX(Operational[Production Volume (units)],MATCH(Emission8[[#This Row],[Facility ID]],Operational[Facility ID],0))</f>
        <v>60710</v>
      </c>
      <c r="H188">
        <f>INDEX(Operational[Energy Consumption (MWh)],MATCH(Emission8[[#This Row],[Facility ID]],Operational[Facility ID],0))</f>
        <v>2726.26</v>
      </c>
      <c r="I188">
        <f>INDEX(Operational[Waste (tons)],MATCH(Emission8[[#This Row],[Facility ID]],Operational[Facility ID],0))</f>
        <v>83.02</v>
      </c>
    </row>
    <row r="189" spans="1:9" x14ac:dyDescent="0.3">
      <c r="A189" t="s">
        <v>81</v>
      </c>
      <c r="B189" t="s">
        <v>12</v>
      </c>
      <c r="C189" t="s">
        <v>13</v>
      </c>
      <c r="D189" t="s">
        <v>28</v>
      </c>
      <c r="E189" t="s">
        <v>24</v>
      </c>
      <c r="F189">
        <v>2150.66</v>
      </c>
      <c r="G189">
        <f>INDEX(Operational[Production Volume (units)],MATCH(Emission8[[#This Row],[Facility ID]],Operational[Facility ID],0))</f>
        <v>93661</v>
      </c>
      <c r="H189">
        <f>INDEX(Operational[Energy Consumption (MWh)],MATCH(Emission8[[#This Row],[Facility ID]],Operational[Facility ID],0))</f>
        <v>7324.58</v>
      </c>
      <c r="I189">
        <f>INDEX(Operational[Waste (tons)],MATCH(Emission8[[#This Row],[Facility ID]],Operational[Facility ID],0))</f>
        <v>23.55</v>
      </c>
    </row>
    <row r="190" spans="1:9" x14ac:dyDescent="0.3">
      <c r="A190" t="s">
        <v>129</v>
      </c>
      <c r="B190" t="s">
        <v>17</v>
      </c>
      <c r="C190" t="s">
        <v>34</v>
      </c>
      <c r="D190" t="s">
        <v>14</v>
      </c>
      <c r="E190" t="s">
        <v>15</v>
      </c>
      <c r="F190">
        <v>3214.91</v>
      </c>
      <c r="G190">
        <f>INDEX(Operational[Production Volume (units)],MATCH(Emission8[[#This Row],[Facility ID]],Operational[Facility ID],0))</f>
        <v>95292</v>
      </c>
      <c r="H190">
        <f>INDEX(Operational[Energy Consumption (MWh)],MATCH(Emission8[[#This Row],[Facility ID]],Operational[Facility ID],0))</f>
        <v>697.47</v>
      </c>
      <c r="I190">
        <f>INDEX(Operational[Waste (tons)],MATCH(Emission8[[#This Row],[Facility ID]],Operational[Facility ID],0))</f>
        <v>88.35</v>
      </c>
    </row>
    <row r="191" spans="1:9" x14ac:dyDescent="0.3">
      <c r="A191" t="s">
        <v>54</v>
      </c>
      <c r="B191" t="s">
        <v>12</v>
      </c>
      <c r="C191" t="s">
        <v>34</v>
      </c>
      <c r="D191" t="s">
        <v>14</v>
      </c>
      <c r="E191" t="s">
        <v>24</v>
      </c>
      <c r="F191">
        <v>1475.38</v>
      </c>
      <c r="G191">
        <f>INDEX(Operational[Production Volume (units)],MATCH(Emission8[[#This Row],[Facility ID]],Operational[Facility ID],0))</f>
        <v>58111</v>
      </c>
      <c r="H191">
        <f>INDEX(Operational[Energy Consumption (MWh)],MATCH(Emission8[[#This Row],[Facility ID]],Operational[Facility ID],0))</f>
        <v>4610.8999999999996</v>
      </c>
      <c r="I191">
        <f>INDEX(Operational[Waste (tons)],MATCH(Emission8[[#This Row],[Facility ID]],Operational[Facility ID],0))</f>
        <v>21.53</v>
      </c>
    </row>
    <row r="192" spans="1:9" x14ac:dyDescent="0.3">
      <c r="A192" t="s">
        <v>26</v>
      </c>
      <c r="B192" t="s">
        <v>17</v>
      </c>
      <c r="C192" t="s">
        <v>8</v>
      </c>
      <c r="D192" t="s">
        <v>28</v>
      </c>
      <c r="E192" t="s">
        <v>24</v>
      </c>
      <c r="F192">
        <v>2631.42</v>
      </c>
      <c r="G192">
        <f>INDEX(Operational[Production Volume (units)],MATCH(Emission8[[#This Row],[Facility ID]],Operational[Facility ID],0))</f>
        <v>17311</v>
      </c>
      <c r="H192">
        <f>INDEX(Operational[Energy Consumption (MWh)],MATCH(Emission8[[#This Row],[Facility ID]],Operational[Facility ID],0))</f>
        <v>2257.38</v>
      </c>
      <c r="I192">
        <f>INDEX(Operational[Waste (tons)],MATCH(Emission8[[#This Row],[Facility ID]],Operational[Facility ID],0))</f>
        <v>91.07</v>
      </c>
    </row>
    <row r="193" spans="1:9" x14ac:dyDescent="0.3">
      <c r="A193" t="s">
        <v>78</v>
      </c>
      <c r="B193" t="s">
        <v>7</v>
      </c>
      <c r="C193" t="s">
        <v>13</v>
      </c>
      <c r="D193" t="s">
        <v>14</v>
      </c>
      <c r="E193" t="s">
        <v>15</v>
      </c>
      <c r="F193">
        <v>2973.99</v>
      </c>
      <c r="G193">
        <f>INDEX(Operational[Production Volume (units)],MATCH(Emission8[[#This Row],[Facility ID]],Operational[Facility ID],0))</f>
        <v>86557</v>
      </c>
      <c r="H193">
        <f>INDEX(Operational[Energy Consumption (MWh)],MATCH(Emission8[[#This Row],[Facility ID]],Operational[Facility ID],0))</f>
        <v>8631.2800000000007</v>
      </c>
      <c r="I193">
        <f>INDEX(Operational[Waste (tons)],MATCH(Emission8[[#This Row],[Facility ID]],Operational[Facility ID],0))</f>
        <v>69.53</v>
      </c>
    </row>
    <row r="194" spans="1:9" x14ac:dyDescent="0.3">
      <c r="A194" t="s">
        <v>44</v>
      </c>
      <c r="B194" t="s">
        <v>19</v>
      </c>
      <c r="C194" t="s">
        <v>8</v>
      </c>
      <c r="D194" t="s">
        <v>14</v>
      </c>
      <c r="E194" t="s">
        <v>24</v>
      </c>
      <c r="F194">
        <v>587.89</v>
      </c>
      <c r="G194">
        <f>INDEX(Operational[Production Volume (units)],MATCH(Emission8[[#This Row],[Facility ID]],Operational[Facility ID],0))</f>
        <v>16256</v>
      </c>
      <c r="H194">
        <f>INDEX(Operational[Energy Consumption (MWh)],MATCH(Emission8[[#This Row],[Facility ID]],Operational[Facility ID],0))</f>
        <v>2127.1799999999998</v>
      </c>
      <c r="I194">
        <f>INDEX(Operational[Waste (tons)],MATCH(Emission8[[#This Row],[Facility ID]],Operational[Facility ID],0))</f>
        <v>38.94</v>
      </c>
    </row>
    <row r="195" spans="1:9" x14ac:dyDescent="0.3">
      <c r="A195" t="s">
        <v>146</v>
      </c>
      <c r="B195" t="s">
        <v>7</v>
      </c>
      <c r="C195" t="s">
        <v>34</v>
      </c>
      <c r="D195" t="s">
        <v>14</v>
      </c>
      <c r="E195" t="s">
        <v>24</v>
      </c>
      <c r="F195">
        <v>599.52</v>
      </c>
      <c r="G195">
        <f>INDEX(Operational[Production Volume (units)],MATCH(Emission8[[#This Row],[Facility ID]],Operational[Facility ID],0))</f>
        <v>14170</v>
      </c>
      <c r="H195">
        <f>INDEX(Operational[Energy Consumption (MWh)],MATCH(Emission8[[#This Row],[Facility ID]],Operational[Facility ID],0))</f>
        <v>5455.23</v>
      </c>
      <c r="I195">
        <f>INDEX(Operational[Waste (tons)],MATCH(Emission8[[#This Row],[Facility ID]],Operational[Facility ID],0))</f>
        <v>25.46</v>
      </c>
    </row>
    <row r="196" spans="1:9" x14ac:dyDescent="0.3">
      <c r="A196" t="s">
        <v>147</v>
      </c>
      <c r="B196" t="s">
        <v>17</v>
      </c>
      <c r="C196" t="s">
        <v>8</v>
      </c>
      <c r="D196" t="s">
        <v>28</v>
      </c>
      <c r="E196" t="s">
        <v>10</v>
      </c>
      <c r="F196">
        <v>1993.42</v>
      </c>
      <c r="G196">
        <f>INDEX(Operational[Production Volume (units)],MATCH(Emission8[[#This Row],[Facility ID]],Operational[Facility ID],0))</f>
        <v>24095</v>
      </c>
      <c r="H196">
        <f>INDEX(Operational[Energy Consumption (MWh)],MATCH(Emission8[[#This Row],[Facility ID]],Operational[Facility ID],0))</f>
        <v>3167.52</v>
      </c>
      <c r="I196">
        <f>INDEX(Operational[Waste (tons)],MATCH(Emission8[[#This Row],[Facility ID]],Operational[Facility ID],0))</f>
        <v>31.02</v>
      </c>
    </row>
    <row r="197" spans="1:9" x14ac:dyDescent="0.3">
      <c r="A197" t="s">
        <v>148</v>
      </c>
      <c r="B197" t="s">
        <v>17</v>
      </c>
      <c r="C197" t="s">
        <v>13</v>
      </c>
      <c r="D197" t="s">
        <v>14</v>
      </c>
      <c r="E197" t="s">
        <v>10</v>
      </c>
      <c r="F197">
        <v>1395.49</v>
      </c>
      <c r="G197">
        <f>INDEX(Operational[Production Volume (units)],MATCH(Emission8[[#This Row],[Facility ID]],Operational[Facility ID],0))</f>
        <v>44994</v>
      </c>
      <c r="H197">
        <f>INDEX(Operational[Energy Consumption (MWh)],MATCH(Emission8[[#This Row],[Facility ID]],Operational[Facility ID],0))</f>
        <v>7305.59</v>
      </c>
      <c r="I197">
        <f>INDEX(Operational[Waste (tons)],MATCH(Emission8[[#This Row],[Facility ID]],Operational[Facility ID],0))</f>
        <v>91.53</v>
      </c>
    </row>
    <row r="198" spans="1:9" x14ac:dyDescent="0.3">
      <c r="A198" t="s">
        <v>59</v>
      </c>
      <c r="B198" t="s">
        <v>17</v>
      </c>
      <c r="C198" t="s">
        <v>13</v>
      </c>
      <c r="D198" t="s">
        <v>9</v>
      </c>
      <c r="E198" t="s">
        <v>15</v>
      </c>
      <c r="F198">
        <v>2509.14</v>
      </c>
      <c r="G198">
        <f>INDEX(Operational[Production Volume (units)],MATCH(Emission8[[#This Row],[Facility ID]],Operational[Facility ID],0))</f>
        <v>15553</v>
      </c>
      <c r="H198">
        <f>INDEX(Operational[Energy Consumption (MWh)],MATCH(Emission8[[#This Row],[Facility ID]],Operational[Facility ID],0))</f>
        <v>3909.51</v>
      </c>
      <c r="I198">
        <f>INDEX(Operational[Waste (tons)],MATCH(Emission8[[#This Row],[Facility ID]],Operational[Facility ID],0))</f>
        <v>46.44</v>
      </c>
    </row>
    <row r="199" spans="1:9" x14ac:dyDescent="0.3">
      <c r="A199" t="s">
        <v>101</v>
      </c>
      <c r="B199" t="s">
        <v>19</v>
      </c>
      <c r="C199" t="s">
        <v>23</v>
      </c>
      <c r="D199" t="s">
        <v>9</v>
      </c>
      <c r="E199" t="s">
        <v>24</v>
      </c>
      <c r="F199">
        <v>2619.13</v>
      </c>
      <c r="G199">
        <f>INDEX(Operational[Production Volume (units)],MATCH(Emission8[[#This Row],[Facility ID]],Operational[Facility ID],0))</f>
        <v>39050</v>
      </c>
      <c r="H199">
        <f>INDEX(Operational[Energy Consumption (MWh)],MATCH(Emission8[[#This Row],[Facility ID]],Operational[Facility ID],0))</f>
        <v>5885.73</v>
      </c>
      <c r="I199">
        <f>INDEX(Operational[Waste (tons)],MATCH(Emission8[[#This Row],[Facility ID]],Operational[Facility ID],0))</f>
        <v>93.04</v>
      </c>
    </row>
    <row r="200" spans="1:9" x14ac:dyDescent="0.3">
      <c r="A200" t="s">
        <v>61</v>
      </c>
      <c r="B200" t="s">
        <v>30</v>
      </c>
      <c r="C200" t="s">
        <v>13</v>
      </c>
      <c r="D200" t="s">
        <v>14</v>
      </c>
      <c r="E200" t="s">
        <v>10</v>
      </c>
      <c r="F200">
        <v>1192.6600000000001</v>
      </c>
      <c r="G200">
        <f>INDEX(Operational[Production Volume (units)],MATCH(Emission8[[#This Row],[Facility ID]],Operational[Facility ID],0))</f>
        <v>95718</v>
      </c>
      <c r="H200">
        <f>INDEX(Operational[Energy Consumption (MWh)],MATCH(Emission8[[#This Row],[Facility ID]],Operational[Facility ID],0))</f>
        <v>2443.12</v>
      </c>
      <c r="I200">
        <f>INDEX(Operational[Waste (tons)],MATCH(Emission8[[#This Row],[Facility ID]],Operational[Facility ID],0))</f>
        <v>35.49</v>
      </c>
    </row>
    <row r="201" spans="1:9" x14ac:dyDescent="0.3">
      <c r="A201" t="s">
        <v>101</v>
      </c>
      <c r="B201" t="s">
        <v>19</v>
      </c>
      <c r="C201" t="s">
        <v>34</v>
      </c>
      <c r="D201" t="s">
        <v>9</v>
      </c>
      <c r="E201" t="s">
        <v>24</v>
      </c>
      <c r="F201">
        <v>639.36</v>
      </c>
      <c r="G201">
        <f>INDEX(Operational[Production Volume (units)],MATCH(Emission8[[#This Row],[Facility ID]],Operational[Facility ID],0))</f>
        <v>39050</v>
      </c>
      <c r="H201">
        <f>INDEX(Operational[Energy Consumption (MWh)],MATCH(Emission8[[#This Row],[Facility ID]],Operational[Facility ID],0))</f>
        <v>5885.73</v>
      </c>
      <c r="I201">
        <f>INDEX(Operational[Waste (tons)],MATCH(Emission8[[#This Row],[Facility ID]],Operational[Facility ID],0))</f>
        <v>93.04</v>
      </c>
    </row>
    <row r="202" spans="1:9" x14ac:dyDescent="0.3">
      <c r="A202" t="s">
        <v>47</v>
      </c>
      <c r="B202" t="s">
        <v>30</v>
      </c>
      <c r="C202" t="s">
        <v>13</v>
      </c>
      <c r="D202" t="s">
        <v>28</v>
      </c>
      <c r="E202" t="s">
        <v>24</v>
      </c>
      <c r="F202">
        <v>3446.07</v>
      </c>
      <c r="G202">
        <f>INDEX(Operational[Production Volume (units)],MATCH(Emission8[[#This Row],[Facility ID]],Operational[Facility ID],0))</f>
        <v>53661</v>
      </c>
      <c r="H202">
        <f>INDEX(Operational[Energy Consumption (MWh)],MATCH(Emission8[[#This Row],[Facility ID]],Operational[Facility ID],0))</f>
        <v>6965.81</v>
      </c>
      <c r="I202">
        <f>INDEX(Operational[Waste (tons)],MATCH(Emission8[[#This Row],[Facility ID]],Operational[Facility ID],0))</f>
        <v>69.400000000000006</v>
      </c>
    </row>
    <row r="203" spans="1:9" x14ac:dyDescent="0.3">
      <c r="A203" t="s">
        <v>149</v>
      </c>
      <c r="B203" t="s">
        <v>17</v>
      </c>
      <c r="C203" t="s">
        <v>13</v>
      </c>
      <c r="D203" t="s">
        <v>9</v>
      </c>
      <c r="E203" t="s">
        <v>10</v>
      </c>
      <c r="F203">
        <v>2973.2</v>
      </c>
      <c r="G203">
        <f>INDEX(Operational[Production Volume (units)],MATCH(Emission8[[#This Row],[Facility ID]],Operational[Facility ID],0))</f>
        <v>49885</v>
      </c>
      <c r="H203">
        <f>INDEX(Operational[Energy Consumption (MWh)],MATCH(Emission8[[#This Row],[Facility ID]],Operational[Facility ID],0))</f>
        <v>6845.46</v>
      </c>
      <c r="I203">
        <f>INDEX(Operational[Waste (tons)],MATCH(Emission8[[#This Row],[Facility ID]],Operational[Facility ID],0))</f>
        <v>58.4</v>
      </c>
    </row>
    <row r="204" spans="1:9" x14ac:dyDescent="0.3">
      <c r="A204" t="s">
        <v>41</v>
      </c>
      <c r="B204" t="s">
        <v>30</v>
      </c>
      <c r="C204" t="s">
        <v>13</v>
      </c>
      <c r="D204" t="s">
        <v>28</v>
      </c>
      <c r="E204" t="s">
        <v>15</v>
      </c>
      <c r="F204">
        <v>4562.24</v>
      </c>
      <c r="G204">
        <f>INDEX(Operational[Production Volume (units)],MATCH(Emission8[[#This Row],[Facility ID]],Operational[Facility ID],0))</f>
        <v>61743</v>
      </c>
      <c r="H204">
        <f>INDEX(Operational[Energy Consumption (MWh)],MATCH(Emission8[[#This Row],[Facility ID]],Operational[Facility ID],0))</f>
        <v>7426.75</v>
      </c>
      <c r="I204">
        <f>INDEX(Operational[Waste (tons)],MATCH(Emission8[[#This Row],[Facility ID]],Operational[Facility ID],0))</f>
        <v>26.39</v>
      </c>
    </row>
    <row r="205" spans="1:9" x14ac:dyDescent="0.3">
      <c r="A205" t="s">
        <v>74</v>
      </c>
      <c r="B205" t="s">
        <v>19</v>
      </c>
      <c r="C205" t="s">
        <v>13</v>
      </c>
      <c r="D205" t="s">
        <v>28</v>
      </c>
      <c r="E205" t="s">
        <v>15</v>
      </c>
      <c r="F205">
        <v>3500.64</v>
      </c>
      <c r="G205">
        <f>INDEX(Operational[Production Volume (units)],MATCH(Emission8[[#This Row],[Facility ID]],Operational[Facility ID],0))</f>
        <v>18175</v>
      </c>
      <c r="H205">
        <f>INDEX(Operational[Energy Consumption (MWh)],MATCH(Emission8[[#This Row],[Facility ID]],Operational[Facility ID],0))</f>
        <v>8349.49</v>
      </c>
      <c r="I205">
        <f>INDEX(Operational[Waste (tons)],MATCH(Emission8[[#This Row],[Facility ID]],Operational[Facility ID],0))</f>
        <v>39.97</v>
      </c>
    </row>
    <row r="206" spans="1:9" x14ac:dyDescent="0.3">
      <c r="A206" t="s">
        <v>29</v>
      </c>
      <c r="B206" t="s">
        <v>30</v>
      </c>
      <c r="C206" t="s">
        <v>8</v>
      </c>
      <c r="D206" t="s">
        <v>28</v>
      </c>
      <c r="E206" t="s">
        <v>24</v>
      </c>
      <c r="F206">
        <v>3289.66</v>
      </c>
      <c r="G206">
        <f>INDEX(Operational[Production Volume (units)],MATCH(Emission8[[#This Row],[Facility ID]],Operational[Facility ID],0))</f>
        <v>32131</v>
      </c>
      <c r="H206">
        <f>INDEX(Operational[Energy Consumption (MWh)],MATCH(Emission8[[#This Row],[Facility ID]],Operational[Facility ID],0))</f>
        <v>1474.23</v>
      </c>
      <c r="I206">
        <f>INDEX(Operational[Waste (tons)],MATCH(Emission8[[#This Row],[Facility ID]],Operational[Facility ID],0))</f>
        <v>45.47</v>
      </c>
    </row>
    <row r="207" spans="1:9" x14ac:dyDescent="0.3">
      <c r="A207" t="s">
        <v>53</v>
      </c>
      <c r="B207" t="s">
        <v>7</v>
      </c>
      <c r="C207" t="s">
        <v>34</v>
      </c>
      <c r="D207" t="s">
        <v>14</v>
      </c>
      <c r="E207" t="s">
        <v>15</v>
      </c>
      <c r="F207">
        <v>540.26</v>
      </c>
      <c r="G207">
        <f>INDEX(Operational[Production Volume (units)],MATCH(Emission8[[#This Row],[Facility ID]],Operational[Facility ID],0))</f>
        <v>90632</v>
      </c>
      <c r="H207">
        <f>INDEX(Operational[Energy Consumption (MWh)],MATCH(Emission8[[#This Row],[Facility ID]],Operational[Facility ID],0))</f>
        <v>5292.17</v>
      </c>
      <c r="I207">
        <f>INDEX(Operational[Waste (tons)],MATCH(Emission8[[#This Row],[Facility ID]],Operational[Facility ID],0))</f>
        <v>78.45</v>
      </c>
    </row>
    <row r="208" spans="1:9" x14ac:dyDescent="0.3">
      <c r="A208" t="s">
        <v>150</v>
      </c>
      <c r="B208" t="s">
        <v>30</v>
      </c>
      <c r="C208" t="s">
        <v>23</v>
      </c>
      <c r="D208" t="s">
        <v>14</v>
      </c>
      <c r="E208" t="s">
        <v>15</v>
      </c>
      <c r="F208">
        <v>3784.31</v>
      </c>
      <c r="G208">
        <f>INDEX(Operational[Production Volume (units)],MATCH(Emission8[[#This Row],[Facility ID]],Operational[Facility ID],0))</f>
        <v>98356</v>
      </c>
      <c r="H208">
        <f>INDEX(Operational[Energy Consumption (MWh)],MATCH(Emission8[[#This Row],[Facility ID]],Operational[Facility ID],0))</f>
        <v>6968.69</v>
      </c>
      <c r="I208">
        <f>INDEX(Operational[Waste (tons)],MATCH(Emission8[[#This Row],[Facility ID]],Operational[Facility ID],0))</f>
        <v>81.72</v>
      </c>
    </row>
    <row r="209" spans="1:9" x14ac:dyDescent="0.3">
      <c r="A209" t="s">
        <v>33</v>
      </c>
      <c r="B209" t="s">
        <v>19</v>
      </c>
      <c r="C209" t="s">
        <v>13</v>
      </c>
      <c r="D209" t="s">
        <v>28</v>
      </c>
      <c r="E209" t="s">
        <v>24</v>
      </c>
      <c r="F209">
        <v>2320.83</v>
      </c>
      <c r="G209">
        <f>INDEX(Operational[Production Volume (units)],MATCH(Emission8[[#This Row],[Facility ID]],Operational[Facility ID],0))</f>
        <v>65719</v>
      </c>
      <c r="H209">
        <f>INDEX(Operational[Energy Consumption (MWh)],MATCH(Emission8[[#This Row],[Facility ID]],Operational[Facility ID],0))</f>
        <v>9362.41</v>
      </c>
      <c r="I209">
        <f>INDEX(Operational[Waste (tons)],MATCH(Emission8[[#This Row],[Facility ID]],Operational[Facility ID],0))</f>
        <v>86.55</v>
      </c>
    </row>
    <row r="210" spans="1:9" x14ac:dyDescent="0.3">
      <c r="A210" t="s">
        <v>82</v>
      </c>
      <c r="B210" t="s">
        <v>17</v>
      </c>
      <c r="C210" t="s">
        <v>34</v>
      </c>
      <c r="D210" t="s">
        <v>14</v>
      </c>
      <c r="E210" t="s">
        <v>15</v>
      </c>
      <c r="F210">
        <v>2311.4499999999998</v>
      </c>
      <c r="G210">
        <f>INDEX(Operational[Production Volume (units)],MATCH(Emission8[[#This Row],[Facility ID]],Operational[Facility ID],0))</f>
        <v>93409</v>
      </c>
      <c r="H210">
        <f>INDEX(Operational[Energy Consumption (MWh)],MATCH(Emission8[[#This Row],[Facility ID]],Operational[Facility ID],0))</f>
        <v>2375.83</v>
      </c>
      <c r="I210">
        <f>INDEX(Operational[Waste (tons)],MATCH(Emission8[[#This Row],[Facility ID]],Operational[Facility ID],0))</f>
        <v>5.83</v>
      </c>
    </row>
    <row r="211" spans="1:9" x14ac:dyDescent="0.3">
      <c r="A211" t="s">
        <v>122</v>
      </c>
      <c r="B211" t="s">
        <v>19</v>
      </c>
      <c r="C211" t="s">
        <v>23</v>
      </c>
      <c r="D211" t="s">
        <v>28</v>
      </c>
      <c r="E211" t="s">
        <v>10</v>
      </c>
      <c r="F211">
        <v>4836.59</v>
      </c>
      <c r="G211">
        <f>INDEX(Operational[Production Volume (units)],MATCH(Emission8[[#This Row],[Facility ID]],Operational[Facility ID],0))</f>
        <v>95962</v>
      </c>
      <c r="H211">
        <f>INDEX(Operational[Energy Consumption (MWh)],MATCH(Emission8[[#This Row],[Facility ID]],Operational[Facility ID],0))</f>
        <v>524.72</v>
      </c>
      <c r="I211">
        <f>INDEX(Operational[Waste (tons)],MATCH(Emission8[[#This Row],[Facility ID]],Operational[Facility ID],0))</f>
        <v>49.55</v>
      </c>
    </row>
    <row r="212" spans="1:9" x14ac:dyDescent="0.3">
      <c r="A212" t="s">
        <v>64</v>
      </c>
      <c r="B212" t="s">
        <v>30</v>
      </c>
      <c r="C212" t="s">
        <v>13</v>
      </c>
      <c r="D212" t="s">
        <v>28</v>
      </c>
      <c r="E212" t="s">
        <v>15</v>
      </c>
      <c r="F212">
        <v>4870.82</v>
      </c>
      <c r="G212">
        <f>INDEX(Operational[Production Volume (units)],MATCH(Emission8[[#This Row],[Facility ID]],Operational[Facility ID],0))</f>
        <v>52836</v>
      </c>
      <c r="H212">
        <f>INDEX(Operational[Energy Consumption (MWh)],MATCH(Emission8[[#This Row],[Facility ID]],Operational[Facility ID],0))</f>
        <v>9330.2999999999993</v>
      </c>
      <c r="I212">
        <f>INDEX(Operational[Waste (tons)],MATCH(Emission8[[#This Row],[Facility ID]],Operational[Facility ID],0))</f>
        <v>87.27</v>
      </c>
    </row>
    <row r="213" spans="1:9" x14ac:dyDescent="0.3">
      <c r="A213" t="s">
        <v>151</v>
      </c>
      <c r="B213" t="s">
        <v>12</v>
      </c>
      <c r="C213" t="s">
        <v>23</v>
      </c>
      <c r="D213" t="s">
        <v>28</v>
      </c>
      <c r="E213" t="s">
        <v>15</v>
      </c>
      <c r="F213">
        <v>4492.74</v>
      </c>
      <c r="G213">
        <f>INDEX(Operational[Production Volume (units)],MATCH(Emission8[[#This Row],[Facility ID]],Operational[Facility ID],0))</f>
        <v>61207</v>
      </c>
      <c r="H213">
        <f>INDEX(Operational[Energy Consumption (MWh)],MATCH(Emission8[[#This Row],[Facility ID]],Operational[Facility ID],0))</f>
        <v>6922.33</v>
      </c>
      <c r="I213">
        <f>INDEX(Operational[Waste (tons)],MATCH(Emission8[[#This Row],[Facility ID]],Operational[Facility ID],0))</f>
        <v>9.1999999999999993</v>
      </c>
    </row>
    <row r="214" spans="1:9" x14ac:dyDescent="0.3">
      <c r="A214" t="s">
        <v>152</v>
      </c>
      <c r="B214" t="s">
        <v>30</v>
      </c>
      <c r="C214" t="s">
        <v>34</v>
      </c>
      <c r="D214" t="s">
        <v>14</v>
      </c>
      <c r="E214" t="s">
        <v>10</v>
      </c>
      <c r="F214">
        <v>2776.43</v>
      </c>
      <c r="G214">
        <f>INDEX(Operational[Production Volume (units)],MATCH(Emission8[[#This Row],[Facility ID]],Operational[Facility ID],0))</f>
        <v>21914</v>
      </c>
      <c r="H214">
        <f>INDEX(Operational[Energy Consumption (MWh)],MATCH(Emission8[[#This Row],[Facility ID]],Operational[Facility ID],0))</f>
        <v>5897.27</v>
      </c>
      <c r="I214">
        <f>INDEX(Operational[Waste (tons)],MATCH(Emission8[[#This Row],[Facility ID]],Operational[Facility ID],0))</f>
        <v>49.41</v>
      </c>
    </row>
    <row r="215" spans="1:9" x14ac:dyDescent="0.3">
      <c r="A215" t="s">
        <v>16</v>
      </c>
      <c r="B215" t="s">
        <v>17</v>
      </c>
      <c r="C215" t="s">
        <v>23</v>
      </c>
      <c r="D215" t="s">
        <v>28</v>
      </c>
      <c r="E215" t="s">
        <v>10</v>
      </c>
      <c r="F215">
        <v>4987.59</v>
      </c>
      <c r="G215">
        <f>INDEX(Operational[Production Volume (units)],MATCH(Emission8[[#This Row],[Facility ID]],Operational[Facility ID],0))</f>
        <v>43512</v>
      </c>
      <c r="H215">
        <f>INDEX(Operational[Energy Consumption (MWh)],MATCH(Emission8[[#This Row],[Facility ID]],Operational[Facility ID],0))</f>
        <v>5352.18</v>
      </c>
      <c r="I215">
        <f>INDEX(Operational[Waste (tons)],MATCH(Emission8[[#This Row],[Facility ID]],Operational[Facility ID],0))</f>
        <v>6.17</v>
      </c>
    </row>
    <row r="216" spans="1:9" x14ac:dyDescent="0.3">
      <c r="A216" t="s">
        <v>153</v>
      </c>
      <c r="B216" t="s">
        <v>7</v>
      </c>
      <c r="C216" t="s">
        <v>8</v>
      </c>
      <c r="D216" t="s">
        <v>9</v>
      </c>
      <c r="E216" t="s">
        <v>10</v>
      </c>
      <c r="F216">
        <v>1335.76</v>
      </c>
      <c r="G216">
        <f>INDEX(Operational[Production Volume (units)],MATCH(Emission8[[#This Row],[Facility ID]],Operational[Facility ID],0))</f>
        <v>21388</v>
      </c>
      <c r="H216">
        <f>INDEX(Operational[Energy Consumption (MWh)],MATCH(Emission8[[#This Row],[Facility ID]],Operational[Facility ID],0))</f>
        <v>5249.39</v>
      </c>
      <c r="I216">
        <f>INDEX(Operational[Waste (tons)],MATCH(Emission8[[#This Row],[Facility ID]],Operational[Facility ID],0))</f>
        <v>64.2</v>
      </c>
    </row>
    <row r="217" spans="1:9" x14ac:dyDescent="0.3">
      <c r="A217" t="s">
        <v>39</v>
      </c>
      <c r="B217" t="s">
        <v>7</v>
      </c>
      <c r="C217" t="s">
        <v>34</v>
      </c>
      <c r="D217" t="s">
        <v>14</v>
      </c>
      <c r="E217" t="s">
        <v>10</v>
      </c>
      <c r="F217">
        <v>1293.21</v>
      </c>
      <c r="G217">
        <f>INDEX(Operational[Production Volume (units)],MATCH(Emission8[[#This Row],[Facility ID]],Operational[Facility ID],0))</f>
        <v>80904</v>
      </c>
      <c r="H217">
        <f>INDEX(Operational[Energy Consumption (MWh)],MATCH(Emission8[[#This Row],[Facility ID]],Operational[Facility ID],0))</f>
        <v>3263.09</v>
      </c>
      <c r="I217">
        <f>INDEX(Operational[Waste (tons)],MATCH(Emission8[[#This Row],[Facility ID]],Operational[Facility ID],0))</f>
        <v>58.37</v>
      </c>
    </row>
    <row r="218" spans="1:9" x14ac:dyDescent="0.3">
      <c r="A218" t="s">
        <v>154</v>
      </c>
      <c r="B218" t="s">
        <v>12</v>
      </c>
      <c r="C218" t="s">
        <v>34</v>
      </c>
      <c r="D218" t="s">
        <v>28</v>
      </c>
      <c r="E218" t="s">
        <v>24</v>
      </c>
      <c r="F218">
        <v>1708</v>
      </c>
      <c r="G218">
        <f>INDEX(Operational[Production Volume (units)],MATCH(Emission8[[#This Row],[Facility ID]],Operational[Facility ID],0))</f>
        <v>87012</v>
      </c>
      <c r="H218">
        <f>INDEX(Operational[Energy Consumption (MWh)],MATCH(Emission8[[#This Row],[Facility ID]],Operational[Facility ID],0))</f>
        <v>7478.13</v>
      </c>
      <c r="I218">
        <f>INDEX(Operational[Waste (tons)],MATCH(Emission8[[#This Row],[Facility ID]],Operational[Facility ID],0))</f>
        <v>27.22</v>
      </c>
    </row>
    <row r="219" spans="1:9" x14ac:dyDescent="0.3">
      <c r="A219" t="s">
        <v>99</v>
      </c>
      <c r="B219" t="s">
        <v>19</v>
      </c>
      <c r="C219" t="s">
        <v>13</v>
      </c>
      <c r="D219" t="s">
        <v>28</v>
      </c>
      <c r="E219" t="s">
        <v>24</v>
      </c>
      <c r="F219">
        <v>4594.9799999999996</v>
      </c>
      <c r="G219">
        <f>INDEX(Operational[Production Volume (units)],MATCH(Emission8[[#This Row],[Facility ID]],Operational[Facility ID],0))</f>
        <v>77400</v>
      </c>
      <c r="H219">
        <f>INDEX(Operational[Energy Consumption (MWh)],MATCH(Emission8[[#This Row],[Facility ID]],Operational[Facility ID],0))</f>
        <v>7504.8</v>
      </c>
      <c r="I219">
        <f>INDEX(Operational[Waste (tons)],MATCH(Emission8[[#This Row],[Facility ID]],Operational[Facility ID],0))</f>
        <v>68.819999999999993</v>
      </c>
    </row>
    <row r="220" spans="1:9" x14ac:dyDescent="0.3">
      <c r="A220" t="s">
        <v>155</v>
      </c>
      <c r="B220" t="s">
        <v>7</v>
      </c>
      <c r="C220" t="s">
        <v>23</v>
      </c>
      <c r="D220" t="s">
        <v>14</v>
      </c>
      <c r="E220" t="s">
        <v>10</v>
      </c>
      <c r="F220">
        <v>831.81</v>
      </c>
      <c r="G220">
        <f>INDEX(Operational[Production Volume (units)],MATCH(Emission8[[#This Row],[Facility ID]],Operational[Facility ID],0))</f>
        <v>72224</v>
      </c>
      <c r="H220">
        <f>INDEX(Operational[Energy Consumption (MWh)],MATCH(Emission8[[#This Row],[Facility ID]],Operational[Facility ID],0))</f>
        <v>1613.32</v>
      </c>
      <c r="I220">
        <f>INDEX(Operational[Waste (tons)],MATCH(Emission8[[#This Row],[Facility ID]],Operational[Facility ID],0))</f>
        <v>39.21</v>
      </c>
    </row>
    <row r="221" spans="1:9" x14ac:dyDescent="0.3">
      <c r="A221" t="s">
        <v>156</v>
      </c>
      <c r="B221" t="s">
        <v>17</v>
      </c>
      <c r="C221" t="s">
        <v>23</v>
      </c>
      <c r="D221" t="s">
        <v>14</v>
      </c>
      <c r="E221" t="s">
        <v>10</v>
      </c>
      <c r="F221">
        <v>2545.9</v>
      </c>
      <c r="G221">
        <f>INDEX(Operational[Production Volume (units)],MATCH(Emission8[[#This Row],[Facility ID]],Operational[Facility ID],0))</f>
        <v>81057</v>
      </c>
      <c r="H221">
        <f>INDEX(Operational[Energy Consumption (MWh)],MATCH(Emission8[[#This Row],[Facility ID]],Operational[Facility ID],0))</f>
        <v>675.41</v>
      </c>
      <c r="I221">
        <f>INDEX(Operational[Waste (tons)],MATCH(Emission8[[#This Row],[Facility ID]],Operational[Facility ID],0))</f>
        <v>55.44</v>
      </c>
    </row>
    <row r="222" spans="1:9" x14ac:dyDescent="0.3">
      <c r="A222" t="s">
        <v>149</v>
      </c>
      <c r="B222" t="s">
        <v>17</v>
      </c>
      <c r="C222" t="s">
        <v>34</v>
      </c>
      <c r="D222" t="s">
        <v>9</v>
      </c>
      <c r="E222" t="s">
        <v>10</v>
      </c>
      <c r="F222">
        <v>1207.1400000000001</v>
      </c>
      <c r="G222">
        <f>INDEX(Operational[Production Volume (units)],MATCH(Emission8[[#This Row],[Facility ID]],Operational[Facility ID],0))</f>
        <v>49885</v>
      </c>
      <c r="H222">
        <f>INDEX(Operational[Energy Consumption (MWh)],MATCH(Emission8[[#This Row],[Facility ID]],Operational[Facility ID],0))</f>
        <v>6845.46</v>
      </c>
      <c r="I222">
        <f>INDEX(Operational[Waste (tons)],MATCH(Emission8[[#This Row],[Facility ID]],Operational[Facility ID],0))</f>
        <v>58.4</v>
      </c>
    </row>
    <row r="223" spans="1:9" x14ac:dyDescent="0.3">
      <c r="A223" t="s">
        <v>33</v>
      </c>
      <c r="B223" t="s">
        <v>19</v>
      </c>
      <c r="C223" t="s">
        <v>23</v>
      </c>
      <c r="D223" t="s">
        <v>9</v>
      </c>
      <c r="E223" t="s">
        <v>24</v>
      </c>
      <c r="F223">
        <v>2790.8</v>
      </c>
      <c r="G223">
        <f>INDEX(Operational[Production Volume (units)],MATCH(Emission8[[#This Row],[Facility ID]],Operational[Facility ID],0))</f>
        <v>65719</v>
      </c>
      <c r="H223">
        <f>INDEX(Operational[Energy Consumption (MWh)],MATCH(Emission8[[#This Row],[Facility ID]],Operational[Facility ID],0))</f>
        <v>9362.41</v>
      </c>
      <c r="I223">
        <f>INDEX(Operational[Waste (tons)],MATCH(Emission8[[#This Row],[Facility ID]],Operational[Facility ID],0))</f>
        <v>86.55</v>
      </c>
    </row>
    <row r="224" spans="1:9" x14ac:dyDescent="0.3">
      <c r="A224" t="s">
        <v>157</v>
      </c>
      <c r="B224" t="s">
        <v>30</v>
      </c>
      <c r="C224" t="s">
        <v>23</v>
      </c>
      <c r="D224" t="s">
        <v>28</v>
      </c>
      <c r="E224" t="s">
        <v>15</v>
      </c>
      <c r="F224">
        <v>1945.28</v>
      </c>
      <c r="G224">
        <f>INDEX(Operational[Production Volume (units)],MATCH(Emission8[[#This Row],[Facility ID]],Operational[Facility ID],0))</f>
        <v>76544</v>
      </c>
      <c r="H224">
        <f>INDEX(Operational[Energy Consumption (MWh)],MATCH(Emission8[[#This Row],[Facility ID]],Operational[Facility ID],0))</f>
        <v>8632.77</v>
      </c>
      <c r="I224">
        <f>INDEX(Operational[Waste (tons)],MATCH(Emission8[[#This Row],[Facility ID]],Operational[Facility ID],0))</f>
        <v>12.87</v>
      </c>
    </row>
    <row r="225" spans="1:9" x14ac:dyDescent="0.3">
      <c r="A225" t="s">
        <v>16</v>
      </c>
      <c r="B225" t="s">
        <v>17</v>
      </c>
      <c r="C225" t="s">
        <v>34</v>
      </c>
      <c r="D225" t="s">
        <v>9</v>
      </c>
      <c r="E225" t="s">
        <v>24</v>
      </c>
      <c r="F225">
        <v>3670.54</v>
      </c>
      <c r="G225">
        <f>INDEX(Operational[Production Volume (units)],MATCH(Emission8[[#This Row],[Facility ID]],Operational[Facility ID],0))</f>
        <v>43512</v>
      </c>
      <c r="H225">
        <f>INDEX(Operational[Energy Consumption (MWh)],MATCH(Emission8[[#This Row],[Facility ID]],Operational[Facility ID],0))</f>
        <v>5352.18</v>
      </c>
      <c r="I225">
        <f>INDEX(Operational[Waste (tons)],MATCH(Emission8[[#This Row],[Facility ID]],Operational[Facility ID],0))</f>
        <v>6.17</v>
      </c>
    </row>
    <row r="226" spans="1:9" x14ac:dyDescent="0.3">
      <c r="A226" t="s">
        <v>44</v>
      </c>
      <c r="B226" t="s">
        <v>19</v>
      </c>
      <c r="C226" t="s">
        <v>13</v>
      </c>
      <c r="D226" t="s">
        <v>14</v>
      </c>
      <c r="E226" t="s">
        <v>24</v>
      </c>
      <c r="F226">
        <v>1954.98</v>
      </c>
      <c r="G226">
        <f>INDEX(Operational[Production Volume (units)],MATCH(Emission8[[#This Row],[Facility ID]],Operational[Facility ID],0))</f>
        <v>16256</v>
      </c>
      <c r="H226">
        <f>INDEX(Operational[Energy Consumption (MWh)],MATCH(Emission8[[#This Row],[Facility ID]],Operational[Facility ID],0))</f>
        <v>2127.1799999999998</v>
      </c>
      <c r="I226">
        <f>INDEX(Operational[Waste (tons)],MATCH(Emission8[[#This Row],[Facility ID]],Operational[Facility ID],0))</f>
        <v>38.94</v>
      </c>
    </row>
    <row r="227" spans="1:9" x14ac:dyDescent="0.3">
      <c r="A227" t="s">
        <v>84</v>
      </c>
      <c r="B227" t="s">
        <v>30</v>
      </c>
      <c r="C227" t="s">
        <v>13</v>
      </c>
      <c r="D227" t="s">
        <v>14</v>
      </c>
      <c r="E227" t="s">
        <v>15</v>
      </c>
      <c r="F227">
        <v>2205.38</v>
      </c>
      <c r="G227">
        <f>INDEX(Operational[Production Volume (units)],MATCH(Emission8[[#This Row],[Facility ID]],Operational[Facility ID],0))</f>
        <v>85444</v>
      </c>
      <c r="H227">
        <f>INDEX(Operational[Energy Consumption (MWh)],MATCH(Emission8[[#This Row],[Facility ID]],Operational[Facility ID],0))</f>
        <v>852.57</v>
      </c>
      <c r="I227">
        <f>INDEX(Operational[Waste (tons)],MATCH(Emission8[[#This Row],[Facility ID]],Operational[Facility ID],0))</f>
        <v>72.650000000000006</v>
      </c>
    </row>
    <row r="228" spans="1:9" x14ac:dyDescent="0.3">
      <c r="A228" t="s">
        <v>40</v>
      </c>
      <c r="B228" t="s">
        <v>19</v>
      </c>
      <c r="C228" t="s">
        <v>23</v>
      </c>
      <c r="D228" t="s">
        <v>14</v>
      </c>
      <c r="E228" t="s">
        <v>24</v>
      </c>
      <c r="F228">
        <v>1900.73</v>
      </c>
      <c r="G228">
        <f>INDEX(Operational[Production Volume (units)],MATCH(Emission8[[#This Row],[Facility ID]],Operational[Facility ID],0))</f>
        <v>96474</v>
      </c>
      <c r="H228">
        <f>INDEX(Operational[Energy Consumption (MWh)],MATCH(Emission8[[#This Row],[Facility ID]],Operational[Facility ID],0))</f>
        <v>7574.39</v>
      </c>
      <c r="I228">
        <f>INDEX(Operational[Waste (tons)],MATCH(Emission8[[#This Row],[Facility ID]],Operational[Facility ID],0))</f>
        <v>95.54</v>
      </c>
    </row>
    <row r="229" spans="1:9" x14ac:dyDescent="0.3">
      <c r="A229" t="s">
        <v>49</v>
      </c>
      <c r="B229" t="s">
        <v>19</v>
      </c>
      <c r="C229" t="s">
        <v>13</v>
      </c>
      <c r="D229" t="s">
        <v>9</v>
      </c>
      <c r="E229" t="s">
        <v>10</v>
      </c>
      <c r="F229">
        <v>2512.7800000000002</v>
      </c>
      <c r="G229">
        <f>INDEX(Operational[Production Volume (units)],MATCH(Emission8[[#This Row],[Facility ID]],Operational[Facility ID],0))</f>
        <v>50306</v>
      </c>
      <c r="H229">
        <f>INDEX(Operational[Energy Consumption (MWh)],MATCH(Emission8[[#This Row],[Facility ID]],Operational[Facility ID],0))</f>
        <v>7031.37</v>
      </c>
      <c r="I229">
        <f>INDEX(Operational[Waste (tons)],MATCH(Emission8[[#This Row],[Facility ID]],Operational[Facility ID],0))</f>
        <v>13.27</v>
      </c>
    </row>
    <row r="230" spans="1:9" x14ac:dyDescent="0.3">
      <c r="A230" t="s">
        <v>134</v>
      </c>
      <c r="B230" t="s">
        <v>7</v>
      </c>
      <c r="C230" t="s">
        <v>23</v>
      </c>
      <c r="D230" t="s">
        <v>9</v>
      </c>
      <c r="E230" t="s">
        <v>15</v>
      </c>
      <c r="F230">
        <v>3560.29</v>
      </c>
      <c r="G230">
        <f>INDEX(Operational[Production Volume (units)],MATCH(Emission8[[#This Row],[Facility ID]],Operational[Facility ID],0))</f>
        <v>39568</v>
      </c>
      <c r="H230">
        <f>INDEX(Operational[Energy Consumption (MWh)],MATCH(Emission8[[#This Row],[Facility ID]],Operational[Facility ID],0))</f>
        <v>3580.54</v>
      </c>
      <c r="I230">
        <f>INDEX(Operational[Waste (tons)],MATCH(Emission8[[#This Row],[Facility ID]],Operational[Facility ID],0))</f>
        <v>78.08</v>
      </c>
    </row>
    <row r="231" spans="1:9" x14ac:dyDescent="0.3">
      <c r="A231" t="s">
        <v>66</v>
      </c>
      <c r="B231" t="s">
        <v>30</v>
      </c>
      <c r="C231" t="s">
        <v>23</v>
      </c>
      <c r="D231" t="s">
        <v>14</v>
      </c>
      <c r="E231" t="s">
        <v>10</v>
      </c>
      <c r="F231">
        <v>4844.28</v>
      </c>
      <c r="G231">
        <f>INDEX(Operational[Production Volume (units)],MATCH(Emission8[[#This Row],[Facility ID]],Operational[Facility ID],0))</f>
        <v>98396</v>
      </c>
      <c r="H231">
        <f>INDEX(Operational[Energy Consumption (MWh)],MATCH(Emission8[[#This Row],[Facility ID]],Operational[Facility ID],0))</f>
        <v>5174.07</v>
      </c>
      <c r="I231">
        <f>INDEX(Operational[Waste (tons)],MATCH(Emission8[[#This Row],[Facility ID]],Operational[Facility ID],0))</f>
        <v>63.38</v>
      </c>
    </row>
    <row r="232" spans="1:9" x14ac:dyDescent="0.3">
      <c r="A232" t="s">
        <v>94</v>
      </c>
      <c r="B232" t="s">
        <v>7</v>
      </c>
      <c r="C232" t="s">
        <v>13</v>
      </c>
      <c r="D232" t="s">
        <v>14</v>
      </c>
      <c r="E232" t="s">
        <v>15</v>
      </c>
      <c r="F232">
        <v>3100.15</v>
      </c>
      <c r="G232">
        <f>INDEX(Operational[Production Volume (units)],MATCH(Emission8[[#This Row],[Facility ID]],Operational[Facility ID],0))</f>
        <v>26338</v>
      </c>
      <c r="H232">
        <f>INDEX(Operational[Energy Consumption (MWh)],MATCH(Emission8[[#This Row],[Facility ID]],Operational[Facility ID],0))</f>
        <v>578.73</v>
      </c>
      <c r="I232">
        <f>INDEX(Operational[Waste (tons)],MATCH(Emission8[[#This Row],[Facility ID]],Operational[Facility ID],0))</f>
        <v>72.52</v>
      </c>
    </row>
    <row r="233" spans="1:9" x14ac:dyDescent="0.3">
      <c r="A233" t="s">
        <v>53</v>
      </c>
      <c r="B233" t="s">
        <v>7</v>
      </c>
      <c r="C233" t="s">
        <v>8</v>
      </c>
      <c r="D233" t="s">
        <v>28</v>
      </c>
      <c r="E233" t="s">
        <v>15</v>
      </c>
      <c r="F233">
        <v>2791.16</v>
      </c>
      <c r="G233">
        <f>INDEX(Operational[Production Volume (units)],MATCH(Emission8[[#This Row],[Facility ID]],Operational[Facility ID],0))</f>
        <v>90632</v>
      </c>
      <c r="H233">
        <f>INDEX(Operational[Energy Consumption (MWh)],MATCH(Emission8[[#This Row],[Facility ID]],Operational[Facility ID],0))</f>
        <v>5292.17</v>
      </c>
      <c r="I233">
        <f>INDEX(Operational[Waste (tons)],MATCH(Emission8[[#This Row],[Facility ID]],Operational[Facility ID],0))</f>
        <v>78.45</v>
      </c>
    </row>
    <row r="234" spans="1:9" x14ac:dyDescent="0.3">
      <c r="A234" t="s">
        <v>130</v>
      </c>
      <c r="B234" t="s">
        <v>12</v>
      </c>
      <c r="C234" t="s">
        <v>8</v>
      </c>
      <c r="D234" t="s">
        <v>14</v>
      </c>
      <c r="E234" t="s">
        <v>15</v>
      </c>
      <c r="F234">
        <v>774.95</v>
      </c>
      <c r="G234">
        <f>INDEX(Operational[Production Volume (units)],MATCH(Emission8[[#This Row],[Facility ID]],Operational[Facility ID],0))</f>
        <v>82332</v>
      </c>
      <c r="H234">
        <f>INDEX(Operational[Energy Consumption (MWh)],MATCH(Emission8[[#This Row],[Facility ID]],Operational[Facility ID],0))</f>
        <v>7134.86</v>
      </c>
      <c r="I234">
        <f>INDEX(Operational[Waste (tons)],MATCH(Emission8[[#This Row],[Facility ID]],Operational[Facility ID],0))</f>
        <v>22.44</v>
      </c>
    </row>
    <row r="235" spans="1:9" x14ac:dyDescent="0.3">
      <c r="A235" t="s">
        <v>29</v>
      </c>
      <c r="B235" t="s">
        <v>30</v>
      </c>
      <c r="C235" t="s">
        <v>8</v>
      </c>
      <c r="D235" t="s">
        <v>9</v>
      </c>
      <c r="E235" t="s">
        <v>15</v>
      </c>
      <c r="F235">
        <v>2907.12</v>
      </c>
      <c r="G235">
        <f>INDEX(Operational[Production Volume (units)],MATCH(Emission8[[#This Row],[Facility ID]],Operational[Facility ID],0))</f>
        <v>32131</v>
      </c>
      <c r="H235">
        <f>INDEX(Operational[Energy Consumption (MWh)],MATCH(Emission8[[#This Row],[Facility ID]],Operational[Facility ID],0))</f>
        <v>1474.23</v>
      </c>
      <c r="I235">
        <f>INDEX(Operational[Waste (tons)],MATCH(Emission8[[#This Row],[Facility ID]],Operational[Facility ID],0))</f>
        <v>45.47</v>
      </c>
    </row>
    <row r="236" spans="1:9" x14ac:dyDescent="0.3">
      <c r="A236" t="s">
        <v>158</v>
      </c>
      <c r="B236" t="s">
        <v>30</v>
      </c>
      <c r="C236" t="s">
        <v>23</v>
      </c>
      <c r="D236" t="s">
        <v>9</v>
      </c>
      <c r="E236" t="s">
        <v>10</v>
      </c>
      <c r="F236">
        <v>1885.37</v>
      </c>
      <c r="G236">
        <f>INDEX(Operational[Production Volume (units)],MATCH(Emission8[[#This Row],[Facility ID]],Operational[Facility ID],0))</f>
        <v>85488</v>
      </c>
      <c r="H236">
        <f>INDEX(Operational[Energy Consumption (MWh)],MATCH(Emission8[[#This Row],[Facility ID]],Operational[Facility ID],0))</f>
        <v>9691.57</v>
      </c>
      <c r="I236">
        <f>INDEX(Operational[Waste (tons)],MATCH(Emission8[[#This Row],[Facility ID]],Operational[Facility ID],0))</f>
        <v>96.98</v>
      </c>
    </row>
    <row r="237" spans="1:9" x14ac:dyDescent="0.3">
      <c r="A237" t="s">
        <v>55</v>
      </c>
      <c r="B237" t="s">
        <v>12</v>
      </c>
      <c r="C237" t="s">
        <v>23</v>
      </c>
      <c r="D237" t="s">
        <v>9</v>
      </c>
      <c r="E237" t="s">
        <v>10</v>
      </c>
      <c r="F237">
        <v>3784.58</v>
      </c>
      <c r="G237">
        <f>INDEX(Operational[Production Volume (units)],MATCH(Emission8[[#This Row],[Facility ID]],Operational[Facility ID],0))</f>
        <v>38181</v>
      </c>
      <c r="H237">
        <f>INDEX(Operational[Energy Consumption (MWh)],MATCH(Emission8[[#This Row],[Facility ID]],Operational[Facility ID],0))</f>
        <v>691.84</v>
      </c>
      <c r="I237">
        <f>INDEX(Operational[Waste (tons)],MATCH(Emission8[[#This Row],[Facility ID]],Operational[Facility ID],0))</f>
        <v>33.53</v>
      </c>
    </row>
    <row r="238" spans="1:9" x14ac:dyDescent="0.3">
      <c r="A238" t="s">
        <v>102</v>
      </c>
      <c r="B238" t="s">
        <v>19</v>
      </c>
      <c r="C238" t="s">
        <v>34</v>
      </c>
      <c r="D238" t="s">
        <v>28</v>
      </c>
      <c r="E238" t="s">
        <v>10</v>
      </c>
      <c r="F238">
        <v>2788.31</v>
      </c>
      <c r="G238">
        <f>INDEX(Operational[Production Volume (units)],MATCH(Emission8[[#This Row],[Facility ID]],Operational[Facility ID],0))</f>
        <v>86263</v>
      </c>
      <c r="H238">
        <f>INDEX(Operational[Energy Consumption (MWh)],MATCH(Emission8[[#This Row],[Facility ID]],Operational[Facility ID],0))</f>
        <v>3213.71</v>
      </c>
      <c r="I238">
        <f>INDEX(Operational[Waste (tons)],MATCH(Emission8[[#This Row],[Facility ID]],Operational[Facility ID],0))</f>
        <v>98.39</v>
      </c>
    </row>
    <row r="239" spans="1:9" x14ac:dyDescent="0.3">
      <c r="A239" t="s">
        <v>150</v>
      </c>
      <c r="B239" t="s">
        <v>30</v>
      </c>
      <c r="C239" t="s">
        <v>13</v>
      </c>
      <c r="D239" t="s">
        <v>14</v>
      </c>
      <c r="E239" t="s">
        <v>15</v>
      </c>
      <c r="F239">
        <v>3315.9</v>
      </c>
      <c r="G239">
        <f>INDEX(Operational[Production Volume (units)],MATCH(Emission8[[#This Row],[Facility ID]],Operational[Facility ID],0))</f>
        <v>98356</v>
      </c>
      <c r="H239">
        <f>INDEX(Operational[Energy Consumption (MWh)],MATCH(Emission8[[#This Row],[Facility ID]],Operational[Facility ID],0))</f>
        <v>6968.69</v>
      </c>
      <c r="I239">
        <f>INDEX(Operational[Waste (tons)],MATCH(Emission8[[#This Row],[Facility ID]],Operational[Facility ID],0))</f>
        <v>81.72</v>
      </c>
    </row>
    <row r="240" spans="1:9" x14ac:dyDescent="0.3">
      <c r="A240" t="s">
        <v>159</v>
      </c>
      <c r="B240" t="s">
        <v>7</v>
      </c>
      <c r="C240" t="s">
        <v>34</v>
      </c>
      <c r="D240" t="s">
        <v>28</v>
      </c>
      <c r="E240" t="s">
        <v>24</v>
      </c>
      <c r="F240">
        <v>1940.67</v>
      </c>
      <c r="G240">
        <f>INDEX(Operational[Production Volume (units)],MATCH(Emission8[[#This Row],[Facility ID]],Operational[Facility ID],0))</f>
        <v>47727</v>
      </c>
      <c r="H240">
        <f>INDEX(Operational[Energy Consumption (MWh)],MATCH(Emission8[[#This Row],[Facility ID]],Operational[Facility ID],0))</f>
        <v>8907.33</v>
      </c>
      <c r="I240">
        <f>INDEX(Operational[Waste (tons)],MATCH(Emission8[[#This Row],[Facility ID]],Operational[Facility ID],0))</f>
        <v>47.4</v>
      </c>
    </row>
    <row r="241" spans="1:9" x14ac:dyDescent="0.3">
      <c r="A241" t="s">
        <v>160</v>
      </c>
      <c r="B241" t="s">
        <v>30</v>
      </c>
      <c r="C241" t="s">
        <v>13</v>
      </c>
      <c r="D241" t="s">
        <v>9</v>
      </c>
      <c r="E241" t="s">
        <v>24</v>
      </c>
      <c r="F241">
        <v>4052.32</v>
      </c>
      <c r="G241">
        <f>INDEX(Operational[Production Volume (units)],MATCH(Emission8[[#This Row],[Facility ID]],Operational[Facility ID],0))</f>
        <v>18341</v>
      </c>
      <c r="H241">
        <f>INDEX(Operational[Energy Consumption (MWh)],MATCH(Emission8[[#This Row],[Facility ID]],Operational[Facility ID],0))</f>
        <v>8465.57</v>
      </c>
      <c r="I241">
        <f>INDEX(Operational[Waste (tons)],MATCH(Emission8[[#This Row],[Facility ID]],Operational[Facility ID],0))</f>
        <v>38.39</v>
      </c>
    </row>
    <row r="242" spans="1:9" x14ac:dyDescent="0.3">
      <c r="A242" t="s">
        <v>161</v>
      </c>
      <c r="B242" t="s">
        <v>7</v>
      </c>
      <c r="C242" t="s">
        <v>34</v>
      </c>
      <c r="D242" t="s">
        <v>9</v>
      </c>
      <c r="E242" t="s">
        <v>10</v>
      </c>
      <c r="F242">
        <v>1277.3</v>
      </c>
      <c r="G242">
        <f>INDEX(Operational[Production Volume (units)],MATCH(Emission8[[#This Row],[Facility ID]],Operational[Facility ID],0))</f>
        <v>15788</v>
      </c>
      <c r="H242">
        <f>INDEX(Operational[Energy Consumption (MWh)],MATCH(Emission8[[#This Row],[Facility ID]],Operational[Facility ID],0))</f>
        <v>1824.14</v>
      </c>
      <c r="I242">
        <f>INDEX(Operational[Waste (tons)],MATCH(Emission8[[#This Row],[Facility ID]],Operational[Facility ID],0))</f>
        <v>52.78</v>
      </c>
    </row>
    <row r="243" spans="1:9" x14ac:dyDescent="0.3">
      <c r="A243" t="s">
        <v>149</v>
      </c>
      <c r="B243" t="s">
        <v>17</v>
      </c>
      <c r="C243" t="s">
        <v>13</v>
      </c>
      <c r="D243" t="s">
        <v>28</v>
      </c>
      <c r="E243" t="s">
        <v>15</v>
      </c>
      <c r="F243">
        <v>1024.25</v>
      </c>
      <c r="G243">
        <f>INDEX(Operational[Production Volume (units)],MATCH(Emission8[[#This Row],[Facility ID]],Operational[Facility ID],0))</f>
        <v>49885</v>
      </c>
      <c r="H243">
        <f>INDEX(Operational[Energy Consumption (MWh)],MATCH(Emission8[[#This Row],[Facility ID]],Operational[Facility ID],0))</f>
        <v>6845.46</v>
      </c>
      <c r="I243">
        <f>INDEX(Operational[Waste (tons)],MATCH(Emission8[[#This Row],[Facility ID]],Operational[Facility ID],0))</f>
        <v>58.4</v>
      </c>
    </row>
    <row r="244" spans="1:9" x14ac:dyDescent="0.3">
      <c r="A244" t="s">
        <v>64</v>
      </c>
      <c r="B244" t="s">
        <v>30</v>
      </c>
      <c r="C244" t="s">
        <v>8</v>
      </c>
      <c r="D244" t="s">
        <v>28</v>
      </c>
      <c r="E244" t="s">
        <v>10</v>
      </c>
      <c r="F244">
        <v>167.21</v>
      </c>
      <c r="G244">
        <f>INDEX(Operational[Production Volume (units)],MATCH(Emission8[[#This Row],[Facility ID]],Operational[Facility ID],0))</f>
        <v>52836</v>
      </c>
      <c r="H244">
        <f>INDEX(Operational[Energy Consumption (MWh)],MATCH(Emission8[[#This Row],[Facility ID]],Operational[Facility ID],0))</f>
        <v>9330.2999999999993</v>
      </c>
      <c r="I244">
        <f>INDEX(Operational[Waste (tons)],MATCH(Emission8[[#This Row],[Facility ID]],Operational[Facility ID],0))</f>
        <v>87.27</v>
      </c>
    </row>
    <row r="245" spans="1:9" x14ac:dyDescent="0.3">
      <c r="A245" t="s">
        <v>162</v>
      </c>
      <c r="B245" t="s">
        <v>30</v>
      </c>
      <c r="C245" t="s">
        <v>23</v>
      </c>
      <c r="D245" t="s">
        <v>28</v>
      </c>
      <c r="E245" t="s">
        <v>10</v>
      </c>
      <c r="F245">
        <v>996.06</v>
      </c>
      <c r="G245">
        <f>INDEX(Operational[Production Volume (units)],MATCH(Emission8[[#This Row],[Facility ID]],Operational[Facility ID],0))</f>
        <v>94347</v>
      </c>
      <c r="H245">
        <f>INDEX(Operational[Energy Consumption (MWh)],MATCH(Emission8[[#This Row],[Facility ID]],Operational[Facility ID],0))</f>
        <v>2272.58</v>
      </c>
      <c r="I245">
        <f>INDEX(Operational[Waste (tons)],MATCH(Emission8[[#This Row],[Facility ID]],Operational[Facility ID],0))</f>
        <v>34.75</v>
      </c>
    </row>
    <row r="246" spans="1:9" x14ac:dyDescent="0.3">
      <c r="A246" t="s">
        <v>163</v>
      </c>
      <c r="B246" t="s">
        <v>19</v>
      </c>
      <c r="C246" t="s">
        <v>34</v>
      </c>
      <c r="D246" t="s">
        <v>28</v>
      </c>
      <c r="E246" t="s">
        <v>10</v>
      </c>
      <c r="F246">
        <v>1827.8</v>
      </c>
      <c r="G246">
        <f>INDEX(Operational[Production Volume (units)],MATCH(Emission8[[#This Row],[Facility ID]],Operational[Facility ID],0))</f>
        <v>87482</v>
      </c>
      <c r="H246">
        <f>INDEX(Operational[Energy Consumption (MWh)],MATCH(Emission8[[#This Row],[Facility ID]],Operational[Facility ID],0))</f>
        <v>2231.7399999999998</v>
      </c>
      <c r="I246">
        <f>INDEX(Operational[Waste (tons)],MATCH(Emission8[[#This Row],[Facility ID]],Operational[Facility ID],0))</f>
        <v>45.43</v>
      </c>
    </row>
    <row r="247" spans="1:9" x14ac:dyDescent="0.3">
      <c r="A247" t="s">
        <v>29</v>
      </c>
      <c r="B247" t="s">
        <v>30</v>
      </c>
      <c r="C247" t="s">
        <v>34</v>
      </c>
      <c r="D247" t="s">
        <v>28</v>
      </c>
      <c r="E247" t="s">
        <v>24</v>
      </c>
      <c r="F247">
        <v>4065.52</v>
      </c>
      <c r="G247">
        <f>INDEX(Operational[Production Volume (units)],MATCH(Emission8[[#This Row],[Facility ID]],Operational[Facility ID],0))</f>
        <v>32131</v>
      </c>
      <c r="H247">
        <f>INDEX(Operational[Energy Consumption (MWh)],MATCH(Emission8[[#This Row],[Facility ID]],Operational[Facility ID],0))</f>
        <v>1474.23</v>
      </c>
      <c r="I247">
        <f>INDEX(Operational[Waste (tons)],MATCH(Emission8[[#This Row],[Facility ID]],Operational[Facility ID],0))</f>
        <v>45.47</v>
      </c>
    </row>
    <row r="248" spans="1:9" x14ac:dyDescent="0.3">
      <c r="A248" t="s">
        <v>121</v>
      </c>
      <c r="B248" t="s">
        <v>30</v>
      </c>
      <c r="C248" t="s">
        <v>23</v>
      </c>
      <c r="D248" t="s">
        <v>9</v>
      </c>
      <c r="E248" t="s">
        <v>10</v>
      </c>
      <c r="F248">
        <v>484.82</v>
      </c>
      <c r="G248">
        <f>INDEX(Operational[Production Volume (units)],MATCH(Emission8[[#This Row],[Facility ID]],Operational[Facility ID],0))</f>
        <v>58895</v>
      </c>
      <c r="H248">
        <f>INDEX(Operational[Energy Consumption (MWh)],MATCH(Emission8[[#This Row],[Facility ID]],Operational[Facility ID],0))</f>
        <v>3039.17</v>
      </c>
      <c r="I248">
        <f>INDEX(Operational[Waste (tons)],MATCH(Emission8[[#This Row],[Facility ID]],Operational[Facility ID],0))</f>
        <v>59.82</v>
      </c>
    </row>
    <row r="249" spans="1:9" x14ac:dyDescent="0.3">
      <c r="A249" t="s">
        <v>164</v>
      </c>
      <c r="B249" t="s">
        <v>19</v>
      </c>
      <c r="C249" t="s">
        <v>8</v>
      </c>
      <c r="D249" t="s">
        <v>9</v>
      </c>
      <c r="E249" t="s">
        <v>24</v>
      </c>
      <c r="F249">
        <v>4023.01</v>
      </c>
      <c r="G249">
        <f>INDEX(Operational[Production Volume (units)],MATCH(Emission8[[#This Row],[Facility ID]],Operational[Facility ID],0))</f>
        <v>69636</v>
      </c>
      <c r="H249">
        <f>INDEX(Operational[Energy Consumption (MWh)],MATCH(Emission8[[#This Row],[Facility ID]],Operational[Facility ID],0))</f>
        <v>4246.55</v>
      </c>
      <c r="I249">
        <f>INDEX(Operational[Waste (tons)],MATCH(Emission8[[#This Row],[Facility ID]],Operational[Facility ID],0))</f>
        <v>69.290000000000006</v>
      </c>
    </row>
    <row r="250" spans="1:9" x14ac:dyDescent="0.3">
      <c r="A250" t="s">
        <v>87</v>
      </c>
      <c r="B250" t="s">
        <v>12</v>
      </c>
      <c r="C250" t="s">
        <v>8</v>
      </c>
      <c r="D250" t="s">
        <v>9</v>
      </c>
      <c r="E250" t="s">
        <v>24</v>
      </c>
      <c r="F250">
        <v>895.43</v>
      </c>
      <c r="G250">
        <f>INDEX(Operational[Production Volume (units)],MATCH(Emission8[[#This Row],[Facility ID]],Operational[Facility ID],0))</f>
        <v>15333</v>
      </c>
      <c r="H250">
        <f>INDEX(Operational[Energy Consumption (MWh)],MATCH(Emission8[[#This Row],[Facility ID]],Operational[Facility ID],0))</f>
        <v>2570.54</v>
      </c>
      <c r="I250">
        <f>INDEX(Operational[Waste (tons)],MATCH(Emission8[[#This Row],[Facility ID]],Operational[Facility ID],0))</f>
        <v>41.07</v>
      </c>
    </row>
    <row r="251" spans="1:9" x14ac:dyDescent="0.3">
      <c r="A251" t="s">
        <v>94</v>
      </c>
      <c r="B251" t="s">
        <v>7</v>
      </c>
      <c r="C251" t="s">
        <v>23</v>
      </c>
      <c r="D251" t="s">
        <v>9</v>
      </c>
      <c r="E251" t="s">
        <v>24</v>
      </c>
      <c r="F251">
        <v>1949.1</v>
      </c>
      <c r="G251">
        <f>INDEX(Operational[Production Volume (units)],MATCH(Emission8[[#This Row],[Facility ID]],Operational[Facility ID],0))</f>
        <v>26338</v>
      </c>
      <c r="H251">
        <f>INDEX(Operational[Energy Consumption (MWh)],MATCH(Emission8[[#This Row],[Facility ID]],Operational[Facility ID],0))</f>
        <v>578.73</v>
      </c>
      <c r="I251">
        <f>INDEX(Operational[Waste (tons)],MATCH(Emission8[[#This Row],[Facility ID]],Operational[Facility ID],0))</f>
        <v>72.52</v>
      </c>
    </row>
    <row r="252" spans="1:9" x14ac:dyDescent="0.3">
      <c r="A252" t="s">
        <v>29</v>
      </c>
      <c r="B252" t="s">
        <v>30</v>
      </c>
      <c r="C252" t="s">
        <v>23</v>
      </c>
      <c r="D252" t="s">
        <v>28</v>
      </c>
      <c r="E252" t="s">
        <v>24</v>
      </c>
      <c r="F252">
        <v>3777.75</v>
      </c>
      <c r="G252">
        <f>INDEX(Operational[Production Volume (units)],MATCH(Emission8[[#This Row],[Facility ID]],Operational[Facility ID],0))</f>
        <v>32131</v>
      </c>
      <c r="H252">
        <f>INDEX(Operational[Energy Consumption (MWh)],MATCH(Emission8[[#This Row],[Facility ID]],Operational[Facility ID],0))</f>
        <v>1474.23</v>
      </c>
      <c r="I252">
        <f>INDEX(Operational[Waste (tons)],MATCH(Emission8[[#This Row],[Facility ID]],Operational[Facility ID],0))</f>
        <v>45.47</v>
      </c>
    </row>
    <row r="253" spans="1:9" x14ac:dyDescent="0.3">
      <c r="A253" t="s">
        <v>35</v>
      </c>
      <c r="B253" t="s">
        <v>19</v>
      </c>
      <c r="C253" t="s">
        <v>13</v>
      </c>
      <c r="D253" t="s">
        <v>14</v>
      </c>
      <c r="E253" t="s">
        <v>24</v>
      </c>
      <c r="F253">
        <v>3625.63</v>
      </c>
      <c r="G253">
        <f>INDEX(Operational[Production Volume (units)],MATCH(Emission8[[#This Row],[Facility ID]],Operational[Facility ID],0))</f>
        <v>42382</v>
      </c>
      <c r="H253">
        <f>INDEX(Operational[Energy Consumption (MWh)],MATCH(Emission8[[#This Row],[Facility ID]],Operational[Facility ID],0))</f>
        <v>5116.6899999999996</v>
      </c>
      <c r="I253">
        <f>INDEX(Operational[Waste (tons)],MATCH(Emission8[[#This Row],[Facility ID]],Operational[Facility ID],0))</f>
        <v>80.42</v>
      </c>
    </row>
    <row r="254" spans="1:9" x14ac:dyDescent="0.3">
      <c r="A254" t="s">
        <v>18</v>
      </c>
      <c r="B254" t="s">
        <v>19</v>
      </c>
      <c r="C254" t="s">
        <v>34</v>
      </c>
      <c r="D254" t="s">
        <v>14</v>
      </c>
      <c r="E254" t="s">
        <v>24</v>
      </c>
      <c r="F254">
        <v>2991.57</v>
      </c>
      <c r="G254">
        <f>INDEX(Operational[Production Volume (units)],MATCH(Emission8[[#This Row],[Facility ID]],Operational[Facility ID],0))</f>
        <v>98682</v>
      </c>
      <c r="H254">
        <f>INDEX(Operational[Energy Consumption (MWh)],MATCH(Emission8[[#This Row],[Facility ID]],Operational[Facility ID],0))</f>
        <v>6220.56</v>
      </c>
      <c r="I254">
        <f>INDEX(Operational[Waste (tons)],MATCH(Emission8[[#This Row],[Facility ID]],Operational[Facility ID],0))</f>
        <v>70.099999999999994</v>
      </c>
    </row>
    <row r="255" spans="1:9" x14ac:dyDescent="0.3">
      <c r="A255" t="s">
        <v>65</v>
      </c>
      <c r="B255" t="s">
        <v>30</v>
      </c>
      <c r="C255" t="s">
        <v>8</v>
      </c>
      <c r="D255" t="s">
        <v>14</v>
      </c>
      <c r="E255" t="s">
        <v>15</v>
      </c>
      <c r="F255">
        <v>1016.04</v>
      </c>
      <c r="G255">
        <f>INDEX(Operational[Production Volume (units)],MATCH(Emission8[[#This Row],[Facility ID]],Operational[Facility ID],0))</f>
        <v>99026</v>
      </c>
      <c r="H255">
        <f>INDEX(Operational[Energy Consumption (MWh)],MATCH(Emission8[[#This Row],[Facility ID]],Operational[Facility ID],0))</f>
        <v>5453.2</v>
      </c>
      <c r="I255">
        <f>INDEX(Operational[Waste (tons)],MATCH(Emission8[[#This Row],[Facility ID]],Operational[Facility ID],0))</f>
        <v>57.49</v>
      </c>
    </row>
    <row r="256" spans="1:9" x14ac:dyDescent="0.3">
      <c r="A256" t="s">
        <v>156</v>
      </c>
      <c r="B256" t="s">
        <v>17</v>
      </c>
      <c r="C256" t="s">
        <v>13</v>
      </c>
      <c r="D256" t="s">
        <v>14</v>
      </c>
      <c r="E256" t="s">
        <v>24</v>
      </c>
      <c r="F256">
        <v>162.68</v>
      </c>
      <c r="G256">
        <f>INDEX(Operational[Production Volume (units)],MATCH(Emission8[[#This Row],[Facility ID]],Operational[Facility ID],0))</f>
        <v>81057</v>
      </c>
      <c r="H256">
        <f>INDEX(Operational[Energy Consumption (MWh)],MATCH(Emission8[[#This Row],[Facility ID]],Operational[Facility ID],0))</f>
        <v>675.41</v>
      </c>
      <c r="I256">
        <f>INDEX(Operational[Waste (tons)],MATCH(Emission8[[#This Row],[Facility ID]],Operational[Facility ID],0))</f>
        <v>55.44</v>
      </c>
    </row>
    <row r="257" spans="1:9" x14ac:dyDescent="0.3">
      <c r="A257" t="s">
        <v>48</v>
      </c>
      <c r="B257" t="s">
        <v>19</v>
      </c>
      <c r="C257" t="s">
        <v>23</v>
      </c>
      <c r="D257" t="s">
        <v>9</v>
      </c>
      <c r="E257" t="s">
        <v>10</v>
      </c>
      <c r="F257">
        <v>2442.29</v>
      </c>
      <c r="G257">
        <f>INDEX(Operational[Production Volume (units)],MATCH(Emission8[[#This Row],[Facility ID]],Operational[Facility ID],0))</f>
        <v>11952</v>
      </c>
      <c r="H257">
        <f>INDEX(Operational[Energy Consumption (MWh)],MATCH(Emission8[[#This Row],[Facility ID]],Operational[Facility ID],0))</f>
        <v>4637.74</v>
      </c>
      <c r="I257">
        <f>INDEX(Operational[Waste (tons)],MATCH(Emission8[[#This Row],[Facility ID]],Operational[Facility ID],0))</f>
        <v>63.78</v>
      </c>
    </row>
    <row r="258" spans="1:9" x14ac:dyDescent="0.3">
      <c r="A258" t="s">
        <v>165</v>
      </c>
      <c r="B258" t="s">
        <v>7</v>
      </c>
      <c r="C258" t="s">
        <v>8</v>
      </c>
      <c r="D258" t="s">
        <v>14</v>
      </c>
      <c r="E258" t="s">
        <v>15</v>
      </c>
      <c r="F258">
        <v>2499.21</v>
      </c>
      <c r="G258">
        <f>INDEX(Operational[Production Volume (units)],MATCH(Emission8[[#This Row],[Facility ID]],Operational[Facility ID],0))</f>
        <v>32991</v>
      </c>
      <c r="H258">
        <f>INDEX(Operational[Energy Consumption (MWh)],MATCH(Emission8[[#This Row],[Facility ID]],Operational[Facility ID],0))</f>
        <v>8540.14</v>
      </c>
      <c r="I258">
        <f>INDEX(Operational[Waste (tons)],MATCH(Emission8[[#This Row],[Facility ID]],Operational[Facility ID],0))</f>
        <v>37.75</v>
      </c>
    </row>
    <row r="259" spans="1:9" x14ac:dyDescent="0.3">
      <c r="A259" t="s">
        <v>156</v>
      </c>
      <c r="B259" t="s">
        <v>17</v>
      </c>
      <c r="C259" t="s">
        <v>13</v>
      </c>
      <c r="D259" t="s">
        <v>14</v>
      </c>
      <c r="E259" t="s">
        <v>15</v>
      </c>
      <c r="F259">
        <v>880</v>
      </c>
      <c r="G259">
        <f>INDEX(Operational[Production Volume (units)],MATCH(Emission8[[#This Row],[Facility ID]],Operational[Facility ID],0))</f>
        <v>81057</v>
      </c>
      <c r="H259">
        <f>INDEX(Operational[Energy Consumption (MWh)],MATCH(Emission8[[#This Row],[Facility ID]],Operational[Facility ID],0))</f>
        <v>675.41</v>
      </c>
      <c r="I259">
        <f>INDEX(Operational[Waste (tons)],MATCH(Emission8[[#This Row],[Facility ID]],Operational[Facility ID],0))</f>
        <v>55.44</v>
      </c>
    </row>
    <row r="260" spans="1:9" x14ac:dyDescent="0.3">
      <c r="A260" t="s">
        <v>166</v>
      </c>
      <c r="B260" t="s">
        <v>7</v>
      </c>
      <c r="C260" t="s">
        <v>8</v>
      </c>
      <c r="D260" t="s">
        <v>9</v>
      </c>
      <c r="E260" t="s">
        <v>24</v>
      </c>
      <c r="F260">
        <v>1240.92</v>
      </c>
      <c r="G260">
        <f>INDEX(Operational[Production Volume (units)],MATCH(Emission8[[#This Row],[Facility ID]],Operational[Facility ID],0))</f>
        <v>34318</v>
      </c>
      <c r="H260">
        <f>INDEX(Operational[Energy Consumption (MWh)],MATCH(Emission8[[#This Row],[Facility ID]],Operational[Facility ID],0))</f>
        <v>675.67</v>
      </c>
      <c r="I260">
        <f>INDEX(Operational[Waste (tons)],MATCH(Emission8[[#This Row],[Facility ID]],Operational[Facility ID],0))</f>
        <v>41.05</v>
      </c>
    </row>
    <row r="261" spans="1:9" x14ac:dyDescent="0.3">
      <c r="A261" t="s">
        <v>47</v>
      </c>
      <c r="B261" t="s">
        <v>30</v>
      </c>
      <c r="C261" t="s">
        <v>23</v>
      </c>
      <c r="D261" t="s">
        <v>14</v>
      </c>
      <c r="E261" t="s">
        <v>15</v>
      </c>
      <c r="F261">
        <v>960.86</v>
      </c>
      <c r="G261">
        <f>INDEX(Operational[Production Volume (units)],MATCH(Emission8[[#This Row],[Facility ID]],Operational[Facility ID],0))</f>
        <v>53661</v>
      </c>
      <c r="H261">
        <f>INDEX(Operational[Energy Consumption (MWh)],MATCH(Emission8[[#This Row],[Facility ID]],Operational[Facility ID],0))</f>
        <v>6965.81</v>
      </c>
      <c r="I261">
        <f>INDEX(Operational[Waste (tons)],MATCH(Emission8[[#This Row],[Facility ID]],Operational[Facility ID],0))</f>
        <v>69.400000000000006</v>
      </c>
    </row>
    <row r="262" spans="1:9" x14ac:dyDescent="0.3">
      <c r="A262" t="s">
        <v>20</v>
      </c>
      <c r="B262" t="s">
        <v>17</v>
      </c>
      <c r="C262" t="s">
        <v>8</v>
      </c>
      <c r="D262" t="s">
        <v>9</v>
      </c>
      <c r="E262" t="s">
        <v>15</v>
      </c>
      <c r="F262">
        <v>4165.4799999999996</v>
      </c>
      <c r="G262">
        <f>INDEX(Operational[Production Volume (units)],MATCH(Emission8[[#This Row],[Facility ID]],Operational[Facility ID],0))</f>
        <v>29895</v>
      </c>
      <c r="H262">
        <f>INDEX(Operational[Energy Consumption (MWh)],MATCH(Emission8[[#This Row],[Facility ID]],Operational[Facility ID],0))</f>
        <v>1631.08</v>
      </c>
      <c r="I262">
        <f>INDEX(Operational[Waste (tons)],MATCH(Emission8[[#This Row],[Facility ID]],Operational[Facility ID],0))</f>
        <v>39.93</v>
      </c>
    </row>
    <row r="263" spans="1:9" x14ac:dyDescent="0.3">
      <c r="A263" t="s">
        <v>74</v>
      </c>
      <c r="B263" t="s">
        <v>19</v>
      </c>
      <c r="C263" t="s">
        <v>23</v>
      </c>
      <c r="D263" t="s">
        <v>28</v>
      </c>
      <c r="E263" t="s">
        <v>10</v>
      </c>
      <c r="F263">
        <v>2805.55</v>
      </c>
      <c r="G263">
        <f>INDEX(Operational[Production Volume (units)],MATCH(Emission8[[#This Row],[Facility ID]],Operational[Facility ID],0))</f>
        <v>18175</v>
      </c>
      <c r="H263">
        <f>INDEX(Operational[Energy Consumption (MWh)],MATCH(Emission8[[#This Row],[Facility ID]],Operational[Facility ID],0))</f>
        <v>8349.49</v>
      </c>
      <c r="I263">
        <f>INDEX(Operational[Waste (tons)],MATCH(Emission8[[#This Row],[Facility ID]],Operational[Facility ID],0))</f>
        <v>39.97</v>
      </c>
    </row>
    <row r="264" spans="1:9" x14ac:dyDescent="0.3">
      <c r="A264" t="s">
        <v>163</v>
      </c>
      <c r="B264" t="s">
        <v>19</v>
      </c>
      <c r="C264" t="s">
        <v>13</v>
      </c>
      <c r="D264" t="s">
        <v>9</v>
      </c>
      <c r="E264" t="s">
        <v>24</v>
      </c>
      <c r="F264">
        <v>5115.68</v>
      </c>
      <c r="G264">
        <f>INDEX(Operational[Production Volume (units)],MATCH(Emission8[[#This Row],[Facility ID]],Operational[Facility ID],0))</f>
        <v>87482</v>
      </c>
      <c r="H264">
        <f>INDEX(Operational[Energy Consumption (MWh)],MATCH(Emission8[[#This Row],[Facility ID]],Operational[Facility ID],0))</f>
        <v>2231.7399999999998</v>
      </c>
      <c r="I264">
        <f>INDEX(Operational[Waste (tons)],MATCH(Emission8[[#This Row],[Facility ID]],Operational[Facility ID],0))</f>
        <v>45.43</v>
      </c>
    </row>
    <row r="265" spans="1:9" x14ac:dyDescent="0.3">
      <c r="A265" t="s">
        <v>167</v>
      </c>
      <c r="B265" t="s">
        <v>30</v>
      </c>
      <c r="C265" t="s">
        <v>34</v>
      </c>
      <c r="D265" t="s">
        <v>9</v>
      </c>
      <c r="E265" t="s">
        <v>10</v>
      </c>
      <c r="F265">
        <v>771.92</v>
      </c>
      <c r="G265">
        <f>INDEX(Operational[Production Volume (units)],MATCH(Emission8[[#This Row],[Facility ID]],Operational[Facility ID],0))</f>
        <v>67213</v>
      </c>
      <c r="H265">
        <f>INDEX(Operational[Energy Consumption (MWh)],MATCH(Emission8[[#This Row],[Facility ID]],Operational[Facility ID],0))</f>
        <v>5533.81</v>
      </c>
      <c r="I265">
        <f>INDEX(Operational[Waste (tons)],MATCH(Emission8[[#This Row],[Facility ID]],Operational[Facility ID],0))</f>
        <v>90.88</v>
      </c>
    </row>
    <row r="266" spans="1:9" x14ac:dyDescent="0.3">
      <c r="A266" t="s">
        <v>163</v>
      </c>
      <c r="B266" t="s">
        <v>19</v>
      </c>
      <c r="C266" t="s">
        <v>8</v>
      </c>
      <c r="D266" t="s">
        <v>28</v>
      </c>
      <c r="E266" t="s">
        <v>10</v>
      </c>
      <c r="F266">
        <v>2773.86</v>
      </c>
      <c r="G266">
        <f>INDEX(Operational[Production Volume (units)],MATCH(Emission8[[#This Row],[Facility ID]],Operational[Facility ID],0))</f>
        <v>87482</v>
      </c>
      <c r="H266">
        <f>INDEX(Operational[Energy Consumption (MWh)],MATCH(Emission8[[#This Row],[Facility ID]],Operational[Facility ID],0))</f>
        <v>2231.7399999999998</v>
      </c>
      <c r="I266">
        <f>INDEX(Operational[Waste (tons)],MATCH(Emission8[[#This Row],[Facility ID]],Operational[Facility ID],0))</f>
        <v>45.43</v>
      </c>
    </row>
    <row r="267" spans="1:9" x14ac:dyDescent="0.3">
      <c r="A267" t="s">
        <v>168</v>
      </c>
      <c r="B267" t="s">
        <v>17</v>
      </c>
      <c r="C267" t="s">
        <v>34</v>
      </c>
      <c r="D267" t="s">
        <v>14</v>
      </c>
      <c r="E267" t="s">
        <v>10</v>
      </c>
      <c r="F267">
        <v>3950.71</v>
      </c>
      <c r="G267">
        <f>INDEX(Operational[Production Volume (units)],MATCH(Emission8[[#This Row],[Facility ID]],Operational[Facility ID],0))</f>
        <v>41050</v>
      </c>
      <c r="H267">
        <f>INDEX(Operational[Energy Consumption (MWh)],MATCH(Emission8[[#This Row],[Facility ID]],Operational[Facility ID],0))</f>
        <v>6025.84</v>
      </c>
      <c r="I267">
        <f>INDEX(Operational[Waste (tons)],MATCH(Emission8[[#This Row],[Facility ID]],Operational[Facility ID],0))</f>
        <v>53.53</v>
      </c>
    </row>
    <row r="268" spans="1:9" x14ac:dyDescent="0.3">
      <c r="A268" t="s">
        <v>97</v>
      </c>
      <c r="B268" t="s">
        <v>7</v>
      </c>
      <c r="C268" t="s">
        <v>34</v>
      </c>
      <c r="D268" t="s">
        <v>28</v>
      </c>
      <c r="E268" t="s">
        <v>24</v>
      </c>
      <c r="F268">
        <v>2266.44</v>
      </c>
      <c r="G268">
        <f>INDEX(Operational[Production Volume (units)],MATCH(Emission8[[#This Row],[Facility ID]],Operational[Facility ID],0))</f>
        <v>78624</v>
      </c>
      <c r="H268">
        <f>INDEX(Operational[Energy Consumption (MWh)],MATCH(Emission8[[#This Row],[Facility ID]],Operational[Facility ID],0))</f>
        <v>2373.27</v>
      </c>
      <c r="I268">
        <f>INDEX(Operational[Waste (tons)],MATCH(Emission8[[#This Row],[Facility ID]],Operational[Facility ID],0))</f>
        <v>25.07</v>
      </c>
    </row>
    <row r="269" spans="1:9" x14ac:dyDescent="0.3">
      <c r="A269" t="s">
        <v>46</v>
      </c>
      <c r="B269" t="s">
        <v>30</v>
      </c>
      <c r="C269" t="s">
        <v>23</v>
      </c>
      <c r="D269" t="s">
        <v>28</v>
      </c>
      <c r="E269" t="s">
        <v>24</v>
      </c>
      <c r="F269">
        <v>4964.76</v>
      </c>
      <c r="G269">
        <f>INDEX(Operational[Production Volume (units)],MATCH(Emission8[[#This Row],[Facility ID]],Operational[Facility ID],0))</f>
        <v>43490</v>
      </c>
      <c r="H269">
        <f>INDEX(Operational[Energy Consumption (MWh)],MATCH(Emission8[[#This Row],[Facility ID]],Operational[Facility ID],0))</f>
        <v>9300.8799999999992</v>
      </c>
      <c r="I269">
        <f>INDEX(Operational[Waste (tons)],MATCH(Emission8[[#This Row],[Facility ID]],Operational[Facility ID],0))</f>
        <v>58.43</v>
      </c>
    </row>
    <row r="270" spans="1:9" x14ac:dyDescent="0.3">
      <c r="A270" t="s">
        <v>100</v>
      </c>
      <c r="B270" t="s">
        <v>7</v>
      </c>
      <c r="C270" t="s">
        <v>13</v>
      </c>
      <c r="D270" t="s">
        <v>14</v>
      </c>
      <c r="E270" t="s">
        <v>15</v>
      </c>
      <c r="F270">
        <v>2700.64</v>
      </c>
      <c r="G270">
        <f>INDEX(Operational[Production Volume (units)],MATCH(Emission8[[#This Row],[Facility ID]],Operational[Facility ID],0))</f>
        <v>17468</v>
      </c>
      <c r="H270">
        <f>INDEX(Operational[Energy Consumption (MWh)],MATCH(Emission8[[#This Row],[Facility ID]],Operational[Facility ID],0))</f>
        <v>6359.73</v>
      </c>
      <c r="I270">
        <f>INDEX(Operational[Waste (tons)],MATCH(Emission8[[#This Row],[Facility ID]],Operational[Facility ID],0))</f>
        <v>5.22</v>
      </c>
    </row>
    <row r="271" spans="1:9" x14ac:dyDescent="0.3">
      <c r="A271" t="s">
        <v>132</v>
      </c>
      <c r="B271" t="s">
        <v>19</v>
      </c>
      <c r="C271" t="s">
        <v>8</v>
      </c>
      <c r="D271" t="s">
        <v>14</v>
      </c>
      <c r="E271" t="s">
        <v>10</v>
      </c>
      <c r="F271">
        <v>4643.79</v>
      </c>
      <c r="G271">
        <f>INDEX(Operational[Production Volume (units)],MATCH(Emission8[[#This Row],[Facility ID]],Operational[Facility ID],0))</f>
        <v>29860</v>
      </c>
      <c r="H271">
        <f>INDEX(Operational[Energy Consumption (MWh)],MATCH(Emission8[[#This Row],[Facility ID]],Operational[Facility ID],0))</f>
        <v>3956.23</v>
      </c>
      <c r="I271">
        <f>INDEX(Operational[Waste (tons)],MATCH(Emission8[[#This Row],[Facility ID]],Operational[Facility ID],0))</f>
        <v>57.5</v>
      </c>
    </row>
    <row r="272" spans="1:9" x14ac:dyDescent="0.3">
      <c r="A272" t="s">
        <v>20</v>
      </c>
      <c r="B272" t="s">
        <v>17</v>
      </c>
      <c r="C272" t="s">
        <v>8</v>
      </c>
      <c r="D272" t="s">
        <v>9</v>
      </c>
      <c r="E272" t="s">
        <v>24</v>
      </c>
      <c r="F272">
        <v>4947.74</v>
      </c>
      <c r="G272">
        <f>INDEX(Operational[Production Volume (units)],MATCH(Emission8[[#This Row],[Facility ID]],Operational[Facility ID],0))</f>
        <v>29895</v>
      </c>
      <c r="H272">
        <f>INDEX(Operational[Energy Consumption (MWh)],MATCH(Emission8[[#This Row],[Facility ID]],Operational[Facility ID],0))</f>
        <v>1631.08</v>
      </c>
      <c r="I272">
        <f>INDEX(Operational[Waste (tons)],MATCH(Emission8[[#This Row],[Facility ID]],Operational[Facility ID],0))</f>
        <v>39.93</v>
      </c>
    </row>
    <row r="273" spans="1:9" x14ac:dyDescent="0.3">
      <c r="A273" t="s">
        <v>107</v>
      </c>
      <c r="B273" t="s">
        <v>30</v>
      </c>
      <c r="C273" t="s">
        <v>8</v>
      </c>
      <c r="D273" t="s">
        <v>9</v>
      </c>
      <c r="E273" t="s">
        <v>10</v>
      </c>
      <c r="F273">
        <v>2116.65</v>
      </c>
      <c r="G273">
        <f>INDEX(Operational[Production Volume (units)],MATCH(Emission8[[#This Row],[Facility ID]],Operational[Facility ID],0))</f>
        <v>69305</v>
      </c>
      <c r="H273">
        <f>INDEX(Operational[Energy Consumption (MWh)],MATCH(Emission8[[#This Row],[Facility ID]],Operational[Facility ID],0))</f>
        <v>3203.67</v>
      </c>
      <c r="I273">
        <f>INDEX(Operational[Waste (tons)],MATCH(Emission8[[#This Row],[Facility ID]],Operational[Facility ID],0))</f>
        <v>83.65</v>
      </c>
    </row>
    <row r="274" spans="1:9" x14ac:dyDescent="0.3">
      <c r="A274" t="s">
        <v>169</v>
      </c>
      <c r="B274" t="s">
        <v>12</v>
      </c>
      <c r="C274" t="s">
        <v>13</v>
      </c>
      <c r="D274" t="s">
        <v>14</v>
      </c>
      <c r="E274" t="s">
        <v>10</v>
      </c>
      <c r="F274">
        <v>425.91</v>
      </c>
      <c r="G274">
        <f>INDEX(Operational[Production Volume (units)],MATCH(Emission8[[#This Row],[Facility ID]],Operational[Facility ID],0))</f>
        <v>82377</v>
      </c>
      <c r="H274">
        <f>INDEX(Operational[Energy Consumption (MWh)],MATCH(Emission8[[#This Row],[Facility ID]],Operational[Facility ID],0))</f>
        <v>7974.74</v>
      </c>
      <c r="I274">
        <f>INDEX(Operational[Waste (tons)],MATCH(Emission8[[#This Row],[Facility ID]],Operational[Facility ID],0))</f>
        <v>9.17</v>
      </c>
    </row>
    <row r="275" spans="1:9" x14ac:dyDescent="0.3">
      <c r="A275" t="s">
        <v>170</v>
      </c>
      <c r="B275" t="s">
        <v>12</v>
      </c>
      <c r="C275" t="s">
        <v>34</v>
      </c>
      <c r="D275" t="s">
        <v>28</v>
      </c>
      <c r="E275" t="s">
        <v>10</v>
      </c>
      <c r="F275">
        <v>466.45</v>
      </c>
      <c r="G275">
        <f>INDEX(Operational[Production Volume (units)],MATCH(Emission8[[#This Row],[Facility ID]],Operational[Facility ID],0))</f>
        <v>54133</v>
      </c>
      <c r="H275">
        <f>INDEX(Operational[Energy Consumption (MWh)],MATCH(Emission8[[#This Row],[Facility ID]],Operational[Facility ID],0))</f>
        <v>8543.68</v>
      </c>
      <c r="I275">
        <f>INDEX(Operational[Waste (tons)],MATCH(Emission8[[#This Row],[Facility ID]],Operational[Facility ID],0))</f>
        <v>24</v>
      </c>
    </row>
    <row r="276" spans="1:9" x14ac:dyDescent="0.3">
      <c r="A276" t="s">
        <v>97</v>
      </c>
      <c r="B276" t="s">
        <v>7</v>
      </c>
      <c r="C276" t="s">
        <v>23</v>
      </c>
      <c r="D276" t="s">
        <v>28</v>
      </c>
      <c r="E276" t="s">
        <v>15</v>
      </c>
      <c r="F276">
        <v>1868.24</v>
      </c>
      <c r="G276">
        <f>INDEX(Operational[Production Volume (units)],MATCH(Emission8[[#This Row],[Facility ID]],Operational[Facility ID],0))</f>
        <v>78624</v>
      </c>
      <c r="H276">
        <f>INDEX(Operational[Energy Consumption (MWh)],MATCH(Emission8[[#This Row],[Facility ID]],Operational[Facility ID],0))</f>
        <v>2373.27</v>
      </c>
      <c r="I276">
        <f>INDEX(Operational[Waste (tons)],MATCH(Emission8[[#This Row],[Facility ID]],Operational[Facility ID],0))</f>
        <v>25.07</v>
      </c>
    </row>
    <row r="277" spans="1:9" x14ac:dyDescent="0.3">
      <c r="A277" t="s">
        <v>156</v>
      </c>
      <c r="B277" t="s">
        <v>17</v>
      </c>
      <c r="C277" t="s">
        <v>13</v>
      </c>
      <c r="D277" t="s">
        <v>9</v>
      </c>
      <c r="E277" t="s">
        <v>10</v>
      </c>
      <c r="F277">
        <v>3497.35</v>
      </c>
      <c r="G277">
        <f>INDEX(Operational[Production Volume (units)],MATCH(Emission8[[#This Row],[Facility ID]],Operational[Facility ID],0))</f>
        <v>81057</v>
      </c>
      <c r="H277">
        <f>INDEX(Operational[Energy Consumption (MWh)],MATCH(Emission8[[#This Row],[Facility ID]],Operational[Facility ID],0))</f>
        <v>675.41</v>
      </c>
      <c r="I277">
        <f>INDEX(Operational[Waste (tons)],MATCH(Emission8[[#This Row],[Facility ID]],Operational[Facility ID],0))</f>
        <v>55.44</v>
      </c>
    </row>
    <row r="278" spans="1:9" x14ac:dyDescent="0.3">
      <c r="A278" t="s">
        <v>25</v>
      </c>
      <c r="B278" t="s">
        <v>19</v>
      </c>
      <c r="C278" t="s">
        <v>8</v>
      </c>
      <c r="D278" t="s">
        <v>14</v>
      </c>
      <c r="E278" t="s">
        <v>15</v>
      </c>
      <c r="F278">
        <v>3774.06</v>
      </c>
      <c r="G278">
        <f>INDEX(Operational[Production Volume (units)],MATCH(Emission8[[#This Row],[Facility ID]],Operational[Facility ID],0))</f>
        <v>95306</v>
      </c>
      <c r="H278">
        <f>INDEX(Operational[Energy Consumption (MWh)],MATCH(Emission8[[#This Row],[Facility ID]],Operational[Facility ID],0))</f>
        <v>9037.76</v>
      </c>
      <c r="I278">
        <f>INDEX(Operational[Waste (tons)],MATCH(Emission8[[#This Row],[Facility ID]],Operational[Facility ID],0))</f>
        <v>13.35</v>
      </c>
    </row>
    <row r="279" spans="1:9" x14ac:dyDescent="0.3">
      <c r="A279" t="s">
        <v>129</v>
      </c>
      <c r="B279" t="s">
        <v>17</v>
      </c>
      <c r="C279" t="s">
        <v>8</v>
      </c>
      <c r="D279" t="s">
        <v>28</v>
      </c>
      <c r="E279" t="s">
        <v>24</v>
      </c>
      <c r="F279">
        <v>518.79999999999995</v>
      </c>
      <c r="G279">
        <f>INDEX(Operational[Production Volume (units)],MATCH(Emission8[[#This Row],[Facility ID]],Operational[Facility ID],0))</f>
        <v>95292</v>
      </c>
      <c r="H279">
        <f>INDEX(Operational[Energy Consumption (MWh)],MATCH(Emission8[[#This Row],[Facility ID]],Operational[Facility ID],0))</f>
        <v>697.47</v>
      </c>
      <c r="I279">
        <f>INDEX(Operational[Waste (tons)],MATCH(Emission8[[#This Row],[Facility ID]],Operational[Facility ID],0))</f>
        <v>88.35</v>
      </c>
    </row>
    <row r="280" spans="1:9" x14ac:dyDescent="0.3">
      <c r="A280" t="s">
        <v>171</v>
      </c>
      <c r="B280" t="s">
        <v>17</v>
      </c>
      <c r="C280" t="s">
        <v>8</v>
      </c>
      <c r="D280" t="s">
        <v>28</v>
      </c>
      <c r="E280" t="s">
        <v>15</v>
      </c>
      <c r="F280">
        <v>2317.02</v>
      </c>
      <c r="G280">
        <f>INDEX(Operational[Production Volume (units)],MATCH(Emission8[[#This Row],[Facility ID]],Operational[Facility ID],0))</f>
        <v>24502</v>
      </c>
      <c r="H280">
        <f>INDEX(Operational[Energy Consumption (MWh)],MATCH(Emission8[[#This Row],[Facility ID]],Operational[Facility ID],0))</f>
        <v>7466.86</v>
      </c>
      <c r="I280">
        <f>INDEX(Operational[Waste (tons)],MATCH(Emission8[[#This Row],[Facility ID]],Operational[Facility ID],0))</f>
        <v>88.83</v>
      </c>
    </row>
    <row r="281" spans="1:9" x14ac:dyDescent="0.3">
      <c r="A281" t="s">
        <v>172</v>
      </c>
      <c r="B281" t="s">
        <v>7</v>
      </c>
      <c r="C281" t="s">
        <v>8</v>
      </c>
      <c r="D281" t="s">
        <v>14</v>
      </c>
      <c r="E281" t="s">
        <v>24</v>
      </c>
      <c r="F281">
        <v>3340.8</v>
      </c>
      <c r="G281">
        <f>INDEX(Operational[Production Volume (units)],MATCH(Emission8[[#This Row],[Facility ID]],Operational[Facility ID],0))</f>
        <v>68820</v>
      </c>
      <c r="H281">
        <f>INDEX(Operational[Energy Consumption (MWh)],MATCH(Emission8[[#This Row],[Facility ID]],Operational[Facility ID],0))</f>
        <v>9612.25</v>
      </c>
      <c r="I281">
        <f>INDEX(Operational[Waste (tons)],MATCH(Emission8[[#This Row],[Facility ID]],Operational[Facility ID],0))</f>
        <v>83.51</v>
      </c>
    </row>
    <row r="282" spans="1:9" x14ac:dyDescent="0.3">
      <c r="A282" t="s">
        <v>173</v>
      </c>
      <c r="B282" t="s">
        <v>30</v>
      </c>
      <c r="C282" t="s">
        <v>13</v>
      </c>
      <c r="D282" t="s">
        <v>28</v>
      </c>
      <c r="E282" t="s">
        <v>15</v>
      </c>
      <c r="F282">
        <v>3888.93</v>
      </c>
      <c r="G282">
        <f>INDEX(Operational[Production Volume (units)],MATCH(Emission8[[#This Row],[Facility ID]],Operational[Facility ID],0))</f>
        <v>49620</v>
      </c>
      <c r="H282">
        <f>INDEX(Operational[Energy Consumption (MWh)],MATCH(Emission8[[#This Row],[Facility ID]],Operational[Facility ID],0))</f>
        <v>2424.31</v>
      </c>
      <c r="I282">
        <f>INDEX(Operational[Waste (tons)],MATCH(Emission8[[#This Row],[Facility ID]],Operational[Facility ID],0))</f>
        <v>62.09</v>
      </c>
    </row>
    <row r="283" spans="1:9" x14ac:dyDescent="0.3">
      <c r="A283" t="s">
        <v>47</v>
      </c>
      <c r="B283" t="s">
        <v>30</v>
      </c>
      <c r="C283" t="s">
        <v>23</v>
      </c>
      <c r="D283" t="s">
        <v>9</v>
      </c>
      <c r="E283" t="s">
        <v>24</v>
      </c>
      <c r="F283">
        <v>4696.2299999999996</v>
      </c>
      <c r="G283">
        <f>INDEX(Operational[Production Volume (units)],MATCH(Emission8[[#This Row],[Facility ID]],Operational[Facility ID],0))</f>
        <v>53661</v>
      </c>
      <c r="H283">
        <f>INDEX(Operational[Energy Consumption (MWh)],MATCH(Emission8[[#This Row],[Facility ID]],Operational[Facility ID],0))</f>
        <v>6965.81</v>
      </c>
      <c r="I283">
        <f>INDEX(Operational[Waste (tons)],MATCH(Emission8[[#This Row],[Facility ID]],Operational[Facility ID],0))</f>
        <v>69.400000000000006</v>
      </c>
    </row>
    <row r="284" spans="1:9" x14ac:dyDescent="0.3">
      <c r="A284" t="s">
        <v>44</v>
      </c>
      <c r="B284" t="s">
        <v>19</v>
      </c>
      <c r="C284" t="s">
        <v>23</v>
      </c>
      <c r="D284" t="s">
        <v>28</v>
      </c>
      <c r="E284" t="s">
        <v>15</v>
      </c>
      <c r="F284">
        <v>149.05000000000001</v>
      </c>
      <c r="G284">
        <f>INDEX(Operational[Production Volume (units)],MATCH(Emission8[[#This Row],[Facility ID]],Operational[Facility ID],0))</f>
        <v>16256</v>
      </c>
      <c r="H284">
        <f>INDEX(Operational[Energy Consumption (MWh)],MATCH(Emission8[[#This Row],[Facility ID]],Operational[Facility ID],0))</f>
        <v>2127.1799999999998</v>
      </c>
      <c r="I284">
        <f>INDEX(Operational[Waste (tons)],MATCH(Emission8[[#This Row],[Facility ID]],Operational[Facility ID],0))</f>
        <v>38.94</v>
      </c>
    </row>
    <row r="285" spans="1:9" x14ac:dyDescent="0.3">
      <c r="A285" t="s">
        <v>77</v>
      </c>
      <c r="B285" t="s">
        <v>30</v>
      </c>
      <c r="C285" t="s">
        <v>13</v>
      </c>
      <c r="D285" t="s">
        <v>9</v>
      </c>
      <c r="E285" t="s">
        <v>24</v>
      </c>
      <c r="F285">
        <v>3665.95</v>
      </c>
      <c r="G285">
        <f>INDEX(Operational[Production Volume (units)],MATCH(Emission8[[#This Row],[Facility ID]],Operational[Facility ID],0))</f>
        <v>61942</v>
      </c>
      <c r="H285">
        <f>INDEX(Operational[Energy Consumption (MWh)],MATCH(Emission8[[#This Row],[Facility ID]],Operational[Facility ID],0))</f>
        <v>4891.32</v>
      </c>
      <c r="I285">
        <f>INDEX(Operational[Waste (tons)],MATCH(Emission8[[#This Row],[Facility ID]],Operational[Facility ID],0))</f>
        <v>91.59</v>
      </c>
    </row>
    <row r="286" spans="1:9" x14ac:dyDescent="0.3">
      <c r="A286" t="s">
        <v>49</v>
      </c>
      <c r="B286" t="s">
        <v>19</v>
      </c>
      <c r="C286" t="s">
        <v>13</v>
      </c>
      <c r="D286" t="s">
        <v>14</v>
      </c>
      <c r="E286" t="s">
        <v>10</v>
      </c>
      <c r="F286">
        <v>4101.93</v>
      </c>
      <c r="G286">
        <f>INDEX(Operational[Production Volume (units)],MATCH(Emission8[[#This Row],[Facility ID]],Operational[Facility ID],0))</f>
        <v>50306</v>
      </c>
      <c r="H286">
        <f>INDEX(Operational[Energy Consumption (MWh)],MATCH(Emission8[[#This Row],[Facility ID]],Operational[Facility ID],0))</f>
        <v>7031.37</v>
      </c>
      <c r="I286">
        <f>INDEX(Operational[Waste (tons)],MATCH(Emission8[[#This Row],[Facility ID]],Operational[Facility ID],0))</f>
        <v>13.27</v>
      </c>
    </row>
    <row r="287" spans="1:9" x14ac:dyDescent="0.3">
      <c r="A287" t="s">
        <v>123</v>
      </c>
      <c r="B287" t="s">
        <v>30</v>
      </c>
      <c r="C287" t="s">
        <v>34</v>
      </c>
      <c r="D287" t="s">
        <v>14</v>
      </c>
      <c r="E287" t="s">
        <v>24</v>
      </c>
      <c r="F287">
        <v>2897.14</v>
      </c>
      <c r="G287">
        <f>INDEX(Operational[Production Volume (units)],MATCH(Emission8[[#This Row],[Facility ID]],Operational[Facility ID],0))</f>
        <v>73977</v>
      </c>
      <c r="H287">
        <f>INDEX(Operational[Energy Consumption (MWh)],MATCH(Emission8[[#This Row],[Facility ID]],Operational[Facility ID],0))</f>
        <v>1646.75</v>
      </c>
      <c r="I287">
        <f>INDEX(Operational[Waste (tons)],MATCH(Emission8[[#This Row],[Facility ID]],Operational[Facility ID],0))</f>
        <v>43.77</v>
      </c>
    </row>
    <row r="288" spans="1:9" x14ac:dyDescent="0.3">
      <c r="A288" t="s">
        <v>63</v>
      </c>
      <c r="B288" t="s">
        <v>12</v>
      </c>
      <c r="C288" t="s">
        <v>34</v>
      </c>
      <c r="D288" t="s">
        <v>14</v>
      </c>
      <c r="E288" t="s">
        <v>15</v>
      </c>
      <c r="F288">
        <v>828.73</v>
      </c>
      <c r="G288">
        <f>INDEX(Operational[Production Volume (units)],MATCH(Emission8[[#This Row],[Facility ID]],Operational[Facility ID],0))</f>
        <v>33688</v>
      </c>
      <c r="H288">
        <f>INDEX(Operational[Energy Consumption (MWh)],MATCH(Emission8[[#This Row],[Facility ID]],Operational[Facility ID],0))</f>
        <v>9495.48</v>
      </c>
      <c r="I288">
        <f>INDEX(Operational[Waste (tons)],MATCH(Emission8[[#This Row],[Facility ID]],Operational[Facility ID],0))</f>
        <v>55.55</v>
      </c>
    </row>
    <row r="289" spans="1:9" x14ac:dyDescent="0.3">
      <c r="A289" t="s">
        <v>122</v>
      </c>
      <c r="B289" t="s">
        <v>19</v>
      </c>
      <c r="C289" t="s">
        <v>34</v>
      </c>
      <c r="D289" t="s">
        <v>28</v>
      </c>
      <c r="E289" t="s">
        <v>15</v>
      </c>
      <c r="F289">
        <v>3155.64</v>
      </c>
      <c r="G289">
        <f>INDEX(Operational[Production Volume (units)],MATCH(Emission8[[#This Row],[Facility ID]],Operational[Facility ID],0))</f>
        <v>95962</v>
      </c>
      <c r="H289">
        <f>INDEX(Operational[Energy Consumption (MWh)],MATCH(Emission8[[#This Row],[Facility ID]],Operational[Facility ID],0))</f>
        <v>524.72</v>
      </c>
      <c r="I289">
        <f>INDEX(Operational[Waste (tons)],MATCH(Emission8[[#This Row],[Facility ID]],Operational[Facility ID],0))</f>
        <v>49.55</v>
      </c>
    </row>
    <row r="290" spans="1:9" x14ac:dyDescent="0.3">
      <c r="A290" t="s">
        <v>48</v>
      </c>
      <c r="B290" t="s">
        <v>19</v>
      </c>
      <c r="C290" t="s">
        <v>34</v>
      </c>
      <c r="D290" t="s">
        <v>14</v>
      </c>
      <c r="E290" t="s">
        <v>15</v>
      </c>
      <c r="F290">
        <v>3573.8</v>
      </c>
      <c r="G290">
        <f>INDEX(Operational[Production Volume (units)],MATCH(Emission8[[#This Row],[Facility ID]],Operational[Facility ID],0))</f>
        <v>11952</v>
      </c>
      <c r="H290">
        <f>INDEX(Operational[Energy Consumption (MWh)],MATCH(Emission8[[#This Row],[Facility ID]],Operational[Facility ID],0))</f>
        <v>4637.74</v>
      </c>
      <c r="I290">
        <f>INDEX(Operational[Waste (tons)],MATCH(Emission8[[#This Row],[Facility ID]],Operational[Facility ID],0))</f>
        <v>63.78</v>
      </c>
    </row>
    <row r="291" spans="1:9" x14ac:dyDescent="0.3">
      <c r="A291" t="s">
        <v>145</v>
      </c>
      <c r="B291" t="s">
        <v>7</v>
      </c>
      <c r="C291" t="s">
        <v>8</v>
      </c>
      <c r="D291" t="s">
        <v>28</v>
      </c>
      <c r="E291" t="s">
        <v>24</v>
      </c>
      <c r="F291">
        <v>4315.67</v>
      </c>
      <c r="G291">
        <f>INDEX(Operational[Production Volume (units)],MATCH(Emission8[[#This Row],[Facility ID]],Operational[Facility ID],0))</f>
        <v>60710</v>
      </c>
      <c r="H291">
        <f>INDEX(Operational[Energy Consumption (MWh)],MATCH(Emission8[[#This Row],[Facility ID]],Operational[Facility ID],0))</f>
        <v>2726.26</v>
      </c>
      <c r="I291">
        <f>INDEX(Operational[Waste (tons)],MATCH(Emission8[[#This Row],[Facility ID]],Operational[Facility ID],0))</f>
        <v>83.02</v>
      </c>
    </row>
    <row r="292" spans="1:9" x14ac:dyDescent="0.3">
      <c r="A292" t="s">
        <v>48</v>
      </c>
      <c r="B292" t="s">
        <v>19</v>
      </c>
      <c r="C292" t="s">
        <v>13</v>
      </c>
      <c r="D292" t="s">
        <v>14</v>
      </c>
      <c r="E292" t="s">
        <v>10</v>
      </c>
      <c r="F292">
        <v>265.31</v>
      </c>
      <c r="G292">
        <f>INDEX(Operational[Production Volume (units)],MATCH(Emission8[[#This Row],[Facility ID]],Operational[Facility ID],0))</f>
        <v>11952</v>
      </c>
      <c r="H292">
        <f>INDEX(Operational[Energy Consumption (MWh)],MATCH(Emission8[[#This Row],[Facility ID]],Operational[Facility ID],0))</f>
        <v>4637.74</v>
      </c>
      <c r="I292">
        <f>INDEX(Operational[Waste (tons)],MATCH(Emission8[[#This Row],[Facility ID]],Operational[Facility ID],0))</f>
        <v>63.78</v>
      </c>
    </row>
    <row r="293" spans="1:9" x14ac:dyDescent="0.3">
      <c r="A293" t="s">
        <v>40</v>
      </c>
      <c r="B293" t="s">
        <v>19</v>
      </c>
      <c r="C293" t="s">
        <v>8</v>
      </c>
      <c r="D293" t="s">
        <v>28</v>
      </c>
      <c r="E293" t="s">
        <v>24</v>
      </c>
      <c r="F293">
        <v>392.52</v>
      </c>
      <c r="G293">
        <f>INDEX(Operational[Production Volume (units)],MATCH(Emission8[[#This Row],[Facility ID]],Operational[Facility ID],0))</f>
        <v>96474</v>
      </c>
      <c r="H293">
        <f>INDEX(Operational[Energy Consumption (MWh)],MATCH(Emission8[[#This Row],[Facility ID]],Operational[Facility ID],0))</f>
        <v>7574.39</v>
      </c>
      <c r="I293">
        <f>INDEX(Operational[Waste (tons)],MATCH(Emission8[[#This Row],[Facility ID]],Operational[Facility ID],0))</f>
        <v>95.54</v>
      </c>
    </row>
    <row r="294" spans="1:9" x14ac:dyDescent="0.3">
      <c r="A294" t="s">
        <v>139</v>
      </c>
      <c r="B294" t="s">
        <v>7</v>
      </c>
      <c r="C294" t="s">
        <v>23</v>
      </c>
      <c r="D294" t="s">
        <v>28</v>
      </c>
      <c r="E294" t="s">
        <v>24</v>
      </c>
      <c r="F294">
        <v>3807.44</v>
      </c>
      <c r="G294">
        <f>INDEX(Operational[Production Volume (units)],MATCH(Emission8[[#This Row],[Facility ID]],Operational[Facility ID],0))</f>
        <v>10067</v>
      </c>
      <c r="H294">
        <f>INDEX(Operational[Energy Consumption (MWh)],MATCH(Emission8[[#This Row],[Facility ID]],Operational[Facility ID],0))</f>
        <v>1953.33</v>
      </c>
      <c r="I294">
        <f>INDEX(Operational[Waste (tons)],MATCH(Emission8[[#This Row],[Facility ID]],Operational[Facility ID],0))</f>
        <v>25.15</v>
      </c>
    </row>
    <row r="295" spans="1:9" x14ac:dyDescent="0.3">
      <c r="A295" t="s">
        <v>90</v>
      </c>
      <c r="B295" t="s">
        <v>19</v>
      </c>
      <c r="C295" t="s">
        <v>8</v>
      </c>
      <c r="D295" t="s">
        <v>9</v>
      </c>
      <c r="E295" t="s">
        <v>24</v>
      </c>
      <c r="F295">
        <v>3118.18</v>
      </c>
      <c r="G295">
        <f>INDEX(Operational[Production Volume (units)],MATCH(Emission8[[#This Row],[Facility ID]],Operational[Facility ID],0))</f>
        <v>97337</v>
      </c>
      <c r="H295">
        <f>INDEX(Operational[Energy Consumption (MWh)],MATCH(Emission8[[#This Row],[Facility ID]],Operational[Facility ID],0))</f>
        <v>3362.06</v>
      </c>
      <c r="I295">
        <f>INDEX(Operational[Waste (tons)],MATCH(Emission8[[#This Row],[Facility ID]],Operational[Facility ID],0))</f>
        <v>55.46</v>
      </c>
    </row>
    <row r="296" spans="1:9" x14ac:dyDescent="0.3">
      <c r="A296" t="s">
        <v>174</v>
      </c>
      <c r="B296" t="s">
        <v>19</v>
      </c>
      <c r="C296" t="s">
        <v>34</v>
      </c>
      <c r="D296" t="s">
        <v>14</v>
      </c>
      <c r="E296" t="s">
        <v>24</v>
      </c>
      <c r="F296">
        <v>1947.59</v>
      </c>
      <c r="G296">
        <f>INDEX(Operational[Production Volume (units)],MATCH(Emission8[[#This Row],[Facility ID]],Operational[Facility ID],0))</f>
        <v>66163</v>
      </c>
      <c r="H296">
        <f>INDEX(Operational[Energy Consumption (MWh)],MATCH(Emission8[[#This Row],[Facility ID]],Operational[Facility ID],0))</f>
        <v>1416.57</v>
      </c>
      <c r="I296">
        <f>INDEX(Operational[Waste (tons)],MATCH(Emission8[[#This Row],[Facility ID]],Operational[Facility ID],0))</f>
        <v>68.73</v>
      </c>
    </row>
    <row r="297" spans="1:9" x14ac:dyDescent="0.3">
      <c r="A297" t="s">
        <v>175</v>
      </c>
      <c r="B297" t="s">
        <v>7</v>
      </c>
      <c r="C297" t="s">
        <v>8</v>
      </c>
      <c r="D297" t="s">
        <v>28</v>
      </c>
      <c r="E297" t="s">
        <v>24</v>
      </c>
      <c r="F297">
        <v>4464.43</v>
      </c>
      <c r="G297">
        <f>INDEX(Operational[Production Volume (units)],MATCH(Emission8[[#This Row],[Facility ID]],Operational[Facility ID],0))</f>
        <v>83923</v>
      </c>
      <c r="H297">
        <f>INDEX(Operational[Energy Consumption (MWh)],MATCH(Emission8[[#This Row],[Facility ID]],Operational[Facility ID],0))</f>
        <v>8768.7999999999993</v>
      </c>
      <c r="I297">
        <f>INDEX(Operational[Waste (tons)],MATCH(Emission8[[#This Row],[Facility ID]],Operational[Facility ID],0))</f>
        <v>65.290000000000006</v>
      </c>
    </row>
    <row r="298" spans="1:9" x14ac:dyDescent="0.3">
      <c r="A298" t="s">
        <v>176</v>
      </c>
      <c r="B298" t="s">
        <v>19</v>
      </c>
      <c r="C298" t="s">
        <v>13</v>
      </c>
      <c r="D298" t="s">
        <v>14</v>
      </c>
      <c r="E298" t="s">
        <v>10</v>
      </c>
      <c r="F298">
        <v>2252.36</v>
      </c>
      <c r="G298">
        <f>INDEX(Operational[Production Volume (units)],MATCH(Emission8[[#This Row],[Facility ID]],Operational[Facility ID],0))</f>
        <v>10907</v>
      </c>
      <c r="H298">
        <f>INDEX(Operational[Energy Consumption (MWh)],MATCH(Emission8[[#This Row],[Facility ID]],Operational[Facility ID],0))</f>
        <v>4748.66</v>
      </c>
      <c r="I298">
        <f>INDEX(Operational[Waste (tons)],MATCH(Emission8[[#This Row],[Facility ID]],Operational[Facility ID],0))</f>
        <v>39.36</v>
      </c>
    </row>
    <row r="299" spans="1:9" x14ac:dyDescent="0.3">
      <c r="A299" t="s">
        <v>64</v>
      </c>
      <c r="B299" t="s">
        <v>30</v>
      </c>
      <c r="C299" t="s">
        <v>8</v>
      </c>
      <c r="D299" t="s">
        <v>9</v>
      </c>
      <c r="E299" t="s">
        <v>15</v>
      </c>
      <c r="F299">
        <v>2203.84</v>
      </c>
      <c r="G299">
        <f>INDEX(Operational[Production Volume (units)],MATCH(Emission8[[#This Row],[Facility ID]],Operational[Facility ID],0))</f>
        <v>52836</v>
      </c>
      <c r="H299">
        <f>INDEX(Operational[Energy Consumption (MWh)],MATCH(Emission8[[#This Row],[Facility ID]],Operational[Facility ID],0))</f>
        <v>9330.2999999999993</v>
      </c>
      <c r="I299">
        <f>INDEX(Operational[Waste (tons)],MATCH(Emission8[[#This Row],[Facility ID]],Operational[Facility ID],0))</f>
        <v>87.27</v>
      </c>
    </row>
    <row r="300" spans="1:9" x14ac:dyDescent="0.3">
      <c r="A300" t="s">
        <v>71</v>
      </c>
      <c r="B300" t="s">
        <v>7</v>
      </c>
      <c r="C300" t="s">
        <v>34</v>
      </c>
      <c r="D300" t="s">
        <v>14</v>
      </c>
      <c r="E300" t="s">
        <v>15</v>
      </c>
      <c r="F300">
        <v>673.38</v>
      </c>
      <c r="G300">
        <f>INDEX(Operational[Production Volume (units)],MATCH(Emission8[[#This Row],[Facility ID]],Operational[Facility ID],0))</f>
        <v>68018</v>
      </c>
      <c r="H300">
        <f>INDEX(Operational[Energy Consumption (MWh)],MATCH(Emission8[[#This Row],[Facility ID]],Operational[Facility ID],0))</f>
        <v>3523.4</v>
      </c>
      <c r="I300">
        <f>INDEX(Operational[Waste (tons)],MATCH(Emission8[[#This Row],[Facility ID]],Operational[Facility ID],0))</f>
        <v>92.26</v>
      </c>
    </row>
    <row r="301" spans="1:9" x14ac:dyDescent="0.3">
      <c r="A301" t="s">
        <v>153</v>
      </c>
      <c r="B301" t="s">
        <v>7</v>
      </c>
      <c r="C301" t="s">
        <v>23</v>
      </c>
      <c r="D301" t="s">
        <v>28</v>
      </c>
      <c r="E301" t="s">
        <v>10</v>
      </c>
      <c r="F301">
        <v>3879.17</v>
      </c>
      <c r="G301">
        <f>INDEX(Operational[Production Volume (units)],MATCH(Emission8[[#This Row],[Facility ID]],Operational[Facility ID],0))</f>
        <v>21388</v>
      </c>
      <c r="H301">
        <f>INDEX(Operational[Energy Consumption (MWh)],MATCH(Emission8[[#This Row],[Facility ID]],Operational[Facility ID],0))</f>
        <v>5249.39</v>
      </c>
      <c r="I301">
        <f>INDEX(Operational[Waste (tons)],MATCH(Emission8[[#This Row],[Facility ID]],Operational[Facility ID],0))</f>
        <v>64.2</v>
      </c>
    </row>
    <row r="302" spans="1:9" x14ac:dyDescent="0.3">
      <c r="A302" t="s">
        <v>150</v>
      </c>
      <c r="B302" t="s">
        <v>30</v>
      </c>
      <c r="C302" t="s">
        <v>8</v>
      </c>
      <c r="D302" t="s">
        <v>28</v>
      </c>
      <c r="E302" t="s">
        <v>15</v>
      </c>
      <c r="F302">
        <v>404.42</v>
      </c>
      <c r="G302">
        <f>INDEX(Operational[Production Volume (units)],MATCH(Emission8[[#This Row],[Facility ID]],Operational[Facility ID],0))</f>
        <v>98356</v>
      </c>
      <c r="H302">
        <f>INDEX(Operational[Energy Consumption (MWh)],MATCH(Emission8[[#This Row],[Facility ID]],Operational[Facility ID],0))</f>
        <v>6968.69</v>
      </c>
      <c r="I302">
        <f>INDEX(Operational[Waste (tons)],MATCH(Emission8[[#This Row],[Facility ID]],Operational[Facility ID],0))</f>
        <v>81.72</v>
      </c>
    </row>
    <row r="303" spans="1:9" x14ac:dyDescent="0.3">
      <c r="A303" t="s">
        <v>82</v>
      </c>
      <c r="B303" t="s">
        <v>17</v>
      </c>
      <c r="C303" t="s">
        <v>23</v>
      </c>
      <c r="D303" t="s">
        <v>9</v>
      </c>
      <c r="E303" t="s">
        <v>24</v>
      </c>
      <c r="F303">
        <v>3415.97</v>
      </c>
      <c r="G303">
        <f>INDEX(Operational[Production Volume (units)],MATCH(Emission8[[#This Row],[Facility ID]],Operational[Facility ID],0))</f>
        <v>93409</v>
      </c>
      <c r="H303">
        <f>INDEX(Operational[Energy Consumption (MWh)],MATCH(Emission8[[#This Row],[Facility ID]],Operational[Facility ID],0))</f>
        <v>2375.83</v>
      </c>
      <c r="I303">
        <f>INDEX(Operational[Waste (tons)],MATCH(Emission8[[#This Row],[Facility ID]],Operational[Facility ID],0))</f>
        <v>5.83</v>
      </c>
    </row>
    <row r="304" spans="1:9" x14ac:dyDescent="0.3">
      <c r="A304" t="s">
        <v>124</v>
      </c>
      <c r="B304" t="s">
        <v>12</v>
      </c>
      <c r="C304" t="s">
        <v>23</v>
      </c>
      <c r="D304" t="s">
        <v>9</v>
      </c>
      <c r="E304" t="s">
        <v>10</v>
      </c>
      <c r="F304">
        <v>3091.39</v>
      </c>
      <c r="G304">
        <f>INDEX(Operational[Production Volume (units)],MATCH(Emission8[[#This Row],[Facility ID]],Operational[Facility ID],0))</f>
        <v>47491</v>
      </c>
      <c r="H304">
        <f>INDEX(Operational[Energy Consumption (MWh)],MATCH(Emission8[[#This Row],[Facility ID]],Operational[Facility ID],0))</f>
        <v>5781.05</v>
      </c>
      <c r="I304">
        <f>INDEX(Operational[Waste (tons)],MATCH(Emission8[[#This Row],[Facility ID]],Operational[Facility ID],0))</f>
        <v>92.18</v>
      </c>
    </row>
    <row r="305" spans="1:9" x14ac:dyDescent="0.3">
      <c r="A305" t="s">
        <v>66</v>
      </c>
      <c r="B305" t="s">
        <v>30</v>
      </c>
      <c r="C305" t="s">
        <v>23</v>
      </c>
      <c r="D305" t="s">
        <v>28</v>
      </c>
      <c r="E305" t="s">
        <v>24</v>
      </c>
      <c r="F305">
        <v>3216.77</v>
      </c>
      <c r="G305">
        <f>INDEX(Operational[Production Volume (units)],MATCH(Emission8[[#This Row],[Facility ID]],Operational[Facility ID],0))</f>
        <v>98396</v>
      </c>
      <c r="H305">
        <f>INDEX(Operational[Energy Consumption (MWh)],MATCH(Emission8[[#This Row],[Facility ID]],Operational[Facility ID],0))</f>
        <v>5174.07</v>
      </c>
      <c r="I305">
        <f>INDEX(Operational[Waste (tons)],MATCH(Emission8[[#This Row],[Facility ID]],Operational[Facility ID],0))</f>
        <v>63.38</v>
      </c>
    </row>
    <row r="306" spans="1:9" x14ac:dyDescent="0.3">
      <c r="A306" t="s">
        <v>40</v>
      </c>
      <c r="B306" t="s">
        <v>19</v>
      </c>
      <c r="C306" t="s">
        <v>8</v>
      </c>
      <c r="D306" t="s">
        <v>9</v>
      </c>
      <c r="E306" t="s">
        <v>10</v>
      </c>
      <c r="F306">
        <v>2200.1999999999998</v>
      </c>
      <c r="G306">
        <f>INDEX(Operational[Production Volume (units)],MATCH(Emission8[[#This Row],[Facility ID]],Operational[Facility ID],0))</f>
        <v>96474</v>
      </c>
      <c r="H306">
        <f>INDEX(Operational[Energy Consumption (MWh)],MATCH(Emission8[[#This Row],[Facility ID]],Operational[Facility ID],0))</f>
        <v>7574.39</v>
      </c>
      <c r="I306">
        <f>INDEX(Operational[Waste (tons)],MATCH(Emission8[[#This Row],[Facility ID]],Operational[Facility ID],0))</f>
        <v>95.54</v>
      </c>
    </row>
    <row r="307" spans="1:9" x14ac:dyDescent="0.3">
      <c r="A307" t="s">
        <v>72</v>
      </c>
      <c r="B307" t="s">
        <v>19</v>
      </c>
      <c r="C307" t="s">
        <v>8</v>
      </c>
      <c r="D307" t="s">
        <v>14</v>
      </c>
      <c r="E307" t="s">
        <v>15</v>
      </c>
      <c r="F307">
        <v>4874.88</v>
      </c>
      <c r="G307">
        <f>INDEX(Operational[Production Volume (units)],MATCH(Emission8[[#This Row],[Facility ID]],Operational[Facility ID],0))</f>
        <v>29318</v>
      </c>
      <c r="H307">
        <f>INDEX(Operational[Energy Consumption (MWh)],MATCH(Emission8[[#This Row],[Facility ID]],Operational[Facility ID],0))</f>
        <v>9860.6200000000008</v>
      </c>
      <c r="I307">
        <f>INDEX(Operational[Waste (tons)],MATCH(Emission8[[#This Row],[Facility ID]],Operational[Facility ID],0))</f>
        <v>14.58</v>
      </c>
    </row>
    <row r="308" spans="1:9" x14ac:dyDescent="0.3">
      <c r="A308" t="s">
        <v>63</v>
      </c>
      <c r="B308" t="s">
        <v>12</v>
      </c>
      <c r="C308" t="s">
        <v>34</v>
      </c>
      <c r="D308" t="s">
        <v>14</v>
      </c>
      <c r="E308" t="s">
        <v>24</v>
      </c>
      <c r="F308">
        <v>3104.55</v>
      </c>
      <c r="G308">
        <f>INDEX(Operational[Production Volume (units)],MATCH(Emission8[[#This Row],[Facility ID]],Operational[Facility ID],0))</f>
        <v>33688</v>
      </c>
      <c r="H308">
        <f>INDEX(Operational[Energy Consumption (MWh)],MATCH(Emission8[[#This Row],[Facility ID]],Operational[Facility ID],0))</f>
        <v>9495.48</v>
      </c>
      <c r="I308">
        <f>INDEX(Operational[Waste (tons)],MATCH(Emission8[[#This Row],[Facility ID]],Operational[Facility ID],0))</f>
        <v>55.55</v>
      </c>
    </row>
    <row r="309" spans="1:9" x14ac:dyDescent="0.3">
      <c r="A309" t="s">
        <v>62</v>
      </c>
      <c r="B309" t="s">
        <v>30</v>
      </c>
      <c r="C309" t="s">
        <v>8</v>
      </c>
      <c r="D309" t="s">
        <v>9</v>
      </c>
      <c r="E309" t="s">
        <v>24</v>
      </c>
      <c r="F309">
        <v>3500.32</v>
      </c>
      <c r="G309">
        <f>INDEX(Operational[Production Volume (units)],MATCH(Emission8[[#This Row],[Facility ID]],Operational[Facility ID],0))</f>
        <v>22309</v>
      </c>
      <c r="H309">
        <f>INDEX(Operational[Energy Consumption (MWh)],MATCH(Emission8[[#This Row],[Facility ID]],Operational[Facility ID],0))</f>
        <v>3656.29</v>
      </c>
      <c r="I309">
        <f>INDEX(Operational[Waste (tons)],MATCH(Emission8[[#This Row],[Facility ID]],Operational[Facility ID],0))</f>
        <v>75.25</v>
      </c>
    </row>
    <row r="310" spans="1:9" x14ac:dyDescent="0.3">
      <c r="A310" t="s">
        <v>153</v>
      </c>
      <c r="B310" t="s">
        <v>7</v>
      </c>
      <c r="C310" t="s">
        <v>23</v>
      </c>
      <c r="D310" t="s">
        <v>9</v>
      </c>
      <c r="E310" t="s">
        <v>10</v>
      </c>
      <c r="F310">
        <v>3041.16</v>
      </c>
      <c r="G310">
        <f>INDEX(Operational[Production Volume (units)],MATCH(Emission8[[#This Row],[Facility ID]],Operational[Facility ID],0))</f>
        <v>21388</v>
      </c>
      <c r="H310">
        <f>INDEX(Operational[Energy Consumption (MWh)],MATCH(Emission8[[#This Row],[Facility ID]],Operational[Facility ID],0))</f>
        <v>5249.39</v>
      </c>
      <c r="I310">
        <f>INDEX(Operational[Waste (tons)],MATCH(Emission8[[#This Row],[Facility ID]],Operational[Facility ID],0))</f>
        <v>64.2</v>
      </c>
    </row>
    <row r="311" spans="1:9" x14ac:dyDescent="0.3">
      <c r="A311" t="s">
        <v>177</v>
      </c>
      <c r="B311" t="s">
        <v>7</v>
      </c>
      <c r="C311" t="s">
        <v>8</v>
      </c>
      <c r="D311" t="s">
        <v>9</v>
      </c>
      <c r="E311" t="s">
        <v>10</v>
      </c>
      <c r="F311">
        <v>4584.16</v>
      </c>
      <c r="G311">
        <f>INDEX(Operational[Production Volume (units)],MATCH(Emission8[[#This Row],[Facility ID]],Operational[Facility ID],0))</f>
        <v>17097</v>
      </c>
      <c r="H311">
        <f>INDEX(Operational[Energy Consumption (MWh)],MATCH(Emission8[[#This Row],[Facility ID]],Operational[Facility ID],0))</f>
        <v>9061.7800000000007</v>
      </c>
      <c r="I311">
        <f>INDEX(Operational[Waste (tons)],MATCH(Emission8[[#This Row],[Facility ID]],Operational[Facility ID],0))</f>
        <v>95.92</v>
      </c>
    </row>
    <row r="312" spans="1:9" x14ac:dyDescent="0.3">
      <c r="A312" t="s">
        <v>139</v>
      </c>
      <c r="B312" t="s">
        <v>7</v>
      </c>
      <c r="C312" t="s">
        <v>34</v>
      </c>
      <c r="D312" t="s">
        <v>9</v>
      </c>
      <c r="E312" t="s">
        <v>10</v>
      </c>
      <c r="F312">
        <v>3894.01</v>
      </c>
      <c r="G312">
        <f>INDEX(Operational[Production Volume (units)],MATCH(Emission8[[#This Row],[Facility ID]],Operational[Facility ID],0))</f>
        <v>10067</v>
      </c>
      <c r="H312">
        <f>INDEX(Operational[Energy Consumption (MWh)],MATCH(Emission8[[#This Row],[Facility ID]],Operational[Facility ID],0))</f>
        <v>1953.33</v>
      </c>
      <c r="I312">
        <f>INDEX(Operational[Waste (tons)],MATCH(Emission8[[#This Row],[Facility ID]],Operational[Facility ID],0))</f>
        <v>25.15</v>
      </c>
    </row>
    <row r="313" spans="1:9" x14ac:dyDescent="0.3">
      <c r="A313" t="s">
        <v>62</v>
      </c>
      <c r="B313" t="s">
        <v>30</v>
      </c>
      <c r="C313" t="s">
        <v>13</v>
      </c>
      <c r="D313" t="s">
        <v>14</v>
      </c>
      <c r="E313" t="s">
        <v>10</v>
      </c>
      <c r="F313">
        <v>1782.56</v>
      </c>
      <c r="G313">
        <f>INDEX(Operational[Production Volume (units)],MATCH(Emission8[[#This Row],[Facility ID]],Operational[Facility ID],0))</f>
        <v>22309</v>
      </c>
      <c r="H313">
        <f>INDEX(Operational[Energy Consumption (MWh)],MATCH(Emission8[[#This Row],[Facility ID]],Operational[Facility ID],0))</f>
        <v>3656.29</v>
      </c>
      <c r="I313">
        <f>INDEX(Operational[Waste (tons)],MATCH(Emission8[[#This Row],[Facility ID]],Operational[Facility ID],0))</f>
        <v>75.25</v>
      </c>
    </row>
    <row r="314" spans="1:9" x14ac:dyDescent="0.3">
      <c r="A314" t="s">
        <v>29</v>
      </c>
      <c r="B314" t="s">
        <v>30</v>
      </c>
      <c r="C314" t="s">
        <v>34</v>
      </c>
      <c r="D314" t="s">
        <v>28</v>
      </c>
      <c r="E314" t="s">
        <v>10</v>
      </c>
      <c r="F314">
        <v>4386.96</v>
      </c>
      <c r="G314">
        <f>INDEX(Operational[Production Volume (units)],MATCH(Emission8[[#This Row],[Facility ID]],Operational[Facility ID],0))</f>
        <v>32131</v>
      </c>
      <c r="H314">
        <f>INDEX(Operational[Energy Consumption (MWh)],MATCH(Emission8[[#This Row],[Facility ID]],Operational[Facility ID],0))</f>
        <v>1474.23</v>
      </c>
      <c r="I314">
        <f>INDEX(Operational[Waste (tons)],MATCH(Emission8[[#This Row],[Facility ID]],Operational[Facility ID],0))</f>
        <v>45.47</v>
      </c>
    </row>
    <row r="315" spans="1:9" x14ac:dyDescent="0.3">
      <c r="A315" t="s">
        <v>113</v>
      </c>
      <c r="B315" t="s">
        <v>30</v>
      </c>
      <c r="C315" t="s">
        <v>8</v>
      </c>
      <c r="D315" t="s">
        <v>28</v>
      </c>
      <c r="E315" t="s">
        <v>24</v>
      </c>
      <c r="F315">
        <v>644.96</v>
      </c>
      <c r="G315">
        <f>INDEX(Operational[Production Volume (units)],MATCH(Emission8[[#This Row],[Facility ID]],Operational[Facility ID],0))</f>
        <v>90679</v>
      </c>
      <c r="H315">
        <f>INDEX(Operational[Energy Consumption (MWh)],MATCH(Emission8[[#This Row],[Facility ID]],Operational[Facility ID],0))</f>
        <v>7266.82</v>
      </c>
      <c r="I315">
        <f>INDEX(Operational[Waste (tons)],MATCH(Emission8[[#This Row],[Facility ID]],Operational[Facility ID],0))</f>
        <v>23.3</v>
      </c>
    </row>
    <row r="316" spans="1:9" x14ac:dyDescent="0.3">
      <c r="A316" t="s">
        <v>178</v>
      </c>
      <c r="B316" t="s">
        <v>30</v>
      </c>
      <c r="C316" t="s">
        <v>34</v>
      </c>
      <c r="D316" t="s">
        <v>14</v>
      </c>
      <c r="E316" t="s">
        <v>10</v>
      </c>
      <c r="F316">
        <v>1942.26</v>
      </c>
      <c r="G316">
        <f>INDEX(Operational[Production Volume (units)],MATCH(Emission8[[#This Row],[Facility ID]],Operational[Facility ID],0))</f>
        <v>88188</v>
      </c>
      <c r="H316">
        <f>INDEX(Operational[Energy Consumption (MWh)],MATCH(Emission8[[#This Row],[Facility ID]],Operational[Facility ID],0))</f>
        <v>815.86</v>
      </c>
      <c r="I316">
        <f>INDEX(Operational[Waste (tons)],MATCH(Emission8[[#This Row],[Facility ID]],Operational[Facility ID],0))</f>
        <v>57.53</v>
      </c>
    </row>
    <row r="317" spans="1:9" x14ac:dyDescent="0.3">
      <c r="A317" t="s">
        <v>81</v>
      </c>
      <c r="B317" t="s">
        <v>12</v>
      </c>
      <c r="C317" t="s">
        <v>34</v>
      </c>
      <c r="D317" t="s">
        <v>28</v>
      </c>
      <c r="E317" t="s">
        <v>10</v>
      </c>
      <c r="F317">
        <v>1990.87</v>
      </c>
      <c r="G317">
        <f>INDEX(Operational[Production Volume (units)],MATCH(Emission8[[#This Row],[Facility ID]],Operational[Facility ID],0))</f>
        <v>93661</v>
      </c>
      <c r="H317">
        <f>INDEX(Operational[Energy Consumption (MWh)],MATCH(Emission8[[#This Row],[Facility ID]],Operational[Facility ID],0))</f>
        <v>7324.58</v>
      </c>
      <c r="I317">
        <f>INDEX(Operational[Waste (tons)],MATCH(Emission8[[#This Row],[Facility ID]],Operational[Facility ID],0))</f>
        <v>23.55</v>
      </c>
    </row>
    <row r="318" spans="1:9" x14ac:dyDescent="0.3">
      <c r="A318" t="s">
        <v>71</v>
      </c>
      <c r="B318" t="s">
        <v>7</v>
      </c>
      <c r="C318" t="s">
        <v>23</v>
      </c>
      <c r="D318" t="s">
        <v>14</v>
      </c>
      <c r="E318" t="s">
        <v>15</v>
      </c>
      <c r="F318">
        <v>3260.58</v>
      </c>
      <c r="G318">
        <f>INDEX(Operational[Production Volume (units)],MATCH(Emission8[[#This Row],[Facility ID]],Operational[Facility ID],0))</f>
        <v>68018</v>
      </c>
      <c r="H318">
        <f>INDEX(Operational[Energy Consumption (MWh)],MATCH(Emission8[[#This Row],[Facility ID]],Operational[Facility ID],0))</f>
        <v>3523.4</v>
      </c>
      <c r="I318">
        <f>INDEX(Operational[Waste (tons)],MATCH(Emission8[[#This Row],[Facility ID]],Operational[Facility ID],0))</f>
        <v>92.26</v>
      </c>
    </row>
    <row r="319" spans="1:9" x14ac:dyDescent="0.3">
      <c r="A319" t="s">
        <v>50</v>
      </c>
      <c r="B319" t="s">
        <v>19</v>
      </c>
      <c r="C319" t="s">
        <v>34</v>
      </c>
      <c r="D319" t="s">
        <v>14</v>
      </c>
      <c r="E319" t="s">
        <v>10</v>
      </c>
      <c r="F319">
        <v>1079.0999999999999</v>
      </c>
      <c r="G319">
        <f>INDEX(Operational[Production Volume (units)],MATCH(Emission8[[#This Row],[Facility ID]],Operational[Facility ID],0))</f>
        <v>40577</v>
      </c>
      <c r="H319">
        <f>INDEX(Operational[Energy Consumption (MWh)],MATCH(Emission8[[#This Row],[Facility ID]],Operational[Facility ID],0))</f>
        <v>4280.82</v>
      </c>
      <c r="I319">
        <f>INDEX(Operational[Waste (tons)],MATCH(Emission8[[#This Row],[Facility ID]],Operational[Facility ID],0))</f>
        <v>79.88</v>
      </c>
    </row>
    <row r="320" spans="1:9" x14ac:dyDescent="0.3">
      <c r="A320" t="s">
        <v>95</v>
      </c>
      <c r="B320" t="s">
        <v>30</v>
      </c>
      <c r="C320" t="s">
        <v>23</v>
      </c>
      <c r="D320" t="s">
        <v>28</v>
      </c>
      <c r="E320" t="s">
        <v>15</v>
      </c>
      <c r="F320">
        <v>2675.56</v>
      </c>
      <c r="G320">
        <f>INDEX(Operational[Production Volume (units)],MATCH(Emission8[[#This Row],[Facility ID]],Operational[Facility ID],0))</f>
        <v>51800</v>
      </c>
      <c r="H320">
        <f>INDEX(Operational[Energy Consumption (MWh)],MATCH(Emission8[[#This Row],[Facility ID]],Operational[Facility ID],0))</f>
        <v>3042.95</v>
      </c>
      <c r="I320">
        <f>INDEX(Operational[Waste (tons)],MATCH(Emission8[[#This Row],[Facility ID]],Operational[Facility ID],0))</f>
        <v>71.87</v>
      </c>
    </row>
    <row r="321" spans="1:9" x14ac:dyDescent="0.3">
      <c r="A321" t="s">
        <v>11</v>
      </c>
      <c r="B321" t="s">
        <v>12</v>
      </c>
      <c r="C321" t="s">
        <v>13</v>
      </c>
      <c r="D321" t="s">
        <v>28</v>
      </c>
      <c r="E321" t="s">
        <v>15</v>
      </c>
      <c r="F321">
        <v>1583.52</v>
      </c>
      <c r="G321">
        <f>INDEX(Operational[Production Volume (units)],MATCH(Emission8[[#This Row],[Facility ID]],Operational[Facility ID],0))</f>
        <v>44657</v>
      </c>
      <c r="H321">
        <f>INDEX(Operational[Energy Consumption (MWh)],MATCH(Emission8[[#This Row],[Facility ID]],Operational[Facility ID],0))</f>
        <v>7867.98</v>
      </c>
      <c r="I321">
        <f>INDEX(Operational[Waste (tons)],MATCH(Emission8[[#This Row],[Facility ID]],Operational[Facility ID],0))</f>
        <v>96.01</v>
      </c>
    </row>
    <row r="322" spans="1:9" x14ac:dyDescent="0.3">
      <c r="A322" t="s">
        <v>179</v>
      </c>
      <c r="B322" t="s">
        <v>7</v>
      </c>
      <c r="C322" t="s">
        <v>23</v>
      </c>
      <c r="D322" t="s">
        <v>28</v>
      </c>
      <c r="E322" t="s">
        <v>15</v>
      </c>
      <c r="F322">
        <v>4798.47</v>
      </c>
      <c r="G322">
        <f>INDEX(Operational[Production Volume (units)],MATCH(Emission8[[#This Row],[Facility ID]],Operational[Facility ID],0))</f>
        <v>94393</v>
      </c>
      <c r="H322">
        <f>INDEX(Operational[Energy Consumption (MWh)],MATCH(Emission8[[#This Row],[Facility ID]],Operational[Facility ID],0))</f>
        <v>6691.7</v>
      </c>
      <c r="I322">
        <f>INDEX(Operational[Waste (tons)],MATCH(Emission8[[#This Row],[Facility ID]],Operational[Facility ID],0))</f>
        <v>74.790000000000006</v>
      </c>
    </row>
    <row r="323" spans="1:9" x14ac:dyDescent="0.3">
      <c r="A323" t="s">
        <v>148</v>
      </c>
      <c r="B323" t="s">
        <v>17</v>
      </c>
      <c r="C323" t="s">
        <v>13</v>
      </c>
      <c r="D323" t="s">
        <v>28</v>
      </c>
      <c r="E323" t="s">
        <v>24</v>
      </c>
      <c r="F323">
        <v>856.9</v>
      </c>
      <c r="G323">
        <f>INDEX(Operational[Production Volume (units)],MATCH(Emission8[[#This Row],[Facility ID]],Operational[Facility ID],0))</f>
        <v>44994</v>
      </c>
      <c r="H323">
        <f>INDEX(Operational[Energy Consumption (MWh)],MATCH(Emission8[[#This Row],[Facility ID]],Operational[Facility ID],0))</f>
        <v>7305.59</v>
      </c>
      <c r="I323">
        <f>INDEX(Operational[Waste (tons)],MATCH(Emission8[[#This Row],[Facility ID]],Operational[Facility ID],0))</f>
        <v>91.53</v>
      </c>
    </row>
    <row r="324" spans="1:9" x14ac:dyDescent="0.3">
      <c r="A324" t="s">
        <v>44</v>
      </c>
      <c r="B324" t="s">
        <v>19</v>
      </c>
      <c r="C324" t="s">
        <v>8</v>
      </c>
      <c r="D324" t="s">
        <v>9</v>
      </c>
      <c r="E324" t="s">
        <v>10</v>
      </c>
      <c r="F324">
        <v>1158.6300000000001</v>
      </c>
      <c r="G324">
        <f>INDEX(Operational[Production Volume (units)],MATCH(Emission8[[#This Row],[Facility ID]],Operational[Facility ID],0))</f>
        <v>16256</v>
      </c>
      <c r="H324">
        <f>INDEX(Operational[Energy Consumption (MWh)],MATCH(Emission8[[#This Row],[Facility ID]],Operational[Facility ID],0))</f>
        <v>2127.1799999999998</v>
      </c>
      <c r="I324">
        <f>INDEX(Operational[Waste (tons)],MATCH(Emission8[[#This Row],[Facility ID]],Operational[Facility ID],0))</f>
        <v>38.94</v>
      </c>
    </row>
    <row r="325" spans="1:9" x14ac:dyDescent="0.3">
      <c r="A325" t="s">
        <v>164</v>
      </c>
      <c r="B325" t="s">
        <v>19</v>
      </c>
      <c r="C325" t="s">
        <v>8</v>
      </c>
      <c r="D325" t="s">
        <v>9</v>
      </c>
      <c r="E325" t="s">
        <v>15</v>
      </c>
      <c r="F325">
        <v>5208.6099999999997</v>
      </c>
      <c r="G325">
        <f>INDEX(Operational[Production Volume (units)],MATCH(Emission8[[#This Row],[Facility ID]],Operational[Facility ID],0))</f>
        <v>69636</v>
      </c>
      <c r="H325">
        <f>INDEX(Operational[Energy Consumption (MWh)],MATCH(Emission8[[#This Row],[Facility ID]],Operational[Facility ID],0))</f>
        <v>4246.55</v>
      </c>
      <c r="I325">
        <f>INDEX(Operational[Waste (tons)],MATCH(Emission8[[#This Row],[Facility ID]],Operational[Facility ID],0))</f>
        <v>69.290000000000006</v>
      </c>
    </row>
    <row r="326" spans="1:9" x14ac:dyDescent="0.3">
      <c r="A326" t="s">
        <v>180</v>
      </c>
      <c r="B326" t="s">
        <v>30</v>
      </c>
      <c r="C326" t="s">
        <v>8</v>
      </c>
      <c r="D326" t="s">
        <v>28</v>
      </c>
      <c r="E326" t="s">
        <v>15</v>
      </c>
      <c r="F326">
        <v>4745.3</v>
      </c>
      <c r="G326">
        <f>INDEX(Operational[Production Volume (units)],MATCH(Emission8[[#This Row],[Facility ID]],Operational[Facility ID],0))</f>
        <v>72846</v>
      </c>
      <c r="H326">
        <f>INDEX(Operational[Energy Consumption (MWh)],MATCH(Emission8[[#This Row],[Facility ID]],Operational[Facility ID],0))</f>
        <v>5169.53</v>
      </c>
      <c r="I326">
        <f>INDEX(Operational[Waste (tons)],MATCH(Emission8[[#This Row],[Facility ID]],Operational[Facility ID],0))</f>
        <v>76.709999999999994</v>
      </c>
    </row>
    <row r="327" spans="1:9" x14ac:dyDescent="0.3">
      <c r="A327" t="s">
        <v>181</v>
      </c>
      <c r="B327" t="s">
        <v>30</v>
      </c>
      <c r="C327" t="s">
        <v>34</v>
      </c>
      <c r="D327" t="s">
        <v>9</v>
      </c>
      <c r="E327" t="s">
        <v>10</v>
      </c>
      <c r="F327">
        <v>693.43</v>
      </c>
      <c r="G327">
        <f>INDEX(Operational[Production Volume (units)],MATCH(Emission8[[#This Row],[Facility ID]],Operational[Facility ID],0))</f>
        <v>28704</v>
      </c>
      <c r="H327">
        <f>INDEX(Operational[Energy Consumption (MWh)],MATCH(Emission8[[#This Row],[Facility ID]],Operational[Facility ID],0))</f>
        <v>6009.24</v>
      </c>
      <c r="I327">
        <f>INDEX(Operational[Waste (tons)],MATCH(Emission8[[#This Row],[Facility ID]],Operational[Facility ID],0))</f>
        <v>39.31</v>
      </c>
    </row>
    <row r="328" spans="1:9" x14ac:dyDescent="0.3">
      <c r="A328" t="s">
        <v>151</v>
      </c>
      <c r="B328" t="s">
        <v>12</v>
      </c>
      <c r="C328" t="s">
        <v>8</v>
      </c>
      <c r="D328" t="s">
        <v>14</v>
      </c>
      <c r="E328" t="s">
        <v>15</v>
      </c>
      <c r="F328">
        <v>3285.65</v>
      </c>
      <c r="G328">
        <f>INDEX(Operational[Production Volume (units)],MATCH(Emission8[[#This Row],[Facility ID]],Operational[Facility ID],0))</f>
        <v>61207</v>
      </c>
      <c r="H328">
        <f>INDEX(Operational[Energy Consumption (MWh)],MATCH(Emission8[[#This Row],[Facility ID]],Operational[Facility ID],0))</f>
        <v>6922.33</v>
      </c>
      <c r="I328">
        <f>INDEX(Operational[Waste (tons)],MATCH(Emission8[[#This Row],[Facility ID]],Operational[Facility ID],0))</f>
        <v>9.1999999999999993</v>
      </c>
    </row>
    <row r="329" spans="1:9" x14ac:dyDescent="0.3">
      <c r="A329" t="s">
        <v>86</v>
      </c>
      <c r="B329" t="s">
        <v>19</v>
      </c>
      <c r="C329" t="s">
        <v>34</v>
      </c>
      <c r="D329" t="s">
        <v>28</v>
      </c>
      <c r="E329" t="s">
        <v>24</v>
      </c>
      <c r="F329">
        <v>2731.22</v>
      </c>
      <c r="G329">
        <f>INDEX(Operational[Production Volume (units)],MATCH(Emission8[[#This Row],[Facility ID]],Operational[Facility ID],0))</f>
        <v>56531</v>
      </c>
      <c r="H329">
        <f>INDEX(Operational[Energy Consumption (MWh)],MATCH(Emission8[[#This Row],[Facility ID]],Operational[Facility ID],0))</f>
        <v>8958.07</v>
      </c>
      <c r="I329">
        <f>INDEX(Operational[Waste (tons)],MATCH(Emission8[[#This Row],[Facility ID]],Operational[Facility ID],0))</f>
        <v>83.44</v>
      </c>
    </row>
    <row r="330" spans="1:9" x14ac:dyDescent="0.3">
      <c r="A330" t="s">
        <v>96</v>
      </c>
      <c r="B330" t="s">
        <v>19</v>
      </c>
      <c r="C330" t="s">
        <v>8</v>
      </c>
      <c r="D330" t="s">
        <v>9</v>
      </c>
      <c r="E330" t="s">
        <v>10</v>
      </c>
      <c r="F330">
        <v>2767.54</v>
      </c>
      <c r="G330">
        <f>INDEX(Operational[Production Volume (units)],MATCH(Emission8[[#This Row],[Facility ID]],Operational[Facility ID],0))</f>
        <v>53942</v>
      </c>
      <c r="H330">
        <f>INDEX(Operational[Energy Consumption (MWh)],MATCH(Emission8[[#This Row],[Facility ID]],Operational[Facility ID],0))</f>
        <v>5904.31</v>
      </c>
      <c r="I330">
        <f>INDEX(Operational[Waste (tons)],MATCH(Emission8[[#This Row],[Facility ID]],Operational[Facility ID],0))</f>
        <v>32.78</v>
      </c>
    </row>
    <row r="331" spans="1:9" x14ac:dyDescent="0.3">
      <c r="A331" t="s">
        <v>182</v>
      </c>
      <c r="B331" t="s">
        <v>12</v>
      </c>
      <c r="C331" t="s">
        <v>13</v>
      </c>
      <c r="D331" t="s">
        <v>28</v>
      </c>
      <c r="E331" t="s">
        <v>24</v>
      </c>
      <c r="F331">
        <v>1719.12</v>
      </c>
      <c r="G331">
        <f>INDEX(Operational[Production Volume (units)],MATCH(Emission8[[#This Row],[Facility ID]],Operational[Facility ID],0))</f>
        <v>21081</v>
      </c>
      <c r="H331">
        <f>INDEX(Operational[Energy Consumption (MWh)],MATCH(Emission8[[#This Row],[Facility ID]],Operational[Facility ID],0))</f>
        <v>9001.77</v>
      </c>
      <c r="I331">
        <f>INDEX(Operational[Waste (tons)],MATCH(Emission8[[#This Row],[Facility ID]],Operational[Facility ID],0))</f>
        <v>49.27</v>
      </c>
    </row>
    <row r="332" spans="1:9" x14ac:dyDescent="0.3">
      <c r="A332" t="s">
        <v>45</v>
      </c>
      <c r="B332" t="s">
        <v>7</v>
      </c>
      <c r="C332" t="s">
        <v>34</v>
      </c>
      <c r="D332" t="s">
        <v>14</v>
      </c>
      <c r="E332" t="s">
        <v>24</v>
      </c>
      <c r="F332">
        <v>2475.83</v>
      </c>
      <c r="G332">
        <f>INDEX(Operational[Production Volume (units)],MATCH(Emission8[[#This Row],[Facility ID]],Operational[Facility ID],0))</f>
        <v>49924</v>
      </c>
      <c r="H332">
        <f>INDEX(Operational[Energy Consumption (MWh)],MATCH(Emission8[[#This Row],[Facility ID]],Operational[Facility ID],0))</f>
        <v>2199.16</v>
      </c>
      <c r="I332">
        <f>INDEX(Operational[Waste (tons)],MATCH(Emission8[[#This Row],[Facility ID]],Operational[Facility ID],0))</f>
        <v>75.48</v>
      </c>
    </row>
    <row r="333" spans="1:9" x14ac:dyDescent="0.3">
      <c r="A333" t="s">
        <v>146</v>
      </c>
      <c r="B333" t="s">
        <v>7</v>
      </c>
      <c r="C333" t="s">
        <v>13</v>
      </c>
      <c r="D333" t="s">
        <v>9</v>
      </c>
      <c r="E333" t="s">
        <v>10</v>
      </c>
      <c r="F333">
        <v>891.04</v>
      </c>
      <c r="G333">
        <f>INDEX(Operational[Production Volume (units)],MATCH(Emission8[[#This Row],[Facility ID]],Operational[Facility ID],0))</f>
        <v>14170</v>
      </c>
      <c r="H333">
        <f>INDEX(Operational[Energy Consumption (MWh)],MATCH(Emission8[[#This Row],[Facility ID]],Operational[Facility ID],0))</f>
        <v>5455.23</v>
      </c>
      <c r="I333">
        <f>INDEX(Operational[Waste (tons)],MATCH(Emission8[[#This Row],[Facility ID]],Operational[Facility ID],0))</f>
        <v>25.46</v>
      </c>
    </row>
    <row r="334" spans="1:9" x14ac:dyDescent="0.3">
      <c r="A334" t="s">
        <v>183</v>
      </c>
      <c r="B334" t="s">
        <v>7</v>
      </c>
      <c r="C334" t="s">
        <v>34</v>
      </c>
      <c r="D334" t="s">
        <v>14</v>
      </c>
      <c r="E334" t="s">
        <v>10</v>
      </c>
      <c r="F334">
        <v>4421.93</v>
      </c>
      <c r="G334">
        <f>INDEX(Operational[Production Volume (units)],MATCH(Emission8[[#This Row],[Facility ID]],Operational[Facility ID],0))</f>
        <v>14009</v>
      </c>
      <c r="H334">
        <f>INDEX(Operational[Energy Consumption (MWh)],MATCH(Emission8[[#This Row],[Facility ID]],Operational[Facility ID],0))</f>
        <v>7528.98</v>
      </c>
      <c r="I334">
        <f>INDEX(Operational[Waste (tons)],MATCH(Emission8[[#This Row],[Facility ID]],Operational[Facility ID],0))</f>
        <v>77.62</v>
      </c>
    </row>
    <row r="335" spans="1:9" x14ac:dyDescent="0.3">
      <c r="A335" t="s">
        <v>46</v>
      </c>
      <c r="B335" t="s">
        <v>30</v>
      </c>
      <c r="C335" t="s">
        <v>23</v>
      </c>
      <c r="D335" t="s">
        <v>14</v>
      </c>
      <c r="E335" t="s">
        <v>10</v>
      </c>
      <c r="F335">
        <v>3545.18</v>
      </c>
      <c r="G335">
        <f>INDEX(Operational[Production Volume (units)],MATCH(Emission8[[#This Row],[Facility ID]],Operational[Facility ID],0))</f>
        <v>43490</v>
      </c>
      <c r="H335">
        <f>INDEX(Operational[Energy Consumption (MWh)],MATCH(Emission8[[#This Row],[Facility ID]],Operational[Facility ID],0))</f>
        <v>9300.8799999999992</v>
      </c>
      <c r="I335">
        <f>INDEX(Operational[Waste (tons)],MATCH(Emission8[[#This Row],[Facility ID]],Operational[Facility ID],0))</f>
        <v>58.43</v>
      </c>
    </row>
    <row r="336" spans="1:9" x14ac:dyDescent="0.3">
      <c r="A336" t="s">
        <v>120</v>
      </c>
      <c r="B336" t="s">
        <v>30</v>
      </c>
      <c r="C336" t="s">
        <v>34</v>
      </c>
      <c r="D336" t="s">
        <v>14</v>
      </c>
      <c r="E336" t="s">
        <v>15</v>
      </c>
      <c r="F336">
        <v>3073.82</v>
      </c>
      <c r="G336">
        <f>INDEX(Operational[Production Volume (units)],MATCH(Emission8[[#This Row],[Facility ID]],Operational[Facility ID],0))</f>
        <v>79495</v>
      </c>
      <c r="H336">
        <f>INDEX(Operational[Energy Consumption (MWh)],MATCH(Emission8[[#This Row],[Facility ID]],Operational[Facility ID],0))</f>
        <v>7157.48</v>
      </c>
      <c r="I336">
        <f>INDEX(Operational[Waste (tons)],MATCH(Emission8[[#This Row],[Facility ID]],Operational[Facility ID],0))</f>
        <v>26.84</v>
      </c>
    </row>
    <row r="337" spans="1:9" x14ac:dyDescent="0.3">
      <c r="A337" t="s">
        <v>146</v>
      </c>
      <c r="B337" t="s">
        <v>7</v>
      </c>
      <c r="C337" t="s">
        <v>13</v>
      </c>
      <c r="D337" t="s">
        <v>28</v>
      </c>
      <c r="E337" t="s">
        <v>15</v>
      </c>
      <c r="F337">
        <v>1458.83</v>
      </c>
      <c r="G337">
        <f>INDEX(Operational[Production Volume (units)],MATCH(Emission8[[#This Row],[Facility ID]],Operational[Facility ID],0))</f>
        <v>14170</v>
      </c>
      <c r="H337">
        <f>INDEX(Operational[Energy Consumption (MWh)],MATCH(Emission8[[#This Row],[Facility ID]],Operational[Facility ID],0))</f>
        <v>5455.23</v>
      </c>
      <c r="I337">
        <f>INDEX(Operational[Waste (tons)],MATCH(Emission8[[#This Row],[Facility ID]],Operational[Facility ID],0))</f>
        <v>25.46</v>
      </c>
    </row>
    <row r="338" spans="1:9" x14ac:dyDescent="0.3">
      <c r="A338" t="s">
        <v>184</v>
      </c>
      <c r="B338" t="s">
        <v>30</v>
      </c>
      <c r="C338" t="s">
        <v>8</v>
      </c>
      <c r="D338" t="s">
        <v>28</v>
      </c>
      <c r="E338" t="s">
        <v>24</v>
      </c>
      <c r="F338">
        <v>3457.1</v>
      </c>
      <c r="G338">
        <f>INDEX(Operational[Production Volume (units)],MATCH(Emission8[[#This Row],[Facility ID]],Operational[Facility ID],0))</f>
        <v>13543</v>
      </c>
      <c r="H338">
        <f>INDEX(Operational[Energy Consumption (MWh)],MATCH(Emission8[[#This Row],[Facility ID]],Operational[Facility ID],0))</f>
        <v>7854.96</v>
      </c>
      <c r="I338">
        <f>INDEX(Operational[Waste (tons)],MATCH(Emission8[[#This Row],[Facility ID]],Operational[Facility ID],0))</f>
        <v>85.57</v>
      </c>
    </row>
    <row r="339" spans="1:9" x14ac:dyDescent="0.3">
      <c r="A339" t="s">
        <v>52</v>
      </c>
      <c r="B339" t="s">
        <v>19</v>
      </c>
      <c r="C339" t="s">
        <v>8</v>
      </c>
      <c r="D339" t="s">
        <v>9</v>
      </c>
      <c r="E339" t="s">
        <v>15</v>
      </c>
      <c r="F339">
        <v>1857.37</v>
      </c>
      <c r="G339">
        <f>INDEX(Operational[Production Volume (units)],MATCH(Emission8[[#This Row],[Facility ID]],Operational[Facility ID],0))</f>
        <v>94949</v>
      </c>
      <c r="H339">
        <f>INDEX(Operational[Energy Consumption (MWh)],MATCH(Emission8[[#This Row],[Facility ID]],Operational[Facility ID],0))</f>
        <v>9714.76</v>
      </c>
      <c r="I339">
        <f>INDEX(Operational[Waste (tons)],MATCH(Emission8[[#This Row],[Facility ID]],Operational[Facility ID],0))</f>
        <v>64.900000000000006</v>
      </c>
    </row>
    <row r="340" spans="1:9" x14ac:dyDescent="0.3">
      <c r="A340" t="s">
        <v>63</v>
      </c>
      <c r="B340" t="s">
        <v>12</v>
      </c>
      <c r="C340" t="s">
        <v>34</v>
      </c>
      <c r="D340" t="s">
        <v>9</v>
      </c>
      <c r="E340" t="s">
        <v>10</v>
      </c>
      <c r="F340">
        <v>877.73</v>
      </c>
      <c r="G340">
        <f>INDEX(Operational[Production Volume (units)],MATCH(Emission8[[#This Row],[Facility ID]],Operational[Facility ID],0))</f>
        <v>33688</v>
      </c>
      <c r="H340">
        <f>INDEX(Operational[Energy Consumption (MWh)],MATCH(Emission8[[#This Row],[Facility ID]],Operational[Facility ID],0))</f>
        <v>9495.48</v>
      </c>
      <c r="I340">
        <f>INDEX(Operational[Waste (tons)],MATCH(Emission8[[#This Row],[Facility ID]],Operational[Facility ID],0))</f>
        <v>55.55</v>
      </c>
    </row>
    <row r="341" spans="1:9" x14ac:dyDescent="0.3">
      <c r="A341" t="s">
        <v>130</v>
      </c>
      <c r="B341" t="s">
        <v>12</v>
      </c>
      <c r="C341" t="s">
        <v>34</v>
      </c>
      <c r="D341" t="s">
        <v>9</v>
      </c>
      <c r="E341" t="s">
        <v>10</v>
      </c>
      <c r="F341">
        <v>1349.73</v>
      </c>
      <c r="G341">
        <f>INDEX(Operational[Production Volume (units)],MATCH(Emission8[[#This Row],[Facility ID]],Operational[Facility ID],0))</f>
        <v>82332</v>
      </c>
      <c r="H341">
        <f>INDEX(Operational[Energy Consumption (MWh)],MATCH(Emission8[[#This Row],[Facility ID]],Operational[Facility ID],0))</f>
        <v>7134.86</v>
      </c>
      <c r="I341">
        <f>INDEX(Operational[Waste (tons)],MATCH(Emission8[[#This Row],[Facility ID]],Operational[Facility ID],0))</f>
        <v>22.44</v>
      </c>
    </row>
    <row r="342" spans="1:9" x14ac:dyDescent="0.3">
      <c r="A342" t="s">
        <v>54</v>
      </c>
      <c r="B342" t="s">
        <v>12</v>
      </c>
      <c r="C342" t="s">
        <v>34</v>
      </c>
      <c r="D342" t="s">
        <v>9</v>
      </c>
      <c r="E342" t="s">
        <v>24</v>
      </c>
      <c r="F342">
        <v>5028.9399999999996</v>
      </c>
      <c r="G342">
        <f>INDEX(Operational[Production Volume (units)],MATCH(Emission8[[#This Row],[Facility ID]],Operational[Facility ID],0))</f>
        <v>58111</v>
      </c>
      <c r="H342">
        <f>INDEX(Operational[Energy Consumption (MWh)],MATCH(Emission8[[#This Row],[Facility ID]],Operational[Facility ID],0))</f>
        <v>4610.8999999999996</v>
      </c>
      <c r="I342">
        <f>INDEX(Operational[Waste (tons)],MATCH(Emission8[[#This Row],[Facility ID]],Operational[Facility ID],0))</f>
        <v>21.53</v>
      </c>
    </row>
    <row r="343" spans="1:9" x14ac:dyDescent="0.3">
      <c r="A343" t="s">
        <v>51</v>
      </c>
      <c r="B343" t="s">
        <v>30</v>
      </c>
      <c r="C343" t="s">
        <v>34</v>
      </c>
      <c r="D343" t="s">
        <v>9</v>
      </c>
      <c r="E343" t="s">
        <v>15</v>
      </c>
      <c r="F343">
        <v>4368.43</v>
      </c>
      <c r="G343">
        <f>INDEX(Operational[Production Volume (units)],MATCH(Emission8[[#This Row],[Facility ID]],Operational[Facility ID],0))</f>
        <v>44164</v>
      </c>
      <c r="H343">
        <f>INDEX(Operational[Energy Consumption (MWh)],MATCH(Emission8[[#This Row],[Facility ID]],Operational[Facility ID],0))</f>
        <v>3869.32</v>
      </c>
      <c r="I343">
        <f>INDEX(Operational[Waste (tons)],MATCH(Emission8[[#This Row],[Facility ID]],Operational[Facility ID],0))</f>
        <v>13.81</v>
      </c>
    </row>
    <row r="344" spans="1:9" x14ac:dyDescent="0.3">
      <c r="A344" t="s">
        <v>22</v>
      </c>
      <c r="B344" t="s">
        <v>12</v>
      </c>
      <c r="C344" t="s">
        <v>23</v>
      </c>
      <c r="D344" t="s">
        <v>14</v>
      </c>
      <c r="E344" t="s">
        <v>15</v>
      </c>
      <c r="F344">
        <v>3793.84</v>
      </c>
      <c r="G344">
        <f>INDEX(Operational[Production Volume (units)],MATCH(Emission8[[#This Row],[Facility ID]],Operational[Facility ID],0))</f>
        <v>47484</v>
      </c>
      <c r="H344">
        <f>INDEX(Operational[Energy Consumption (MWh)],MATCH(Emission8[[#This Row],[Facility ID]],Operational[Facility ID],0))</f>
        <v>3396.39</v>
      </c>
      <c r="I344">
        <f>INDEX(Operational[Waste (tons)],MATCH(Emission8[[#This Row],[Facility ID]],Operational[Facility ID],0))</f>
        <v>19.510000000000002</v>
      </c>
    </row>
    <row r="345" spans="1:9" x14ac:dyDescent="0.3">
      <c r="A345" t="s">
        <v>45</v>
      </c>
      <c r="B345" t="s">
        <v>7</v>
      </c>
      <c r="C345" t="s">
        <v>8</v>
      </c>
      <c r="D345" t="s">
        <v>28</v>
      </c>
      <c r="E345" t="s">
        <v>15</v>
      </c>
      <c r="F345">
        <v>944.95</v>
      </c>
      <c r="G345">
        <f>INDEX(Operational[Production Volume (units)],MATCH(Emission8[[#This Row],[Facility ID]],Operational[Facility ID],0))</f>
        <v>49924</v>
      </c>
      <c r="H345">
        <f>INDEX(Operational[Energy Consumption (MWh)],MATCH(Emission8[[#This Row],[Facility ID]],Operational[Facility ID],0))</f>
        <v>2199.16</v>
      </c>
      <c r="I345">
        <f>INDEX(Operational[Waste (tons)],MATCH(Emission8[[#This Row],[Facility ID]],Operational[Facility ID],0))</f>
        <v>75.48</v>
      </c>
    </row>
    <row r="346" spans="1:9" x14ac:dyDescent="0.3">
      <c r="A346" t="s">
        <v>103</v>
      </c>
      <c r="B346" t="s">
        <v>19</v>
      </c>
      <c r="C346" t="s">
        <v>23</v>
      </c>
      <c r="D346" t="s">
        <v>9</v>
      </c>
      <c r="E346" t="s">
        <v>15</v>
      </c>
      <c r="F346">
        <v>2973.3</v>
      </c>
      <c r="G346">
        <f>INDEX(Operational[Production Volume (units)],MATCH(Emission8[[#This Row],[Facility ID]],Operational[Facility ID],0))</f>
        <v>38869</v>
      </c>
      <c r="H346">
        <f>INDEX(Operational[Energy Consumption (MWh)],MATCH(Emission8[[#This Row],[Facility ID]],Operational[Facility ID],0))</f>
        <v>5109.76</v>
      </c>
      <c r="I346">
        <f>INDEX(Operational[Waste (tons)],MATCH(Emission8[[#This Row],[Facility ID]],Operational[Facility ID],0))</f>
        <v>35.270000000000003</v>
      </c>
    </row>
    <row r="347" spans="1:9" x14ac:dyDescent="0.3">
      <c r="A347" t="s">
        <v>110</v>
      </c>
      <c r="B347" t="s">
        <v>12</v>
      </c>
      <c r="C347" t="s">
        <v>8</v>
      </c>
      <c r="D347" t="s">
        <v>9</v>
      </c>
      <c r="E347" t="s">
        <v>24</v>
      </c>
      <c r="F347">
        <v>3422.23</v>
      </c>
      <c r="G347">
        <f>INDEX(Operational[Production Volume (units)],MATCH(Emission8[[#This Row],[Facility ID]],Operational[Facility ID],0))</f>
        <v>70481</v>
      </c>
      <c r="H347">
        <f>INDEX(Operational[Energy Consumption (MWh)],MATCH(Emission8[[#This Row],[Facility ID]],Operational[Facility ID],0))</f>
        <v>4452.83</v>
      </c>
      <c r="I347">
        <f>INDEX(Operational[Waste (tons)],MATCH(Emission8[[#This Row],[Facility ID]],Operational[Facility ID],0))</f>
        <v>91.26</v>
      </c>
    </row>
    <row r="348" spans="1:9" x14ac:dyDescent="0.3">
      <c r="A348" t="s">
        <v>48</v>
      </c>
      <c r="B348" t="s">
        <v>19</v>
      </c>
      <c r="C348" t="s">
        <v>13</v>
      </c>
      <c r="D348" t="s">
        <v>28</v>
      </c>
      <c r="E348" t="s">
        <v>15</v>
      </c>
      <c r="F348">
        <v>3754.94</v>
      </c>
      <c r="G348">
        <f>INDEX(Operational[Production Volume (units)],MATCH(Emission8[[#This Row],[Facility ID]],Operational[Facility ID],0))</f>
        <v>11952</v>
      </c>
      <c r="H348">
        <f>INDEX(Operational[Energy Consumption (MWh)],MATCH(Emission8[[#This Row],[Facility ID]],Operational[Facility ID],0))</f>
        <v>4637.74</v>
      </c>
      <c r="I348">
        <f>INDEX(Operational[Waste (tons)],MATCH(Emission8[[#This Row],[Facility ID]],Operational[Facility ID],0))</f>
        <v>63.78</v>
      </c>
    </row>
    <row r="349" spans="1:9" x14ac:dyDescent="0.3">
      <c r="A349" t="s">
        <v>172</v>
      </c>
      <c r="B349" t="s">
        <v>7</v>
      </c>
      <c r="C349" t="s">
        <v>8</v>
      </c>
      <c r="D349" t="s">
        <v>9</v>
      </c>
      <c r="E349" t="s">
        <v>24</v>
      </c>
      <c r="F349">
        <v>1213.47</v>
      </c>
      <c r="G349">
        <f>INDEX(Operational[Production Volume (units)],MATCH(Emission8[[#This Row],[Facility ID]],Operational[Facility ID],0))</f>
        <v>68820</v>
      </c>
      <c r="H349">
        <f>INDEX(Operational[Energy Consumption (MWh)],MATCH(Emission8[[#This Row],[Facility ID]],Operational[Facility ID],0))</f>
        <v>9612.25</v>
      </c>
      <c r="I349">
        <f>INDEX(Operational[Waste (tons)],MATCH(Emission8[[#This Row],[Facility ID]],Operational[Facility ID],0))</f>
        <v>83.51</v>
      </c>
    </row>
    <row r="350" spans="1:9" x14ac:dyDescent="0.3">
      <c r="A350" t="s">
        <v>115</v>
      </c>
      <c r="B350" t="s">
        <v>19</v>
      </c>
      <c r="C350" t="s">
        <v>13</v>
      </c>
      <c r="D350" t="s">
        <v>28</v>
      </c>
      <c r="E350" t="s">
        <v>24</v>
      </c>
      <c r="F350">
        <v>358.65</v>
      </c>
      <c r="G350">
        <f>INDEX(Operational[Production Volume (units)],MATCH(Emission8[[#This Row],[Facility ID]],Operational[Facility ID],0))</f>
        <v>17162</v>
      </c>
      <c r="H350">
        <f>INDEX(Operational[Energy Consumption (MWh)],MATCH(Emission8[[#This Row],[Facility ID]],Operational[Facility ID],0))</f>
        <v>5079.95</v>
      </c>
      <c r="I350">
        <f>INDEX(Operational[Waste (tons)],MATCH(Emission8[[#This Row],[Facility ID]],Operational[Facility ID],0))</f>
        <v>19.239999999999998</v>
      </c>
    </row>
    <row r="351" spans="1:9" x14ac:dyDescent="0.3">
      <c r="A351" t="s">
        <v>185</v>
      </c>
      <c r="B351" t="s">
        <v>30</v>
      </c>
      <c r="C351" t="s">
        <v>13</v>
      </c>
      <c r="D351" t="s">
        <v>14</v>
      </c>
      <c r="E351" t="s">
        <v>24</v>
      </c>
      <c r="F351">
        <v>3630.35</v>
      </c>
      <c r="G351">
        <f>INDEX(Operational[Production Volume (units)],MATCH(Emission8[[#This Row],[Facility ID]],Operational[Facility ID],0))</f>
        <v>24913</v>
      </c>
      <c r="H351">
        <f>INDEX(Operational[Energy Consumption (MWh)],MATCH(Emission8[[#This Row],[Facility ID]],Operational[Facility ID],0))</f>
        <v>5727.27</v>
      </c>
      <c r="I351">
        <f>INDEX(Operational[Waste (tons)],MATCH(Emission8[[#This Row],[Facility ID]],Operational[Facility ID],0))</f>
        <v>78.849999999999994</v>
      </c>
    </row>
    <row r="352" spans="1:9" x14ac:dyDescent="0.3">
      <c r="A352" t="s">
        <v>172</v>
      </c>
      <c r="B352" t="s">
        <v>7</v>
      </c>
      <c r="C352" t="s">
        <v>23</v>
      </c>
      <c r="D352" t="s">
        <v>28</v>
      </c>
      <c r="E352" t="s">
        <v>10</v>
      </c>
      <c r="F352">
        <v>3966.5</v>
      </c>
      <c r="G352">
        <f>INDEX(Operational[Production Volume (units)],MATCH(Emission8[[#This Row],[Facility ID]],Operational[Facility ID],0))</f>
        <v>68820</v>
      </c>
      <c r="H352">
        <f>INDEX(Operational[Energy Consumption (MWh)],MATCH(Emission8[[#This Row],[Facility ID]],Operational[Facility ID],0))</f>
        <v>9612.25</v>
      </c>
      <c r="I352">
        <f>INDEX(Operational[Waste (tons)],MATCH(Emission8[[#This Row],[Facility ID]],Operational[Facility ID],0))</f>
        <v>83.51</v>
      </c>
    </row>
    <row r="353" spans="1:9" x14ac:dyDescent="0.3">
      <c r="A353" t="s">
        <v>172</v>
      </c>
      <c r="B353" t="s">
        <v>7</v>
      </c>
      <c r="C353" t="s">
        <v>34</v>
      </c>
      <c r="D353" t="s">
        <v>9</v>
      </c>
      <c r="E353" t="s">
        <v>10</v>
      </c>
      <c r="F353">
        <v>3886.23</v>
      </c>
      <c r="G353">
        <f>INDEX(Operational[Production Volume (units)],MATCH(Emission8[[#This Row],[Facility ID]],Operational[Facility ID],0))</f>
        <v>68820</v>
      </c>
      <c r="H353">
        <f>INDEX(Operational[Energy Consumption (MWh)],MATCH(Emission8[[#This Row],[Facility ID]],Operational[Facility ID],0))</f>
        <v>9612.25</v>
      </c>
      <c r="I353">
        <f>INDEX(Operational[Waste (tons)],MATCH(Emission8[[#This Row],[Facility ID]],Operational[Facility ID],0))</f>
        <v>83.51</v>
      </c>
    </row>
    <row r="354" spans="1:9" x14ac:dyDescent="0.3">
      <c r="A354" t="s">
        <v>186</v>
      </c>
      <c r="B354" t="s">
        <v>30</v>
      </c>
      <c r="C354" t="s">
        <v>23</v>
      </c>
      <c r="D354" t="s">
        <v>9</v>
      </c>
      <c r="E354" t="s">
        <v>10</v>
      </c>
      <c r="F354">
        <v>1898.18</v>
      </c>
      <c r="G354">
        <f>INDEX(Operational[Production Volume (units)],MATCH(Emission8[[#This Row],[Facility ID]],Operational[Facility ID],0))</f>
        <v>85868</v>
      </c>
      <c r="H354">
        <f>INDEX(Operational[Energy Consumption (MWh)],MATCH(Emission8[[#This Row],[Facility ID]],Operational[Facility ID],0))</f>
        <v>907.72</v>
      </c>
      <c r="I354">
        <f>INDEX(Operational[Waste (tons)],MATCH(Emission8[[#This Row],[Facility ID]],Operational[Facility ID],0))</f>
        <v>90.36</v>
      </c>
    </row>
    <row r="355" spans="1:9" x14ac:dyDescent="0.3">
      <c r="A355" t="s">
        <v>110</v>
      </c>
      <c r="B355" t="s">
        <v>12</v>
      </c>
      <c r="C355" t="s">
        <v>23</v>
      </c>
      <c r="D355" t="s">
        <v>28</v>
      </c>
      <c r="E355" t="s">
        <v>15</v>
      </c>
      <c r="F355">
        <v>1366.72</v>
      </c>
      <c r="G355">
        <f>INDEX(Operational[Production Volume (units)],MATCH(Emission8[[#This Row],[Facility ID]],Operational[Facility ID],0))</f>
        <v>70481</v>
      </c>
      <c r="H355">
        <f>INDEX(Operational[Energy Consumption (MWh)],MATCH(Emission8[[#This Row],[Facility ID]],Operational[Facility ID],0))</f>
        <v>4452.83</v>
      </c>
      <c r="I355">
        <f>INDEX(Operational[Waste (tons)],MATCH(Emission8[[#This Row],[Facility ID]],Operational[Facility ID],0))</f>
        <v>91.26</v>
      </c>
    </row>
    <row r="356" spans="1:9" x14ac:dyDescent="0.3">
      <c r="A356" t="s">
        <v>149</v>
      </c>
      <c r="B356" t="s">
        <v>17</v>
      </c>
      <c r="C356" t="s">
        <v>23</v>
      </c>
      <c r="D356" t="s">
        <v>9</v>
      </c>
      <c r="E356" t="s">
        <v>24</v>
      </c>
      <c r="F356">
        <v>1988.14</v>
      </c>
      <c r="G356">
        <f>INDEX(Operational[Production Volume (units)],MATCH(Emission8[[#This Row],[Facility ID]],Operational[Facility ID],0))</f>
        <v>49885</v>
      </c>
      <c r="H356">
        <f>INDEX(Operational[Energy Consumption (MWh)],MATCH(Emission8[[#This Row],[Facility ID]],Operational[Facility ID],0))</f>
        <v>6845.46</v>
      </c>
      <c r="I356">
        <f>INDEX(Operational[Waste (tons)],MATCH(Emission8[[#This Row],[Facility ID]],Operational[Facility ID],0))</f>
        <v>58.4</v>
      </c>
    </row>
    <row r="357" spans="1:9" x14ac:dyDescent="0.3">
      <c r="A357" t="s">
        <v>157</v>
      </c>
      <c r="B357" t="s">
        <v>30</v>
      </c>
      <c r="C357" t="s">
        <v>13</v>
      </c>
      <c r="D357" t="s">
        <v>28</v>
      </c>
      <c r="E357" t="s">
        <v>15</v>
      </c>
      <c r="F357">
        <v>2529.38</v>
      </c>
      <c r="G357">
        <f>INDEX(Operational[Production Volume (units)],MATCH(Emission8[[#This Row],[Facility ID]],Operational[Facility ID],0))</f>
        <v>76544</v>
      </c>
      <c r="H357">
        <f>INDEX(Operational[Energy Consumption (MWh)],MATCH(Emission8[[#This Row],[Facility ID]],Operational[Facility ID],0))</f>
        <v>8632.77</v>
      </c>
      <c r="I357">
        <f>INDEX(Operational[Waste (tons)],MATCH(Emission8[[#This Row],[Facility ID]],Operational[Facility ID],0))</f>
        <v>12.87</v>
      </c>
    </row>
    <row r="358" spans="1:9" x14ac:dyDescent="0.3">
      <c r="A358" t="s">
        <v>60</v>
      </c>
      <c r="B358" t="s">
        <v>12</v>
      </c>
      <c r="C358" t="s">
        <v>13</v>
      </c>
      <c r="D358" t="s">
        <v>28</v>
      </c>
      <c r="E358" t="s">
        <v>10</v>
      </c>
      <c r="F358">
        <v>3229.82</v>
      </c>
      <c r="G358">
        <f>INDEX(Operational[Production Volume (units)],MATCH(Emission8[[#This Row],[Facility ID]],Operational[Facility ID],0))</f>
        <v>25148</v>
      </c>
      <c r="H358">
        <f>INDEX(Operational[Energy Consumption (MWh)],MATCH(Emission8[[#This Row],[Facility ID]],Operational[Facility ID],0))</f>
        <v>9604.5499999999993</v>
      </c>
      <c r="I358">
        <f>INDEX(Operational[Waste (tons)],MATCH(Emission8[[#This Row],[Facility ID]],Operational[Facility ID],0))</f>
        <v>63.47</v>
      </c>
    </row>
    <row r="359" spans="1:9" x14ac:dyDescent="0.3">
      <c r="A359" t="s">
        <v>54</v>
      </c>
      <c r="B359" t="s">
        <v>12</v>
      </c>
      <c r="C359" t="s">
        <v>13</v>
      </c>
      <c r="D359" t="s">
        <v>14</v>
      </c>
      <c r="E359" t="s">
        <v>24</v>
      </c>
      <c r="F359">
        <v>1835.81</v>
      </c>
      <c r="G359">
        <f>INDEX(Operational[Production Volume (units)],MATCH(Emission8[[#This Row],[Facility ID]],Operational[Facility ID],0))</f>
        <v>58111</v>
      </c>
      <c r="H359">
        <f>INDEX(Operational[Energy Consumption (MWh)],MATCH(Emission8[[#This Row],[Facility ID]],Operational[Facility ID],0))</f>
        <v>4610.8999999999996</v>
      </c>
      <c r="I359">
        <f>INDEX(Operational[Waste (tons)],MATCH(Emission8[[#This Row],[Facility ID]],Operational[Facility ID],0))</f>
        <v>21.53</v>
      </c>
    </row>
    <row r="360" spans="1:9" x14ac:dyDescent="0.3">
      <c r="A360" t="s">
        <v>27</v>
      </c>
      <c r="B360" t="s">
        <v>12</v>
      </c>
      <c r="C360" t="s">
        <v>23</v>
      </c>
      <c r="D360" t="s">
        <v>9</v>
      </c>
      <c r="E360" t="s">
        <v>24</v>
      </c>
      <c r="F360">
        <v>4463.76</v>
      </c>
      <c r="G360">
        <f>INDEX(Operational[Production Volume (units)],MATCH(Emission8[[#This Row],[Facility ID]],Operational[Facility ID],0))</f>
        <v>91031</v>
      </c>
      <c r="H360">
        <f>INDEX(Operational[Energy Consumption (MWh)],MATCH(Emission8[[#This Row],[Facility ID]],Operational[Facility ID],0))</f>
        <v>1783.57</v>
      </c>
      <c r="I360">
        <f>INDEX(Operational[Waste (tons)],MATCH(Emission8[[#This Row],[Facility ID]],Operational[Facility ID],0))</f>
        <v>32.049999999999997</v>
      </c>
    </row>
    <row r="361" spans="1:9" x14ac:dyDescent="0.3">
      <c r="A361" t="s">
        <v>134</v>
      </c>
      <c r="B361" t="s">
        <v>7</v>
      </c>
      <c r="C361" t="s">
        <v>13</v>
      </c>
      <c r="D361" t="s">
        <v>9</v>
      </c>
      <c r="E361" t="s">
        <v>10</v>
      </c>
      <c r="F361">
        <v>2646.59</v>
      </c>
      <c r="G361">
        <f>INDEX(Operational[Production Volume (units)],MATCH(Emission8[[#This Row],[Facility ID]],Operational[Facility ID],0))</f>
        <v>39568</v>
      </c>
      <c r="H361">
        <f>INDEX(Operational[Energy Consumption (MWh)],MATCH(Emission8[[#This Row],[Facility ID]],Operational[Facility ID],0))</f>
        <v>3580.54</v>
      </c>
      <c r="I361">
        <f>INDEX(Operational[Waste (tons)],MATCH(Emission8[[#This Row],[Facility ID]],Operational[Facility ID],0))</f>
        <v>78.08</v>
      </c>
    </row>
    <row r="362" spans="1:9" x14ac:dyDescent="0.3">
      <c r="A362" t="s">
        <v>47</v>
      </c>
      <c r="B362" t="s">
        <v>30</v>
      </c>
      <c r="C362" t="s">
        <v>23</v>
      </c>
      <c r="D362" t="s">
        <v>9</v>
      </c>
      <c r="E362" t="s">
        <v>24</v>
      </c>
      <c r="F362">
        <v>3222.47</v>
      </c>
      <c r="G362">
        <f>INDEX(Operational[Production Volume (units)],MATCH(Emission8[[#This Row],[Facility ID]],Operational[Facility ID],0))</f>
        <v>53661</v>
      </c>
      <c r="H362">
        <f>INDEX(Operational[Energy Consumption (MWh)],MATCH(Emission8[[#This Row],[Facility ID]],Operational[Facility ID],0))</f>
        <v>6965.81</v>
      </c>
      <c r="I362">
        <f>INDEX(Operational[Waste (tons)],MATCH(Emission8[[#This Row],[Facility ID]],Operational[Facility ID],0))</f>
        <v>69.400000000000006</v>
      </c>
    </row>
    <row r="363" spans="1:9" x14ac:dyDescent="0.3">
      <c r="A363" t="s">
        <v>126</v>
      </c>
      <c r="B363" t="s">
        <v>30</v>
      </c>
      <c r="C363" t="s">
        <v>23</v>
      </c>
      <c r="D363" t="s">
        <v>14</v>
      </c>
      <c r="E363" t="s">
        <v>10</v>
      </c>
      <c r="F363">
        <v>3493.4</v>
      </c>
      <c r="G363">
        <f>INDEX(Operational[Production Volume (units)],MATCH(Emission8[[#This Row],[Facility ID]],Operational[Facility ID],0))</f>
        <v>35506</v>
      </c>
      <c r="H363">
        <f>INDEX(Operational[Energy Consumption (MWh)],MATCH(Emission8[[#This Row],[Facility ID]],Operational[Facility ID],0))</f>
        <v>1892.04</v>
      </c>
      <c r="I363">
        <f>INDEX(Operational[Waste (tons)],MATCH(Emission8[[#This Row],[Facility ID]],Operational[Facility ID],0))</f>
        <v>61.53</v>
      </c>
    </row>
    <row r="364" spans="1:9" x14ac:dyDescent="0.3">
      <c r="A364" t="s">
        <v>103</v>
      </c>
      <c r="B364" t="s">
        <v>19</v>
      </c>
      <c r="C364" t="s">
        <v>23</v>
      </c>
      <c r="D364" t="s">
        <v>28</v>
      </c>
      <c r="E364" t="s">
        <v>24</v>
      </c>
      <c r="F364">
        <v>871.61</v>
      </c>
      <c r="G364">
        <f>INDEX(Operational[Production Volume (units)],MATCH(Emission8[[#This Row],[Facility ID]],Operational[Facility ID],0))</f>
        <v>38869</v>
      </c>
      <c r="H364">
        <f>INDEX(Operational[Energy Consumption (MWh)],MATCH(Emission8[[#This Row],[Facility ID]],Operational[Facility ID],0))</f>
        <v>5109.76</v>
      </c>
      <c r="I364">
        <f>INDEX(Operational[Waste (tons)],MATCH(Emission8[[#This Row],[Facility ID]],Operational[Facility ID],0))</f>
        <v>35.270000000000003</v>
      </c>
    </row>
    <row r="365" spans="1:9" x14ac:dyDescent="0.3">
      <c r="A365" t="s">
        <v>80</v>
      </c>
      <c r="B365" t="s">
        <v>17</v>
      </c>
      <c r="C365" t="s">
        <v>23</v>
      </c>
      <c r="D365" t="s">
        <v>28</v>
      </c>
      <c r="E365" t="s">
        <v>15</v>
      </c>
      <c r="F365">
        <v>407.43</v>
      </c>
      <c r="G365">
        <f>INDEX(Operational[Production Volume (units)],MATCH(Emission8[[#This Row],[Facility ID]],Operational[Facility ID],0))</f>
        <v>75508</v>
      </c>
      <c r="H365">
        <f>INDEX(Operational[Energy Consumption (MWh)],MATCH(Emission8[[#This Row],[Facility ID]],Operational[Facility ID],0))</f>
        <v>6856.22</v>
      </c>
      <c r="I365">
        <f>INDEX(Operational[Waste (tons)],MATCH(Emission8[[#This Row],[Facility ID]],Operational[Facility ID],0))</f>
        <v>18.2</v>
      </c>
    </row>
    <row r="366" spans="1:9" x14ac:dyDescent="0.3">
      <c r="A366" t="s">
        <v>71</v>
      </c>
      <c r="B366" t="s">
        <v>7</v>
      </c>
      <c r="C366" t="s">
        <v>23</v>
      </c>
      <c r="D366" t="s">
        <v>28</v>
      </c>
      <c r="E366" t="s">
        <v>10</v>
      </c>
      <c r="F366">
        <v>4341.34</v>
      </c>
      <c r="G366">
        <f>INDEX(Operational[Production Volume (units)],MATCH(Emission8[[#This Row],[Facility ID]],Operational[Facility ID],0))</f>
        <v>68018</v>
      </c>
      <c r="H366">
        <f>INDEX(Operational[Energy Consumption (MWh)],MATCH(Emission8[[#This Row],[Facility ID]],Operational[Facility ID],0))</f>
        <v>3523.4</v>
      </c>
      <c r="I366">
        <f>INDEX(Operational[Waste (tons)],MATCH(Emission8[[#This Row],[Facility ID]],Operational[Facility ID],0))</f>
        <v>92.26</v>
      </c>
    </row>
    <row r="367" spans="1:9" x14ac:dyDescent="0.3">
      <c r="A367" t="s">
        <v>187</v>
      </c>
      <c r="B367" t="s">
        <v>19</v>
      </c>
      <c r="C367" t="s">
        <v>13</v>
      </c>
      <c r="D367" t="s">
        <v>9</v>
      </c>
      <c r="E367" t="s">
        <v>15</v>
      </c>
      <c r="F367">
        <v>1935.3</v>
      </c>
      <c r="G367">
        <f>INDEX(Operational[Production Volume (units)],MATCH(Emission8[[#This Row],[Facility ID]],Operational[Facility ID],0))</f>
        <v>94861</v>
      </c>
      <c r="H367">
        <f>INDEX(Operational[Energy Consumption (MWh)],MATCH(Emission8[[#This Row],[Facility ID]],Operational[Facility ID],0))</f>
        <v>8363.57</v>
      </c>
      <c r="I367">
        <f>INDEX(Operational[Waste (tons)],MATCH(Emission8[[#This Row],[Facility ID]],Operational[Facility ID],0))</f>
        <v>90.29</v>
      </c>
    </row>
    <row r="368" spans="1:9" x14ac:dyDescent="0.3">
      <c r="A368" t="s">
        <v>160</v>
      </c>
      <c r="B368" t="s">
        <v>30</v>
      </c>
      <c r="C368" t="s">
        <v>23</v>
      </c>
      <c r="D368" t="s">
        <v>14</v>
      </c>
      <c r="E368" t="s">
        <v>10</v>
      </c>
      <c r="F368">
        <v>3547.68</v>
      </c>
      <c r="G368">
        <f>INDEX(Operational[Production Volume (units)],MATCH(Emission8[[#This Row],[Facility ID]],Operational[Facility ID],0))</f>
        <v>18341</v>
      </c>
      <c r="H368">
        <f>INDEX(Operational[Energy Consumption (MWh)],MATCH(Emission8[[#This Row],[Facility ID]],Operational[Facility ID],0))</f>
        <v>8465.57</v>
      </c>
      <c r="I368">
        <f>INDEX(Operational[Waste (tons)],MATCH(Emission8[[#This Row],[Facility ID]],Operational[Facility ID],0))</f>
        <v>38.39</v>
      </c>
    </row>
    <row r="369" spans="1:9" x14ac:dyDescent="0.3">
      <c r="A369" t="s">
        <v>149</v>
      </c>
      <c r="B369" t="s">
        <v>17</v>
      </c>
      <c r="C369" t="s">
        <v>34</v>
      </c>
      <c r="D369" t="s">
        <v>14</v>
      </c>
      <c r="E369" t="s">
        <v>24</v>
      </c>
      <c r="F369">
        <v>4904.09</v>
      </c>
      <c r="G369">
        <f>INDEX(Operational[Production Volume (units)],MATCH(Emission8[[#This Row],[Facility ID]],Operational[Facility ID],0))</f>
        <v>49885</v>
      </c>
      <c r="H369">
        <f>INDEX(Operational[Energy Consumption (MWh)],MATCH(Emission8[[#This Row],[Facility ID]],Operational[Facility ID],0))</f>
        <v>6845.46</v>
      </c>
      <c r="I369">
        <f>INDEX(Operational[Waste (tons)],MATCH(Emission8[[#This Row],[Facility ID]],Operational[Facility ID],0))</f>
        <v>58.4</v>
      </c>
    </row>
    <row r="370" spans="1:9" x14ac:dyDescent="0.3">
      <c r="A370" t="s">
        <v>33</v>
      </c>
      <c r="B370" t="s">
        <v>19</v>
      </c>
      <c r="C370" t="s">
        <v>8</v>
      </c>
      <c r="D370" t="s">
        <v>14</v>
      </c>
      <c r="E370" t="s">
        <v>10</v>
      </c>
      <c r="F370">
        <v>3391.08</v>
      </c>
      <c r="G370">
        <f>INDEX(Operational[Production Volume (units)],MATCH(Emission8[[#This Row],[Facility ID]],Operational[Facility ID],0))</f>
        <v>65719</v>
      </c>
      <c r="H370">
        <f>INDEX(Operational[Energy Consumption (MWh)],MATCH(Emission8[[#This Row],[Facility ID]],Operational[Facility ID],0))</f>
        <v>9362.41</v>
      </c>
      <c r="I370">
        <f>INDEX(Operational[Waste (tons)],MATCH(Emission8[[#This Row],[Facility ID]],Operational[Facility ID],0))</f>
        <v>86.55</v>
      </c>
    </row>
    <row r="371" spans="1:9" x14ac:dyDescent="0.3">
      <c r="A371" t="s">
        <v>64</v>
      </c>
      <c r="B371" t="s">
        <v>30</v>
      </c>
      <c r="C371" t="s">
        <v>8</v>
      </c>
      <c r="D371" t="s">
        <v>28</v>
      </c>
      <c r="E371" t="s">
        <v>10</v>
      </c>
      <c r="F371">
        <v>589.80999999999995</v>
      </c>
      <c r="G371">
        <f>INDEX(Operational[Production Volume (units)],MATCH(Emission8[[#This Row],[Facility ID]],Operational[Facility ID],0))</f>
        <v>52836</v>
      </c>
      <c r="H371">
        <f>INDEX(Operational[Energy Consumption (MWh)],MATCH(Emission8[[#This Row],[Facility ID]],Operational[Facility ID],0))</f>
        <v>9330.2999999999993</v>
      </c>
      <c r="I371">
        <f>INDEX(Operational[Waste (tons)],MATCH(Emission8[[#This Row],[Facility ID]],Operational[Facility ID],0))</f>
        <v>87.27</v>
      </c>
    </row>
    <row r="372" spans="1:9" x14ac:dyDescent="0.3">
      <c r="A372" t="s">
        <v>127</v>
      </c>
      <c r="B372" t="s">
        <v>17</v>
      </c>
      <c r="C372" t="s">
        <v>13</v>
      </c>
      <c r="D372" t="s">
        <v>28</v>
      </c>
      <c r="E372" t="s">
        <v>24</v>
      </c>
      <c r="F372">
        <v>1487.46</v>
      </c>
      <c r="G372">
        <f>INDEX(Operational[Production Volume (units)],MATCH(Emission8[[#This Row],[Facility ID]],Operational[Facility ID],0))</f>
        <v>17416</v>
      </c>
      <c r="H372">
        <f>INDEX(Operational[Energy Consumption (MWh)],MATCH(Emission8[[#This Row],[Facility ID]],Operational[Facility ID],0))</f>
        <v>812.06</v>
      </c>
      <c r="I372">
        <f>INDEX(Operational[Waste (tons)],MATCH(Emission8[[#This Row],[Facility ID]],Operational[Facility ID],0))</f>
        <v>5.7</v>
      </c>
    </row>
    <row r="373" spans="1:9" x14ac:dyDescent="0.3">
      <c r="A373" t="s">
        <v>27</v>
      </c>
      <c r="B373" t="s">
        <v>12</v>
      </c>
      <c r="C373" t="s">
        <v>13</v>
      </c>
      <c r="D373" t="s">
        <v>14</v>
      </c>
      <c r="E373" t="s">
        <v>24</v>
      </c>
      <c r="F373">
        <v>2879.35</v>
      </c>
      <c r="G373">
        <f>INDEX(Operational[Production Volume (units)],MATCH(Emission8[[#This Row],[Facility ID]],Operational[Facility ID],0))</f>
        <v>91031</v>
      </c>
      <c r="H373">
        <f>INDEX(Operational[Energy Consumption (MWh)],MATCH(Emission8[[#This Row],[Facility ID]],Operational[Facility ID],0))</f>
        <v>1783.57</v>
      </c>
      <c r="I373">
        <f>INDEX(Operational[Waste (tons)],MATCH(Emission8[[#This Row],[Facility ID]],Operational[Facility ID],0))</f>
        <v>32.049999999999997</v>
      </c>
    </row>
    <row r="374" spans="1:9" x14ac:dyDescent="0.3">
      <c r="A374" t="s">
        <v>45</v>
      </c>
      <c r="B374" t="s">
        <v>7</v>
      </c>
      <c r="C374" t="s">
        <v>13</v>
      </c>
      <c r="D374" t="s">
        <v>28</v>
      </c>
      <c r="E374" t="s">
        <v>24</v>
      </c>
      <c r="F374">
        <v>3544.12</v>
      </c>
      <c r="G374">
        <f>INDEX(Operational[Production Volume (units)],MATCH(Emission8[[#This Row],[Facility ID]],Operational[Facility ID],0))</f>
        <v>49924</v>
      </c>
      <c r="H374">
        <f>INDEX(Operational[Energy Consumption (MWh)],MATCH(Emission8[[#This Row],[Facility ID]],Operational[Facility ID],0))</f>
        <v>2199.16</v>
      </c>
      <c r="I374">
        <f>INDEX(Operational[Waste (tons)],MATCH(Emission8[[#This Row],[Facility ID]],Operational[Facility ID],0))</f>
        <v>75.48</v>
      </c>
    </row>
    <row r="375" spans="1:9" x14ac:dyDescent="0.3">
      <c r="A375" t="s">
        <v>27</v>
      </c>
      <c r="B375" t="s">
        <v>12</v>
      </c>
      <c r="C375" t="s">
        <v>8</v>
      </c>
      <c r="D375" t="s">
        <v>14</v>
      </c>
      <c r="E375" t="s">
        <v>10</v>
      </c>
      <c r="F375">
        <v>646.33000000000004</v>
      </c>
      <c r="G375">
        <f>INDEX(Operational[Production Volume (units)],MATCH(Emission8[[#This Row],[Facility ID]],Operational[Facility ID],0))</f>
        <v>91031</v>
      </c>
      <c r="H375">
        <f>INDEX(Operational[Energy Consumption (MWh)],MATCH(Emission8[[#This Row],[Facility ID]],Operational[Facility ID],0))</f>
        <v>1783.57</v>
      </c>
      <c r="I375">
        <f>INDEX(Operational[Waste (tons)],MATCH(Emission8[[#This Row],[Facility ID]],Operational[Facility ID],0))</f>
        <v>32.049999999999997</v>
      </c>
    </row>
    <row r="376" spans="1:9" x14ac:dyDescent="0.3">
      <c r="A376" t="s">
        <v>144</v>
      </c>
      <c r="B376" t="s">
        <v>30</v>
      </c>
      <c r="C376" t="s">
        <v>23</v>
      </c>
      <c r="D376" t="s">
        <v>14</v>
      </c>
      <c r="E376" t="s">
        <v>10</v>
      </c>
      <c r="F376">
        <v>1569.86</v>
      </c>
      <c r="G376">
        <f>INDEX(Operational[Production Volume (units)],MATCH(Emission8[[#This Row],[Facility ID]],Operational[Facility ID],0))</f>
        <v>11426</v>
      </c>
      <c r="H376">
        <f>INDEX(Operational[Energy Consumption (MWh)],MATCH(Emission8[[#This Row],[Facility ID]],Operational[Facility ID],0))</f>
        <v>4439.5600000000004</v>
      </c>
      <c r="I376">
        <f>INDEX(Operational[Waste (tons)],MATCH(Emission8[[#This Row],[Facility ID]],Operational[Facility ID],0))</f>
        <v>52.71</v>
      </c>
    </row>
    <row r="377" spans="1:9" x14ac:dyDescent="0.3">
      <c r="A377" t="s">
        <v>166</v>
      </c>
      <c r="B377" t="s">
        <v>7</v>
      </c>
      <c r="C377" t="s">
        <v>34</v>
      </c>
      <c r="D377" t="s">
        <v>28</v>
      </c>
      <c r="E377" t="s">
        <v>15</v>
      </c>
      <c r="F377">
        <v>2728.09</v>
      </c>
      <c r="G377">
        <f>INDEX(Operational[Production Volume (units)],MATCH(Emission8[[#This Row],[Facility ID]],Operational[Facility ID],0))</f>
        <v>34318</v>
      </c>
      <c r="H377">
        <f>INDEX(Operational[Energy Consumption (MWh)],MATCH(Emission8[[#This Row],[Facility ID]],Operational[Facility ID],0))</f>
        <v>675.67</v>
      </c>
      <c r="I377">
        <f>INDEX(Operational[Waste (tons)],MATCH(Emission8[[#This Row],[Facility ID]],Operational[Facility ID],0))</f>
        <v>41.05</v>
      </c>
    </row>
    <row r="378" spans="1:9" x14ac:dyDescent="0.3">
      <c r="A378" t="s">
        <v>76</v>
      </c>
      <c r="B378" t="s">
        <v>17</v>
      </c>
      <c r="C378" t="s">
        <v>23</v>
      </c>
      <c r="D378" t="s">
        <v>28</v>
      </c>
      <c r="E378" t="s">
        <v>15</v>
      </c>
      <c r="F378">
        <v>1865.65</v>
      </c>
      <c r="G378">
        <f>INDEX(Operational[Production Volume (units)],MATCH(Emission8[[#This Row],[Facility ID]],Operational[Facility ID],0))</f>
        <v>59617</v>
      </c>
      <c r="H378">
        <f>INDEX(Operational[Energy Consumption (MWh)],MATCH(Emission8[[#This Row],[Facility ID]],Operational[Facility ID],0))</f>
        <v>5000.95</v>
      </c>
      <c r="I378">
        <f>INDEX(Operational[Waste (tons)],MATCH(Emission8[[#This Row],[Facility ID]],Operational[Facility ID],0))</f>
        <v>80.36</v>
      </c>
    </row>
    <row r="379" spans="1:9" x14ac:dyDescent="0.3">
      <c r="A379" t="s">
        <v>138</v>
      </c>
      <c r="B379" t="s">
        <v>12</v>
      </c>
      <c r="C379" t="s">
        <v>13</v>
      </c>
      <c r="D379" t="s">
        <v>28</v>
      </c>
      <c r="E379" t="s">
        <v>10</v>
      </c>
      <c r="F379">
        <v>4048.31</v>
      </c>
      <c r="G379">
        <f>INDEX(Operational[Production Volume (units)],MATCH(Emission8[[#This Row],[Facility ID]],Operational[Facility ID],0))</f>
        <v>57353</v>
      </c>
      <c r="H379">
        <f>INDEX(Operational[Energy Consumption (MWh)],MATCH(Emission8[[#This Row],[Facility ID]],Operational[Facility ID],0))</f>
        <v>2274.71</v>
      </c>
      <c r="I379">
        <f>INDEX(Operational[Waste (tons)],MATCH(Emission8[[#This Row],[Facility ID]],Operational[Facility ID],0))</f>
        <v>65.34</v>
      </c>
    </row>
    <row r="380" spans="1:9" x14ac:dyDescent="0.3">
      <c r="A380" t="s">
        <v>39</v>
      </c>
      <c r="B380" t="s">
        <v>7</v>
      </c>
      <c r="C380" t="s">
        <v>34</v>
      </c>
      <c r="D380" t="s">
        <v>28</v>
      </c>
      <c r="E380" t="s">
        <v>15</v>
      </c>
      <c r="F380">
        <v>468.34</v>
      </c>
      <c r="G380">
        <f>INDEX(Operational[Production Volume (units)],MATCH(Emission8[[#This Row],[Facility ID]],Operational[Facility ID],0))</f>
        <v>80904</v>
      </c>
      <c r="H380">
        <f>INDEX(Operational[Energy Consumption (MWh)],MATCH(Emission8[[#This Row],[Facility ID]],Operational[Facility ID],0))</f>
        <v>3263.09</v>
      </c>
      <c r="I380">
        <f>INDEX(Operational[Waste (tons)],MATCH(Emission8[[#This Row],[Facility ID]],Operational[Facility ID],0))</f>
        <v>58.37</v>
      </c>
    </row>
    <row r="381" spans="1:9" x14ac:dyDescent="0.3">
      <c r="A381" t="s">
        <v>188</v>
      </c>
      <c r="B381" t="s">
        <v>19</v>
      </c>
      <c r="C381" t="s">
        <v>13</v>
      </c>
      <c r="D381" t="s">
        <v>28</v>
      </c>
      <c r="E381" t="s">
        <v>10</v>
      </c>
      <c r="F381">
        <v>802.1</v>
      </c>
      <c r="G381">
        <f>INDEX(Operational[Production Volume (units)],MATCH(Emission8[[#This Row],[Facility ID]],Operational[Facility ID],0))</f>
        <v>60513</v>
      </c>
      <c r="H381">
        <f>INDEX(Operational[Energy Consumption (MWh)],MATCH(Emission8[[#This Row],[Facility ID]],Operational[Facility ID],0))</f>
        <v>4578.16</v>
      </c>
      <c r="I381">
        <f>INDEX(Operational[Waste (tons)],MATCH(Emission8[[#This Row],[Facility ID]],Operational[Facility ID],0))</f>
        <v>65.53</v>
      </c>
    </row>
    <row r="382" spans="1:9" x14ac:dyDescent="0.3">
      <c r="A382" t="s">
        <v>101</v>
      </c>
      <c r="B382" t="s">
        <v>19</v>
      </c>
      <c r="C382" t="s">
        <v>34</v>
      </c>
      <c r="D382" t="s">
        <v>9</v>
      </c>
      <c r="E382" t="s">
        <v>10</v>
      </c>
      <c r="F382">
        <v>3548.26</v>
      </c>
      <c r="G382">
        <f>INDEX(Operational[Production Volume (units)],MATCH(Emission8[[#This Row],[Facility ID]],Operational[Facility ID],0))</f>
        <v>39050</v>
      </c>
      <c r="H382">
        <f>INDEX(Operational[Energy Consumption (MWh)],MATCH(Emission8[[#This Row],[Facility ID]],Operational[Facility ID],0))</f>
        <v>5885.73</v>
      </c>
      <c r="I382">
        <f>INDEX(Operational[Waste (tons)],MATCH(Emission8[[#This Row],[Facility ID]],Operational[Facility ID],0))</f>
        <v>93.04</v>
      </c>
    </row>
    <row r="383" spans="1:9" x14ac:dyDescent="0.3">
      <c r="A383" t="s">
        <v>142</v>
      </c>
      <c r="B383" t="s">
        <v>17</v>
      </c>
      <c r="C383" t="s">
        <v>8</v>
      </c>
      <c r="D383" t="s">
        <v>14</v>
      </c>
      <c r="E383" t="s">
        <v>15</v>
      </c>
      <c r="F383">
        <v>647.30999999999995</v>
      </c>
      <c r="G383">
        <f>INDEX(Operational[Production Volume (units)],MATCH(Emission8[[#This Row],[Facility ID]],Operational[Facility ID],0))</f>
        <v>75736</v>
      </c>
      <c r="H383">
        <f>INDEX(Operational[Energy Consumption (MWh)],MATCH(Emission8[[#This Row],[Facility ID]],Operational[Facility ID],0))</f>
        <v>6287.07</v>
      </c>
      <c r="I383">
        <f>INDEX(Operational[Waste (tons)],MATCH(Emission8[[#This Row],[Facility ID]],Operational[Facility ID],0))</f>
        <v>63.11</v>
      </c>
    </row>
    <row r="384" spans="1:9" x14ac:dyDescent="0.3">
      <c r="A384" t="s">
        <v>178</v>
      </c>
      <c r="B384" t="s">
        <v>30</v>
      </c>
      <c r="C384" t="s">
        <v>34</v>
      </c>
      <c r="D384" t="s">
        <v>14</v>
      </c>
      <c r="E384" t="s">
        <v>24</v>
      </c>
      <c r="F384">
        <v>1024.8599999999999</v>
      </c>
      <c r="G384">
        <f>INDEX(Operational[Production Volume (units)],MATCH(Emission8[[#This Row],[Facility ID]],Operational[Facility ID],0))</f>
        <v>88188</v>
      </c>
      <c r="H384">
        <f>INDEX(Operational[Energy Consumption (MWh)],MATCH(Emission8[[#This Row],[Facility ID]],Operational[Facility ID],0))</f>
        <v>815.86</v>
      </c>
      <c r="I384">
        <f>INDEX(Operational[Waste (tons)],MATCH(Emission8[[#This Row],[Facility ID]],Operational[Facility ID],0))</f>
        <v>57.53</v>
      </c>
    </row>
    <row r="385" spans="1:9" x14ac:dyDescent="0.3">
      <c r="A385" t="s">
        <v>172</v>
      </c>
      <c r="B385" t="s">
        <v>7</v>
      </c>
      <c r="C385" t="s">
        <v>23</v>
      </c>
      <c r="D385" t="s">
        <v>14</v>
      </c>
      <c r="E385" t="s">
        <v>24</v>
      </c>
      <c r="F385">
        <v>304.14999999999998</v>
      </c>
      <c r="G385">
        <f>INDEX(Operational[Production Volume (units)],MATCH(Emission8[[#This Row],[Facility ID]],Operational[Facility ID],0))</f>
        <v>68820</v>
      </c>
      <c r="H385">
        <f>INDEX(Operational[Energy Consumption (MWh)],MATCH(Emission8[[#This Row],[Facility ID]],Operational[Facility ID],0))</f>
        <v>9612.25</v>
      </c>
      <c r="I385">
        <f>INDEX(Operational[Waste (tons)],MATCH(Emission8[[#This Row],[Facility ID]],Operational[Facility ID],0))</f>
        <v>83.51</v>
      </c>
    </row>
    <row r="386" spans="1:9" x14ac:dyDescent="0.3">
      <c r="A386" t="s">
        <v>73</v>
      </c>
      <c r="B386" t="s">
        <v>30</v>
      </c>
      <c r="C386" t="s">
        <v>23</v>
      </c>
      <c r="D386" t="s">
        <v>28</v>
      </c>
      <c r="E386" t="s">
        <v>24</v>
      </c>
      <c r="F386">
        <v>4794.1899999999996</v>
      </c>
      <c r="G386">
        <f>INDEX(Operational[Production Volume (units)],MATCH(Emission8[[#This Row],[Facility ID]],Operational[Facility ID],0))</f>
        <v>55974</v>
      </c>
      <c r="H386">
        <f>INDEX(Operational[Energy Consumption (MWh)],MATCH(Emission8[[#This Row],[Facility ID]],Operational[Facility ID],0))</f>
        <v>7542.28</v>
      </c>
      <c r="I386">
        <f>INDEX(Operational[Waste (tons)],MATCH(Emission8[[#This Row],[Facility ID]],Operational[Facility ID],0))</f>
        <v>72.430000000000007</v>
      </c>
    </row>
    <row r="387" spans="1:9" x14ac:dyDescent="0.3">
      <c r="A387" t="s">
        <v>72</v>
      </c>
      <c r="B387" t="s">
        <v>19</v>
      </c>
      <c r="C387" t="s">
        <v>34</v>
      </c>
      <c r="D387" t="s">
        <v>28</v>
      </c>
      <c r="E387" t="s">
        <v>24</v>
      </c>
      <c r="F387">
        <v>2331.7399999999998</v>
      </c>
      <c r="G387">
        <f>INDEX(Operational[Production Volume (units)],MATCH(Emission8[[#This Row],[Facility ID]],Operational[Facility ID],0))</f>
        <v>29318</v>
      </c>
      <c r="H387">
        <f>INDEX(Operational[Energy Consumption (MWh)],MATCH(Emission8[[#This Row],[Facility ID]],Operational[Facility ID],0))</f>
        <v>9860.6200000000008</v>
      </c>
      <c r="I387">
        <f>INDEX(Operational[Waste (tons)],MATCH(Emission8[[#This Row],[Facility ID]],Operational[Facility ID],0))</f>
        <v>14.58</v>
      </c>
    </row>
    <row r="388" spans="1:9" x14ac:dyDescent="0.3">
      <c r="A388" t="s">
        <v>136</v>
      </c>
      <c r="B388" t="s">
        <v>17</v>
      </c>
      <c r="C388" t="s">
        <v>13</v>
      </c>
      <c r="D388" t="s">
        <v>28</v>
      </c>
      <c r="E388" t="s">
        <v>10</v>
      </c>
      <c r="F388">
        <v>4183.93</v>
      </c>
      <c r="G388">
        <f>INDEX(Operational[Production Volume (units)],MATCH(Emission8[[#This Row],[Facility ID]],Operational[Facility ID],0))</f>
        <v>15128</v>
      </c>
      <c r="H388">
        <f>INDEX(Operational[Energy Consumption (MWh)],MATCH(Emission8[[#This Row],[Facility ID]],Operational[Facility ID],0))</f>
        <v>8847.09</v>
      </c>
      <c r="I388">
        <f>INDEX(Operational[Waste (tons)],MATCH(Emission8[[#This Row],[Facility ID]],Operational[Facility ID],0))</f>
        <v>5.25</v>
      </c>
    </row>
    <row r="389" spans="1:9" x14ac:dyDescent="0.3">
      <c r="A389" t="s">
        <v>22</v>
      </c>
      <c r="B389" t="s">
        <v>12</v>
      </c>
      <c r="C389" t="s">
        <v>13</v>
      </c>
      <c r="D389" t="s">
        <v>14</v>
      </c>
      <c r="E389" t="s">
        <v>15</v>
      </c>
      <c r="F389">
        <v>1515.76</v>
      </c>
      <c r="G389">
        <f>INDEX(Operational[Production Volume (units)],MATCH(Emission8[[#This Row],[Facility ID]],Operational[Facility ID],0))</f>
        <v>47484</v>
      </c>
      <c r="H389">
        <f>INDEX(Operational[Energy Consumption (MWh)],MATCH(Emission8[[#This Row],[Facility ID]],Operational[Facility ID],0))</f>
        <v>3396.39</v>
      </c>
      <c r="I389">
        <f>INDEX(Operational[Waste (tons)],MATCH(Emission8[[#This Row],[Facility ID]],Operational[Facility ID],0))</f>
        <v>19.510000000000002</v>
      </c>
    </row>
    <row r="390" spans="1:9" x14ac:dyDescent="0.3">
      <c r="A390" t="s">
        <v>189</v>
      </c>
      <c r="B390" t="s">
        <v>19</v>
      </c>
      <c r="C390" t="s">
        <v>23</v>
      </c>
      <c r="D390" t="s">
        <v>9</v>
      </c>
      <c r="E390" t="s">
        <v>10</v>
      </c>
      <c r="F390">
        <v>4299.7299999999996</v>
      </c>
      <c r="G390">
        <f>INDEX(Operational[Production Volume (units)],MATCH(Emission8[[#This Row],[Facility ID]],Operational[Facility ID],0))</f>
        <v>27681</v>
      </c>
      <c r="H390">
        <f>INDEX(Operational[Energy Consumption (MWh)],MATCH(Emission8[[#This Row],[Facility ID]],Operational[Facility ID],0))</f>
        <v>928.26</v>
      </c>
      <c r="I390">
        <f>INDEX(Operational[Waste (tons)],MATCH(Emission8[[#This Row],[Facility ID]],Operational[Facility ID],0))</f>
        <v>44.97</v>
      </c>
    </row>
    <row r="391" spans="1:9" x14ac:dyDescent="0.3">
      <c r="A391" t="s">
        <v>89</v>
      </c>
      <c r="B391" t="s">
        <v>17</v>
      </c>
      <c r="C391" t="s">
        <v>13</v>
      </c>
      <c r="D391" t="s">
        <v>28</v>
      </c>
      <c r="E391" t="s">
        <v>24</v>
      </c>
      <c r="F391">
        <v>303.22000000000003</v>
      </c>
      <c r="G391">
        <f>INDEX(Operational[Production Volume (units)],MATCH(Emission8[[#This Row],[Facility ID]],Operational[Facility ID],0))</f>
        <v>36171</v>
      </c>
      <c r="H391">
        <f>INDEX(Operational[Energy Consumption (MWh)],MATCH(Emission8[[#This Row],[Facility ID]],Operational[Facility ID],0))</f>
        <v>6864.38</v>
      </c>
      <c r="I391">
        <f>INDEX(Operational[Waste (tons)],MATCH(Emission8[[#This Row],[Facility ID]],Operational[Facility ID],0))</f>
        <v>37.03</v>
      </c>
    </row>
    <row r="392" spans="1:9" x14ac:dyDescent="0.3">
      <c r="A392" t="s">
        <v>121</v>
      </c>
      <c r="B392" t="s">
        <v>30</v>
      </c>
      <c r="C392" t="s">
        <v>8</v>
      </c>
      <c r="D392" t="s">
        <v>14</v>
      </c>
      <c r="E392" t="s">
        <v>10</v>
      </c>
      <c r="F392">
        <v>2427.3000000000002</v>
      </c>
      <c r="G392">
        <f>INDEX(Operational[Production Volume (units)],MATCH(Emission8[[#This Row],[Facility ID]],Operational[Facility ID],0))</f>
        <v>58895</v>
      </c>
      <c r="H392">
        <f>INDEX(Operational[Energy Consumption (MWh)],MATCH(Emission8[[#This Row],[Facility ID]],Operational[Facility ID],0))</f>
        <v>3039.17</v>
      </c>
      <c r="I392">
        <f>INDEX(Operational[Waste (tons)],MATCH(Emission8[[#This Row],[Facility ID]],Operational[Facility ID],0))</f>
        <v>59.82</v>
      </c>
    </row>
    <row r="393" spans="1:9" x14ac:dyDescent="0.3">
      <c r="A393" t="s">
        <v>190</v>
      </c>
      <c r="B393" t="s">
        <v>17</v>
      </c>
      <c r="C393" t="s">
        <v>13</v>
      </c>
      <c r="D393" t="s">
        <v>14</v>
      </c>
      <c r="E393" t="s">
        <v>15</v>
      </c>
      <c r="F393">
        <v>3481.31</v>
      </c>
      <c r="G393">
        <f>INDEX(Operational[Production Volume (units)],MATCH(Emission8[[#This Row],[Facility ID]],Operational[Facility ID],0))</f>
        <v>41953</v>
      </c>
      <c r="H393">
        <f>INDEX(Operational[Energy Consumption (MWh)],MATCH(Emission8[[#This Row],[Facility ID]],Operational[Facility ID],0))</f>
        <v>2379.14</v>
      </c>
      <c r="I393">
        <f>INDEX(Operational[Waste (tons)],MATCH(Emission8[[#This Row],[Facility ID]],Operational[Facility ID],0))</f>
        <v>65.67</v>
      </c>
    </row>
    <row r="394" spans="1:9" x14ac:dyDescent="0.3">
      <c r="A394" t="s">
        <v>96</v>
      </c>
      <c r="B394" t="s">
        <v>19</v>
      </c>
      <c r="C394" t="s">
        <v>23</v>
      </c>
      <c r="D394" t="s">
        <v>28</v>
      </c>
      <c r="E394" t="s">
        <v>10</v>
      </c>
      <c r="F394">
        <v>2451.0100000000002</v>
      </c>
      <c r="G394">
        <f>INDEX(Operational[Production Volume (units)],MATCH(Emission8[[#This Row],[Facility ID]],Operational[Facility ID],0))</f>
        <v>53942</v>
      </c>
      <c r="H394">
        <f>INDEX(Operational[Energy Consumption (MWh)],MATCH(Emission8[[#This Row],[Facility ID]],Operational[Facility ID],0))</f>
        <v>5904.31</v>
      </c>
      <c r="I394">
        <f>INDEX(Operational[Waste (tons)],MATCH(Emission8[[#This Row],[Facility ID]],Operational[Facility ID],0))</f>
        <v>32.78</v>
      </c>
    </row>
    <row r="395" spans="1:9" x14ac:dyDescent="0.3">
      <c r="A395" t="s">
        <v>50</v>
      </c>
      <c r="B395" t="s">
        <v>19</v>
      </c>
      <c r="C395" t="s">
        <v>8</v>
      </c>
      <c r="D395" t="s">
        <v>9</v>
      </c>
      <c r="E395" t="s">
        <v>10</v>
      </c>
      <c r="F395">
        <v>2726.59</v>
      </c>
      <c r="G395">
        <f>INDEX(Operational[Production Volume (units)],MATCH(Emission8[[#This Row],[Facility ID]],Operational[Facility ID],0))</f>
        <v>40577</v>
      </c>
      <c r="H395">
        <f>INDEX(Operational[Energy Consumption (MWh)],MATCH(Emission8[[#This Row],[Facility ID]],Operational[Facility ID],0))</f>
        <v>4280.82</v>
      </c>
      <c r="I395">
        <f>INDEX(Operational[Waste (tons)],MATCH(Emission8[[#This Row],[Facility ID]],Operational[Facility ID],0))</f>
        <v>79.88</v>
      </c>
    </row>
    <row r="396" spans="1:9" x14ac:dyDescent="0.3">
      <c r="A396" t="s">
        <v>171</v>
      </c>
      <c r="B396" t="s">
        <v>17</v>
      </c>
      <c r="C396" t="s">
        <v>13</v>
      </c>
      <c r="D396" t="s">
        <v>28</v>
      </c>
      <c r="E396" t="s">
        <v>24</v>
      </c>
      <c r="F396">
        <v>4059.4</v>
      </c>
      <c r="G396">
        <f>INDEX(Operational[Production Volume (units)],MATCH(Emission8[[#This Row],[Facility ID]],Operational[Facility ID],0))</f>
        <v>24502</v>
      </c>
      <c r="H396">
        <f>INDEX(Operational[Energy Consumption (MWh)],MATCH(Emission8[[#This Row],[Facility ID]],Operational[Facility ID],0))</f>
        <v>7466.86</v>
      </c>
      <c r="I396">
        <f>INDEX(Operational[Waste (tons)],MATCH(Emission8[[#This Row],[Facility ID]],Operational[Facility ID],0))</f>
        <v>88.83</v>
      </c>
    </row>
    <row r="397" spans="1:9" x14ac:dyDescent="0.3">
      <c r="A397" t="s">
        <v>152</v>
      </c>
      <c r="B397" t="s">
        <v>30</v>
      </c>
      <c r="C397" t="s">
        <v>34</v>
      </c>
      <c r="D397" t="s">
        <v>28</v>
      </c>
      <c r="E397" t="s">
        <v>10</v>
      </c>
      <c r="F397">
        <v>3874.1</v>
      </c>
      <c r="G397">
        <f>INDEX(Operational[Production Volume (units)],MATCH(Emission8[[#This Row],[Facility ID]],Operational[Facility ID],0))</f>
        <v>21914</v>
      </c>
      <c r="H397">
        <f>INDEX(Operational[Energy Consumption (MWh)],MATCH(Emission8[[#This Row],[Facility ID]],Operational[Facility ID],0))</f>
        <v>5897.27</v>
      </c>
      <c r="I397">
        <f>INDEX(Operational[Waste (tons)],MATCH(Emission8[[#This Row],[Facility ID]],Operational[Facility ID],0))</f>
        <v>49.41</v>
      </c>
    </row>
    <row r="398" spans="1:9" x14ac:dyDescent="0.3">
      <c r="A398" t="s">
        <v>146</v>
      </c>
      <c r="B398" t="s">
        <v>7</v>
      </c>
      <c r="C398" t="s">
        <v>34</v>
      </c>
      <c r="D398" t="s">
        <v>14</v>
      </c>
      <c r="E398" t="s">
        <v>10</v>
      </c>
      <c r="F398">
        <v>870.3</v>
      </c>
      <c r="G398">
        <f>INDEX(Operational[Production Volume (units)],MATCH(Emission8[[#This Row],[Facility ID]],Operational[Facility ID],0))</f>
        <v>14170</v>
      </c>
      <c r="H398">
        <f>INDEX(Operational[Energy Consumption (MWh)],MATCH(Emission8[[#This Row],[Facility ID]],Operational[Facility ID],0))</f>
        <v>5455.23</v>
      </c>
      <c r="I398">
        <f>INDEX(Operational[Waste (tons)],MATCH(Emission8[[#This Row],[Facility ID]],Operational[Facility ID],0))</f>
        <v>25.46</v>
      </c>
    </row>
    <row r="399" spans="1:9" x14ac:dyDescent="0.3">
      <c r="A399" t="s">
        <v>171</v>
      </c>
      <c r="B399" t="s">
        <v>17</v>
      </c>
      <c r="C399" t="s">
        <v>8</v>
      </c>
      <c r="D399" t="s">
        <v>28</v>
      </c>
      <c r="E399" t="s">
        <v>24</v>
      </c>
      <c r="F399">
        <v>1471.82</v>
      </c>
      <c r="G399">
        <f>INDEX(Operational[Production Volume (units)],MATCH(Emission8[[#This Row],[Facility ID]],Operational[Facility ID],0))</f>
        <v>24502</v>
      </c>
      <c r="H399">
        <f>INDEX(Operational[Energy Consumption (MWh)],MATCH(Emission8[[#This Row],[Facility ID]],Operational[Facility ID],0))</f>
        <v>7466.86</v>
      </c>
      <c r="I399">
        <f>INDEX(Operational[Waste (tons)],MATCH(Emission8[[#This Row],[Facility ID]],Operational[Facility ID],0))</f>
        <v>88.83</v>
      </c>
    </row>
    <row r="400" spans="1:9" x14ac:dyDescent="0.3">
      <c r="A400" t="s">
        <v>191</v>
      </c>
      <c r="B400" t="s">
        <v>12</v>
      </c>
      <c r="C400" t="s">
        <v>8</v>
      </c>
      <c r="D400" t="s">
        <v>9</v>
      </c>
      <c r="E400" t="s">
        <v>10</v>
      </c>
      <c r="F400">
        <v>3436</v>
      </c>
      <c r="G400">
        <f>INDEX(Operational[Production Volume (units)],MATCH(Emission8[[#This Row],[Facility ID]],Operational[Facility ID],0))</f>
        <v>43346</v>
      </c>
      <c r="H400">
        <f>INDEX(Operational[Energy Consumption (MWh)],MATCH(Emission8[[#This Row],[Facility ID]],Operational[Facility ID],0))</f>
        <v>5559.12</v>
      </c>
      <c r="I400">
        <f>INDEX(Operational[Waste (tons)],MATCH(Emission8[[#This Row],[Facility ID]],Operational[Facility ID],0))</f>
        <v>39.4</v>
      </c>
    </row>
    <row r="401" spans="1:9" x14ac:dyDescent="0.3">
      <c r="A401" t="s">
        <v>124</v>
      </c>
      <c r="B401" t="s">
        <v>12</v>
      </c>
      <c r="C401" t="s">
        <v>13</v>
      </c>
      <c r="D401" t="s">
        <v>9</v>
      </c>
      <c r="E401" t="s">
        <v>24</v>
      </c>
      <c r="F401">
        <v>479.22</v>
      </c>
      <c r="G401">
        <f>INDEX(Operational[Production Volume (units)],MATCH(Emission8[[#This Row],[Facility ID]],Operational[Facility ID],0))</f>
        <v>47491</v>
      </c>
      <c r="H401">
        <f>INDEX(Operational[Energy Consumption (MWh)],MATCH(Emission8[[#This Row],[Facility ID]],Operational[Facility ID],0))</f>
        <v>5781.05</v>
      </c>
      <c r="I401">
        <f>INDEX(Operational[Waste (tons)],MATCH(Emission8[[#This Row],[Facility ID]],Operational[Facility ID],0))</f>
        <v>92.18</v>
      </c>
    </row>
    <row r="402" spans="1:9" x14ac:dyDescent="0.3">
      <c r="A402" t="s">
        <v>183</v>
      </c>
      <c r="B402" t="s">
        <v>7</v>
      </c>
      <c r="C402" t="s">
        <v>23</v>
      </c>
      <c r="D402" t="s">
        <v>14</v>
      </c>
      <c r="E402" t="s">
        <v>15</v>
      </c>
      <c r="F402">
        <v>2840.69</v>
      </c>
      <c r="G402">
        <f>INDEX(Operational[Production Volume (units)],MATCH(Emission8[[#This Row],[Facility ID]],Operational[Facility ID],0))</f>
        <v>14009</v>
      </c>
      <c r="H402">
        <f>INDEX(Operational[Energy Consumption (MWh)],MATCH(Emission8[[#This Row],[Facility ID]],Operational[Facility ID],0))</f>
        <v>7528.98</v>
      </c>
      <c r="I402">
        <f>INDEX(Operational[Waste (tons)],MATCH(Emission8[[#This Row],[Facility ID]],Operational[Facility ID],0))</f>
        <v>77.62</v>
      </c>
    </row>
    <row r="403" spans="1:9" x14ac:dyDescent="0.3">
      <c r="A403" t="s">
        <v>71</v>
      </c>
      <c r="B403" t="s">
        <v>7</v>
      </c>
      <c r="C403" t="s">
        <v>13</v>
      </c>
      <c r="D403" t="s">
        <v>28</v>
      </c>
      <c r="E403" t="s">
        <v>15</v>
      </c>
      <c r="F403">
        <v>1808.08</v>
      </c>
      <c r="G403">
        <f>INDEX(Operational[Production Volume (units)],MATCH(Emission8[[#This Row],[Facility ID]],Operational[Facility ID],0))</f>
        <v>68018</v>
      </c>
      <c r="H403">
        <f>INDEX(Operational[Energy Consumption (MWh)],MATCH(Emission8[[#This Row],[Facility ID]],Operational[Facility ID],0))</f>
        <v>3523.4</v>
      </c>
      <c r="I403">
        <f>INDEX(Operational[Waste (tons)],MATCH(Emission8[[#This Row],[Facility ID]],Operational[Facility ID],0))</f>
        <v>92.26</v>
      </c>
    </row>
    <row r="404" spans="1:9" x14ac:dyDescent="0.3">
      <c r="A404" t="s">
        <v>128</v>
      </c>
      <c r="B404" t="s">
        <v>12</v>
      </c>
      <c r="C404" t="s">
        <v>34</v>
      </c>
      <c r="D404" t="s">
        <v>28</v>
      </c>
      <c r="E404" t="s">
        <v>24</v>
      </c>
      <c r="F404">
        <v>425.7</v>
      </c>
      <c r="G404">
        <f>INDEX(Operational[Production Volume (units)],MATCH(Emission8[[#This Row],[Facility ID]],Operational[Facility ID],0))</f>
        <v>29406</v>
      </c>
      <c r="H404">
        <f>INDEX(Operational[Energy Consumption (MWh)],MATCH(Emission8[[#This Row],[Facility ID]],Operational[Facility ID],0))</f>
        <v>5281.69</v>
      </c>
      <c r="I404">
        <f>INDEX(Operational[Waste (tons)],MATCH(Emission8[[#This Row],[Facility ID]],Operational[Facility ID],0))</f>
        <v>27.01</v>
      </c>
    </row>
    <row r="405" spans="1:9" x14ac:dyDescent="0.3">
      <c r="A405" t="s">
        <v>118</v>
      </c>
      <c r="B405" t="s">
        <v>30</v>
      </c>
      <c r="C405" t="s">
        <v>34</v>
      </c>
      <c r="D405" t="s">
        <v>14</v>
      </c>
      <c r="E405" t="s">
        <v>10</v>
      </c>
      <c r="F405">
        <v>981.92</v>
      </c>
      <c r="G405">
        <f>INDEX(Operational[Production Volume (units)],MATCH(Emission8[[#This Row],[Facility ID]],Operational[Facility ID],0))</f>
        <v>68492</v>
      </c>
      <c r="H405">
        <f>INDEX(Operational[Energy Consumption (MWh)],MATCH(Emission8[[#This Row],[Facility ID]],Operational[Facility ID],0))</f>
        <v>3533.88</v>
      </c>
      <c r="I405">
        <f>INDEX(Operational[Waste (tons)],MATCH(Emission8[[#This Row],[Facility ID]],Operational[Facility ID],0))</f>
        <v>52.99</v>
      </c>
    </row>
    <row r="406" spans="1:9" x14ac:dyDescent="0.3">
      <c r="A406" t="s">
        <v>37</v>
      </c>
      <c r="B406" t="s">
        <v>17</v>
      </c>
      <c r="C406" t="s">
        <v>8</v>
      </c>
      <c r="D406" t="s">
        <v>9</v>
      </c>
      <c r="E406" t="s">
        <v>15</v>
      </c>
      <c r="F406">
        <v>1089.29</v>
      </c>
      <c r="G406">
        <f>INDEX(Operational[Production Volume (units)],MATCH(Emission8[[#This Row],[Facility ID]],Operational[Facility ID],0))</f>
        <v>71747</v>
      </c>
      <c r="H406">
        <f>INDEX(Operational[Energy Consumption (MWh)],MATCH(Emission8[[#This Row],[Facility ID]],Operational[Facility ID],0))</f>
        <v>9838.66</v>
      </c>
      <c r="I406">
        <f>INDEX(Operational[Waste (tons)],MATCH(Emission8[[#This Row],[Facility ID]],Operational[Facility ID],0))</f>
        <v>7.25</v>
      </c>
    </row>
    <row r="407" spans="1:9" x14ac:dyDescent="0.3">
      <c r="A407" t="s">
        <v>192</v>
      </c>
      <c r="B407" t="s">
        <v>19</v>
      </c>
      <c r="C407" t="s">
        <v>34</v>
      </c>
      <c r="D407" t="s">
        <v>9</v>
      </c>
      <c r="E407" t="s">
        <v>24</v>
      </c>
      <c r="F407">
        <v>4336.6099999999997</v>
      </c>
      <c r="G407">
        <f>INDEX(Operational[Production Volume (units)],MATCH(Emission8[[#This Row],[Facility ID]],Operational[Facility ID],0))</f>
        <v>43227</v>
      </c>
      <c r="H407">
        <f>INDEX(Operational[Energy Consumption (MWh)],MATCH(Emission8[[#This Row],[Facility ID]],Operational[Facility ID],0))</f>
        <v>5199.53</v>
      </c>
      <c r="I407">
        <f>INDEX(Operational[Waste (tons)],MATCH(Emission8[[#This Row],[Facility ID]],Operational[Facility ID],0))</f>
        <v>44.09</v>
      </c>
    </row>
    <row r="408" spans="1:9" x14ac:dyDescent="0.3">
      <c r="A408" t="s">
        <v>58</v>
      </c>
      <c r="B408" t="s">
        <v>17</v>
      </c>
      <c r="C408" t="s">
        <v>23</v>
      </c>
      <c r="D408" t="s">
        <v>9</v>
      </c>
      <c r="E408" t="s">
        <v>15</v>
      </c>
      <c r="F408">
        <v>1820.99</v>
      </c>
      <c r="G408">
        <f>INDEX(Operational[Production Volume (units)],MATCH(Emission8[[#This Row],[Facility ID]],Operational[Facility ID],0))</f>
        <v>32246</v>
      </c>
      <c r="H408">
        <f>INDEX(Operational[Energy Consumption (MWh)],MATCH(Emission8[[#This Row],[Facility ID]],Operational[Facility ID],0))</f>
        <v>7903.93</v>
      </c>
      <c r="I408">
        <f>INDEX(Operational[Waste (tons)],MATCH(Emission8[[#This Row],[Facility ID]],Operational[Facility ID],0))</f>
        <v>42.12</v>
      </c>
    </row>
    <row r="409" spans="1:9" x14ac:dyDescent="0.3">
      <c r="A409" t="s">
        <v>80</v>
      </c>
      <c r="B409" t="s">
        <v>17</v>
      </c>
      <c r="C409" t="s">
        <v>13</v>
      </c>
      <c r="D409" t="s">
        <v>14</v>
      </c>
      <c r="E409" t="s">
        <v>15</v>
      </c>
      <c r="F409">
        <v>2772.88</v>
      </c>
      <c r="G409">
        <f>INDEX(Operational[Production Volume (units)],MATCH(Emission8[[#This Row],[Facility ID]],Operational[Facility ID],0))</f>
        <v>75508</v>
      </c>
      <c r="H409">
        <f>INDEX(Operational[Energy Consumption (MWh)],MATCH(Emission8[[#This Row],[Facility ID]],Operational[Facility ID],0))</f>
        <v>6856.22</v>
      </c>
      <c r="I409">
        <f>INDEX(Operational[Waste (tons)],MATCH(Emission8[[#This Row],[Facility ID]],Operational[Facility ID],0))</f>
        <v>18.2</v>
      </c>
    </row>
    <row r="410" spans="1:9" x14ac:dyDescent="0.3">
      <c r="A410" t="s">
        <v>75</v>
      </c>
      <c r="B410" t="s">
        <v>19</v>
      </c>
      <c r="C410" t="s">
        <v>13</v>
      </c>
      <c r="D410" t="s">
        <v>14</v>
      </c>
      <c r="E410" t="s">
        <v>24</v>
      </c>
      <c r="F410">
        <v>4985.09</v>
      </c>
      <c r="G410">
        <f>INDEX(Operational[Production Volume (units)],MATCH(Emission8[[#This Row],[Facility ID]],Operational[Facility ID],0))</f>
        <v>54136</v>
      </c>
      <c r="H410">
        <f>INDEX(Operational[Energy Consumption (MWh)],MATCH(Emission8[[#This Row],[Facility ID]],Operational[Facility ID],0))</f>
        <v>2775.38</v>
      </c>
      <c r="I410">
        <f>INDEX(Operational[Waste (tons)],MATCH(Emission8[[#This Row],[Facility ID]],Operational[Facility ID],0))</f>
        <v>75.459999999999994</v>
      </c>
    </row>
    <row r="411" spans="1:9" x14ac:dyDescent="0.3">
      <c r="A411" t="s">
        <v>188</v>
      </c>
      <c r="B411" t="s">
        <v>19</v>
      </c>
      <c r="C411" t="s">
        <v>23</v>
      </c>
      <c r="D411" t="s">
        <v>9</v>
      </c>
      <c r="E411" t="s">
        <v>10</v>
      </c>
      <c r="F411">
        <v>4859.13</v>
      </c>
      <c r="G411">
        <f>INDEX(Operational[Production Volume (units)],MATCH(Emission8[[#This Row],[Facility ID]],Operational[Facility ID],0))</f>
        <v>60513</v>
      </c>
      <c r="H411">
        <f>INDEX(Operational[Energy Consumption (MWh)],MATCH(Emission8[[#This Row],[Facility ID]],Operational[Facility ID],0))</f>
        <v>4578.16</v>
      </c>
      <c r="I411">
        <f>INDEX(Operational[Waste (tons)],MATCH(Emission8[[#This Row],[Facility ID]],Operational[Facility ID],0))</f>
        <v>65.53</v>
      </c>
    </row>
    <row r="412" spans="1:9" x14ac:dyDescent="0.3">
      <c r="A412" t="s">
        <v>39</v>
      </c>
      <c r="B412" t="s">
        <v>7</v>
      </c>
      <c r="C412" t="s">
        <v>34</v>
      </c>
      <c r="D412" t="s">
        <v>28</v>
      </c>
      <c r="E412" t="s">
        <v>15</v>
      </c>
      <c r="F412">
        <v>3855.03</v>
      </c>
      <c r="G412">
        <f>INDEX(Operational[Production Volume (units)],MATCH(Emission8[[#This Row],[Facility ID]],Operational[Facility ID],0))</f>
        <v>80904</v>
      </c>
      <c r="H412">
        <f>INDEX(Operational[Energy Consumption (MWh)],MATCH(Emission8[[#This Row],[Facility ID]],Operational[Facility ID],0))</f>
        <v>3263.09</v>
      </c>
      <c r="I412">
        <f>INDEX(Operational[Waste (tons)],MATCH(Emission8[[#This Row],[Facility ID]],Operational[Facility ID],0))</f>
        <v>58.37</v>
      </c>
    </row>
    <row r="413" spans="1:9" x14ac:dyDescent="0.3">
      <c r="A413" t="s">
        <v>111</v>
      </c>
      <c r="B413" t="s">
        <v>19</v>
      </c>
      <c r="C413" t="s">
        <v>8</v>
      </c>
      <c r="D413" t="s">
        <v>9</v>
      </c>
      <c r="E413" t="s">
        <v>24</v>
      </c>
      <c r="F413">
        <v>1087.93</v>
      </c>
      <c r="G413">
        <f>INDEX(Operational[Production Volume (units)],MATCH(Emission8[[#This Row],[Facility ID]],Operational[Facility ID],0))</f>
        <v>37309</v>
      </c>
      <c r="H413">
        <f>INDEX(Operational[Energy Consumption (MWh)],MATCH(Emission8[[#This Row],[Facility ID]],Operational[Facility ID],0))</f>
        <v>4508.54</v>
      </c>
      <c r="I413">
        <f>INDEX(Operational[Waste (tons)],MATCH(Emission8[[#This Row],[Facility ID]],Operational[Facility ID],0))</f>
        <v>47.15</v>
      </c>
    </row>
    <row r="414" spans="1:9" x14ac:dyDescent="0.3">
      <c r="A414" t="s">
        <v>26</v>
      </c>
      <c r="B414" t="s">
        <v>17</v>
      </c>
      <c r="C414" t="s">
        <v>8</v>
      </c>
      <c r="D414" t="s">
        <v>14</v>
      </c>
      <c r="E414" t="s">
        <v>10</v>
      </c>
      <c r="F414">
        <v>3311.86</v>
      </c>
      <c r="G414">
        <f>INDEX(Operational[Production Volume (units)],MATCH(Emission8[[#This Row],[Facility ID]],Operational[Facility ID],0))</f>
        <v>17311</v>
      </c>
      <c r="H414">
        <f>INDEX(Operational[Energy Consumption (MWh)],MATCH(Emission8[[#This Row],[Facility ID]],Operational[Facility ID],0))</f>
        <v>2257.38</v>
      </c>
      <c r="I414">
        <f>INDEX(Operational[Waste (tons)],MATCH(Emission8[[#This Row],[Facility ID]],Operational[Facility ID],0))</f>
        <v>91.07</v>
      </c>
    </row>
    <row r="415" spans="1:9" x14ac:dyDescent="0.3">
      <c r="A415" t="s">
        <v>188</v>
      </c>
      <c r="B415" t="s">
        <v>19</v>
      </c>
      <c r="C415" t="s">
        <v>8</v>
      </c>
      <c r="D415" t="s">
        <v>9</v>
      </c>
      <c r="E415" t="s">
        <v>24</v>
      </c>
      <c r="F415">
        <v>3496.49</v>
      </c>
      <c r="G415">
        <f>INDEX(Operational[Production Volume (units)],MATCH(Emission8[[#This Row],[Facility ID]],Operational[Facility ID],0))</f>
        <v>60513</v>
      </c>
      <c r="H415">
        <f>INDEX(Operational[Energy Consumption (MWh)],MATCH(Emission8[[#This Row],[Facility ID]],Operational[Facility ID],0))</f>
        <v>4578.16</v>
      </c>
      <c r="I415">
        <f>INDEX(Operational[Waste (tons)],MATCH(Emission8[[#This Row],[Facility ID]],Operational[Facility ID],0))</f>
        <v>65.53</v>
      </c>
    </row>
    <row r="416" spans="1:9" x14ac:dyDescent="0.3">
      <c r="A416" t="s">
        <v>105</v>
      </c>
      <c r="B416" t="s">
        <v>30</v>
      </c>
      <c r="C416" t="s">
        <v>34</v>
      </c>
      <c r="D416" t="s">
        <v>28</v>
      </c>
      <c r="E416" t="s">
        <v>10</v>
      </c>
      <c r="F416">
        <v>3355.28</v>
      </c>
      <c r="G416">
        <f>INDEX(Operational[Production Volume (units)],MATCH(Emission8[[#This Row],[Facility ID]],Operational[Facility ID],0))</f>
        <v>87337</v>
      </c>
      <c r="H416">
        <f>INDEX(Operational[Energy Consumption (MWh)],MATCH(Emission8[[#This Row],[Facility ID]],Operational[Facility ID],0))</f>
        <v>3603.06</v>
      </c>
      <c r="I416">
        <f>INDEX(Operational[Waste (tons)],MATCH(Emission8[[#This Row],[Facility ID]],Operational[Facility ID],0))</f>
        <v>67.13</v>
      </c>
    </row>
    <row r="417" spans="1:9" x14ac:dyDescent="0.3">
      <c r="A417" t="s">
        <v>122</v>
      </c>
      <c r="B417" t="s">
        <v>19</v>
      </c>
      <c r="C417" t="s">
        <v>8</v>
      </c>
      <c r="D417" t="s">
        <v>9</v>
      </c>
      <c r="E417" t="s">
        <v>10</v>
      </c>
      <c r="F417">
        <v>4871.42</v>
      </c>
      <c r="G417">
        <f>INDEX(Operational[Production Volume (units)],MATCH(Emission8[[#This Row],[Facility ID]],Operational[Facility ID],0))</f>
        <v>95962</v>
      </c>
      <c r="H417">
        <f>INDEX(Operational[Energy Consumption (MWh)],MATCH(Emission8[[#This Row],[Facility ID]],Operational[Facility ID],0))</f>
        <v>524.72</v>
      </c>
      <c r="I417">
        <f>INDEX(Operational[Waste (tons)],MATCH(Emission8[[#This Row],[Facility ID]],Operational[Facility ID],0))</f>
        <v>49.55</v>
      </c>
    </row>
    <row r="418" spans="1:9" x14ac:dyDescent="0.3">
      <c r="A418" t="s">
        <v>49</v>
      </c>
      <c r="B418" t="s">
        <v>19</v>
      </c>
      <c r="C418" t="s">
        <v>13</v>
      </c>
      <c r="D418" t="s">
        <v>9</v>
      </c>
      <c r="E418" t="s">
        <v>10</v>
      </c>
      <c r="F418">
        <v>1245.54</v>
      </c>
      <c r="G418">
        <f>INDEX(Operational[Production Volume (units)],MATCH(Emission8[[#This Row],[Facility ID]],Operational[Facility ID],0))</f>
        <v>50306</v>
      </c>
      <c r="H418">
        <f>INDEX(Operational[Energy Consumption (MWh)],MATCH(Emission8[[#This Row],[Facility ID]],Operational[Facility ID],0))</f>
        <v>7031.37</v>
      </c>
      <c r="I418">
        <f>INDEX(Operational[Waste (tons)],MATCH(Emission8[[#This Row],[Facility ID]],Operational[Facility ID],0))</f>
        <v>13.27</v>
      </c>
    </row>
    <row r="419" spans="1:9" x14ac:dyDescent="0.3">
      <c r="A419" t="s">
        <v>123</v>
      </c>
      <c r="B419" t="s">
        <v>30</v>
      </c>
      <c r="C419" t="s">
        <v>34</v>
      </c>
      <c r="D419" t="s">
        <v>14</v>
      </c>
      <c r="E419" t="s">
        <v>15</v>
      </c>
      <c r="F419">
        <v>2891.84</v>
      </c>
      <c r="G419">
        <f>INDEX(Operational[Production Volume (units)],MATCH(Emission8[[#This Row],[Facility ID]],Operational[Facility ID],0))</f>
        <v>73977</v>
      </c>
      <c r="H419">
        <f>INDEX(Operational[Energy Consumption (MWh)],MATCH(Emission8[[#This Row],[Facility ID]],Operational[Facility ID],0))</f>
        <v>1646.75</v>
      </c>
      <c r="I419">
        <f>INDEX(Operational[Waste (tons)],MATCH(Emission8[[#This Row],[Facility ID]],Operational[Facility ID],0))</f>
        <v>43.77</v>
      </c>
    </row>
    <row r="420" spans="1:9" x14ac:dyDescent="0.3">
      <c r="A420" t="s">
        <v>54</v>
      </c>
      <c r="B420" t="s">
        <v>12</v>
      </c>
      <c r="C420" t="s">
        <v>8</v>
      </c>
      <c r="D420" t="s">
        <v>14</v>
      </c>
      <c r="E420" t="s">
        <v>10</v>
      </c>
      <c r="F420">
        <v>2482.64</v>
      </c>
      <c r="G420">
        <f>INDEX(Operational[Production Volume (units)],MATCH(Emission8[[#This Row],[Facility ID]],Operational[Facility ID],0))</f>
        <v>58111</v>
      </c>
      <c r="H420">
        <f>INDEX(Operational[Energy Consumption (MWh)],MATCH(Emission8[[#This Row],[Facility ID]],Operational[Facility ID],0))</f>
        <v>4610.8999999999996</v>
      </c>
      <c r="I420">
        <f>INDEX(Operational[Waste (tons)],MATCH(Emission8[[#This Row],[Facility ID]],Operational[Facility ID],0))</f>
        <v>21.53</v>
      </c>
    </row>
    <row r="421" spans="1:9" x14ac:dyDescent="0.3">
      <c r="A421" t="s">
        <v>162</v>
      </c>
      <c r="B421" t="s">
        <v>30</v>
      </c>
      <c r="C421" t="s">
        <v>23</v>
      </c>
      <c r="D421" t="s">
        <v>9</v>
      </c>
      <c r="E421" t="s">
        <v>10</v>
      </c>
      <c r="F421">
        <v>3463.89</v>
      </c>
      <c r="G421">
        <f>INDEX(Operational[Production Volume (units)],MATCH(Emission8[[#This Row],[Facility ID]],Operational[Facility ID],0))</f>
        <v>94347</v>
      </c>
      <c r="H421">
        <f>INDEX(Operational[Energy Consumption (MWh)],MATCH(Emission8[[#This Row],[Facility ID]],Operational[Facility ID],0))</f>
        <v>2272.58</v>
      </c>
      <c r="I421">
        <f>INDEX(Operational[Waste (tons)],MATCH(Emission8[[#This Row],[Facility ID]],Operational[Facility ID],0))</f>
        <v>34.75</v>
      </c>
    </row>
    <row r="422" spans="1:9" x14ac:dyDescent="0.3">
      <c r="A422" t="s">
        <v>193</v>
      </c>
      <c r="B422" t="s">
        <v>12</v>
      </c>
      <c r="C422" t="s">
        <v>8</v>
      </c>
      <c r="D422" t="s">
        <v>9</v>
      </c>
      <c r="E422" t="s">
        <v>24</v>
      </c>
      <c r="F422">
        <v>2901.34</v>
      </c>
      <c r="G422">
        <f>INDEX(Operational[Production Volume (units)],MATCH(Emission8[[#This Row],[Facility ID]],Operational[Facility ID],0))</f>
        <v>13333</v>
      </c>
      <c r="H422">
        <f>INDEX(Operational[Energy Consumption (MWh)],MATCH(Emission8[[#This Row],[Facility ID]],Operational[Facility ID],0))</f>
        <v>6102.15</v>
      </c>
      <c r="I422">
        <f>INDEX(Operational[Waste (tons)],MATCH(Emission8[[#This Row],[Facility ID]],Operational[Facility ID],0))</f>
        <v>17.670000000000002</v>
      </c>
    </row>
    <row r="423" spans="1:9" x14ac:dyDescent="0.3">
      <c r="A423" t="s">
        <v>194</v>
      </c>
      <c r="B423" t="s">
        <v>17</v>
      </c>
      <c r="C423" t="s">
        <v>34</v>
      </c>
      <c r="D423" t="s">
        <v>14</v>
      </c>
      <c r="E423" t="s">
        <v>15</v>
      </c>
      <c r="F423">
        <v>1323.76</v>
      </c>
      <c r="G423">
        <f>INDEX(Operational[Production Volume (units)],MATCH(Emission8[[#This Row],[Facility ID]],Operational[Facility ID],0))</f>
        <v>95165</v>
      </c>
      <c r="H423">
        <f>INDEX(Operational[Energy Consumption (MWh)],MATCH(Emission8[[#This Row],[Facility ID]],Operational[Facility ID],0))</f>
        <v>8562.76</v>
      </c>
      <c r="I423">
        <f>INDEX(Operational[Waste (tons)],MATCH(Emission8[[#This Row],[Facility ID]],Operational[Facility ID],0))</f>
        <v>37.54</v>
      </c>
    </row>
    <row r="424" spans="1:9" x14ac:dyDescent="0.3">
      <c r="A424" t="s">
        <v>190</v>
      </c>
      <c r="B424" t="s">
        <v>17</v>
      </c>
      <c r="C424" t="s">
        <v>8</v>
      </c>
      <c r="D424" t="s">
        <v>9</v>
      </c>
      <c r="E424" t="s">
        <v>24</v>
      </c>
      <c r="F424">
        <v>2332.12</v>
      </c>
      <c r="G424">
        <f>INDEX(Operational[Production Volume (units)],MATCH(Emission8[[#This Row],[Facility ID]],Operational[Facility ID],0))</f>
        <v>41953</v>
      </c>
      <c r="H424">
        <f>INDEX(Operational[Energy Consumption (MWh)],MATCH(Emission8[[#This Row],[Facility ID]],Operational[Facility ID],0))</f>
        <v>2379.14</v>
      </c>
      <c r="I424">
        <f>INDEX(Operational[Waste (tons)],MATCH(Emission8[[#This Row],[Facility ID]],Operational[Facility ID],0))</f>
        <v>65.67</v>
      </c>
    </row>
    <row r="425" spans="1:9" x14ac:dyDescent="0.3">
      <c r="A425" t="s">
        <v>141</v>
      </c>
      <c r="B425" t="s">
        <v>7</v>
      </c>
      <c r="C425" t="s">
        <v>8</v>
      </c>
      <c r="D425" t="s">
        <v>28</v>
      </c>
      <c r="E425" t="s">
        <v>24</v>
      </c>
      <c r="F425">
        <v>462.78</v>
      </c>
      <c r="G425">
        <f>INDEX(Operational[Production Volume (units)],MATCH(Emission8[[#This Row],[Facility ID]],Operational[Facility ID],0))</f>
        <v>45644</v>
      </c>
      <c r="H425">
        <f>INDEX(Operational[Energy Consumption (MWh)],MATCH(Emission8[[#This Row],[Facility ID]],Operational[Facility ID],0))</f>
        <v>7724.73</v>
      </c>
      <c r="I425">
        <f>INDEX(Operational[Waste (tons)],MATCH(Emission8[[#This Row],[Facility ID]],Operational[Facility ID],0))</f>
        <v>31</v>
      </c>
    </row>
    <row r="426" spans="1:9" x14ac:dyDescent="0.3">
      <c r="A426" t="s">
        <v>193</v>
      </c>
      <c r="B426" t="s">
        <v>12</v>
      </c>
      <c r="C426" t="s">
        <v>23</v>
      </c>
      <c r="D426" t="s">
        <v>14</v>
      </c>
      <c r="E426" t="s">
        <v>15</v>
      </c>
      <c r="F426">
        <v>1229.33</v>
      </c>
      <c r="G426">
        <f>INDEX(Operational[Production Volume (units)],MATCH(Emission8[[#This Row],[Facility ID]],Operational[Facility ID],0))</f>
        <v>13333</v>
      </c>
      <c r="H426">
        <f>INDEX(Operational[Energy Consumption (MWh)],MATCH(Emission8[[#This Row],[Facility ID]],Operational[Facility ID],0))</f>
        <v>6102.15</v>
      </c>
      <c r="I426">
        <f>INDEX(Operational[Waste (tons)],MATCH(Emission8[[#This Row],[Facility ID]],Operational[Facility ID],0))</f>
        <v>17.670000000000002</v>
      </c>
    </row>
    <row r="427" spans="1:9" x14ac:dyDescent="0.3">
      <c r="A427" t="s">
        <v>92</v>
      </c>
      <c r="B427" t="s">
        <v>30</v>
      </c>
      <c r="C427" t="s">
        <v>13</v>
      </c>
      <c r="D427" t="s">
        <v>14</v>
      </c>
      <c r="E427" t="s">
        <v>15</v>
      </c>
      <c r="F427">
        <v>3457.79</v>
      </c>
      <c r="G427">
        <f>INDEX(Operational[Production Volume (units)],MATCH(Emission8[[#This Row],[Facility ID]],Operational[Facility ID],0))</f>
        <v>18726</v>
      </c>
      <c r="H427">
        <f>INDEX(Operational[Energy Consumption (MWh)],MATCH(Emission8[[#This Row],[Facility ID]],Operational[Facility ID],0))</f>
        <v>5099.54</v>
      </c>
      <c r="I427">
        <f>INDEX(Operational[Waste (tons)],MATCH(Emission8[[#This Row],[Facility ID]],Operational[Facility ID],0))</f>
        <v>71.05</v>
      </c>
    </row>
    <row r="428" spans="1:9" x14ac:dyDescent="0.3">
      <c r="A428" t="s">
        <v>89</v>
      </c>
      <c r="B428" t="s">
        <v>17</v>
      </c>
      <c r="C428" t="s">
        <v>8</v>
      </c>
      <c r="D428" t="s">
        <v>14</v>
      </c>
      <c r="E428" t="s">
        <v>15</v>
      </c>
      <c r="F428">
        <v>3519.41</v>
      </c>
      <c r="G428">
        <f>INDEX(Operational[Production Volume (units)],MATCH(Emission8[[#This Row],[Facility ID]],Operational[Facility ID],0))</f>
        <v>36171</v>
      </c>
      <c r="H428">
        <f>INDEX(Operational[Energy Consumption (MWh)],MATCH(Emission8[[#This Row],[Facility ID]],Operational[Facility ID],0))</f>
        <v>6864.38</v>
      </c>
      <c r="I428">
        <f>INDEX(Operational[Waste (tons)],MATCH(Emission8[[#This Row],[Facility ID]],Operational[Facility ID],0))</f>
        <v>37.03</v>
      </c>
    </row>
    <row r="429" spans="1:9" x14ac:dyDescent="0.3">
      <c r="A429" t="s">
        <v>171</v>
      </c>
      <c r="B429" t="s">
        <v>17</v>
      </c>
      <c r="C429" t="s">
        <v>8</v>
      </c>
      <c r="D429" t="s">
        <v>28</v>
      </c>
      <c r="E429" t="s">
        <v>24</v>
      </c>
      <c r="F429">
        <v>2913.47</v>
      </c>
      <c r="G429">
        <f>INDEX(Operational[Production Volume (units)],MATCH(Emission8[[#This Row],[Facility ID]],Operational[Facility ID],0))</f>
        <v>24502</v>
      </c>
      <c r="H429">
        <f>INDEX(Operational[Energy Consumption (MWh)],MATCH(Emission8[[#This Row],[Facility ID]],Operational[Facility ID],0))</f>
        <v>7466.86</v>
      </c>
      <c r="I429">
        <f>INDEX(Operational[Waste (tons)],MATCH(Emission8[[#This Row],[Facility ID]],Operational[Facility ID],0))</f>
        <v>88.83</v>
      </c>
    </row>
    <row r="430" spans="1:9" x14ac:dyDescent="0.3">
      <c r="A430" t="s">
        <v>195</v>
      </c>
      <c r="B430" t="s">
        <v>7</v>
      </c>
      <c r="C430" t="s">
        <v>34</v>
      </c>
      <c r="D430" t="s">
        <v>28</v>
      </c>
      <c r="E430" t="s">
        <v>15</v>
      </c>
      <c r="F430">
        <v>1431.51</v>
      </c>
      <c r="G430">
        <f>INDEX(Operational[Production Volume (units)],MATCH(Emission8[[#This Row],[Facility ID]],Operational[Facility ID],0))</f>
        <v>68278</v>
      </c>
      <c r="H430">
        <f>INDEX(Operational[Energy Consumption (MWh)],MATCH(Emission8[[#This Row],[Facility ID]],Operational[Facility ID],0))</f>
        <v>3272.65</v>
      </c>
      <c r="I430">
        <f>INDEX(Operational[Waste (tons)],MATCH(Emission8[[#This Row],[Facility ID]],Operational[Facility ID],0))</f>
        <v>30.47</v>
      </c>
    </row>
    <row r="431" spans="1:9" x14ac:dyDescent="0.3">
      <c r="A431" t="s">
        <v>85</v>
      </c>
      <c r="B431" t="s">
        <v>30</v>
      </c>
      <c r="C431" t="s">
        <v>34</v>
      </c>
      <c r="D431" t="s">
        <v>28</v>
      </c>
      <c r="E431" t="s">
        <v>24</v>
      </c>
      <c r="F431">
        <v>2346.0500000000002</v>
      </c>
      <c r="G431">
        <f>INDEX(Operational[Production Volume (units)],MATCH(Emission8[[#This Row],[Facility ID]],Operational[Facility ID],0))</f>
        <v>45519</v>
      </c>
      <c r="H431">
        <f>INDEX(Operational[Energy Consumption (MWh)],MATCH(Emission8[[#This Row],[Facility ID]],Operational[Facility ID],0))</f>
        <v>7987.69</v>
      </c>
      <c r="I431">
        <f>INDEX(Operational[Waste (tons)],MATCH(Emission8[[#This Row],[Facility ID]],Operational[Facility ID],0))</f>
        <v>10.86</v>
      </c>
    </row>
    <row r="432" spans="1:9" x14ac:dyDescent="0.3">
      <c r="A432" t="s">
        <v>122</v>
      </c>
      <c r="B432" t="s">
        <v>19</v>
      </c>
      <c r="C432" t="s">
        <v>8</v>
      </c>
      <c r="D432" t="s">
        <v>28</v>
      </c>
      <c r="E432" t="s">
        <v>15</v>
      </c>
      <c r="F432">
        <v>4191.3599999999997</v>
      </c>
      <c r="G432">
        <f>INDEX(Operational[Production Volume (units)],MATCH(Emission8[[#This Row],[Facility ID]],Operational[Facility ID],0))</f>
        <v>95962</v>
      </c>
      <c r="H432">
        <f>INDEX(Operational[Energy Consumption (MWh)],MATCH(Emission8[[#This Row],[Facility ID]],Operational[Facility ID],0))</f>
        <v>524.72</v>
      </c>
      <c r="I432">
        <f>INDEX(Operational[Waste (tons)],MATCH(Emission8[[#This Row],[Facility ID]],Operational[Facility ID],0))</f>
        <v>49.55</v>
      </c>
    </row>
    <row r="433" spans="1:9" x14ac:dyDescent="0.3">
      <c r="A433" t="s">
        <v>87</v>
      </c>
      <c r="B433" t="s">
        <v>12</v>
      </c>
      <c r="C433" t="s">
        <v>34</v>
      </c>
      <c r="D433" t="s">
        <v>9</v>
      </c>
      <c r="E433" t="s">
        <v>15</v>
      </c>
      <c r="F433">
        <v>2422.4699999999998</v>
      </c>
      <c r="G433">
        <f>INDEX(Operational[Production Volume (units)],MATCH(Emission8[[#This Row],[Facility ID]],Operational[Facility ID],0))</f>
        <v>15333</v>
      </c>
      <c r="H433">
        <f>INDEX(Operational[Energy Consumption (MWh)],MATCH(Emission8[[#This Row],[Facility ID]],Operational[Facility ID],0))</f>
        <v>2570.54</v>
      </c>
      <c r="I433">
        <f>INDEX(Operational[Waste (tons)],MATCH(Emission8[[#This Row],[Facility ID]],Operational[Facility ID],0))</f>
        <v>41.07</v>
      </c>
    </row>
    <row r="434" spans="1:9" x14ac:dyDescent="0.3">
      <c r="A434" t="s">
        <v>76</v>
      </c>
      <c r="B434" t="s">
        <v>17</v>
      </c>
      <c r="C434" t="s">
        <v>13</v>
      </c>
      <c r="D434" t="s">
        <v>9</v>
      </c>
      <c r="E434" t="s">
        <v>10</v>
      </c>
      <c r="F434">
        <v>3331.66</v>
      </c>
      <c r="G434">
        <f>INDEX(Operational[Production Volume (units)],MATCH(Emission8[[#This Row],[Facility ID]],Operational[Facility ID],0))</f>
        <v>59617</v>
      </c>
      <c r="H434">
        <f>INDEX(Operational[Energy Consumption (MWh)],MATCH(Emission8[[#This Row],[Facility ID]],Operational[Facility ID],0))</f>
        <v>5000.95</v>
      </c>
      <c r="I434">
        <f>INDEX(Operational[Waste (tons)],MATCH(Emission8[[#This Row],[Facility ID]],Operational[Facility ID],0))</f>
        <v>80.36</v>
      </c>
    </row>
    <row r="435" spans="1:9" x14ac:dyDescent="0.3">
      <c r="A435" t="s">
        <v>164</v>
      </c>
      <c r="B435" t="s">
        <v>19</v>
      </c>
      <c r="C435" t="s">
        <v>34</v>
      </c>
      <c r="D435" t="s">
        <v>14</v>
      </c>
      <c r="E435" t="s">
        <v>15</v>
      </c>
      <c r="F435">
        <v>1833.49</v>
      </c>
      <c r="G435">
        <f>INDEX(Operational[Production Volume (units)],MATCH(Emission8[[#This Row],[Facility ID]],Operational[Facility ID],0))</f>
        <v>69636</v>
      </c>
      <c r="H435">
        <f>INDEX(Operational[Energy Consumption (MWh)],MATCH(Emission8[[#This Row],[Facility ID]],Operational[Facility ID],0))</f>
        <v>4246.55</v>
      </c>
      <c r="I435">
        <f>INDEX(Operational[Waste (tons)],MATCH(Emission8[[#This Row],[Facility ID]],Operational[Facility ID],0))</f>
        <v>69.290000000000006</v>
      </c>
    </row>
    <row r="436" spans="1:9" x14ac:dyDescent="0.3">
      <c r="A436" t="s">
        <v>137</v>
      </c>
      <c r="B436" t="s">
        <v>17</v>
      </c>
      <c r="C436" t="s">
        <v>23</v>
      </c>
      <c r="D436" t="s">
        <v>14</v>
      </c>
      <c r="E436" t="s">
        <v>10</v>
      </c>
      <c r="F436">
        <v>4018.22</v>
      </c>
      <c r="G436">
        <f>INDEX(Operational[Production Volume (units)],MATCH(Emission8[[#This Row],[Facility ID]],Operational[Facility ID],0))</f>
        <v>19265</v>
      </c>
      <c r="H436">
        <f>INDEX(Operational[Energy Consumption (MWh)],MATCH(Emission8[[#This Row],[Facility ID]],Operational[Facility ID],0))</f>
        <v>776.6</v>
      </c>
      <c r="I436">
        <f>INDEX(Operational[Waste (tons)],MATCH(Emission8[[#This Row],[Facility ID]],Operational[Facility ID],0))</f>
        <v>39.75</v>
      </c>
    </row>
    <row r="437" spans="1:9" x14ac:dyDescent="0.3">
      <c r="A437" t="s">
        <v>140</v>
      </c>
      <c r="B437" t="s">
        <v>17</v>
      </c>
      <c r="C437" t="s">
        <v>23</v>
      </c>
      <c r="D437" t="s">
        <v>9</v>
      </c>
      <c r="E437" t="s">
        <v>10</v>
      </c>
      <c r="F437">
        <v>2681.92</v>
      </c>
      <c r="G437">
        <f>INDEX(Operational[Production Volume (units)],MATCH(Emission8[[#This Row],[Facility ID]],Operational[Facility ID],0))</f>
        <v>88308</v>
      </c>
      <c r="H437">
        <f>INDEX(Operational[Energy Consumption (MWh)],MATCH(Emission8[[#This Row],[Facility ID]],Operational[Facility ID],0))</f>
        <v>7802.07</v>
      </c>
      <c r="I437">
        <f>INDEX(Operational[Waste (tons)],MATCH(Emission8[[#This Row],[Facility ID]],Operational[Facility ID],0))</f>
        <v>36.130000000000003</v>
      </c>
    </row>
    <row r="438" spans="1:9" x14ac:dyDescent="0.3">
      <c r="A438" t="s">
        <v>89</v>
      </c>
      <c r="B438" t="s">
        <v>17</v>
      </c>
      <c r="C438" t="s">
        <v>13</v>
      </c>
      <c r="D438" t="s">
        <v>9</v>
      </c>
      <c r="E438" t="s">
        <v>24</v>
      </c>
      <c r="F438">
        <v>1889.49</v>
      </c>
      <c r="G438">
        <f>INDEX(Operational[Production Volume (units)],MATCH(Emission8[[#This Row],[Facility ID]],Operational[Facility ID],0))</f>
        <v>36171</v>
      </c>
      <c r="H438">
        <f>INDEX(Operational[Energy Consumption (MWh)],MATCH(Emission8[[#This Row],[Facility ID]],Operational[Facility ID],0))</f>
        <v>6864.38</v>
      </c>
      <c r="I438">
        <f>INDEX(Operational[Waste (tons)],MATCH(Emission8[[#This Row],[Facility ID]],Operational[Facility ID],0))</f>
        <v>37.03</v>
      </c>
    </row>
    <row r="439" spans="1:9" x14ac:dyDescent="0.3">
      <c r="A439" t="s">
        <v>196</v>
      </c>
      <c r="B439" t="s">
        <v>30</v>
      </c>
      <c r="C439" t="s">
        <v>34</v>
      </c>
      <c r="D439" t="s">
        <v>14</v>
      </c>
      <c r="E439" t="s">
        <v>10</v>
      </c>
      <c r="F439">
        <v>1407.92</v>
      </c>
      <c r="G439">
        <f>INDEX(Operational[Production Volume (units)],MATCH(Emission8[[#This Row],[Facility ID]],Operational[Facility ID],0))</f>
        <v>12262</v>
      </c>
      <c r="H439">
        <f>INDEX(Operational[Energy Consumption (MWh)],MATCH(Emission8[[#This Row],[Facility ID]],Operational[Facility ID],0))</f>
        <v>7106.18</v>
      </c>
      <c r="I439">
        <f>INDEX(Operational[Waste (tons)],MATCH(Emission8[[#This Row],[Facility ID]],Operational[Facility ID],0))</f>
        <v>45.69</v>
      </c>
    </row>
    <row r="440" spans="1:9" x14ac:dyDescent="0.3">
      <c r="A440" t="s">
        <v>99</v>
      </c>
      <c r="B440" t="s">
        <v>19</v>
      </c>
      <c r="C440" t="s">
        <v>34</v>
      </c>
      <c r="D440" t="s">
        <v>14</v>
      </c>
      <c r="E440" t="s">
        <v>15</v>
      </c>
      <c r="F440">
        <v>4935.72</v>
      </c>
      <c r="G440">
        <f>INDEX(Operational[Production Volume (units)],MATCH(Emission8[[#This Row],[Facility ID]],Operational[Facility ID],0))</f>
        <v>77400</v>
      </c>
      <c r="H440">
        <f>INDEX(Operational[Energy Consumption (MWh)],MATCH(Emission8[[#This Row],[Facility ID]],Operational[Facility ID],0))</f>
        <v>7504.8</v>
      </c>
      <c r="I440">
        <f>INDEX(Operational[Waste (tons)],MATCH(Emission8[[#This Row],[Facility ID]],Operational[Facility ID],0))</f>
        <v>68.819999999999993</v>
      </c>
    </row>
    <row r="441" spans="1:9" x14ac:dyDescent="0.3">
      <c r="A441" t="s">
        <v>59</v>
      </c>
      <c r="B441" t="s">
        <v>17</v>
      </c>
      <c r="C441" t="s">
        <v>8</v>
      </c>
      <c r="D441" t="s">
        <v>9</v>
      </c>
      <c r="E441" t="s">
        <v>15</v>
      </c>
      <c r="F441">
        <v>2103.19</v>
      </c>
      <c r="G441">
        <f>INDEX(Operational[Production Volume (units)],MATCH(Emission8[[#This Row],[Facility ID]],Operational[Facility ID],0))</f>
        <v>15553</v>
      </c>
      <c r="H441">
        <f>INDEX(Operational[Energy Consumption (MWh)],MATCH(Emission8[[#This Row],[Facility ID]],Operational[Facility ID],0))</f>
        <v>3909.51</v>
      </c>
      <c r="I441">
        <f>INDEX(Operational[Waste (tons)],MATCH(Emission8[[#This Row],[Facility ID]],Operational[Facility ID],0))</f>
        <v>46.44</v>
      </c>
    </row>
    <row r="442" spans="1:9" x14ac:dyDescent="0.3">
      <c r="A442" t="s">
        <v>148</v>
      </c>
      <c r="B442" t="s">
        <v>17</v>
      </c>
      <c r="C442" t="s">
        <v>23</v>
      </c>
      <c r="D442" t="s">
        <v>28</v>
      </c>
      <c r="E442" t="s">
        <v>10</v>
      </c>
      <c r="F442">
        <v>2046.76</v>
      </c>
      <c r="G442">
        <f>INDEX(Operational[Production Volume (units)],MATCH(Emission8[[#This Row],[Facility ID]],Operational[Facility ID],0))</f>
        <v>44994</v>
      </c>
      <c r="H442">
        <f>INDEX(Operational[Energy Consumption (MWh)],MATCH(Emission8[[#This Row],[Facility ID]],Operational[Facility ID],0))</f>
        <v>7305.59</v>
      </c>
      <c r="I442">
        <f>INDEX(Operational[Waste (tons)],MATCH(Emission8[[#This Row],[Facility ID]],Operational[Facility ID],0))</f>
        <v>91.53</v>
      </c>
    </row>
    <row r="443" spans="1:9" x14ac:dyDescent="0.3">
      <c r="A443" t="s">
        <v>85</v>
      </c>
      <c r="B443" t="s">
        <v>30</v>
      </c>
      <c r="C443" t="s">
        <v>8</v>
      </c>
      <c r="D443" t="s">
        <v>14</v>
      </c>
      <c r="E443" t="s">
        <v>24</v>
      </c>
      <c r="F443">
        <v>3397.43</v>
      </c>
      <c r="G443">
        <f>INDEX(Operational[Production Volume (units)],MATCH(Emission8[[#This Row],[Facility ID]],Operational[Facility ID],0))</f>
        <v>45519</v>
      </c>
      <c r="H443">
        <f>INDEX(Operational[Energy Consumption (MWh)],MATCH(Emission8[[#This Row],[Facility ID]],Operational[Facility ID],0))</f>
        <v>7987.69</v>
      </c>
      <c r="I443">
        <f>INDEX(Operational[Waste (tons)],MATCH(Emission8[[#This Row],[Facility ID]],Operational[Facility ID],0))</f>
        <v>10.86</v>
      </c>
    </row>
    <row r="444" spans="1:9" x14ac:dyDescent="0.3">
      <c r="A444" t="s">
        <v>195</v>
      </c>
      <c r="B444" t="s">
        <v>7</v>
      </c>
      <c r="C444" t="s">
        <v>13</v>
      </c>
      <c r="D444" t="s">
        <v>9</v>
      </c>
      <c r="E444" t="s">
        <v>10</v>
      </c>
      <c r="F444">
        <v>3221.57</v>
      </c>
      <c r="G444">
        <f>INDEX(Operational[Production Volume (units)],MATCH(Emission8[[#This Row],[Facility ID]],Operational[Facility ID],0))</f>
        <v>68278</v>
      </c>
      <c r="H444">
        <f>INDEX(Operational[Energy Consumption (MWh)],MATCH(Emission8[[#This Row],[Facility ID]],Operational[Facility ID],0))</f>
        <v>3272.65</v>
      </c>
      <c r="I444">
        <f>INDEX(Operational[Waste (tons)],MATCH(Emission8[[#This Row],[Facility ID]],Operational[Facility ID],0))</f>
        <v>30.47</v>
      </c>
    </row>
    <row r="445" spans="1:9" x14ac:dyDescent="0.3">
      <c r="A445" t="s">
        <v>121</v>
      </c>
      <c r="B445" t="s">
        <v>30</v>
      </c>
      <c r="C445" t="s">
        <v>13</v>
      </c>
      <c r="D445" t="s">
        <v>9</v>
      </c>
      <c r="E445" t="s">
        <v>15</v>
      </c>
      <c r="F445">
        <v>4882.47</v>
      </c>
      <c r="G445">
        <f>INDEX(Operational[Production Volume (units)],MATCH(Emission8[[#This Row],[Facility ID]],Operational[Facility ID],0))</f>
        <v>58895</v>
      </c>
      <c r="H445">
        <f>INDEX(Operational[Energy Consumption (MWh)],MATCH(Emission8[[#This Row],[Facility ID]],Operational[Facility ID],0))</f>
        <v>3039.17</v>
      </c>
      <c r="I445">
        <f>INDEX(Operational[Waste (tons)],MATCH(Emission8[[#This Row],[Facility ID]],Operational[Facility ID],0))</f>
        <v>59.82</v>
      </c>
    </row>
    <row r="446" spans="1:9" x14ac:dyDescent="0.3">
      <c r="A446" t="s">
        <v>197</v>
      </c>
      <c r="B446" t="s">
        <v>30</v>
      </c>
      <c r="C446" t="s">
        <v>13</v>
      </c>
      <c r="D446" t="s">
        <v>28</v>
      </c>
      <c r="E446" t="s">
        <v>24</v>
      </c>
      <c r="F446">
        <v>2857.09</v>
      </c>
      <c r="G446">
        <f>INDEX(Operational[Production Volume (units)],MATCH(Emission8[[#This Row],[Facility ID]],Operational[Facility ID],0))</f>
        <v>56752</v>
      </c>
      <c r="H446">
        <f>INDEX(Operational[Energy Consumption (MWh)],MATCH(Emission8[[#This Row],[Facility ID]],Operational[Facility ID],0))</f>
        <v>4177.68</v>
      </c>
      <c r="I446">
        <f>INDEX(Operational[Waste (tons)],MATCH(Emission8[[#This Row],[Facility ID]],Operational[Facility ID],0))</f>
        <v>10.96</v>
      </c>
    </row>
    <row r="447" spans="1:9" x14ac:dyDescent="0.3">
      <c r="A447" t="s">
        <v>143</v>
      </c>
      <c r="B447" t="s">
        <v>17</v>
      </c>
      <c r="C447" t="s">
        <v>8</v>
      </c>
      <c r="D447" t="s">
        <v>14</v>
      </c>
      <c r="E447" t="s">
        <v>24</v>
      </c>
      <c r="F447">
        <v>1140.1600000000001</v>
      </c>
      <c r="G447">
        <f>INDEX(Operational[Production Volume (units)],MATCH(Emission8[[#This Row],[Facility ID]],Operational[Facility ID],0))</f>
        <v>94704</v>
      </c>
      <c r="H447">
        <f>INDEX(Operational[Energy Consumption (MWh)],MATCH(Emission8[[#This Row],[Facility ID]],Operational[Facility ID],0))</f>
        <v>6632.95</v>
      </c>
      <c r="I447">
        <f>INDEX(Operational[Waste (tons)],MATCH(Emission8[[#This Row],[Facility ID]],Operational[Facility ID],0))</f>
        <v>14.76</v>
      </c>
    </row>
    <row r="448" spans="1:9" x14ac:dyDescent="0.3">
      <c r="A448" t="s">
        <v>52</v>
      </c>
      <c r="B448" t="s">
        <v>19</v>
      </c>
      <c r="C448" t="s">
        <v>34</v>
      </c>
      <c r="D448" t="s">
        <v>9</v>
      </c>
      <c r="E448" t="s">
        <v>24</v>
      </c>
      <c r="F448">
        <v>2822.94</v>
      </c>
      <c r="G448">
        <f>INDEX(Operational[Production Volume (units)],MATCH(Emission8[[#This Row],[Facility ID]],Operational[Facility ID],0))</f>
        <v>94949</v>
      </c>
      <c r="H448">
        <f>INDEX(Operational[Energy Consumption (MWh)],MATCH(Emission8[[#This Row],[Facility ID]],Operational[Facility ID],0))</f>
        <v>9714.76</v>
      </c>
      <c r="I448">
        <f>INDEX(Operational[Waste (tons)],MATCH(Emission8[[#This Row],[Facility ID]],Operational[Facility ID],0))</f>
        <v>64.900000000000006</v>
      </c>
    </row>
    <row r="449" spans="1:9" x14ac:dyDescent="0.3">
      <c r="A449" t="s">
        <v>129</v>
      </c>
      <c r="B449" t="s">
        <v>17</v>
      </c>
      <c r="C449" t="s">
        <v>23</v>
      </c>
      <c r="D449" t="s">
        <v>28</v>
      </c>
      <c r="E449" t="s">
        <v>15</v>
      </c>
      <c r="F449">
        <v>727.78</v>
      </c>
      <c r="G449">
        <f>INDEX(Operational[Production Volume (units)],MATCH(Emission8[[#This Row],[Facility ID]],Operational[Facility ID],0))</f>
        <v>95292</v>
      </c>
      <c r="H449">
        <f>INDEX(Operational[Energy Consumption (MWh)],MATCH(Emission8[[#This Row],[Facility ID]],Operational[Facility ID],0))</f>
        <v>697.47</v>
      </c>
      <c r="I449">
        <f>INDEX(Operational[Waste (tons)],MATCH(Emission8[[#This Row],[Facility ID]],Operational[Facility ID],0))</f>
        <v>88.35</v>
      </c>
    </row>
    <row r="450" spans="1:9" x14ac:dyDescent="0.3">
      <c r="A450" t="s">
        <v>183</v>
      </c>
      <c r="B450" t="s">
        <v>7</v>
      </c>
      <c r="C450" t="s">
        <v>8</v>
      </c>
      <c r="D450" t="s">
        <v>9</v>
      </c>
      <c r="E450" t="s">
        <v>10</v>
      </c>
      <c r="F450">
        <v>367.9</v>
      </c>
      <c r="G450">
        <f>INDEX(Operational[Production Volume (units)],MATCH(Emission8[[#This Row],[Facility ID]],Operational[Facility ID],0))</f>
        <v>14009</v>
      </c>
      <c r="H450">
        <f>INDEX(Operational[Energy Consumption (MWh)],MATCH(Emission8[[#This Row],[Facility ID]],Operational[Facility ID],0))</f>
        <v>7528.98</v>
      </c>
      <c r="I450">
        <f>INDEX(Operational[Waste (tons)],MATCH(Emission8[[#This Row],[Facility ID]],Operational[Facility ID],0))</f>
        <v>77.62</v>
      </c>
    </row>
    <row r="451" spans="1:9" x14ac:dyDescent="0.3">
      <c r="A451" t="s">
        <v>198</v>
      </c>
      <c r="B451" t="s">
        <v>12</v>
      </c>
      <c r="C451" t="s">
        <v>34</v>
      </c>
      <c r="D451" t="s">
        <v>14</v>
      </c>
      <c r="E451" t="s">
        <v>10</v>
      </c>
      <c r="F451">
        <v>2303.56</v>
      </c>
      <c r="G451">
        <f>INDEX(Operational[Production Volume (units)],MATCH(Emission8[[#This Row],[Facility ID]],Operational[Facility ID],0))</f>
        <v>58113</v>
      </c>
      <c r="H451">
        <f>INDEX(Operational[Energy Consumption (MWh)],MATCH(Emission8[[#This Row],[Facility ID]],Operational[Facility ID],0))</f>
        <v>6382.12</v>
      </c>
      <c r="I451">
        <f>INDEX(Operational[Waste (tons)],MATCH(Emission8[[#This Row],[Facility ID]],Operational[Facility ID],0))</f>
        <v>56.66</v>
      </c>
    </row>
    <row r="452" spans="1:9" x14ac:dyDescent="0.3">
      <c r="A452" t="s">
        <v>147</v>
      </c>
      <c r="B452" t="s">
        <v>17</v>
      </c>
      <c r="C452" t="s">
        <v>34</v>
      </c>
      <c r="D452" t="s">
        <v>14</v>
      </c>
      <c r="E452" t="s">
        <v>15</v>
      </c>
      <c r="F452">
        <v>1650.12</v>
      </c>
      <c r="G452">
        <f>INDEX(Operational[Production Volume (units)],MATCH(Emission8[[#This Row],[Facility ID]],Operational[Facility ID],0))</f>
        <v>24095</v>
      </c>
      <c r="H452">
        <f>INDEX(Operational[Energy Consumption (MWh)],MATCH(Emission8[[#This Row],[Facility ID]],Operational[Facility ID],0))</f>
        <v>3167.52</v>
      </c>
      <c r="I452">
        <f>INDEX(Operational[Waste (tons)],MATCH(Emission8[[#This Row],[Facility ID]],Operational[Facility ID],0))</f>
        <v>31.02</v>
      </c>
    </row>
    <row r="453" spans="1:9" x14ac:dyDescent="0.3">
      <c r="A453" t="s">
        <v>134</v>
      </c>
      <c r="B453" t="s">
        <v>7</v>
      </c>
      <c r="C453" t="s">
        <v>8</v>
      </c>
      <c r="D453" t="s">
        <v>9</v>
      </c>
      <c r="E453" t="s">
        <v>15</v>
      </c>
      <c r="F453">
        <v>4564.3999999999996</v>
      </c>
      <c r="G453">
        <f>INDEX(Operational[Production Volume (units)],MATCH(Emission8[[#This Row],[Facility ID]],Operational[Facility ID],0))</f>
        <v>39568</v>
      </c>
      <c r="H453">
        <f>INDEX(Operational[Energy Consumption (MWh)],MATCH(Emission8[[#This Row],[Facility ID]],Operational[Facility ID],0))</f>
        <v>3580.54</v>
      </c>
      <c r="I453">
        <f>INDEX(Operational[Waste (tons)],MATCH(Emission8[[#This Row],[Facility ID]],Operational[Facility ID],0))</f>
        <v>78.08</v>
      </c>
    </row>
    <row r="454" spans="1:9" x14ac:dyDescent="0.3">
      <c r="A454" t="s">
        <v>124</v>
      </c>
      <c r="B454" t="s">
        <v>12</v>
      </c>
      <c r="C454" t="s">
        <v>8</v>
      </c>
      <c r="D454" t="s">
        <v>14</v>
      </c>
      <c r="E454" t="s">
        <v>24</v>
      </c>
      <c r="F454">
        <v>3466.51</v>
      </c>
      <c r="G454">
        <f>INDEX(Operational[Production Volume (units)],MATCH(Emission8[[#This Row],[Facility ID]],Operational[Facility ID],0))</f>
        <v>47491</v>
      </c>
      <c r="H454">
        <f>INDEX(Operational[Energy Consumption (MWh)],MATCH(Emission8[[#This Row],[Facility ID]],Operational[Facility ID],0))</f>
        <v>5781.05</v>
      </c>
      <c r="I454">
        <f>INDEX(Operational[Waste (tons)],MATCH(Emission8[[#This Row],[Facility ID]],Operational[Facility ID],0))</f>
        <v>92.18</v>
      </c>
    </row>
    <row r="455" spans="1:9" x14ac:dyDescent="0.3">
      <c r="A455" t="s">
        <v>172</v>
      </c>
      <c r="B455" t="s">
        <v>7</v>
      </c>
      <c r="C455" t="s">
        <v>13</v>
      </c>
      <c r="D455" t="s">
        <v>14</v>
      </c>
      <c r="E455" t="s">
        <v>15</v>
      </c>
      <c r="F455">
        <v>4237.8100000000004</v>
      </c>
      <c r="G455">
        <f>INDEX(Operational[Production Volume (units)],MATCH(Emission8[[#This Row],[Facility ID]],Operational[Facility ID],0))</f>
        <v>68820</v>
      </c>
      <c r="H455">
        <f>INDEX(Operational[Energy Consumption (MWh)],MATCH(Emission8[[#This Row],[Facility ID]],Operational[Facility ID],0))</f>
        <v>9612.25</v>
      </c>
      <c r="I455">
        <f>INDEX(Operational[Waste (tons)],MATCH(Emission8[[#This Row],[Facility ID]],Operational[Facility ID],0))</f>
        <v>83.51</v>
      </c>
    </row>
    <row r="456" spans="1:9" x14ac:dyDescent="0.3">
      <c r="A456" t="s">
        <v>36</v>
      </c>
      <c r="B456" t="s">
        <v>12</v>
      </c>
      <c r="C456" t="s">
        <v>23</v>
      </c>
      <c r="D456" t="s">
        <v>28</v>
      </c>
      <c r="E456" t="s">
        <v>24</v>
      </c>
      <c r="F456">
        <v>323.04000000000002</v>
      </c>
      <c r="G456">
        <f>INDEX(Operational[Production Volume (units)],MATCH(Emission8[[#This Row],[Facility ID]],Operational[Facility ID],0))</f>
        <v>40226</v>
      </c>
      <c r="H456">
        <f>INDEX(Operational[Energy Consumption (MWh)],MATCH(Emission8[[#This Row],[Facility ID]],Operational[Facility ID],0))</f>
        <v>7868.86</v>
      </c>
      <c r="I456">
        <f>INDEX(Operational[Waste (tons)],MATCH(Emission8[[#This Row],[Facility ID]],Operational[Facility ID],0))</f>
        <v>80.53</v>
      </c>
    </row>
    <row r="457" spans="1:9" x14ac:dyDescent="0.3">
      <c r="A457" t="s">
        <v>134</v>
      </c>
      <c r="B457" t="s">
        <v>7</v>
      </c>
      <c r="C457" t="s">
        <v>23</v>
      </c>
      <c r="D457" t="s">
        <v>28</v>
      </c>
      <c r="E457" t="s">
        <v>24</v>
      </c>
      <c r="F457">
        <v>3867.63</v>
      </c>
      <c r="G457">
        <f>INDEX(Operational[Production Volume (units)],MATCH(Emission8[[#This Row],[Facility ID]],Operational[Facility ID],0))</f>
        <v>39568</v>
      </c>
      <c r="H457">
        <f>INDEX(Operational[Energy Consumption (MWh)],MATCH(Emission8[[#This Row],[Facility ID]],Operational[Facility ID],0))</f>
        <v>3580.54</v>
      </c>
      <c r="I457">
        <f>INDEX(Operational[Waste (tons)],MATCH(Emission8[[#This Row],[Facility ID]],Operational[Facility ID],0))</f>
        <v>78.08</v>
      </c>
    </row>
    <row r="458" spans="1:9" x14ac:dyDescent="0.3">
      <c r="A458" t="s">
        <v>172</v>
      </c>
      <c r="B458" t="s">
        <v>7</v>
      </c>
      <c r="C458" t="s">
        <v>23</v>
      </c>
      <c r="D458" t="s">
        <v>9</v>
      </c>
      <c r="E458" t="s">
        <v>15</v>
      </c>
      <c r="F458">
        <v>748.11</v>
      </c>
      <c r="G458">
        <f>INDEX(Operational[Production Volume (units)],MATCH(Emission8[[#This Row],[Facility ID]],Operational[Facility ID],0))</f>
        <v>68820</v>
      </c>
      <c r="H458">
        <f>INDEX(Operational[Energy Consumption (MWh)],MATCH(Emission8[[#This Row],[Facility ID]],Operational[Facility ID],0))</f>
        <v>9612.25</v>
      </c>
      <c r="I458">
        <f>INDEX(Operational[Waste (tons)],MATCH(Emission8[[#This Row],[Facility ID]],Operational[Facility ID],0))</f>
        <v>83.51</v>
      </c>
    </row>
    <row r="459" spans="1:9" x14ac:dyDescent="0.3">
      <c r="A459" t="s">
        <v>37</v>
      </c>
      <c r="B459" t="s">
        <v>17</v>
      </c>
      <c r="C459" t="s">
        <v>23</v>
      </c>
      <c r="D459" t="s">
        <v>9</v>
      </c>
      <c r="E459" t="s">
        <v>15</v>
      </c>
      <c r="F459">
        <v>654.86</v>
      </c>
      <c r="G459">
        <f>INDEX(Operational[Production Volume (units)],MATCH(Emission8[[#This Row],[Facility ID]],Operational[Facility ID],0))</f>
        <v>71747</v>
      </c>
      <c r="H459">
        <f>INDEX(Operational[Energy Consumption (MWh)],MATCH(Emission8[[#This Row],[Facility ID]],Operational[Facility ID],0))</f>
        <v>9838.66</v>
      </c>
      <c r="I459">
        <f>INDEX(Operational[Waste (tons)],MATCH(Emission8[[#This Row],[Facility ID]],Operational[Facility ID],0))</f>
        <v>7.25</v>
      </c>
    </row>
    <row r="460" spans="1:9" x14ac:dyDescent="0.3">
      <c r="A460" t="s">
        <v>50</v>
      </c>
      <c r="B460" t="s">
        <v>19</v>
      </c>
      <c r="C460" t="s">
        <v>8</v>
      </c>
      <c r="D460" t="s">
        <v>14</v>
      </c>
      <c r="E460" t="s">
        <v>24</v>
      </c>
      <c r="F460">
        <v>2241.89</v>
      </c>
      <c r="G460">
        <f>INDEX(Operational[Production Volume (units)],MATCH(Emission8[[#This Row],[Facility ID]],Operational[Facility ID],0))</f>
        <v>40577</v>
      </c>
      <c r="H460">
        <f>INDEX(Operational[Energy Consumption (MWh)],MATCH(Emission8[[#This Row],[Facility ID]],Operational[Facility ID],0))</f>
        <v>4280.82</v>
      </c>
      <c r="I460">
        <f>INDEX(Operational[Waste (tons)],MATCH(Emission8[[#This Row],[Facility ID]],Operational[Facility ID],0))</f>
        <v>79.88</v>
      </c>
    </row>
    <row r="461" spans="1:9" x14ac:dyDescent="0.3">
      <c r="A461" t="s">
        <v>48</v>
      </c>
      <c r="B461" t="s">
        <v>19</v>
      </c>
      <c r="C461" t="s">
        <v>13</v>
      </c>
      <c r="D461" t="s">
        <v>28</v>
      </c>
      <c r="E461" t="s">
        <v>10</v>
      </c>
      <c r="F461">
        <v>3489.31</v>
      </c>
      <c r="G461">
        <f>INDEX(Operational[Production Volume (units)],MATCH(Emission8[[#This Row],[Facility ID]],Operational[Facility ID],0))</f>
        <v>11952</v>
      </c>
      <c r="H461">
        <f>INDEX(Operational[Energy Consumption (MWh)],MATCH(Emission8[[#This Row],[Facility ID]],Operational[Facility ID],0))</f>
        <v>4637.74</v>
      </c>
      <c r="I461">
        <f>INDEX(Operational[Waste (tons)],MATCH(Emission8[[#This Row],[Facility ID]],Operational[Facility ID],0))</f>
        <v>63.78</v>
      </c>
    </row>
    <row r="462" spans="1:9" x14ac:dyDescent="0.3">
      <c r="A462" t="s">
        <v>123</v>
      </c>
      <c r="B462" t="s">
        <v>30</v>
      </c>
      <c r="C462" t="s">
        <v>23</v>
      </c>
      <c r="D462" t="s">
        <v>14</v>
      </c>
      <c r="E462" t="s">
        <v>15</v>
      </c>
      <c r="F462">
        <v>2200.2199999999998</v>
      </c>
      <c r="G462">
        <f>INDEX(Operational[Production Volume (units)],MATCH(Emission8[[#This Row],[Facility ID]],Operational[Facility ID],0))</f>
        <v>73977</v>
      </c>
      <c r="H462">
        <f>INDEX(Operational[Energy Consumption (MWh)],MATCH(Emission8[[#This Row],[Facility ID]],Operational[Facility ID],0))</f>
        <v>1646.75</v>
      </c>
      <c r="I462">
        <f>INDEX(Operational[Waste (tons)],MATCH(Emission8[[#This Row],[Facility ID]],Operational[Facility ID],0))</f>
        <v>43.77</v>
      </c>
    </row>
    <row r="463" spans="1:9" x14ac:dyDescent="0.3">
      <c r="A463" t="s">
        <v>198</v>
      </c>
      <c r="B463" t="s">
        <v>12</v>
      </c>
      <c r="C463" t="s">
        <v>23</v>
      </c>
      <c r="D463" t="s">
        <v>14</v>
      </c>
      <c r="E463" t="s">
        <v>15</v>
      </c>
      <c r="F463">
        <v>3247.72</v>
      </c>
      <c r="G463">
        <f>INDEX(Operational[Production Volume (units)],MATCH(Emission8[[#This Row],[Facility ID]],Operational[Facility ID],0))</f>
        <v>58113</v>
      </c>
      <c r="H463">
        <f>INDEX(Operational[Energy Consumption (MWh)],MATCH(Emission8[[#This Row],[Facility ID]],Operational[Facility ID],0))</f>
        <v>6382.12</v>
      </c>
      <c r="I463">
        <f>INDEX(Operational[Waste (tons)],MATCH(Emission8[[#This Row],[Facility ID]],Operational[Facility ID],0))</f>
        <v>56.66</v>
      </c>
    </row>
    <row r="464" spans="1:9" x14ac:dyDescent="0.3">
      <c r="A464" t="s">
        <v>69</v>
      </c>
      <c r="B464" t="s">
        <v>7</v>
      </c>
      <c r="C464" t="s">
        <v>13</v>
      </c>
      <c r="D464" t="s">
        <v>28</v>
      </c>
      <c r="E464" t="s">
        <v>24</v>
      </c>
      <c r="F464">
        <v>3855.39</v>
      </c>
      <c r="G464">
        <f>INDEX(Operational[Production Volume (units)],MATCH(Emission8[[#This Row],[Facility ID]],Operational[Facility ID],0))</f>
        <v>34725</v>
      </c>
      <c r="H464">
        <f>INDEX(Operational[Energy Consumption (MWh)],MATCH(Emission8[[#This Row],[Facility ID]],Operational[Facility ID],0))</f>
        <v>3269.89</v>
      </c>
      <c r="I464">
        <f>INDEX(Operational[Waste (tons)],MATCH(Emission8[[#This Row],[Facility ID]],Operational[Facility ID],0))</f>
        <v>78.86</v>
      </c>
    </row>
    <row r="465" spans="1:9" x14ac:dyDescent="0.3">
      <c r="A465" t="s">
        <v>35</v>
      </c>
      <c r="B465" t="s">
        <v>19</v>
      </c>
      <c r="C465" t="s">
        <v>8</v>
      </c>
      <c r="D465" t="s">
        <v>9</v>
      </c>
      <c r="E465" t="s">
        <v>24</v>
      </c>
      <c r="F465">
        <v>3111.26</v>
      </c>
      <c r="G465">
        <f>INDEX(Operational[Production Volume (units)],MATCH(Emission8[[#This Row],[Facility ID]],Operational[Facility ID],0))</f>
        <v>42382</v>
      </c>
      <c r="H465">
        <f>INDEX(Operational[Energy Consumption (MWh)],MATCH(Emission8[[#This Row],[Facility ID]],Operational[Facility ID],0))</f>
        <v>5116.6899999999996</v>
      </c>
      <c r="I465">
        <f>INDEX(Operational[Waste (tons)],MATCH(Emission8[[#This Row],[Facility ID]],Operational[Facility ID],0))</f>
        <v>80.42</v>
      </c>
    </row>
    <row r="466" spans="1:9" x14ac:dyDescent="0.3">
      <c r="A466" t="s">
        <v>29</v>
      </c>
      <c r="B466" t="s">
        <v>30</v>
      </c>
      <c r="C466" t="s">
        <v>34</v>
      </c>
      <c r="D466" t="s">
        <v>14</v>
      </c>
      <c r="E466" t="s">
        <v>10</v>
      </c>
      <c r="F466">
        <v>2036.83</v>
      </c>
      <c r="G466">
        <f>INDEX(Operational[Production Volume (units)],MATCH(Emission8[[#This Row],[Facility ID]],Operational[Facility ID],0))</f>
        <v>32131</v>
      </c>
      <c r="H466">
        <f>INDEX(Operational[Energy Consumption (MWh)],MATCH(Emission8[[#This Row],[Facility ID]],Operational[Facility ID],0))</f>
        <v>1474.23</v>
      </c>
      <c r="I466">
        <f>INDEX(Operational[Waste (tons)],MATCH(Emission8[[#This Row],[Facility ID]],Operational[Facility ID],0))</f>
        <v>45.47</v>
      </c>
    </row>
    <row r="467" spans="1:9" x14ac:dyDescent="0.3">
      <c r="A467" t="s">
        <v>63</v>
      </c>
      <c r="B467" t="s">
        <v>12</v>
      </c>
      <c r="C467" t="s">
        <v>8</v>
      </c>
      <c r="D467" t="s">
        <v>14</v>
      </c>
      <c r="E467" t="s">
        <v>15</v>
      </c>
      <c r="F467">
        <v>4876.37</v>
      </c>
      <c r="G467">
        <f>INDEX(Operational[Production Volume (units)],MATCH(Emission8[[#This Row],[Facility ID]],Operational[Facility ID],0))</f>
        <v>33688</v>
      </c>
      <c r="H467">
        <f>INDEX(Operational[Energy Consumption (MWh)],MATCH(Emission8[[#This Row],[Facility ID]],Operational[Facility ID],0))</f>
        <v>9495.48</v>
      </c>
      <c r="I467">
        <f>INDEX(Operational[Waste (tons)],MATCH(Emission8[[#This Row],[Facility ID]],Operational[Facility ID],0))</f>
        <v>55.55</v>
      </c>
    </row>
    <row r="468" spans="1:9" x14ac:dyDescent="0.3">
      <c r="A468" t="s">
        <v>149</v>
      </c>
      <c r="B468" t="s">
        <v>17</v>
      </c>
      <c r="C468" t="s">
        <v>8</v>
      </c>
      <c r="D468" t="s">
        <v>14</v>
      </c>
      <c r="E468" t="s">
        <v>24</v>
      </c>
      <c r="F468">
        <v>4256.16</v>
      </c>
      <c r="G468">
        <f>INDEX(Operational[Production Volume (units)],MATCH(Emission8[[#This Row],[Facility ID]],Operational[Facility ID],0))</f>
        <v>49885</v>
      </c>
      <c r="H468">
        <f>INDEX(Operational[Energy Consumption (MWh)],MATCH(Emission8[[#This Row],[Facility ID]],Operational[Facility ID],0))</f>
        <v>6845.46</v>
      </c>
      <c r="I468">
        <f>INDEX(Operational[Waste (tons)],MATCH(Emission8[[#This Row],[Facility ID]],Operational[Facility ID],0))</f>
        <v>58.4</v>
      </c>
    </row>
    <row r="469" spans="1:9" x14ac:dyDescent="0.3">
      <c r="A469" t="s">
        <v>36</v>
      </c>
      <c r="B469" t="s">
        <v>12</v>
      </c>
      <c r="C469" t="s">
        <v>13</v>
      </c>
      <c r="D469" t="s">
        <v>14</v>
      </c>
      <c r="E469" t="s">
        <v>15</v>
      </c>
      <c r="F469">
        <v>4947.18</v>
      </c>
      <c r="G469">
        <f>INDEX(Operational[Production Volume (units)],MATCH(Emission8[[#This Row],[Facility ID]],Operational[Facility ID],0))</f>
        <v>40226</v>
      </c>
      <c r="H469">
        <f>INDEX(Operational[Energy Consumption (MWh)],MATCH(Emission8[[#This Row],[Facility ID]],Operational[Facility ID],0))</f>
        <v>7868.86</v>
      </c>
      <c r="I469">
        <f>INDEX(Operational[Waste (tons)],MATCH(Emission8[[#This Row],[Facility ID]],Operational[Facility ID],0))</f>
        <v>80.53</v>
      </c>
    </row>
    <row r="470" spans="1:9" x14ac:dyDescent="0.3">
      <c r="A470" t="s">
        <v>38</v>
      </c>
      <c r="B470" t="s">
        <v>30</v>
      </c>
      <c r="C470" t="s">
        <v>34</v>
      </c>
      <c r="D470" t="s">
        <v>28</v>
      </c>
      <c r="E470" t="s">
        <v>10</v>
      </c>
      <c r="F470">
        <v>425.91</v>
      </c>
      <c r="G470">
        <f>INDEX(Operational[Production Volume (units)],MATCH(Emission8[[#This Row],[Facility ID]],Operational[Facility ID],0))</f>
        <v>57215</v>
      </c>
      <c r="H470">
        <f>INDEX(Operational[Energy Consumption (MWh)],MATCH(Emission8[[#This Row],[Facility ID]],Operational[Facility ID],0))</f>
        <v>3227.1</v>
      </c>
      <c r="I470">
        <f>INDEX(Operational[Waste (tons)],MATCH(Emission8[[#This Row],[Facility ID]],Operational[Facility ID],0))</f>
        <v>32.909999999999997</v>
      </c>
    </row>
    <row r="471" spans="1:9" x14ac:dyDescent="0.3">
      <c r="A471" t="s">
        <v>182</v>
      </c>
      <c r="B471" t="s">
        <v>12</v>
      </c>
      <c r="C471" t="s">
        <v>8</v>
      </c>
      <c r="D471" t="s">
        <v>28</v>
      </c>
      <c r="E471" t="s">
        <v>10</v>
      </c>
      <c r="F471">
        <v>4620.84</v>
      </c>
      <c r="G471">
        <f>INDEX(Operational[Production Volume (units)],MATCH(Emission8[[#This Row],[Facility ID]],Operational[Facility ID],0))</f>
        <v>21081</v>
      </c>
      <c r="H471">
        <f>INDEX(Operational[Energy Consumption (MWh)],MATCH(Emission8[[#This Row],[Facility ID]],Operational[Facility ID],0))</f>
        <v>9001.77</v>
      </c>
      <c r="I471">
        <f>INDEX(Operational[Waste (tons)],MATCH(Emission8[[#This Row],[Facility ID]],Operational[Facility ID],0))</f>
        <v>49.27</v>
      </c>
    </row>
    <row r="472" spans="1:9" x14ac:dyDescent="0.3">
      <c r="A472" t="s">
        <v>87</v>
      </c>
      <c r="B472" t="s">
        <v>12</v>
      </c>
      <c r="C472" t="s">
        <v>8</v>
      </c>
      <c r="D472" t="s">
        <v>9</v>
      </c>
      <c r="E472" t="s">
        <v>24</v>
      </c>
      <c r="F472">
        <v>4302.5</v>
      </c>
      <c r="G472">
        <f>INDEX(Operational[Production Volume (units)],MATCH(Emission8[[#This Row],[Facility ID]],Operational[Facility ID],0))</f>
        <v>15333</v>
      </c>
      <c r="H472">
        <f>INDEX(Operational[Energy Consumption (MWh)],MATCH(Emission8[[#This Row],[Facility ID]],Operational[Facility ID],0))</f>
        <v>2570.54</v>
      </c>
      <c r="I472">
        <f>INDEX(Operational[Waste (tons)],MATCH(Emission8[[#This Row],[Facility ID]],Operational[Facility ID],0))</f>
        <v>41.07</v>
      </c>
    </row>
    <row r="473" spans="1:9" x14ac:dyDescent="0.3">
      <c r="A473" t="s">
        <v>159</v>
      </c>
      <c r="B473" t="s">
        <v>7</v>
      </c>
      <c r="C473" t="s">
        <v>34</v>
      </c>
      <c r="D473" t="s">
        <v>14</v>
      </c>
      <c r="E473" t="s">
        <v>15</v>
      </c>
      <c r="F473">
        <v>2571.46</v>
      </c>
      <c r="G473">
        <f>INDEX(Operational[Production Volume (units)],MATCH(Emission8[[#This Row],[Facility ID]],Operational[Facility ID],0))</f>
        <v>47727</v>
      </c>
      <c r="H473">
        <f>INDEX(Operational[Energy Consumption (MWh)],MATCH(Emission8[[#This Row],[Facility ID]],Operational[Facility ID],0))</f>
        <v>8907.33</v>
      </c>
      <c r="I473">
        <f>INDEX(Operational[Waste (tons)],MATCH(Emission8[[#This Row],[Facility ID]],Operational[Facility ID],0))</f>
        <v>47.4</v>
      </c>
    </row>
    <row r="474" spans="1:9" x14ac:dyDescent="0.3">
      <c r="A474" t="s">
        <v>106</v>
      </c>
      <c r="B474" t="s">
        <v>12</v>
      </c>
      <c r="C474" t="s">
        <v>8</v>
      </c>
      <c r="D474" t="s">
        <v>14</v>
      </c>
      <c r="E474" t="s">
        <v>15</v>
      </c>
      <c r="F474">
        <v>968.92</v>
      </c>
      <c r="G474">
        <f>INDEX(Operational[Production Volume (units)],MATCH(Emission8[[#This Row],[Facility ID]],Operational[Facility ID],0))</f>
        <v>21386</v>
      </c>
      <c r="H474">
        <f>INDEX(Operational[Energy Consumption (MWh)],MATCH(Emission8[[#This Row],[Facility ID]],Operational[Facility ID],0))</f>
        <v>2271.92</v>
      </c>
      <c r="I474">
        <f>INDEX(Operational[Waste (tons)],MATCH(Emission8[[#This Row],[Facility ID]],Operational[Facility ID],0))</f>
        <v>49.67</v>
      </c>
    </row>
    <row r="475" spans="1:9" x14ac:dyDescent="0.3">
      <c r="A475" t="s">
        <v>18</v>
      </c>
      <c r="B475" t="s">
        <v>19</v>
      </c>
      <c r="C475" t="s">
        <v>23</v>
      </c>
      <c r="D475" t="s">
        <v>9</v>
      </c>
      <c r="E475" t="s">
        <v>24</v>
      </c>
      <c r="F475">
        <v>2916.99</v>
      </c>
      <c r="G475">
        <f>INDEX(Operational[Production Volume (units)],MATCH(Emission8[[#This Row],[Facility ID]],Operational[Facility ID],0))</f>
        <v>98682</v>
      </c>
      <c r="H475">
        <f>INDEX(Operational[Energy Consumption (MWh)],MATCH(Emission8[[#This Row],[Facility ID]],Operational[Facility ID],0))</f>
        <v>6220.56</v>
      </c>
      <c r="I475">
        <f>INDEX(Operational[Waste (tons)],MATCH(Emission8[[#This Row],[Facility ID]],Operational[Facility ID],0))</f>
        <v>70.099999999999994</v>
      </c>
    </row>
    <row r="476" spans="1:9" x14ac:dyDescent="0.3">
      <c r="A476" t="s">
        <v>33</v>
      </c>
      <c r="B476" t="s">
        <v>19</v>
      </c>
      <c r="C476" t="s">
        <v>8</v>
      </c>
      <c r="D476" t="s">
        <v>9</v>
      </c>
      <c r="E476" t="s">
        <v>10</v>
      </c>
      <c r="F476">
        <v>4400.8900000000003</v>
      </c>
      <c r="G476">
        <f>INDEX(Operational[Production Volume (units)],MATCH(Emission8[[#This Row],[Facility ID]],Operational[Facility ID],0))</f>
        <v>65719</v>
      </c>
      <c r="H476">
        <f>INDEX(Operational[Energy Consumption (MWh)],MATCH(Emission8[[#This Row],[Facility ID]],Operational[Facility ID],0))</f>
        <v>9362.41</v>
      </c>
      <c r="I476">
        <f>INDEX(Operational[Waste (tons)],MATCH(Emission8[[#This Row],[Facility ID]],Operational[Facility ID],0))</f>
        <v>86.55</v>
      </c>
    </row>
    <row r="477" spans="1:9" x14ac:dyDescent="0.3">
      <c r="A477" t="s">
        <v>195</v>
      </c>
      <c r="B477" t="s">
        <v>7</v>
      </c>
      <c r="C477" t="s">
        <v>13</v>
      </c>
      <c r="D477" t="s">
        <v>9</v>
      </c>
      <c r="E477" t="s">
        <v>10</v>
      </c>
      <c r="F477">
        <v>1791.29</v>
      </c>
      <c r="G477">
        <f>INDEX(Operational[Production Volume (units)],MATCH(Emission8[[#This Row],[Facility ID]],Operational[Facility ID],0))</f>
        <v>68278</v>
      </c>
      <c r="H477">
        <f>INDEX(Operational[Energy Consumption (MWh)],MATCH(Emission8[[#This Row],[Facility ID]],Operational[Facility ID],0))</f>
        <v>3272.65</v>
      </c>
      <c r="I477">
        <f>INDEX(Operational[Waste (tons)],MATCH(Emission8[[#This Row],[Facility ID]],Operational[Facility ID],0))</f>
        <v>30.47</v>
      </c>
    </row>
    <row r="478" spans="1:9" x14ac:dyDescent="0.3">
      <c r="A478" t="s">
        <v>61</v>
      </c>
      <c r="B478" t="s">
        <v>30</v>
      </c>
      <c r="C478" t="s">
        <v>8</v>
      </c>
      <c r="D478" t="s">
        <v>14</v>
      </c>
      <c r="E478" t="s">
        <v>15</v>
      </c>
      <c r="F478">
        <v>594.47</v>
      </c>
      <c r="G478">
        <f>INDEX(Operational[Production Volume (units)],MATCH(Emission8[[#This Row],[Facility ID]],Operational[Facility ID],0))</f>
        <v>95718</v>
      </c>
      <c r="H478">
        <f>INDEX(Operational[Energy Consumption (MWh)],MATCH(Emission8[[#This Row],[Facility ID]],Operational[Facility ID],0))</f>
        <v>2443.12</v>
      </c>
      <c r="I478">
        <f>INDEX(Operational[Waste (tons)],MATCH(Emission8[[#This Row],[Facility ID]],Operational[Facility ID],0))</f>
        <v>35.49</v>
      </c>
    </row>
    <row r="479" spans="1:9" x14ac:dyDescent="0.3">
      <c r="A479" t="s">
        <v>199</v>
      </c>
      <c r="B479" t="s">
        <v>17</v>
      </c>
      <c r="C479" t="s">
        <v>34</v>
      </c>
      <c r="D479" t="s">
        <v>28</v>
      </c>
      <c r="E479" t="s">
        <v>15</v>
      </c>
      <c r="F479">
        <v>2602.85</v>
      </c>
      <c r="G479">
        <f>INDEX(Operational[Production Volume (units)],MATCH(Emission8[[#This Row],[Facility ID]],Operational[Facility ID],0))</f>
        <v>77317</v>
      </c>
      <c r="H479">
        <f>INDEX(Operational[Energy Consumption (MWh)],MATCH(Emission8[[#This Row],[Facility ID]],Operational[Facility ID],0))</f>
        <v>4862.95</v>
      </c>
      <c r="I479">
        <f>INDEX(Operational[Waste (tons)],MATCH(Emission8[[#This Row],[Facility ID]],Operational[Facility ID],0))</f>
        <v>89.78</v>
      </c>
    </row>
    <row r="480" spans="1:9" x14ac:dyDescent="0.3">
      <c r="A480" t="s">
        <v>31</v>
      </c>
      <c r="B480" t="s">
        <v>30</v>
      </c>
      <c r="C480" t="s">
        <v>8</v>
      </c>
      <c r="D480" t="s">
        <v>14</v>
      </c>
      <c r="E480" t="s">
        <v>24</v>
      </c>
      <c r="F480">
        <v>558.53</v>
      </c>
      <c r="G480">
        <f>INDEX(Operational[Production Volume (units)],MATCH(Emission8[[#This Row],[Facility ID]],Operational[Facility ID],0))</f>
        <v>84851</v>
      </c>
      <c r="H480">
        <f>INDEX(Operational[Energy Consumption (MWh)],MATCH(Emission8[[#This Row],[Facility ID]],Operational[Facility ID],0))</f>
        <v>560.75</v>
      </c>
      <c r="I480">
        <f>INDEX(Operational[Waste (tons)],MATCH(Emission8[[#This Row],[Facility ID]],Operational[Facility ID],0))</f>
        <v>80.23</v>
      </c>
    </row>
    <row r="481" spans="1:9" x14ac:dyDescent="0.3">
      <c r="A481" t="s">
        <v>105</v>
      </c>
      <c r="B481" t="s">
        <v>30</v>
      </c>
      <c r="C481" t="s">
        <v>23</v>
      </c>
      <c r="D481" t="s">
        <v>28</v>
      </c>
      <c r="E481" t="s">
        <v>24</v>
      </c>
      <c r="F481">
        <v>3004.54</v>
      </c>
      <c r="G481">
        <f>INDEX(Operational[Production Volume (units)],MATCH(Emission8[[#This Row],[Facility ID]],Operational[Facility ID],0))</f>
        <v>87337</v>
      </c>
      <c r="H481">
        <f>INDEX(Operational[Energy Consumption (MWh)],MATCH(Emission8[[#This Row],[Facility ID]],Operational[Facility ID],0))</f>
        <v>3603.06</v>
      </c>
      <c r="I481">
        <f>INDEX(Operational[Waste (tons)],MATCH(Emission8[[#This Row],[Facility ID]],Operational[Facility ID],0))</f>
        <v>67.13</v>
      </c>
    </row>
    <row r="482" spans="1:9" x14ac:dyDescent="0.3">
      <c r="A482" t="s">
        <v>104</v>
      </c>
      <c r="B482" t="s">
        <v>17</v>
      </c>
      <c r="C482" t="s">
        <v>34</v>
      </c>
      <c r="D482" t="s">
        <v>14</v>
      </c>
      <c r="E482" t="s">
        <v>15</v>
      </c>
      <c r="F482">
        <v>1288.92</v>
      </c>
      <c r="G482">
        <f>INDEX(Operational[Production Volume (units)],MATCH(Emission8[[#This Row],[Facility ID]],Operational[Facility ID],0))</f>
        <v>16868</v>
      </c>
      <c r="H482">
        <f>INDEX(Operational[Energy Consumption (MWh)],MATCH(Emission8[[#This Row],[Facility ID]],Operational[Facility ID],0))</f>
        <v>1378.01</v>
      </c>
      <c r="I482">
        <f>INDEX(Operational[Waste (tons)],MATCH(Emission8[[#This Row],[Facility ID]],Operational[Facility ID],0))</f>
        <v>47.52</v>
      </c>
    </row>
    <row r="483" spans="1:9" x14ac:dyDescent="0.3">
      <c r="A483" t="s">
        <v>200</v>
      </c>
      <c r="B483" t="s">
        <v>30</v>
      </c>
      <c r="C483" t="s">
        <v>8</v>
      </c>
      <c r="D483" t="s">
        <v>9</v>
      </c>
      <c r="E483" t="s">
        <v>24</v>
      </c>
      <c r="F483">
        <v>4950.7700000000004</v>
      </c>
      <c r="G483">
        <f>INDEX(Operational[Production Volume (units)],MATCH(Emission8[[#This Row],[Facility ID]],Operational[Facility ID],0))</f>
        <v>46863</v>
      </c>
      <c r="H483">
        <f>INDEX(Operational[Energy Consumption (MWh)],MATCH(Emission8[[#This Row],[Facility ID]],Operational[Facility ID],0))</f>
        <v>6762.98</v>
      </c>
      <c r="I483">
        <f>INDEX(Operational[Waste (tons)],MATCH(Emission8[[#This Row],[Facility ID]],Operational[Facility ID],0))</f>
        <v>23.45</v>
      </c>
    </row>
    <row r="484" spans="1:9" x14ac:dyDescent="0.3">
      <c r="A484" t="s">
        <v>33</v>
      </c>
      <c r="B484" t="s">
        <v>19</v>
      </c>
      <c r="C484" t="s">
        <v>34</v>
      </c>
      <c r="D484" t="s">
        <v>28</v>
      </c>
      <c r="E484" t="s">
        <v>24</v>
      </c>
      <c r="F484">
        <v>3982.02</v>
      </c>
      <c r="G484">
        <f>INDEX(Operational[Production Volume (units)],MATCH(Emission8[[#This Row],[Facility ID]],Operational[Facility ID],0))</f>
        <v>65719</v>
      </c>
      <c r="H484">
        <f>INDEX(Operational[Energy Consumption (MWh)],MATCH(Emission8[[#This Row],[Facility ID]],Operational[Facility ID],0))</f>
        <v>9362.41</v>
      </c>
      <c r="I484">
        <f>INDEX(Operational[Waste (tons)],MATCH(Emission8[[#This Row],[Facility ID]],Operational[Facility ID],0))</f>
        <v>86.55</v>
      </c>
    </row>
    <row r="485" spans="1:9" x14ac:dyDescent="0.3">
      <c r="A485" t="s">
        <v>196</v>
      </c>
      <c r="B485" t="s">
        <v>30</v>
      </c>
      <c r="C485" t="s">
        <v>8</v>
      </c>
      <c r="D485" t="s">
        <v>28</v>
      </c>
      <c r="E485" t="s">
        <v>24</v>
      </c>
      <c r="F485">
        <v>106.32</v>
      </c>
      <c r="G485">
        <f>INDEX(Operational[Production Volume (units)],MATCH(Emission8[[#This Row],[Facility ID]],Operational[Facility ID],0))</f>
        <v>12262</v>
      </c>
      <c r="H485">
        <f>INDEX(Operational[Energy Consumption (MWh)],MATCH(Emission8[[#This Row],[Facility ID]],Operational[Facility ID],0))</f>
        <v>7106.18</v>
      </c>
      <c r="I485">
        <f>INDEX(Operational[Waste (tons)],MATCH(Emission8[[#This Row],[Facility ID]],Operational[Facility ID],0))</f>
        <v>45.69</v>
      </c>
    </row>
    <row r="486" spans="1:9" x14ac:dyDescent="0.3">
      <c r="A486" t="s">
        <v>201</v>
      </c>
      <c r="B486" t="s">
        <v>12</v>
      </c>
      <c r="C486" t="s">
        <v>34</v>
      </c>
      <c r="D486" t="s">
        <v>9</v>
      </c>
      <c r="E486" t="s">
        <v>10</v>
      </c>
      <c r="F486">
        <v>1752.03</v>
      </c>
      <c r="G486">
        <f>INDEX(Operational[Production Volume (units)],MATCH(Emission8[[#This Row],[Facility ID]],Operational[Facility ID],0))</f>
        <v>58439</v>
      </c>
      <c r="H486">
        <f>INDEX(Operational[Energy Consumption (MWh)],MATCH(Emission8[[#This Row],[Facility ID]],Operational[Facility ID],0))</f>
        <v>5817.93</v>
      </c>
      <c r="I486">
        <f>INDEX(Operational[Waste (tons)],MATCH(Emission8[[#This Row],[Facility ID]],Operational[Facility ID],0))</f>
        <v>63.77</v>
      </c>
    </row>
    <row r="487" spans="1:9" x14ac:dyDescent="0.3">
      <c r="A487" t="s">
        <v>129</v>
      </c>
      <c r="B487" t="s">
        <v>17</v>
      </c>
      <c r="C487" t="s">
        <v>13</v>
      </c>
      <c r="D487" t="s">
        <v>28</v>
      </c>
      <c r="E487" t="s">
        <v>15</v>
      </c>
      <c r="F487">
        <v>2963</v>
      </c>
      <c r="G487">
        <f>INDEX(Operational[Production Volume (units)],MATCH(Emission8[[#This Row],[Facility ID]],Operational[Facility ID],0))</f>
        <v>95292</v>
      </c>
      <c r="H487">
        <f>INDEX(Operational[Energy Consumption (MWh)],MATCH(Emission8[[#This Row],[Facility ID]],Operational[Facility ID],0))</f>
        <v>697.47</v>
      </c>
      <c r="I487">
        <f>INDEX(Operational[Waste (tons)],MATCH(Emission8[[#This Row],[Facility ID]],Operational[Facility ID],0))</f>
        <v>88.35</v>
      </c>
    </row>
    <row r="488" spans="1:9" x14ac:dyDescent="0.3">
      <c r="A488" t="s">
        <v>180</v>
      </c>
      <c r="B488" t="s">
        <v>30</v>
      </c>
      <c r="C488" t="s">
        <v>13</v>
      </c>
      <c r="D488" t="s">
        <v>28</v>
      </c>
      <c r="E488" t="s">
        <v>10</v>
      </c>
      <c r="F488">
        <v>2067.13</v>
      </c>
      <c r="G488">
        <f>INDEX(Operational[Production Volume (units)],MATCH(Emission8[[#This Row],[Facility ID]],Operational[Facility ID],0))</f>
        <v>72846</v>
      </c>
      <c r="H488">
        <f>INDEX(Operational[Energy Consumption (MWh)],MATCH(Emission8[[#This Row],[Facility ID]],Operational[Facility ID],0))</f>
        <v>5169.53</v>
      </c>
      <c r="I488">
        <f>INDEX(Operational[Waste (tons)],MATCH(Emission8[[#This Row],[Facility ID]],Operational[Facility ID],0))</f>
        <v>76.709999999999994</v>
      </c>
    </row>
    <row r="489" spans="1:9" x14ac:dyDescent="0.3">
      <c r="A489" t="s">
        <v>181</v>
      </c>
      <c r="B489" t="s">
        <v>30</v>
      </c>
      <c r="C489" t="s">
        <v>8</v>
      </c>
      <c r="D489" t="s">
        <v>28</v>
      </c>
      <c r="E489" t="s">
        <v>15</v>
      </c>
      <c r="F489">
        <v>1493.38</v>
      </c>
      <c r="G489">
        <f>INDEX(Operational[Production Volume (units)],MATCH(Emission8[[#This Row],[Facility ID]],Operational[Facility ID],0))</f>
        <v>28704</v>
      </c>
      <c r="H489">
        <f>INDEX(Operational[Energy Consumption (MWh)],MATCH(Emission8[[#This Row],[Facility ID]],Operational[Facility ID],0))</f>
        <v>6009.24</v>
      </c>
      <c r="I489">
        <f>INDEX(Operational[Waste (tons)],MATCH(Emission8[[#This Row],[Facility ID]],Operational[Facility ID],0))</f>
        <v>39.31</v>
      </c>
    </row>
    <row r="490" spans="1:9" x14ac:dyDescent="0.3">
      <c r="A490" t="s">
        <v>173</v>
      </c>
      <c r="B490" t="s">
        <v>30</v>
      </c>
      <c r="C490" t="s">
        <v>8</v>
      </c>
      <c r="D490" t="s">
        <v>9</v>
      </c>
      <c r="E490" t="s">
        <v>24</v>
      </c>
      <c r="F490">
        <v>1311.82</v>
      </c>
      <c r="G490">
        <f>INDEX(Operational[Production Volume (units)],MATCH(Emission8[[#This Row],[Facility ID]],Operational[Facility ID],0))</f>
        <v>49620</v>
      </c>
      <c r="H490">
        <f>INDEX(Operational[Energy Consumption (MWh)],MATCH(Emission8[[#This Row],[Facility ID]],Operational[Facility ID],0))</f>
        <v>2424.31</v>
      </c>
      <c r="I490">
        <f>INDEX(Operational[Waste (tons)],MATCH(Emission8[[#This Row],[Facility ID]],Operational[Facility ID],0))</f>
        <v>62.09</v>
      </c>
    </row>
    <row r="491" spans="1:9" x14ac:dyDescent="0.3">
      <c r="A491" t="s">
        <v>200</v>
      </c>
      <c r="B491" t="s">
        <v>30</v>
      </c>
      <c r="C491" t="s">
        <v>8</v>
      </c>
      <c r="D491" t="s">
        <v>9</v>
      </c>
      <c r="E491" t="s">
        <v>15</v>
      </c>
      <c r="F491">
        <v>3998.63</v>
      </c>
      <c r="G491">
        <f>INDEX(Operational[Production Volume (units)],MATCH(Emission8[[#This Row],[Facility ID]],Operational[Facility ID],0))</f>
        <v>46863</v>
      </c>
      <c r="H491">
        <f>INDEX(Operational[Energy Consumption (MWh)],MATCH(Emission8[[#This Row],[Facility ID]],Operational[Facility ID],0))</f>
        <v>6762.98</v>
      </c>
      <c r="I491">
        <f>INDEX(Operational[Waste (tons)],MATCH(Emission8[[#This Row],[Facility ID]],Operational[Facility ID],0))</f>
        <v>23.45</v>
      </c>
    </row>
    <row r="492" spans="1:9" x14ac:dyDescent="0.3">
      <c r="A492" t="s">
        <v>33</v>
      </c>
      <c r="B492" t="s">
        <v>19</v>
      </c>
      <c r="C492" t="s">
        <v>34</v>
      </c>
      <c r="D492" t="s">
        <v>14</v>
      </c>
      <c r="E492" t="s">
        <v>10</v>
      </c>
      <c r="F492">
        <v>4224.63</v>
      </c>
      <c r="G492">
        <f>INDEX(Operational[Production Volume (units)],MATCH(Emission8[[#This Row],[Facility ID]],Operational[Facility ID],0))</f>
        <v>65719</v>
      </c>
      <c r="H492">
        <f>INDEX(Operational[Energy Consumption (MWh)],MATCH(Emission8[[#This Row],[Facility ID]],Operational[Facility ID],0))</f>
        <v>9362.41</v>
      </c>
      <c r="I492">
        <f>INDEX(Operational[Waste (tons)],MATCH(Emission8[[#This Row],[Facility ID]],Operational[Facility ID],0))</f>
        <v>86.55</v>
      </c>
    </row>
    <row r="493" spans="1:9" x14ac:dyDescent="0.3">
      <c r="A493" t="s">
        <v>96</v>
      </c>
      <c r="B493" t="s">
        <v>19</v>
      </c>
      <c r="C493" t="s">
        <v>34</v>
      </c>
      <c r="D493" t="s">
        <v>9</v>
      </c>
      <c r="E493" t="s">
        <v>15</v>
      </c>
      <c r="F493">
        <v>2249.11</v>
      </c>
      <c r="G493">
        <f>INDEX(Operational[Production Volume (units)],MATCH(Emission8[[#This Row],[Facility ID]],Operational[Facility ID],0))</f>
        <v>53942</v>
      </c>
      <c r="H493">
        <f>INDEX(Operational[Energy Consumption (MWh)],MATCH(Emission8[[#This Row],[Facility ID]],Operational[Facility ID],0))</f>
        <v>5904.31</v>
      </c>
      <c r="I493">
        <f>INDEX(Operational[Waste (tons)],MATCH(Emission8[[#This Row],[Facility ID]],Operational[Facility ID],0))</f>
        <v>32.78</v>
      </c>
    </row>
    <row r="494" spans="1:9" x14ac:dyDescent="0.3">
      <c r="A494" t="s">
        <v>105</v>
      </c>
      <c r="B494" t="s">
        <v>30</v>
      </c>
      <c r="C494" t="s">
        <v>23</v>
      </c>
      <c r="D494" t="s">
        <v>28</v>
      </c>
      <c r="E494" t="s">
        <v>24</v>
      </c>
      <c r="F494">
        <v>1492.82</v>
      </c>
      <c r="G494">
        <f>INDEX(Operational[Production Volume (units)],MATCH(Emission8[[#This Row],[Facility ID]],Operational[Facility ID],0))</f>
        <v>87337</v>
      </c>
      <c r="H494">
        <f>INDEX(Operational[Energy Consumption (MWh)],MATCH(Emission8[[#This Row],[Facility ID]],Operational[Facility ID],0))</f>
        <v>3603.06</v>
      </c>
      <c r="I494">
        <f>INDEX(Operational[Waste (tons)],MATCH(Emission8[[#This Row],[Facility ID]],Operational[Facility ID],0))</f>
        <v>67.13</v>
      </c>
    </row>
    <row r="495" spans="1:9" x14ac:dyDescent="0.3">
      <c r="A495" t="s">
        <v>132</v>
      </c>
      <c r="B495" t="s">
        <v>19</v>
      </c>
      <c r="C495" t="s">
        <v>8</v>
      </c>
      <c r="D495" t="s">
        <v>9</v>
      </c>
      <c r="E495" t="s">
        <v>24</v>
      </c>
      <c r="F495">
        <v>4652.88</v>
      </c>
      <c r="G495">
        <f>INDEX(Operational[Production Volume (units)],MATCH(Emission8[[#This Row],[Facility ID]],Operational[Facility ID],0))</f>
        <v>29860</v>
      </c>
      <c r="H495">
        <f>INDEX(Operational[Energy Consumption (MWh)],MATCH(Emission8[[#This Row],[Facility ID]],Operational[Facility ID],0))</f>
        <v>3956.23</v>
      </c>
      <c r="I495">
        <f>INDEX(Operational[Waste (tons)],MATCH(Emission8[[#This Row],[Facility ID]],Operational[Facility ID],0))</f>
        <v>57.5</v>
      </c>
    </row>
    <row r="496" spans="1:9" x14ac:dyDescent="0.3">
      <c r="A496" t="s">
        <v>69</v>
      </c>
      <c r="B496" t="s">
        <v>7</v>
      </c>
      <c r="C496" t="s">
        <v>34</v>
      </c>
      <c r="D496" t="s">
        <v>14</v>
      </c>
      <c r="E496" t="s">
        <v>10</v>
      </c>
      <c r="F496">
        <v>2725.88</v>
      </c>
      <c r="G496">
        <f>INDEX(Operational[Production Volume (units)],MATCH(Emission8[[#This Row],[Facility ID]],Operational[Facility ID],0))</f>
        <v>34725</v>
      </c>
      <c r="H496">
        <f>INDEX(Operational[Energy Consumption (MWh)],MATCH(Emission8[[#This Row],[Facility ID]],Operational[Facility ID],0))</f>
        <v>3269.89</v>
      </c>
      <c r="I496">
        <f>INDEX(Operational[Waste (tons)],MATCH(Emission8[[#This Row],[Facility ID]],Operational[Facility ID],0))</f>
        <v>78.86</v>
      </c>
    </row>
    <row r="497" spans="1:9" x14ac:dyDescent="0.3">
      <c r="A497" t="s">
        <v>75</v>
      </c>
      <c r="B497" t="s">
        <v>19</v>
      </c>
      <c r="C497" t="s">
        <v>23</v>
      </c>
      <c r="D497" t="s">
        <v>9</v>
      </c>
      <c r="E497" t="s">
        <v>24</v>
      </c>
      <c r="F497">
        <v>3666.38</v>
      </c>
      <c r="G497">
        <f>INDEX(Operational[Production Volume (units)],MATCH(Emission8[[#This Row],[Facility ID]],Operational[Facility ID],0))</f>
        <v>54136</v>
      </c>
      <c r="H497">
        <f>INDEX(Operational[Energy Consumption (MWh)],MATCH(Emission8[[#This Row],[Facility ID]],Operational[Facility ID],0))</f>
        <v>2775.38</v>
      </c>
      <c r="I497">
        <f>INDEX(Operational[Waste (tons)],MATCH(Emission8[[#This Row],[Facility ID]],Operational[Facility ID],0))</f>
        <v>75.459999999999994</v>
      </c>
    </row>
    <row r="498" spans="1:9" x14ac:dyDescent="0.3">
      <c r="A498" t="s">
        <v>202</v>
      </c>
      <c r="B498" t="s">
        <v>12</v>
      </c>
      <c r="C498" t="s">
        <v>23</v>
      </c>
      <c r="D498" t="s">
        <v>28</v>
      </c>
      <c r="E498" t="s">
        <v>15</v>
      </c>
      <c r="F498">
        <v>216.52</v>
      </c>
      <c r="G498">
        <f>INDEX(Operational[Production Volume (units)],MATCH(Emission8[[#This Row],[Facility ID]],Operational[Facility ID],0))</f>
        <v>28400</v>
      </c>
      <c r="H498">
        <f>INDEX(Operational[Energy Consumption (MWh)],MATCH(Emission8[[#This Row],[Facility ID]],Operational[Facility ID],0))</f>
        <v>3056.67</v>
      </c>
      <c r="I498">
        <f>INDEX(Operational[Waste (tons)],MATCH(Emission8[[#This Row],[Facility ID]],Operational[Facility ID],0))</f>
        <v>52.68</v>
      </c>
    </row>
    <row r="499" spans="1:9" x14ac:dyDescent="0.3">
      <c r="A499" t="s">
        <v>203</v>
      </c>
      <c r="B499" t="s">
        <v>12</v>
      </c>
      <c r="C499" t="s">
        <v>34</v>
      </c>
      <c r="D499" t="s">
        <v>14</v>
      </c>
      <c r="E499" t="s">
        <v>10</v>
      </c>
      <c r="F499">
        <v>1898.59</v>
      </c>
      <c r="G499">
        <f>INDEX(Operational[Production Volume (units)],MATCH(Emission8[[#This Row],[Facility ID]],Operational[Facility ID],0))</f>
        <v>66398</v>
      </c>
      <c r="H499">
        <f>INDEX(Operational[Energy Consumption (MWh)],MATCH(Emission8[[#This Row],[Facility ID]],Operational[Facility ID],0))</f>
        <v>8713.61</v>
      </c>
      <c r="I499">
        <f>INDEX(Operational[Waste (tons)],MATCH(Emission8[[#This Row],[Facility ID]],Operational[Facility ID],0))</f>
        <v>83.44</v>
      </c>
    </row>
    <row r="500" spans="1:9" x14ac:dyDescent="0.3">
      <c r="A500" t="s">
        <v>94</v>
      </c>
      <c r="B500" t="s">
        <v>7</v>
      </c>
      <c r="C500" t="s">
        <v>23</v>
      </c>
      <c r="D500" t="s">
        <v>9</v>
      </c>
      <c r="E500" t="s">
        <v>10</v>
      </c>
      <c r="F500">
        <v>3557.57</v>
      </c>
      <c r="G500">
        <f>INDEX(Operational[Production Volume (units)],MATCH(Emission8[[#This Row],[Facility ID]],Operational[Facility ID],0))</f>
        <v>26338</v>
      </c>
      <c r="H500">
        <f>INDEX(Operational[Energy Consumption (MWh)],MATCH(Emission8[[#This Row],[Facility ID]],Operational[Facility ID],0))</f>
        <v>578.73</v>
      </c>
      <c r="I500">
        <f>INDEX(Operational[Waste (tons)],MATCH(Emission8[[#This Row],[Facility ID]],Operational[Facility ID],0))</f>
        <v>72.52</v>
      </c>
    </row>
    <row r="501" spans="1:9" x14ac:dyDescent="0.3">
      <c r="A501" t="s">
        <v>116</v>
      </c>
      <c r="B501" t="s">
        <v>17</v>
      </c>
      <c r="C501" t="s">
        <v>13</v>
      </c>
      <c r="D501" t="s">
        <v>9</v>
      </c>
      <c r="E501" t="s">
        <v>15</v>
      </c>
      <c r="F501">
        <v>1488.08</v>
      </c>
      <c r="G501">
        <f>INDEX(Operational[Production Volume (units)],MATCH(Emission8[[#This Row],[Facility ID]],Operational[Facility ID],0))</f>
        <v>68216</v>
      </c>
      <c r="H501">
        <f>INDEX(Operational[Energy Consumption (MWh)],MATCH(Emission8[[#This Row],[Facility ID]],Operational[Facility ID],0))</f>
        <v>9562.33</v>
      </c>
      <c r="I501">
        <f>INDEX(Operational[Waste (tons)],MATCH(Emission8[[#This Row],[Facility ID]],Operational[Facility ID],0))</f>
        <v>63.59</v>
      </c>
    </row>
    <row r="502" spans="1:9" x14ac:dyDescent="0.3">
      <c r="A502" t="s">
        <v>6</v>
      </c>
      <c r="B502" t="s">
        <v>7</v>
      </c>
      <c r="C502" t="s">
        <v>23</v>
      </c>
      <c r="D502" t="s">
        <v>14</v>
      </c>
      <c r="E502" t="s">
        <v>10</v>
      </c>
      <c r="F502">
        <v>4949.0200000000004</v>
      </c>
      <c r="G502">
        <f>INDEX(Operational[Production Volume (units)],MATCH(Emission8[[#This Row],[Facility ID]],Operational[Facility ID],0))</f>
        <v>77330</v>
      </c>
      <c r="H502">
        <f>INDEX(Operational[Energy Consumption (MWh)],MATCH(Emission8[[#This Row],[Facility ID]],Operational[Facility ID],0))</f>
        <v>6936.58</v>
      </c>
      <c r="I502">
        <f>INDEX(Operational[Waste (tons)],MATCH(Emission8[[#This Row],[Facility ID]],Operational[Facility ID],0))</f>
        <v>82.3</v>
      </c>
    </row>
    <row r="503" spans="1:9" x14ac:dyDescent="0.3">
      <c r="A503" t="s">
        <v>56</v>
      </c>
      <c r="B503" t="s">
        <v>19</v>
      </c>
      <c r="C503" t="s">
        <v>34</v>
      </c>
      <c r="D503" t="s">
        <v>9</v>
      </c>
      <c r="E503" t="s">
        <v>15</v>
      </c>
      <c r="F503">
        <v>601.16999999999996</v>
      </c>
      <c r="G503">
        <f>INDEX(Operational[Production Volume (units)],MATCH(Emission8[[#This Row],[Facility ID]],Operational[Facility ID],0))</f>
        <v>43747</v>
      </c>
      <c r="H503">
        <f>INDEX(Operational[Energy Consumption (MWh)],MATCH(Emission8[[#This Row],[Facility ID]],Operational[Facility ID],0))</f>
        <v>3453.48</v>
      </c>
      <c r="I503">
        <f>INDEX(Operational[Waste (tons)],MATCH(Emission8[[#This Row],[Facility ID]],Operational[Facility ID],0))</f>
        <v>98.78</v>
      </c>
    </row>
    <row r="504" spans="1:9" x14ac:dyDescent="0.3">
      <c r="A504" t="s">
        <v>32</v>
      </c>
      <c r="B504" t="s">
        <v>7</v>
      </c>
      <c r="C504" t="s">
        <v>23</v>
      </c>
      <c r="D504" t="s">
        <v>9</v>
      </c>
      <c r="E504" t="s">
        <v>15</v>
      </c>
      <c r="F504">
        <v>4121.8599999999997</v>
      </c>
      <c r="G504">
        <f>INDEX(Operational[Production Volume (units)],MATCH(Emission8[[#This Row],[Facility ID]],Operational[Facility ID],0))</f>
        <v>10933</v>
      </c>
      <c r="H504">
        <f>INDEX(Operational[Energy Consumption (MWh)],MATCH(Emission8[[#This Row],[Facility ID]],Operational[Facility ID],0))</f>
        <v>9004.3700000000008</v>
      </c>
      <c r="I504">
        <f>INDEX(Operational[Waste (tons)],MATCH(Emission8[[#This Row],[Facility ID]],Operational[Facility ID],0))</f>
        <v>26.84</v>
      </c>
    </row>
    <row r="505" spans="1:9" x14ac:dyDescent="0.3">
      <c r="A505" t="s">
        <v>96</v>
      </c>
      <c r="B505" t="s">
        <v>19</v>
      </c>
      <c r="C505" t="s">
        <v>13</v>
      </c>
      <c r="D505" t="s">
        <v>28</v>
      </c>
      <c r="E505" t="s">
        <v>15</v>
      </c>
      <c r="F505">
        <v>2038.67</v>
      </c>
      <c r="G505">
        <f>INDEX(Operational[Production Volume (units)],MATCH(Emission8[[#This Row],[Facility ID]],Operational[Facility ID],0))</f>
        <v>53942</v>
      </c>
      <c r="H505">
        <f>INDEX(Operational[Energy Consumption (MWh)],MATCH(Emission8[[#This Row],[Facility ID]],Operational[Facility ID],0))</f>
        <v>5904.31</v>
      </c>
      <c r="I505">
        <f>INDEX(Operational[Waste (tons)],MATCH(Emission8[[#This Row],[Facility ID]],Operational[Facility ID],0))</f>
        <v>32.78</v>
      </c>
    </row>
    <row r="506" spans="1:9" x14ac:dyDescent="0.3">
      <c r="A506" t="s">
        <v>151</v>
      </c>
      <c r="B506" t="s">
        <v>12</v>
      </c>
      <c r="C506" t="s">
        <v>23</v>
      </c>
      <c r="D506" t="s">
        <v>14</v>
      </c>
      <c r="E506" t="s">
        <v>10</v>
      </c>
      <c r="F506">
        <v>1823.3</v>
      </c>
      <c r="G506">
        <f>INDEX(Operational[Production Volume (units)],MATCH(Emission8[[#This Row],[Facility ID]],Operational[Facility ID],0))</f>
        <v>61207</v>
      </c>
      <c r="H506">
        <f>INDEX(Operational[Energy Consumption (MWh)],MATCH(Emission8[[#This Row],[Facility ID]],Operational[Facility ID],0))</f>
        <v>6922.33</v>
      </c>
      <c r="I506">
        <f>INDEX(Operational[Waste (tons)],MATCH(Emission8[[#This Row],[Facility ID]],Operational[Facility ID],0))</f>
        <v>9.1999999999999993</v>
      </c>
    </row>
    <row r="507" spans="1:9" x14ac:dyDescent="0.3">
      <c r="A507" t="s">
        <v>204</v>
      </c>
      <c r="B507" t="s">
        <v>30</v>
      </c>
      <c r="C507" t="s">
        <v>8</v>
      </c>
      <c r="D507" t="s">
        <v>9</v>
      </c>
      <c r="E507" t="s">
        <v>10</v>
      </c>
      <c r="F507">
        <v>380.6</v>
      </c>
      <c r="G507">
        <f>INDEX(Operational[Production Volume (units)],MATCH(Emission8[[#This Row],[Facility ID]],Operational[Facility ID],0))</f>
        <v>36423</v>
      </c>
      <c r="H507">
        <f>INDEX(Operational[Energy Consumption (MWh)],MATCH(Emission8[[#This Row],[Facility ID]],Operational[Facility ID],0))</f>
        <v>589.96</v>
      </c>
      <c r="I507">
        <f>INDEX(Operational[Waste (tons)],MATCH(Emission8[[#This Row],[Facility ID]],Operational[Facility ID],0))</f>
        <v>30.9</v>
      </c>
    </row>
    <row r="508" spans="1:9" x14ac:dyDescent="0.3">
      <c r="A508" t="s">
        <v>189</v>
      </c>
      <c r="B508" t="s">
        <v>19</v>
      </c>
      <c r="C508" t="s">
        <v>13</v>
      </c>
      <c r="D508" t="s">
        <v>28</v>
      </c>
      <c r="E508" t="s">
        <v>15</v>
      </c>
      <c r="F508">
        <v>3069.63</v>
      </c>
      <c r="G508">
        <f>INDEX(Operational[Production Volume (units)],MATCH(Emission8[[#This Row],[Facility ID]],Operational[Facility ID],0))</f>
        <v>27681</v>
      </c>
      <c r="H508">
        <f>INDEX(Operational[Energy Consumption (MWh)],MATCH(Emission8[[#This Row],[Facility ID]],Operational[Facility ID],0))</f>
        <v>928.26</v>
      </c>
      <c r="I508">
        <f>INDEX(Operational[Waste (tons)],MATCH(Emission8[[#This Row],[Facility ID]],Operational[Facility ID],0))</f>
        <v>44.97</v>
      </c>
    </row>
    <row r="509" spans="1:9" x14ac:dyDescent="0.3">
      <c r="A509" t="s">
        <v>121</v>
      </c>
      <c r="B509" t="s">
        <v>30</v>
      </c>
      <c r="C509" t="s">
        <v>8</v>
      </c>
      <c r="D509" t="s">
        <v>28</v>
      </c>
      <c r="E509" t="s">
        <v>15</v>
      </c>
      <c r="F509">
        <v>1532.06</v>
      </c>
      <c r="G509">
        <f>INDEX(Operational[Production Volume (units)],MATCH(Emission8[[#This Row],[Facility ID]],Operational[Facility ID],0))</f>
        <v>58895</v>
      </c>
      <c r="H509">
        <f>INDEX(Operational[Energy Consumption (MWh)],MATCH(Emission8[[#This Row],[Facility ID]],Operational[Facility ID],0))</f>
        <v>3039.17</v>
      </c>
      <c r="I509">
        <f>INDEX(Operational[Waste (tons)],MATCH(Emission8[[#This Row],[Facility ID]],Operational[Facility ID],0))</f>
        <v>59.82</v>
      </c>
    </row>
    <row r="510" spans="1:9" x14ac:dyDescent="0.3">
      <c r="A510" t="s">
        <v>125</v>
      </c>
      <c r="B510" t="s">
        <v>7</v>
      </c>
      <c r="C510" t="s">
        <v>8</v>
      </c>
      <c r="D510" t="s">
        <v>28</v>
      </c>
      <c r="E510" t="s">
        <v>10</v>
      </c>
      <c r="F510">
        <v>3269.38</v>
      </c>
      <c r="G510">
        <f>INDEX(Operational[Production Volume (units)],MATCH(Emission8[[#This Row],[Facility ID]],Operational[Facility ID],0))</f>
        <v>56392</v>
      </c>
      <c r="H510">
        <f>INDEX(Operational[Energy Consumption (MWh)],MATCH(Emission8[[#This Row],[Facility ID]],Operational[Facility ID],0))</f>
        <v>5703.76</v>
      </c>
      <c r="I510">
        <f>INDEX(Operational[Waste (tons)],MATCH(Emission8[[#This Row],[Facility ID]],Operational[Facility ID],0))</f>
        <v>23.04</v>
      </c>
    </row>
    <row r="511" spans="1:9" x14ac:dyDescent="0.3">
      <c r="A511" t="s">
        <v>75</v>
      </c>
      <c r="B511" t="s">
        <v>19</v>
      </c>
      <c r="C511" t="s">
        <v>8</v>
      </c>
      <c r="D511" t="s">
        <v>9</v>
      </c>
      <c r="E511" t="s">
        <v>10</v>
      </c>
      <c r="F511">
        <v>2397.75</v>
      </c>
      <c r="G511">
        <f>INDEX(Operational[Production Volume (units)],MATCH(Emission8[[#This Row],[Facility ID]],Operational[Facility ID],0))</f>
        <v>54136</v>
      </c>
      <c r="H511">
        <f>INDEX(Operational[Energy Consumption (MWh)],MATCH(Emission8[[#This Row],[Facility ID]],Operational[Facility ID],0))</f>
        <v>2775.38</v>
      </c>
      <c r="I511">
        <f>INDEX(Operational[Waste (tons)],MATCH(Emission8[[#This Row],[Facility ID]],Operational[Facility ID],0))</f>
        <v>75.459999999999994</v>
      </c>
    </row>
    <row r="512" spans="1:9" x14ac:dyDescent="0.3">
      <c r="A512" t="s">
        <v>58</v>
      </c>
      <c r="B512" t="s">
        <v>17</v>
      </c>
      <c r="C512" t="s">
        <v>34</v>
      </c>
      <c r="D512" t="s">
        <v>14</v>
      </c>
      <c r="E512" t="s">
        <v>10</v>
      </c>
      <c r="F512">
        <v>1104.3599999999999</v>
      </c>
      <c r="G512">
        <f>INDEX(Operational[Production Volume (units)],MATCH(Emission8[[#This Row],[Facility ID]],Operational[Facility ID],0))</f>
        <v>32246</v>
      </c>
      <c r="H512">
        <f>INDEX(Operational[Energy Consumption (MWh)],MATCH(Emission8[[#This Row],[Facility ID]],Operational[Facility ID],0))</f>
        <v>7903.93</v>
      </c>
      <c r="I512">
        <f>INDEX(Operational[Waste (tons)],MATCH(Emission8[[#This Row],[Facility ID]],Operational[Facility ID],0))</f>
        <v>42.12</v>
      </c>
    </row>
    <row r="513" spans="1:9" x14ac:dyDescent="0.3">
      <c r="A513" t="s">
        <v>89</v>
      </c>
      <c r="B513" t="s">
        <v>17</v>
      </c>
      <c r="C513" t="s">
        <v>8</v>
      </c>
      <c r="D513" t="s">
        <v>9</v>
      </c>
      <c r="E513" t="s">
        <v>24</v>
      </c>
      <c r="F513">
        <v>5406.29</v>
      </c>
      <c r="G513">
        <f>INDEX(Operational[Production Volume (units)],MATCH(Emission8[[#This Row],[Facility ID]],Operational[Facility ID],0))</f>
        <v>36171</v>
      </c>
      <c r="H513">
        <f>INDEX(Operational[Energy Consumption (MWh)],MATCH(Emission8[[#This Row],[Facility ID]],Operational[Facility ID],0))</f>
        <v>6864.38</v>
      </c>
      <c r="I513">
        <f>INDEX(Operational[Waste (tons)],MATCH(Emission8[[#This Row],[Facility ID]],Operational[Facility ID],0))</f>
        <v>37.03</v>
      </c>
    </row>
    <row r="514" spans="1:9" x14ac:dyDescent="0.3">
      <c r="A514" t="s">
        <v>97</v>
      </c>
      <c r="B514" t="s">
        <v>7</v>
      </c>
      <c r="C514" t="s">
        <v>8</v>
      </c>
      <c r="D514" t="s">
        <v>28</v>
      </c>
      <c r="E514" t="s">
        <v>15</v>
      </c>
      <c r="F514">
        <v>2419.31</v>
      </c>
      <c r="G514">
        <f>INDEX(Operational[Production Volume (units)],MATCH(Emission8[[#This Row],[Facility ID]],Operational[Facility ID],0))</f>
        <v>78624</v>
      </c>
      <c r="H514">
        <f>INDEX(Operational[Energy Consumption (MWh)],MATCH(Emission8[[#This Row],[Facility ID]],Operational[Facility ID],0))</f>
        <v>2373.27</v>
      </c>
      <c r="I514">
        <f>INDEX(Operational[Waste (tons)],MATCH(Emission8[[#This Row],[Facility ID]],Operational[Facility ID],0))</f>
        <v>25.07</v>
      </c>
    </row>
    <row r="515" spans="1:9" x14ac:dyDescent="0.3">
      <c r="A515" t="s">
        <v>153</v>
      </c>
      <c r="B515" t="s">
        <v>7</v>
      </c>
      <c r="C515" t="s">
        <v>34</v>
      </c>
      <c r="D515" t="s">
        <v>9</v>
      </c>
      <c r="E515" t="s">
        <v>24</v>
      </c>
      <c r="F515">
        <v>1984.27</v>
      </c>
      <c r="G515">
        <f>INDEX(Operational[Production Volume (units)],MATCH(Emission8[[#This Row],[Facility ID]],Operational[Facility ID],0))</f>
        <v>21388</v>
      </c>
      <c r="H515">
        <f>INDEX(Operational[Energy Consumption (MWh)],MATCH(Emission8[[#This Row],[Facility ID]],Operational[Facility ID],0))</f>
        <v>5249.39</v>
      </c>
      <c r="I515">
        <f>INDEX(Operational[Waste (tons)],MATCH(Emission8[[#This Row],[Facility ID]],Operational[Facility ID],0))</f>
        <v>64.2</v>
      </c>
    </row>
    <row r="516" spans="1:9" x14ac:dyDescent="0.3">
      <c r="A516" t="s">
        <v>74</v>
      </c>
      <c r="B516" t="s">
        <v>19</v>
      </c>
      <c r="C516" t="s">
        <v>13</v>
      </c>
      <c r="D516" t="s">
        <v>28</v>
      </c>
      <c r="E516" t="s">
        <v>15</v>
      </c>
      <c r="F516">
        <v>2554.5100000000002</v>
      </c>
      <c r="G516">
        <f>INDEX(Operational[Production Volume (units)],MATCH(Emission8[[#This Row],[Facility ID]],Operational[Facility ID],0))</f>
        <v>18175</v>
      </c>
      <c r="H516">
        <f>INDEX(Operational[Energy Consumption (MWh)],MATCH(Emission8[[#This Row],[Facility ID]],Operational[Facility ID],0))</f>
        <v>8349.49</v>
      </c>
      <c r="I516">
        <f>INDEX(Operational[Waste (tons)],MATCH(Emission8[[#This Row],[Facility ID]],Operational[Facility ID],0))</f>
        <v>39.97</v>
      </c>
    </row>
    <row r="517" spans="1:9" x14ac:dyDescent="0.3">
      <c r="A517" t="s">
        <v>193</v>
      </c>
      <c r="B517" t="s">
        <v>12</v>
      </c>
      <c r="C517" t="s">
        <v>23</v>
      </c>
      <c r="D517" t="s">
        <v>14</v>
      </c>
      <c r="E517" t="s">
        <v>10</v>
      </c>
      <c r="F517">
        <v>2087.4</v>
      </c>
      <c r="G517">
        <f>INDEX(Operational[Production Volume (units)],MATCH(Emission8[[#This Row],[Facility ID]],Operational[Facility ID],0))</f>
        <v>13333</v>
      </c>
      <c r="H517">
        <f>INDEX(Operational[Energy Consumption (MWh)],MATCH(Emission8[[#This Row],[Facility ID]],Operational[Facility ID],0))</f>
        <v>6102.15</v>
      </c>
      <c r="I517">
        <f>INDEX(Operational[Waste (tons)],MATCH(Emission8[[#This Row],[Facility ID]],Operational[Facility ID],0))</f>
        <v>17.670000000000002</v>
      </c>
    </row>
    <row r="518" spans="1:9" x14ac:dyDescent="0.3">
      <c r="A518" t="s">
        <v>121</v>
      </c>
      <c r="B518" t="s">
        <v>30</v>
      </c>
      <c r="C518" t="s">
        <v>34</v>
      </c>
      <c r="D518" t="s">
        <v>28</v>
      </c>
      <c r="E518" t="s">
        <v>15</v>
      </c>
      <c r="F518">
        <v>3785.96</v>
      </c>
      <c r="G518">
        <f>INDEX(Operational[Production Volume (units)],MATCH(Emission8[[#This Row],[Facility ID]],Operational[Facility ID],0))</f>
        <v>58895</v>
      </c>
      <c r="H518">
        <f>INDEX(Operational[Energy Consumption (MWh)],MATCH(Emission8[[#This Row],[Facility ID]],Operational[Facility ID],0))</f>
        <v>3039.17</v>
      </c>
      <c r="I518">
        <f>INDEX(Operational[Waste (tons)],MATCH(Emission8[[#This Row],[Facility ID]],Operational[Facility ID],0))</f>
        <v>59.82</v>
      </c>
    </row>
    <row r="519" spans="1:9" x14ac:dyDescent="0.3">
      <c r="A519" t="s">
        <v>110</v>
      </c>
      <c r="B519" t="s">
        <v>12</v>
      </c>
      <c r="C519" t="s">
        <v>23</v>
      </c>
      <c r="D519" t="s">
        <v>14</v>
      </c>
      <c r="E519" t="s">
        <v>15</v>
      </c>
      <c r="F519">
        <v>4818.79</v>
      </c>
      <c r="G519">
        <f>INDEX(Operational[Production Volume (units)],MATCH(Emission8[[#This Row],[Facility ID]],Operational[Facility ID],0))</f>
        <v>70481</v>
      </c>
      <c r="H519">
        <f>INDEX(Operational[Energy Consumption (MWh)],MATCH(Emission8[[#This Row],[Facility ID]],Operational[Facility ID],0))</f>
        <v>4452.83</v>
      </c>
      <c r="I519">
        <f>INDEX(Operational[Waste (tons)],MATCH(Emission8[[#This Row],[Facility ID]],Operational[Facility ID],0))</f>
        <v>91.26</v>
      </c>
    </row>
    <row r="520" spans="1:9" x14ac:dyDescent="0.3">
      <c r="A520" t="s">
        <v>105</v>
      </c>
      <c r="B520" t="s">
        <v>30</v>
      </c>
      <c r="C520" t="s">
        <v>13</v>
      </c>
      <c r="D520" t="s">
        <v>14</v>
      </c>
      <c r="E520" t="s">
        <v>15</v>
      </c>
      <c r="F520">
        <v>4888.34</v>
      </c>
      <c r="G520">
        <f>INDEX(Operational[Production Volume (units)],MATCH(Emission8[[#This Row],[Facility ID]],Operational[Facility ID],0))</f>
        <v>87337</v>
      </c>
      <c r="H520">
        <f>INDEX(Operational[Energy Consumption (MWh)],MATCH(Emission8[[#This Row],[Facility ID]],Operational[Facility ID],0))</f>
        <v>3603.06</v>
      </c>
      <c r="I520">
        <f>INDEX(Operational[Waste (tons)],MATCH(Emission8[[#This Row],[Facility ID]],Operational[Facility ID],0))</f>
        <v>67.13</v>
      </c>
    </row>
    <row r="521" spans="1:9" x14ac:dyDescent="0.3">
      <c r="A521" t="s">
        <v>16</v>
      </c>
      <c r="B521" t="s">
        <v>17</v>
      </c>
      <c r="C521" t="s">
        <v>34</v>
      </c>
      <c r="D521" t="s">
        <v>14</v>
      </c>
      <c r="E521" t="s">
        <v>15</v>
      </c>
      <c r="F521">
        <v>3595.37</v>
      </c>
      <c r="G521">
        <f>INDEX(Operational[Production Volume (units)],MATCH(Emission8[[#This Row],[Facility ID]],Operational[Facility ID],0))</f>
        <v>43512</v>
      </c>
      <c r="H521">
        <f>INDEX(Operational[Energy Consumption (MWh)],MATCH(Emission8[[#This Row],[Facility ID]],Operational[Facility ID],0))</f>
        <v>5352.18</v>
      </c>
      <c r="I521">
        <f>INDEX(Operational[Waste (tons)],MATCH(Emission8[[#This Row],[Facility ID]],Operational[Facility ID],0))</f>
        <v>6.17</v>
      </c>
    </row>
    <row r="522" spans="1:9" x14ac:dyDescent="0.3">
      <c r="A522" t="s">
        <v>109</v>
      </c>
      <c r="B522" t="s">
        <v>12</v>
      </c>
      <c r="C522" t="s">
        <v>34</v>
      </c>
      <c r="D522" t="s">
        <v>14</v>
      </c>
      <c r="E522" t="s">
        <v>10</v>
      </c>
      <c r="F522">
        <v>4258.79</v>
      </c>
      <c r="G522">
        <f>INDEX(Operational[Production Volume (units)],MATCH(Emission8[[#This Row],[Facility ID]],Operational[Facility ID],0))</f>
        <v>84721</v>
      </c>
      <c r="H522">
        <f>INDEX(Operational[Energy Consumption (MWh)],MATCH(Emission8[[#This Row],[Facility ID]],Operational[Facility ID],0))</f>
        <v>2278.9699999999998</v>
      </c>
      <c r="I522">
        <f>INDEX(Operational[Waste (tons)],MATCH(Emission8[[#This Row],[Facility ID]],Operational[Facility ID],0))</f>
        <v>68.53</v>
      </c>
    </row>
    <row r="523" spans="1:9" x14ac:dyDescent="0.3">
      <c r="A523" t="s">
        <v>186</v>
      </c>
      <c r="B523" t="s">
        <v>30</v>
      </c>
      <c r="C523" t="s">
        <v>34</v>
      </c>
      <c r="D523" t="s">
        <v>28</v>
      </c>
      <c r="E523" t="s">
        <v>15</v>
      </c>
      <c r="F523">
        <v>2679.07</v>
      </c>
      <c r="G523">
        <f>INDEX(Operational[Production Volume (units)],MATCH(Emission8[[#This Row],[Facility ID]],Operational[Facility ID],0))</f>
        <v>85868</v>
      </c>
      <c r="H523">
        <f>INDEX(Operational[Energy Consumption (MWh)],MATCH(Emission8[[#This Row],[Facility ID]],Operational[Facility ID],0))</f>
        <v>907.72</v>
      </c>
      <c r="I523">
        <f>INDEX(Operational[Waste (tons)],MATCH(Emission8[[#This Row],[Facility ID]],Operational[Facility ID],0))</f>
        <v>90.36</v>
      </c>
    </row>
    <row r="524" spans="1:9" x14ac:dyDescent="0.3">
      <c r="A524" t="s">
        <v>53</v>
      </c>
      <c r="B524" t="s">
        <v>7</v>
      </c>
      <c r="C524" t="s">
        <v>8</v>
      </c>
      <c r="D524" t="s">
        <v>28</v>
      </c>
      <c r="E524" t="s">
        <v>24</v>
      </c>
      <c r="F524">
        <v>3884.75</v>
      </c>
      <c r="G524">
        <f>INDEX(Operational[Production Volume (units)],MATCH(Emission8[[#This Row],[Facility ID]],Operational[Facility ID],0))</f>
        <v>90632</v>
      </c>
      <c r="H524">
        <f>INDEX(Operational[Energy Consumption (MWh)],MATCH(Emission8[[#This Row],[Facility ID]],Operational[Facility ID],0))</f>
        <v>5292.17</v>
      </c>
      <c r="I524">
        <f>INDEX(Operational[Waste (tons)],MATCH(Emission8[[#This Row],[Facility ID]],Operational[Facility ID],0))</f>
        <v>78.45</v>
      </c>
    </row>
    <row r="525" spans="1:9" x14ac:dyDescent="0.3">
      <c r="A525" t="s">
        <v>52</v>
      </c>
      <c r="B525" t="s">
        <v>19</v>
      </c>
      <c r="C525" t="s">
        <v>34</v>
      </c>
      <c r="D525" t="s">
        <v>28</v>
      </c>
      <c r="E525" t="s">
        <v>24</v>
      </c>
      <c r="F525">
        <v>3771</v>
      </c>
      <c r="G525">
        <f>INDEX(Operational[Production Volume (units)],MATCH(Emission8[[#This Row],[Facility ID]],Operational[Facility ID],0))</f>
        <v>94949</v>
      </c>
      <c r="H525">
        <f>INDEX(Operational[Energy Consumption (MWh)],MATCH(Emission8[[#This Row],[Facility ID]],Operational[Facility ID],0))</f>
        <v>9714.76</v>
      </c>
      <c r="I525">
        <f>INDEX(Operational[Waste (tons)],MATCH(Emission8[[#This Row],[Facility ID]],Operational[Facility ID],0))</f>
        <v>64.900000000000006</v>
      </c>
    </row>
    <row r="526" spans="1:9" x14ac:dyDescent="0.3">
      <c r="A526" t="s">
        <v>152</v>
      </c>
      <c r="B526" t="s">
        <v>30</v>
      </c>
      <c r="C526" t="s">
        <v>8</v>
      </c>
      <c r="D526" t="s">
        <v>9</v>
      </c>
      <c r="E526" t="s">
        <v>10</v>
      </c>
      <c r="F526">
        <v>3711.39</v>
      </c>
      <c r="G526">
        <f>INDEX(Operational[Production Volume (units)],MATCH(Emission8[[#This Row],[Facility ID]],Operational[Facility ID],0))</f>
        <v>21914</v>
      </c>
      <c r="H526">
        <f>INDEX(Operational[Energy Consumption (MWh)],MATCH(Emission8[[#This Row],[Facility ID]],Operational[Facility ID],0))</f>
        <v>5897.27</v>
      </c>
      <c r="I526">
        <f>INDEX(Operational[Waste (tons)],MATCH(Emission8[[#This Row],[Facility ID]],Operational[Facility ID],0))</f>
        <v>49.41</v>
      </c>
    </row>
    <row r="527" spans="1:9" x14ac:dyDescent="0.3">
      <c r="A527" t="s">
        <v>74</v>
      </c>
      <c r="B527" t="s">
        <v>19</v>
      </c>
      <c r="C527" t="s">
        <v>34</v>
      </c>
      <c r="D527" t="s">
        <v>14</v>
      </c>
      <c r="E527" t="s">
        <v>15</v>
      </c>
      <c r="F527">
        <v>506.34</v>
      </c>
      <c r="G527">
        <f>INDEX(Operational[Production Volume (units)],MATCH(Emission8[[#This Row],[Facility ID]],Operational[Facility ID],0))</f>
        <v>18175</v>
      </c>
      <c r="H527">
        <f>INDEX(Operational[Energy Consumption (MWh)],MATCH(Emission8[[#This Row],[Facility ID]],Operational[Facility ID],0))</f>
        <v>8349.49</v>
      </c>
      <c r="I527">
        <f>INDEX(Operational[Waste (tons)],MATCH(Emission8[[#This Row],[Facility ID]],Operational[Facility ID],0))</f>
        <v>39.97</v>
      </c>
    </row>
    <row r="528" spans="1:9" x14ac:dyDescent="0.3">
      <c r="A528" t="s">
        <v>67</v>
      </c>
      <c r="B528" t="s">
        <v>7</v>
      </c>
      <c r="C528" t="s">
        <v>8</v>
      </c>
      <c r="D528" t="s">
        <v>9</v>
      </c>
      <c r="E528" t="s">
        <v>10</v>
      </c>
      <c r="F528">
        <v>2868.75</v>
      </c>
      <c r="G528">
        <f>INDEX(Operational[Production Volume (units)],MATCH(Emission8[[#This Row],[Facility ID]],Operational[Facility ID],0))</f>
        <v>70582</v>
      </c>
      <c r="H528">
        <f>INDEX(Operational[Energy Consumption (MWh)],MATCH(Emission8[[#This Row],[Facility ID]],Operational[Facility ID],0))</f>
        <v>7517.59</v>
      </c>
      <c r="I528">
        <f>INDEX(Operational[Waste (tons)],MATCH(Emission8[[#This Row],[Facility ID]],Operational[Facility ID],0))</f>
        <v>95.71</v>
      </c>
    </row>
    <row r="529" spans="1:9" x14ac:dyDescent="0.3">
      <c r="A529" t="s">
        <v>180</v>
      </c>
      <c r="B529" t="s">
        <v>30</v>
      </c>
      <c r="C529" t="s">
        <v>13</v>
      </c>
      <c r="D529" t="s">
        <v>28</v>
      </c>
      <c r="E529" t="s">
        <v>15</v>
      </c>
      <c r="F529">
        <v>4633.6899999999996</v>
      </c>
      <c r="G529">
        <f>INDEX(Operational[Production Volume (units)],MATCH(Emission8[[#This Row],[Facility ID]],Operational[Facility ID],0))</f>
        <v>72846</v>
      </c>
      <c r="H529">
        <f>INDEX(Operational[Energy Consumption (MWh)],MATCH(Emission8[[#This Row],[Facility ID]],Operational[Facility ID],0))</f>
        <v>5169.53</v>
      </c>
      <c r="I529">
        <f>INDEX(Operational[Waste (tons)],MATCH(Emission8[[#This Row],[Facility ID]],Operational[Facility ID],0))</f>
        <v>76.709999999999994</v>
      </c>
    </row>
    <row r="530" spans="1:9" x14ac:dyDescent="0.3">
      <c r="A530" t="s">
        <v>63</v>
      </c>
      <c r="B530" t="s">
        <v>12</v>
      </c>
      <c r="C530" t="s">
        <v>23</v>
      </c>
      <c r="D530" t="s">
        <v>28</v>
      </c>
      <c r="E530" t="s">
        <v>15</v>
      </c>
      <c r="F530">
        <v>822.11</v>
      </c>
      <c r="G530">
        <f>INDEX(Operational[Production Volume (units)],MATCH(Emission8[[#This Row],[Facility ID]],Operational[Facility ID],0))</f>
        <v>33688</v>
      </c>
      <c r="H530">
        <f>INDEX(Operational[Energy Consumption (MWh)],MATCH(Emission8[[#This Row],[Facility ID]],Operational[Facility ID],0))</f>
        <v>9495.48</v>
      </c>
      <c r="I530">
        <f>INDEX(Operational[Waste (tons)],MATCH(Emission8[[#This Row],[Facility ID]],Operational[Facility ID],0))</f>
        <v>55.55</v>
      </c>
    </row>
    <row r="531" spans="1:9" x14ac:dyDescent="0.3">
      <c r="A531" t="s">
        <v>119</v>
      </c>
      <c r="B531" t="s">
        <v>30</v>
      </c>
      <c r="C531" t="s">
        <v>34</v>
      </c>
      <c r="D531" t="s">
        <v>28</v>
      </c>
      <c r="E531" t="s">
        <v>24</v>
      </c>
      <c r="F531">
        <v>381.04</v>
      </c>
      <c r="G531">
        <f>INDEX(Operational[Production Volume (units)],MATCH(Emission8[[#This Row],[Facility ID]],Operational[Facility ID],0))</f>
        <v>80488</v>
      </c>
      <c r="H531">
        <f>INDEX(Operational[Energy Consumption (MWh)],MATCH(Emission8[[#This Row],[Facility ID]],Operational[Facility ID],0))</f>
        <v>7629.95</v>
      </c>
      <c r="I531">
        <f>INDEX(Operational[Waste (tons)],MATCH(Emission8[[#This Row],[Facility ID]],Operational[Facility ID],0))</f>
        <v>63.83</v>
      </c>
    </row>
    <row r="532" spans="1:9" x14ac:dyDescent="0.3">
      <c r="A532" t="s">
        <v>113</v>
      </c>
      <c r="B532" t="s">
        <v>30</v>
      </c>
      <c r="C532" t="s">
        <v>23</v>
      </c>
      <c r="D532" t="s">
        <v>14</v>
      </c>
      <c r="E532" t="s">
        <v>10</v>
      </c>
      <c r="F532">
        <v>4854.5</v>
      </c>
      <c r="G532">
        <f>INDEX(Operational[Production Volume (units)],MATCH(Emission8[[#This Row],[Facility ID]],Operational[Facility ID],0))</f>
        <v>90679</v>
      </c>
      <c r="H532">
        <f>INDEX(Operational[Energy Consumption (MWh)],MATCH(Emission8[[#This Row],[Facility ID]],Operational[Facility ID],0))</f>
        <v>7266.82</v>
      </c>
      <c r="I532">
        <f>INDEX(Operational[Waste (tons)],MATCH(Emission8[[#This Row],[Facility ID]],Operational[Facility ID],0))</f>
        <v>23.3</v>
      </c>
    </row>
    <row r="533" spans="1:9" x14ac:dyDescent="0.3">
      <c r="A533" t="s">
        <v>38</v>
      </c>
      <c r="B533" t="s">
        <v>30</v>
      </c>
      <c r="C533" t="s">
        <v>34</v>
      </c>
      <c r="D533" t="s">
        <v>14</v>
      </c>
      <c r="E533" t="s">
        <v>10</v>
      </c>
      <c r="F533">
        <v>4069.56</v>
      </c>
      <c r="G533">
        <f>INDEX(Operational[Production Volume (units)],MATCH(Emission8[[#This Row],[Facility ID]],Operational[Facility ID],0))</f>
        <v>57215</v>
      </c>
      <c r="H533">
        <f>INDEX(Operational[Energy Consumption (MWh)],MATCH(Emission8[[#This Row],[Facility ID]],Operational[Facility ID],0))</f>
        <v>3227.1</v>
      </c>
      <c r="I533">
        <f>INDEX(Operational[Waste (tons)],MATCH(Emission8[[#This Row],[Facility ID]],Operational[Facility ID],0))</f>
        <v>32.909999999999997</v>
      </c>
    </row>
    <row r="534" spans="1:9" x14ac:dyDescent="0.3">
      <c r="A534" t="s">
        <v>141</v>
      </c>
      <c r="B534" t="s">
        <v>7</v>
      </c>
      <c r="C534" t="s">
        <v>8</v>
      </c>
      <c r="D534" t="s">
        <v>28</v>
      </c>
      <c r="E534" t="s">
        <v>24</v>
      </c>
      <c r="F534">
        <v>4573.76</v>
      </c>
      <c r="G534">
        <f>INDEX(Operational[Production Volume (units)],MATCH(Emission8[[#This Row],[Facility ID]],Operational[Facility ID],0))</f>
        <v>45644</v>
      </c>
      <c r="H534">
        <f>INDEX(Operational[Energy Consumption (MWh)],MATCH(Emission8[[#This Row],[Facility ID]],Operational[Facility ID],0))</f>
        <v>7724.73</v>
      </c>
      <c r="I534">
        <f>INDEX(Operational[Waste (tons)],MATCH(Emission8[[#This Row],[Facility ID]],Operational[Facility ID],0))</f>
        <v>31</v>
      </c>
    </row>
    <row r="535" spans="1:9" x14ac:dyDescent="0.3">
      <c r="A535" t="s">
        <v>160</v>
      </c>
      <c r="B535" t="s">
        <v>30</v>
      </c>
      <c r="C535" t="s">
        <v>34</v>
      </c>
      <c r="D535" t="s">
        <v>28</v>
      </c>
      <c r="E535" t="s">
        <v>15</v>
      </c>
      <c r="F535">
        <v>202.63</v>
      </c>
      <c r="G535">
        <f>INDEX(Operational[Production Volume (units)],MATCH(Emission8[[#This Row],[Facility ID]],Operational[Facility ID],0))</f>
        <v>18341</v>
      </c>
      <c r="H535">
        <f>INDEX(Operational[Energy Consumption (MWh)],MATCH(Emission8[[#This Row],[Facility ID]],Operational[Facility ID],0))</f>
        <v>8465.57</v>
      </c>
      <c r="I535">
        <f>INDEX(Operational[Waste (tons)],MATCH(Emission8[[#This Row],[Facility ID]],Operational[Facility ID],0))</f>
        <v>38.39</v>
      </c>
    </row>
    <row r="536" spans="1:9" x14ac:dyDescent="0.3">
      <c r="A536" t="s">
        <v>107</v>
      </c>
      <c r="B536" t="s">
        <v>30</v>
      </c>
      <c r="C536" t="s">
        <v>34</v>
      </c>
      <c r="D536" t="s">
        <v>14</v>
      </c>
      <c r="E536" t="s">
        <v>10</v>
      </c>
      <c r="F536">
        <v>948.57</v>
      </c>
      <c r="G536">
        <f>INDEX(Operational[Production Volume (units)],MATCH(Emission8[[#This Row],[Facility ID]],Operational[Facility ID],0))</f>
        <v>69305</v>
      </c>
      <c r="H536">
        <f>INDEX(Operational[Energy Consumption (MWh)],MATCH(Emission8[[#This Row],[Facility ID]],Operational[Facility ID],0))</f>
        <v>3203.67</v>
      </c>
      <c r="I536">
        <f>INDEX(Operational[Waste (tons)],MATCH(Emission8[[#This Row],[Facility ID]],Operational[Facility ID],0))</f>
        <v>83.65</v>
      </c>
    </row>
    <row r="537" spans="1:9" x14ac:dyDescent="0.3">
      <c r="A537" t="s">
        <v>155</v>
      </c>
      <c r="B537" t="s">
        <v>7</v>
      </c>
      <c r="C537" t="s">
        <v>23</v>
      </c>
      <c r="D537" t="s">
        <v>9</v>
      </c>
      <c r="E537" t="s">
        <v>24</v>
      </c>
      <c r="F537">
        <v>1391.94</v>
      </c>
      <c r="G537">
        <f>INDEX(Operational[Production Volume (units)],MATCH(Emission8[[#This Row],[Facility ID]],Operational[Facility ID],0))</f>
        <v>72224</v>
      </c>
      <c r="H537">
        <f>INDEX(Operational[Energy Consumption (MWh)],MATCH(Emission8[[#This Row],[Facility ID]],Operational[Facility ID],0))</f>
        <v>1613.32</v>
      </c>
      <c r="I537">
        <f>INDEX(Operational[Waste (tons)],MATCH(Emission8[[#This Row],[Facility ID]],Operational[Facility ID],0))</f>
        <v>39.21</v>
      </c>
    </row>
    <row r="538" spans="1:9" x14ac:dyDescent="0.3">
      <c r="A538" t="s">
        <v>103</v>
      </c>
      <c r="B538" t="s">
        <v>19</v>
      </c>
      <c r="C538" t="s">
        <v>8</v>
      </c>
      <c r="D538" t="s">
        <v>9</v>
      </c>
      <c r="E538" t="s">
        <v>10</v>
      </c>
      <c r="F538">
        <v>262.76</v>
      </c>
      <c r="G538">
        <f>INDEX(Operational[Production Volume (units)],MATCH(Emission8[[#This Row],[Facility ID]],Operational[Facility ID],0))</f>
        <v>38869</v>
      </c>
      <c r="H538">
        <f>INDEX(Operational[Energy Consumption (MWh)],MATCH(Emission8[[#This Row],[Facility ID]],Operational[Facility ID],0))</f>
        <v>5109.76</v>
      </c>
      <c r="I538">
        <f>INDEX(Operational[Waste (tons)],MATCH(Emission8[[#This Row],[Facility ID]],Operational[Facility ID],0))</f>
        <v>35.270000000000003</v>
      </c>
    </row>
    <row r="539" spans="1:9" x14ac:dyDescent="0.3">
      <c r="A539" t="s">
        <v>53</v>
      </c>
      <c r="B539" t="s">
        <v>7</v>
      </c>
      <c r="C539" t="s">
        <v>23</v>
      </c>
      <c r="D539" t="s">
        <v>28</v>
      </c>
      <c r="E539" t="s">
        <v>24</v>
      </c>
      <c r="F539">
        <v>1987.36</v>
      </c>
      <c r="G539">
        <f>INDEX(Operational[Production Volume (units)],MATCH(Emission8[[#This Row],[Facility ID]],Operational[Facility ID],0))</f>
        <v>90632</v>
      </c>
      <c r="H539">
        <f>INDEX(Operational[Energy Consumption (MWh)],MATCH(Emission8[[#This Row],[Facility ID]],Operational[Facility ID],0))</f>
        <v>5292.17</v>
      </c>
      <c r="I539">
        <f>INDEX(Operational[Waste (tons)],MATCH(Emission8[[#This Row],[Facility ID]],Operational[Facility ID],0))</f>
        <v>78.45</v>
      </c>
    </row>
    <row r="540" spans="1:9" x14ac:dyDescent="0.3">
      <c r="A540" t="s">
        <v>178</v>
      </c>
      <c r="B540" t="s">
        <v>30</v>
      </c>
      <c r="C540" t="s">
        <v>34</v>
      </c>
      <c r="D540" t="s">
        <v>14</v>
      </c>
      <c r="E540" t="s">
        <v>10</v>
      </c>
      <c r="F540">
        <v>4710.57</v>
      </c>
      <c r="G540">
        <f>INDEX(Operational[Production Volume (units)],MATCH(Emission8[[#This Row],[Facility ID]],Operational[Facility ID],0))</f>
        <v>88188</v>
      </c>
      <c r="H540">
        <f>INDEX(Operational[Energy Consumption (MWh)],MATCH(Emission8[[#This Row],[Facility ID]],Operational[Facility ID],0))</f>
        <v>815.86</v>
      </c>
      <c r="I540">
        <f>INDEX(Operational[Waste (tons)],MATCH(Emission8[[#This Row],[Facility ID]],Operational[Facility ID],0))</f>
        <v>57.53</v>
      </c>
    </row>
    <row r="541" spans="1:9" x14ac:dyDescent="0.3">
      <c r="A541" t="s">
        <v>135</v>
      </c>
      <c r="B541" t="s">
        <v>12</v>
      </c>
      <c r="C541" t="s">
        <v>23</v>
      </c>
      <c r="D541" t="s">
        <v>9</v>
      </c>
      <c r="E541" t="s">
        <v>15</v>
      </c>
      <c r="F541">
        <v>897.12</v>
      </c>
      <c r="G541">
        <f>INDEX(Operational[Production Volume (units)],MATCH(Emission8[[#This Row],[Facility ID]],Operational[Facility ID],0))</f>
        <v>39560</v>
      </c>
      <c r="H541">
        <f>INDEX(Operational[Energy Consumption (MWh)],MATCH(Emission8[[#This Row],[Facility ID]],Operational[Facility ID],0))</f>
        <v>8380.77</v>
      </c>
      <c r="I541">
        <f>INDEX(Operational[Waste (tons)],MATCH(Emission8[[#This Row],[Facility ID]],Operational[Facility ID],0))</f>
        <v>94.01</v>
      </c>
    </row>
    <row r="542" spans="1:9" x14ac:dyDescent="0.3">
      <c r="A542" t="s">
        <v>52</v>
      </c>
      <c r="B542" t="s">
        <v>19</v>
      </c>
      <c r="C542" t="s">
        <v>8</v>
      </c>
      <c r="D542" t="s">
        <v>28</v>
      </c>
      <c r="E542" t="s">
        <v>10</v>
      </c>
      <c r="F542">
        <v>4466.1000000000004</v>
      </c>
      <c r="G542">
        <f>INDEX(Operational[Production Volume (units)],MATCH(Emission8[[#This Row],[Facility ID]],Operational[Facility ID],0))</f>
        <v>94949</v>
      </c>
      <c r="H542">
        <f>INDEX(Operational[Energy Consumption (MWh)],MATCH(Emission8[[#This Row],[Facility ID]],Operational[Facility ID],0))</f>
        <v>9714.76</v>
      </c>
      <c r="I542">
        <f>INDEX(Operational[Waste (tons)],MATCH(Emission8[[#This Row],[Facility ID]],Operational[Facility ID],0))</f>
        <v>64.900000000000006</v>
      </c>
    </row>
    <row r="543" spans="1:9" x14ac:dyDescent="0.3">
      <c r="A543" t="s">
        <v>55</v>
      </c>
      <c r="B543" t="s">
        <v>12</v>
      </c>
      <c r="C543" t="s">
        <v>13</v>
      </c>
      <c r="D543" t="s">
        <v>28</v>
      </c>
      <c r="E543" t="s">
        <v>24</v>
      </c>
      <c r="F543">
        <v>4306.16</v>
      </c>
      <c r="G543">
        <f>INDEX(Operational[Production Volume (units)],MATCH(Emission8[[#This Row],[Facility ID]],Operational[Facility ID],0))</f>
        <v>38181</v>
      </c>
      <c r="H543">
        <f>INDEX(Operational[Energy Consumption (MWh)],MATCH(Emission8[[#This Row],[Facility ID]],Operational[Facility ID],0))</f>
        <v>691.84</v>
      </c>
      <c r="I543">
        <f>INDEX(Operational[Waste (tons)],MATCH(Emission8[[#This Row],[Facility ID]],Operational[Facility ID],0))</f>
        <v>33.53</v>
      </c>
    </row>
    <row r="544" spans="1:9" x14ac:dyDescent="0.3">
      <c r="A544" t="s">
        <v>205</v>
      </c>
      <c r="B544" t="s">
        <v>17</v>
      </c>
      <c r="C544" t="s">
        <v>13</v>
      </c>
      <c r="D544" t="s">
        <v>28</v>
      </c>
      <c r="E544" t="s">
        <v>24</v>
      </c>
      <c r="F544">
        <v>3510.58</v>
      </c>
      <c r="G544">
        <f>INDEX(Operational[Production Volume (units)],MATCH(Emission8[[#This Row],[Facility ID]],Operational[Facility ID],0))</f>
        <v>52594</v>
      </c>
      <c r="H544">
        <f>INDEX(Operational[Energy Consumption (MWh)],MATCH(Emission8[[#This Row],[Facility ID]],Operational[Facility ID],0))</f>
        <v>8715.0400000000009</v>
      </c>
      <c r="I544">
        <f>INDEX(Operational[Waste (tons)],MATCH(Emission8[[#This Row],[Facility ID]],Operational[Facility ID],0))</f>
        <v>90.54</v>
      </c>
    </row>
    <row r="545" spans="1:9" x14ac:dyDescent="0.3">
      <c r="A545" t="s">
        <v>50</v>
      </c>
      <c r="B545" t="s">
        <v>19</v>
      </c>
      <c r="C545" t="s">
        <v>13</v>
      </c>
      <c r="D545" t="s">
        <v>14</v>
      </c>
      <c r="E545" t="s">
        <v>24</v>
      </c>
      <c r="F545">
        <v>1053.8399999999999</v>
      </c>
      <c r="G545">
        <f>INDEX(Operational[Production Volume (units)],MATCH(Emission8[[#This Row],[Facility ID]],Operational[Facility ID],0))</f>
        <v>40577</v>
      </c>
      <c r="H545">
        <f>INDEX(Operational[Energy Consumption (MWh)],MATCH(Emission8[[#This Row],[Facility ID]],Operational[Facility ID],0))</f>
        <v>4280.82</v>
      </c>
      <c r="I545">
        <f>INDEX(Operational[Waste (tons)],MATCH(Emission8[[#This Row],[Facility ID]],Operational[Facility ID],0))</f>
        <v>79.88</v>
      </c>
    </row>
    <row r="546" spans="1:9" x14ac:dyDescent="0.3">
      <c r="A546" t="s">
        <v>185</v>
      </c>
      <c r="B546" t="s">
        <v>30</v>
      </c>
      <c r="C546" t="s">
        <v>13</v>
      </c>
      <c r="D546" t="s">
        <v>14</v>
      </c>
      <c r="E546" t="s">
        <v>15</v>
      </c>
      <c r="F546">
        <v>1084.81</v>
      </c>
      <c r="G546">
        <f>INDEX(Operational[Production Volume (units)],MATCH(Emission8[[#This Row],[Facility ID]],Operational[Facility ID],0))</f>
        <v>24913</v>
      </c>
      <c r="H546">
        <f>INDEX(Operational[Energy Consumption (MWh)],MATCH(Emission8[[#This Row],[Facility ID]],Operational[Facility ID],0))</f>
        <v>5727.27</v>
      </c>
      <c r="I546">
        <f>INDEX(Operational[Waste (tons)],MATCH(Emission8[[#This Row],[Facility ID]],Operational[Facility ID],0))</f>
        <v>78.849999999999994</v>
      </c>
    </row>
    <row r="547" spans="1:9" x14ac:dyDescent="0.3">
      <c r="A547" t="s">
        <v>124</v>
      </c>
      <c r="B547" t="s">
        <v>12</v>
      </c>
      <c r="C547" t="s">
        <v>34</v>
      </c>
      <c r="D547" t="s">
        <v>14</v>
      </c>
      <c r="E547" t="s">
        <v>10</v>
      </c>
      <c r="F547">
        <v>618.54</v>
      </c>
      <c r="G547">
        <f>INDEX(Operational[Production Volume (units)],MATCH(Emission8[[#This Row],[Facility ID]],Operational[Facility ID],0))</f>
        <v>47491</v>
      </c>
      <c r="H547">
        <f>INDEX(Operational[Energy Consumption (MWh)],MATCH(Emission8[[#This Row],[Facility ID]],Operational[Facility ID],0))</f>
        <v>5781.05</v>
      </c>
      <c r="I547">
        <f>INDEX(Operational[Waste (tons)],MATCH(Emission8[[#This Row],[Facility ID]],Operational[Facility ID],0))</f>
        <v>92.18</v>
      </c>
    </row>
    <row r="548" spans="1:9" x14ac:dyDescent="0.3">
      <c r="A548" t="s">
        <v>138</v>
      </c>
      <c r="B548" t="s">
        <v>12</v>
      </c>
      <c r="C548" t="s">
        <v>13</v>
      </c>
      <c r="D548" t="s">
        <v>28</v>
      </c>
      <c r="E548" t="s">
        <v>24</v>
      </c>
      <c r="F548">
        <v>3730.83</v>
      </c>
      <c r="G548">
        <f>INDEX(Operational[Production Volume (units)],MATCH(Emission8[[#This Row],[Facility ID]],Operational[Facility ID],0))</f>
        <v>57353</v>
      </c>
      <c r="H548">
        <f>INDEX(Operational[Energy Consumption (MWh)],MATCH(Emission8[[#This Row],[Facility ID]],Operational[Facility ID],0))</f>
        <v>2274.71</v>
      </c>
      <c r="I548">
        <f>INDEX(Operational[Waste (tons)],MATCH(Emission8[[#This Row],[Facility ID]],Operational[Facility ID],0))</f>
        <v>65.34</v>
      </c>
    </row>
    <row r="549" spans="1:9" x14ac:dyDescent="0.3">
      <c r="A549" t="s">
        <v>178</v>
      </c>
      <c r="B549" t="s">
        <v>30</v>
      </c>
      <c r="C549" t="s">
        <v>8</v>
      </c>
      <c r="D549" t="s">
        <v>9</v>
      </c>
      <c r="E549" t="s">
        <v>24</v>
      </c>
      <c r="F549">
        <v>3608.02</v>
      </c>
      <c r="G549">
        <f>INDEX(Operational[Production Volume (units)],MATCH(Emission8[[#This Row],[Facility ID]],Operational[Facility ID],0))</f>
        <v>88188</v>
      </c>
      <c r="H549">
        <f>INDEX(Operational[Energy Consumption (MWh)],MATCH(Emission8[[#This Row],[Facility ID]],Operational[Facility ID],0))</f>
        <v>815.86</v>
      </c>
      <c r="I549">
        <f>INDEX(Operational[Waste (tons)],MATCH(Emission8[[#This Row],[Facility ID]],Operational[Facility ID],0))</f>
        <v>57.53</v>
      </c>
    </row>
    <row r="550" spans="1:9" x14ac:dyDescent="0.3">
      <c r="A550" t="s">
        <v>129</v>
      </c>
      <c r="B550" t="s">
        <v>17</v>
      </c>
      <c r="C550" t="s">
        <v>34</v>
      </c>
      <c r="D550" t="s">
        <v>14</v>
      </c>
      <c r="E550" t="s">
        <v>24</v>
      </c>
      <c r="F550">
        <v>4037.93</v>
      </c>
      <c r="G550">
        <f>INDEX(Operational[Production Volume (units)],MATCH(Emission8[[#This Row],[Facility ID]],Operational[Facility ID],0))</f>
        <v>95292</v>
      </c>
      <c r="H550">
        <f>INDEX(Operational[Energy Consumption (MWh)],MATCH(Emission8[[#This Row],[Facility ID]],Operational[Facility ID],0))</f>
        <v>697.47</v>
      </c>
      <c r="I550">
        <f>INDEX(Operational[Waste (tons)],MATCH(Emission8[[#This Row],[Facility ID]],Operational[Facility ID],0))</f>
        <v>88.35</v>
      </c>
    </row>
    <row r="551" spans="1:9" x14ac:dyDescent="0.3">
      <c r="A551" t="s">
        <v>35</v>
      </c>
      <c r="B551" t="s">
        <v>19</v>
      </c>
      <c r="C551" t="s">
        <v>8</v>
      </c>
      <c r="D551" t="s">
        <v>9</v>
      </c>
      <c r="E551" t="s">
        <v>24</v>
      </c>
      <c r="F551">
        <v>454.38</v>
      </c>
      <c r="G551">
        <f>INDEX(Operational[Production Volume (units)],MATCH(Emission8[[#This Row],[Facility ID]],Operational[Facility ID],0))</f>
        <v>42382</v>
      </c>
      <c r="H551">
        <f>INDEX(Operational[Energy Consumption (MWh)],MATCH(Emission8[[#This Row],[Facility ID]],Operational[Facility ID],0))</f>
        <v>5116.6899999999996</v>
      </c>
      <c r="I551">
        <f>INDEX(Operational[Waste (tons)],MATCH(Emission8[[#This Row],[Facility ID]],Operational[Facility ID],0))</f>
        <v>80.42</v>
      </c>
    </row>
    <row r="552" spans="1:9" x14ac:dyDescent="0.3">
      <c r="A552" t="s">
        <v>118</v>
      </c>
      <c r="B552" t="s">
        <v>30</v>
      </c>
      <c r="C552" t="s">
        <v>34</v>
      </c>
      <c r="D552" t="s">
        <v>14</v>
      </c>
      <c r="E552" t="s">
        <v>24</v>
      </c>
      <c r="F552">
        <v>3824.73</v>
      </c>
      <c r="G552">
        <f>INDEX(Operational[Production Volume (units)],MATCH(Emission8[[#This Row],[Facility ID]],Operational[Facility ID],0))</f>
        <v>68492</v>
      </c>
      <c r="H552">
        <f>INDEX(Operational[Energy Consumption (MWh)],MATCH(Emission8[[#This Row],[Facility ID]],Operational[Facility ID],0))</f>
        <v>3533.88</v>
      </c>
      <c r="I552">
        <f>INDEX(Operational[Waste (tons)],MATCH(Emission8[[#This Row],[Facility ID]],Operational[Facility ID],0))</f>
        <v>52.99</v>
      </c>
    </row>
    <row r="553" spans="1:9" x14ac:dyDescent="0.3">
      <c r="A553" t="s">
        <v>127</v>
      </c>
      <c r="B553" t="s">
        <v>17</v>
      </c>
      <c r="C553" t="s">
        <v>23</v>
      </c>
      <c r="D553" t="s">
        <v>9</v>
      </c>
      <c r="E553" t="s">
        <v>15</v>
      </c>
      <c r="F553">
        <v>2188.67</v>
      </c>
      <c r="G553">
        <f>INDEX(Operational[Production Volume (units)],MATCH(Emission8[[#This Row],[Facility ID]],Operational[Facility ID],0))</f>
        <v>17416</v>
      </c>
      <c r="H553">
        <f>INDEX(Operational[Energy Consumption (MWh)],MATCH(Emission8[[#This Row],[Facility ID]],Operational[Facility ID],0))</f>
        <v>812.06</v>
      </c>
      <c r="I553">
        <f>INDEX(Operational[Waste (tons)],MATCH(Emission8[[#This Row],[Facility ID]],Operational[Facility ID],0))</f>
        <v>5.7</v>
      </c>
    </row>
    <row r="554" spans="1:9" x14ac:dyDescent="0.3">
      <c r="A554" t="s">
        <v>57</v>
      </c>
      <c r="B554" t="s">
        <v>19</v>
      </c>
      <c r="C554" t="s">
        <v>23</v>
      </c>
      <c r="D554" t="s">
        <v>14</v>
      </c>
      <c r="E554" t="s">
        <v>24</v>
      </c>
      <c r="F554">
        <v>1638.41</v>
      </c>
      <c r="G554">
        <f>INDEX(Operational[Production Volume (units)],MATCH(Emission8[[#This Row],[Facility ID]],Operational[Facility ID],0))</f>
        <v>41027</v>
      </c>
      <c r="H554">
        <f>INDEX(Operational[Energy Consumption (MWh)],MATCH(Emission8[[#This Row],[Facility ID]],Operational[Facility ID],0))</f>
        <v>7285.85</v>
      </c>
      <c r="I554">
        <f>INDEX(Operational[Waste (tons)],MATCH(Emission8[[#This Row],[Facility ID]],Operational[Facility ID],0))</f>
        <v>59.87</v>
      </c>
    </row>
    <row r="555" spans="1:9" x14ac:dyDescent="0.3">
      <c r="A555" t="s">
        <v>41</v>
      </c>
      <c r="B555" t="s">
        <v>30</v>
      </c>
      <c r="C555" t="s">
        <v>8</v>
      </c>
      <c r="D555" t="s">
        <v>14</v>
      </c>
      <c r="E555" t="s">
        <v>15</v>
      </c>
      <c r="F555">
        <v>4638.62</v>
      </c>
      <c r="G555">
        <f>INDEX(Operational[Production Volume (units)],MATCH(Emission8[[#This Row],[Facility ID]],Operational[Facility ID],0))</f>
        <v>61743</v>
      </c>
      <c r="H555">
        <f>INDEX(Operational[Energy Consumption (MWh)],MATCH(Emission8[[#This Row],[Facility ID]],Operational[Facility ID],0))</f>
        <v>7426.75</v>
      </c>
      <c r="I555">
        <f>INDEX(Operational[Waste (tons)],MATCH(Emission8[[#This Row],[Facility ID]],Operational[Facility ID],0))</f>
        <v>26.39</v>
      </c>
    </row>
    <row r="556" spans="1:9" x14ac:dyDescent="0.3">
      <c r="A556" t="s">
        <v>21</v>
      </c>
      <c r="B556" t="s">
        <v>19</v>
      </c>
      <c r="C556" t="s">
        <v>13</v>
      </c>
      <c r="D556" t="s">
        <v>14</v>
      </c>
      <c r="E556" t="s">
        <v>15</v>
      </c>
      <c r="F556">
        <v>2700.91</v>
      </c>
      <c r="G556">
        <f>INDEX(Operational[Production Volume (units)],MATCH(Emission8[[#This Row],[Facility ID]],Operational[Facility ID],0))</f>
        <v>61157</v>
      </c>
      <c r="H556">
        <f>INDEX(Operational[Energy Consumption (MWh)],MATCH(Emission8[[#This Row],[Facility ID]],Operational[Facility ID],0))</f>
        <v>7331.54</v>
      </c>
      <c r="I556">
        <f>INDEX(Operational[Waste (tons)],MATCH(Emission8[[#This Row],[Facility ID]],Operational[Facility ID],0))</f>
        <v>55.52</v>
      </c>
    </row>
    <row r="557" spans="1:9" x14ac:dyDescent="0.3">
      <c r="A557" t="s">
        <v>36</v>
      </c>
      <c r="B557" t="s">
        <v>12</v>
      </c>
      <c r="C557" t="s">
        <v>8</v>
      </c>
      <c r="D557" t="s">
        <v>14</v>
      </c>
      <c r="E557" t="s">
        <v>24</v>
      </c>
      <c r="F557">
        <v>4888.18</v>
      </c>
      <c r="G557">
        <f>INDEX(Operational[Production Volume (units)],MATCH(Emission8[[#This Row],[Facility ID]],Operational[Facility ID],0))</f>
        <v>40226</v>
      </c>
      <c r="H557">
        <f>INDEX(Operational[Energy Consumption (MWh)],MATCH(Emission8[[#This Row],[Facility ID]],Operational[Facility ID],0))</f>
        <v>7868.86</v>
      </c>
      <c r="I557">
        <f>INDEX(Operational[Waste (tons)],MATCH(Emission8[[#This Row],[Facility ID]],Operational[Facility ID],0))</f>
        <v>80.53</v>
      </c>
    </row>
    <row r="558" spans="1:9" x14ac:dyDescent="0.3">
      <c r="A558" t="s">
        <v>79</v>
      </c>
      <c r="B558" t="s">
        <v>17</v>
      </c>
      <c r="C558" t="s">
        <v>8</v>
      </c>
      <c r="D558" t="s">
        <v>9</v>
      </c>
      <c r="E558" t="s">
        <v>10</v>
      </c>
      <c r="F558">
        <v>1395.93</v>
      </c>
      <c r="G558">
        <f>INDEX(Operational[Production Volume (units)],MATCH(Emission8[[#This Row],[Facility ID]],Operational[Facility ID],0))</f>
        <v>40503</v>
      </c>
      <c r="H558">
        <f>INDEX(Operational[Energy Consumption (MWh)],MATCH(Emission8[[#This Row],[Facility ID]],Operational[Facility ID],0))</f>
        <v>7447.46</v>
      </c>
      <c r="I558">
        <f>INDEX(Operational[Waste (tons)],MATCH(Emission8[[#This Row],[Facility ID]],Operational[Facility ID],0))</f>
        <v>98.27</v>
      </c>
    </row>
    <row r="559" spans="1:9" x14ac:dyDescent="0.3">
      <c r="A559" t="s">
        <v>186</v>
      </c>
      <c r="B559" t="s">
        <v>30</v>
      </c>
      <c r="C559" t="s">
        <v>34</v>
      </c>
      <c r="D559" t="s">
        <v>28</v>
      </c>
      <c r="E559" t="s">
        <v>24</v>
      </c>
      <c r="F559">
        <v>2978</v>
      </c>
      <c r="G559">
        <f>INDEX(Operational[Production Volume (units)],MATCH(Emission8[[#This Row],[Facility ID]],Operational[Facility ID],0))</f>
        <v>85868</v>
      </c>
      <c r="H559">
        <f>INDEX(Operational[Energy Consumption (MWh)],MATCH(Emission8[[#This Row],[Facility ID]],Operational[Facility ID],0))</f>
        <v>907.72</v>
      </c>
      <c r="I559">
        <f>INDEX(Operational[Waste (tons)],MATCH(Emission8[[#This Row],[Facility ID]],Operational[Facility ID],0))</f>
        <v>90.36</v>
      </c>
    </row>
    <row r="560" spans="1:9" x14ac:dyDescent="0.3">
      <c r="A560" t="s">
        <v>183</v>
      </c>
      <c r="B560" t="s">
        <v>7</v>
      </c>
      <c r="C560" t="s">
        <v>23</v>
      </c>
      <c r="D560" t="s">
        <v>14</v>
      </c>
      <c r="E560" t="s">
        <v>10</v>
      </c>
      <c r="F560">
        <v>2047.72</v>
      </c>
      <c r="G560">
        <f>INDEX(Operational[Production Volume (units)],MATCH(Emission8[[#This Row],[Facility ID]],Operational[Facility ID],0))</f>
        <v>14009</v>
      </c>
      <c r="H560">
        <f>INDEX(Operational[Energy Consumption (MWh)],MATCH(Emission8[[#This Row],[Facility ID]],Operational[Facility ID],0))</f>
        <v>7528.98</v>
      </c>
      <c r="I560">
        <f>INDEX(Operational[Waste (tons)],MATCH(Emission8[[#This Row],[Facility ID]],Operational[Facility ID],0))</f>
        <v>77.62</v>
      </c>
    </row>
    <row r="561" spans="1:9" x14ac:dyDescent="0.3">
      <c r="A561" t="s">
        <v>206</v>
      </c>
      <c r="B561" t="s">
        <v>19</v>
      </c>
      <c r="C561" t="s">
        <v>23</v>
      </c>
      <c r="D561" t="s">
        <v>14</v>
      </c>
      <c r="E561" t="s">
        <v>15</v>
      </c>
      <c r="F561">
        <v>2384.92</v>
      </c>
      <c r="G561">
        <f>INDEX(Operational[Production Volume (units)],MATCH(Emission8[[#This Row],[Facility ID]],Operational[Facility ID],0))</f>
        <v>10250</v>
      </c>
      <c r="H561">
        <f>INDEX(Operational[Energy Consumption (MWh)],MATCH(Emission8[[#This Row],[Facility ID]],Operational[Facility ID],0))</f>
        <v>4717</v>
      </c>
      <c r="I561">
        <f>INDEX(Operational[Waste (tons)],MATCH(Emission8[[#This Row],[Facility ID]],Operational[Facility ID],0))</f>
        <v>16.600000000000001</v>
      </c>
    </row>
    <row r="562" spans="1:9" x14ac:dyDescent="0.3">
      <c r="A562" t="s">
        <v>80</v>
      </c>
      <c r="B562" t="s">
        <v>17</v>
      </c>
      <c r="C562" t="s">
        <v>23</v>
      </c>
      <c r="D562" t="s">
        <v>9</v>
      </c>
      <c r="E562" t="s">
        <v>10</v>
      </c>
      <c r="F562">
        <v>1560.19</v>
      </c>
      <c r="G562">
        <f>INDEX(Operational[Production Volume (units)],MATCH(Emission8[[#This Row],[Facility ID]],Operational[Facility ID],0))</f>
        <v>75508</v>
      </c>
      <c r="H562">
        <f>INDEX(Operational[Energy Consumption (MWh)],MATCH(Emission8[[#This Row],[Facility ID]],Operational[Facility ID],0))</f>
        <v>6856.22</v>
      </c>
      <c r="I562">
        <f>INDEX(Operational[Waste (tons)],MATCH(Emission8[[#This Row],[Facility ID]],Operational[Facility ID],0))</f>
        <v>18.2</v>
      </c>
    </row>
    <row r="563" spans="1:9" x14ac:dyDescent="0.3">
      <c r="A563" t="s">
        <v>64</v>
      </c>
      <c r="B563" t="s">
        <v>30</v>
      </c>
      <c r="C563" t="s">
        <v>8</v>
      </c>
      <c r="D563" t="s">
        <v>14</v>
      </c>
      <c r="E563" t="s">
        <v>24</v>
      </c>
      <c r="F563">
        <v>4290.7299999999996</v>
      </c>
      <c r="G563">
        <f>INDEX(Operational[Production Volume (units)],MATCH(Emission8[[#This Row],[Facility ID]],Operational[Facility ID],0))</f>
        <v>52836</v>
      </c>
      <c r="H563">
        <f>INDEX(Operational[Energy Consumption (MWh)],MATCH(Emission8[[#This Row],[Facility ID]],Operational[Facility ID],0))</f>
        <v>9330.2999999999993</v>
      </c>
      <c r="I563">
        <f>INDEX(Operational[Waste (tons)],MATCH(Emission8[[#This Row],[Facility ID]],Operational[Facility ID],0))</f>
        <v>87.27</v>
      </c>
    </row>
    <row r="564" spans="1:9" x14ac:dyDescent="0.3">
      <c r="A564" t="s">
        <v>192</v>
      </c>
      <c r="B564" t="s">
        <v>19</v>
      </c>
      <c r="C564" t="s">
        <v>8</v>
      </c>
      <c r="D564" t="s">
        <v>9</v>
      </c>
      <c r="E564" t="s">
        <v>24</v>
      </c>
      <c r="F564">
        <v>2521.88</v>
      </c>
      <c r="G564">
        <f>INDEX(Operational[Production Volume (units)],MATCH(Emission8[[#This Row],[Facility ID]],Operational[Facility ID],0))</f>
        <v>43227</v>
      </c>
      <c r="H564">
        <f>INDEX(Operational[Energy Consumption (MWh)],MATCH(Emission8[[#This Row],[Facility ID]],Operational[Facility ID],0))</f>
        <v>5199.53</v>
      </c>
      <c r="I564">
        <f>INDEX(Operational[Waste (tons)],MATCH(Emission8[[#This Row],[Facility ID]],Operational[Facility ID],0))</f>
        <v>44.09</v>
      </c>
    </row>
    <row r="565" spans="1:9" x14ac:dyDescent="0.3">
      <c r="A565" t="s">
        <v>177</v>
      </c>
      <c r="B565" t="s">
        <v>7</v>
      </c>
      <c r="C565" t="s">
        <v>13</v>
      </c>
      <c r="D565" t="s">
        <v>28</v>
      </c>
      <c r="E565" t="s">
        <v>15</v>
      </c>
      <c r="F565">
        <v>3941.05</v>
      </c>
      <c r="G565">
        <f>INDEX(Operational[Production Volume (units)],MATCH(Emission8[[#This Row],[Facility ID]],Operational[Facility ID],0))</f>
        <v>17097</v>
      </c>
      <c r="H565">
        <f>INDEX(Operational[Energy Consumption (MWh)],MATCH(Emission8[[#This Row],[Facility ID]],Operational[Facility ID],0))</f>
        <v>9061.7800000000007</v>
      </c>
      <c r="I565">
        <f>INDEX(Operational[Waste (tons)],MATCH(Emission8[[#This Row],[Facility ID]],Operational[Facility ID],0))</f>
        <v>95.92</v>
      </c>
    </row>
    <row r="566" spans="1:9" x14ac:dyDescent="0.3">
      <c r="A566" t="s">
        <v>189</v>
      </c>
      <c r="B566" t="s">
        <v>19</v>
      </c>
      <c r="C566" t="s">
        <v>23</v>
      </c>
      <c r="D566" t="s">
        <v>14</v>
      </c>
      <c r="E566" t="s">
        <v>24</v>
      </c>
      <c r="F566">
        <v>992.87</v>
      </c>
      <c r="G566">
        <f>INDEX(Operational[Production Volume (units)],MATCH(Emission8[[#This Row],[Facility ID]],Operational[Facility ID],0))</f>
        <v>27681</v>
      </c>
      <c r="H566">
        <f>INDEX(Operational[Energy Consumption (MWh)],MATCH(Emission8[[#This Row],[Facility ID]],Operational[Facility ID],0))</f>
        <v>928.26</v>
      </c>
      <c r="I566">
        <f>INDEX(Operational[Waste (tons)],MATCH(Emission8[[#This Row],[Facility ID]],Operational[Facility ID],0))</f>
        <v>44.97</v>
      </c>
    </row>
    <row r="567" spans="1:9" x14ac:dyDescent="0.3">
      <c r="A567" t="s">
        <v>74</v>
      </c>
      <c r="B567" t="s">
        <v>19</v>
      </c>
      <c r="C567" t="s">
        <v>34</v>
      </c>
      <c r="D567" t="s">
        <v>14</v>
      </c>
      <c r="E567" t="s">
        <v>10</v>
      </c>
      <c r="F567">
        <v>3998.2</v>
      </c>
      <c r="G567">
        <f>INDEX(Operational[Production Volume (units)],MATCH(Emission8[[#This Row],[Facility ID]],Operational[Facility ID],0))</f>
        <v>18175</v>
      </c>
      <c r="H567">
        <f>INDEX(Operational[Energy Consumption (MWh)],MATCH(Emission8[[#This Row],[Facility ID]],Operational[Facility ID],0))</f>
        <v>8349.49</v>
      </c>
      <c r="I567">
        <f>INDEX(Operational[Waste (tons)],MATCH(Emission8[[#This Row],[Facility ID]],Operational[Facility ID],0))</f>
        <v>39.97</v>
      </c>
    </row>
    <row r="568" spans="1:9" x14ac:dyDescent="0.3">
      <c r="A568" t="s">
        <v>116</v>
      </c>
      <c r="B568" t="s">
        <v>17</v>
      </c>
      <c r="C568" t="s">
        <v>13</v>
      </c>
      <c r="D568" t="s">
        <v>28</v>
      </c>
      <c r="E568" t="s">
        <v>24</v>
      </c>
      <c r="F568">
        <v>951.15</v>
      </c>
      <c r="G568">
        <f>INDEX(Operational[Production Volume (units)],MATCH(Emission8[[#This Row],[Facility ID]],Operational[Facility ID],0))</f>
        <v>68216</v>
      </c>
      <c r="H568">
        <f>INDEX(Operational[Energy Consumption (MWh)],MATCH(Emission8[[#This Row],[Facility ID]],Operational[Facility ID],0))</f>
        <v>9562.33</v>
      </c>
      <c r="I568">
        <f>INDEX(Operational[Waste (tons)],MATCH(Emission8[[#This Row],[Facility ID]],Operational[Facility ID],0))</f>
        <v>63.59</v>
      </c>
    </row>
    <row r="569" spans="1:9" x14ac:dyDescent="0.3">
      <c r="A569" t="s">
        <v>207</v>
      </c>
      <c r="B569" t="s">
        <v>17</v>
      </c>
      <c r="C569" t="s">
        <v>34</v>
      </c>
      <c r="D569" t="s">
        <v>9</v>
      </c>
      <c r="E569" t="s">
        <v>10</v>
      </c>
      <c r="F569">
        <v>602.29</v>
      </c>
      <c r="G569">
        <f>INDEX(Operational[Production Volume (units)],MATCH(Emission8[[#This Row],[Facility ID]],Operational[Facility ID],0))</f>
        <v>99115</v>
      </c>
      <c r="H569">
        <f>INDEX(Operational[Energy Consumption (MWh)],MATCH(Emission8[[#This Row],[Facility ID]],Operational[Facility ID],0))</f>
        <v>827.26</v>
      </c>
      <c r="I569">
        <f>INDEX(Operational[Waste (tons)],MATCH(Emission8[[#This Row],[Facility ID]],Operational[Facility ID],0))</f>
        <v>28.88</v>
      </c>
    </row>
    <row r="570" spans="1:9" x14ac:dyDescent="0.3">
      <c r="A570" t="s">
        <v>21</v>
      </c>
      <c r="B570" t="s">
        <v>19</v>
      </c>
      <c r="C570" t="s">
        <v>13</v>
      </c>
      <c r="D570" t="s">
        <v>14</v>
      </c>
      <c r="E570" t="s">
        <v>15</v>
      </c>
      <c r="F570">
        <v>4791.01</v>
      </c>
      <c r="G570">
        <f>INDEX(Operational[Production Volume (units)],MATCH(Emission8[[#This Row],[Facility ID]],Operational[Facility ID],0))</f>
        <v>61157</v>
      </c>
      <c r="H570">
        <f>INDEX(Operational[Energy Consumption (MWh)],MATCH(Emission8[[#This Row],[Facility ID]],Operational[Facility ID],0))</f>
        <v>7331.54</v>
      </c>
      <c r="I570">
        <f>INDEX(Operational[Waste (tons)],MATCH(Emission8[[#This Row],[Facility ID]],Operational[Facility ID],0))</f>
        <v>55.52</v>
      </c>
    </row>
    <row r="571" spans="1:9" x14ac:dyDescent="0.3">
      <c r="A571" t="s">
        <v>70</v>
      </c>
      <c r="B571" t="s">
        <v>19</v>
      </c>
      <c r="C571" t="s">
        <v>23</v>
      </c>
      <c r="D571" t="s">
        <v>14</v>
      </c>
      <c r="E571" t="s">
        <v>15</v>
      </c>
      <c r="F571">
        <v>2408.38</v>
      </c>
      <c r="G571">
        <f>INDEX(Operational[Production Volume (units)],MATCH(Emission8[[#This Row],[Facility ID]],Operational[Facility ID],0))</f>
        <v>42485</v>
      </c>
      <c r="H571">
        <f>INDEX(Operational[Energy Consumption (MWh)],MATCH(Emission8[[#This Row],[Facility ID]],Operational[Facility ID],0))</f>
        <v>4755.75</v>
      </c>
      <c r="I571">
        <f>INDEX(Operational[Waste (tons)],MATCH(Emission8[[#This Row],[Facility ID]],Operational[Facility ID],0))</f>
        <v>10.19</v>
      </c>
    </row>
    <row r="572" spans="1:9" x14ac:dyDescent="0.3">
      <c r="A572" t="s">
        <v>40</v>
      </c>
      <c r="B572" t="s">
        <v>19</v>
      </c>
      <c r="C572" t="s">
        <v>13</v>
      </c>
      <c r="D572" t="s">
        <v>9</v>
      </c>
      <c r="E572" t="s">
        <v>10</v>
      </c>
      <c r="F572">
        <v>2703.07</v>
      </c>
      <c r="G572">
        <f>INDEX(Operational[Production Volume (units)],MATCH(Emission8[[#This Row],[Facility ID]],Operational[Facility ID],0))</f>
        <v>96474</v>
      </c>
      <c r="H572">
        <f>INDEX(Operational[Energy Consumption (MWh)],MATCH(Emission8[[#This Row],[Facility ID]],Operational[Facility ID],0))</f>
        <v>7574.39</v>
      </c>
      <c r="I572">
        <f>INDEX(Operational[Waste (tons)],MATCH(Emission8[[#This Row],[Facility ID]],Operational[Facility ID],0))</f>
        <v>95.54</v>
      </c>
    </row>
    <row r="573" spans="1:9" x14ac:dyDescent="0.3">
      <c r="A573" t="s">
        <v>189</v>
      </c>
      <c r="B573" t="s">
        <v>19</v>
      </c>
      <c r="C573" t="s">
        <v>34</v>
      </c>
      <c r="D573" t="s">
        <v>28</v>
      </c>
      <c r="E573" t="s">
        <v>15</v>
      </c>
      <c r="F573">
        <v>4204.6899999999996</v>
      </c>
      <c r="G573">
        <f>INDEX(Operational[Production Volume (units)],MATCH(Emission8[[#This Row],[Facility ID]],Operational[Facility ID],0))</f>
        <v>27681</v>
      </c>
      <c r="H573">
        <f>INDEX(Operational[Energy Consumption (MWh)],MATCH(Emission8[[#This Row],[Facility ID]],Operational[Facility ID],0))</f>
        <v>928.26</v>
      </c>
      <c r="I573">
        <f>INDEX(Operational[Waste (tons)],MATCH(Emission8[[#This Row],[Facility ID]],Operational[Facility ID],0))</f>
        <v>44.97</v>
      </c>
    </row>
    <row r="574" spans="1:9" x14ac:dyDescent="0.3">
      <c r="A574" t="s">
        <v>18</v>
      </c>
      <c r="B574" t="s">
        <v>19</v>
      </c>
      <c r="C574" t="s">
        <v>34</v>
      </c>
      <c r="D574" t="s">
        <v>9</v>
      </c>
      <c r="E574" t="s">
        <v>24</v>
      </c>
      <c r="F574">
        <v>947.61</v>
      </c>
      <c r="G574">
        <f>INDEX(Operational[Production Volume (units)],MATCH(Emission8[[#This Row],[Facility ID]],Operational[Facility ID],0))</f>
        <v>98682</v>
      </c>
      <c r="H574">
        <f>INDEX(Operational[Energy Consumption (MWh)],MATCH(Emission8[[#This Row],[Facility ID]],Operational[Facility ID],0))</f>
        <v>6220.56</v>
      </c>
      <c r="I574">
        <f>INDEX(Operational[Waste (tons)],MATCH(Emission8[[#This Row],[Facility ID]],Operational[Facility ID],0))</f>
        <v>70.099999999999994</v>
      </c>
    </row>
    <row r="575" spans="1:9" x14ac:dyDescent="0.3">
      <c r="A575" t="s">
        <v>157</v>
      </c>
      <c r="B575" t="s">
        <v>30</v>
      </c>
      <c r="C575" t="s">
        <v>13</v>
      </c>
      <c r="D575" t="s">
        <v>28</v>
      </c>
      <c r="E575" t="s">
        <v>10</v>
      </c>
      <c r="F575">
        <v>3632.9</v>
      </c>
      <c r="G575">
        <f>INDEX(Operational[Production Volume (units)],MATCH(Emission8[[#This Row],[Facility ID]],Operational[Facility ID],0))</f>
        <v>76544</v>
      </c>
      <c r="H575">
        <f>INDEX(Operational[Energy Consumption (MWh)],MATCH(Emission8[[#This Row],[Facility ID]],Operational[Facility ID],0))</f>
        <v>8632.77</v>
      </c>
      <c r="I575">
        <f>INDEX(Operational[Waste (tons)],MATCH(Emission8[[#This Row],[Facility ID]],Operational[Facility ID],0))</f>
        <v>12.87</v>
      </c>
    </row>
    <row r="576" spans="1:9" x14ac:dyDescent="0.3">
      <c r="A576" t="s">
        <v>108</v>
      </c>
      <c r="B576" t="s">
        <v>7</v>
      </c>
      <c r="C576" t="s">
        <v>8</v>
      </c>
      <c r="D576" t="s">
        <v>9</v>
      </c>
      <c r="E576" t="s">
        <v>15</v>
      </c>
      <c r="F576">
        <v>3124.89</v>
      </c>
      <c r="G576">
        <f>INDEX(Operational[Production Volume (units)],MATCH(Emission8[[#This Row],[Facility ID]],Operational[Facility ID],0))</f>
        <v>22201</v>
      </c>
      <c r="H576">
        <f>INDEX(Operational[Energy Consumption (MWh)],MATCH(Emission8[[#This Row],[Facility ID]],Operational[Facility ID],0))</f>
        <v>2853.66</v>
      </c>
      <c r="I576">
        <f>INDEX(Operational[Waste (tons)],MATCH(Emission8[[#This Row],[Facility ID]],Operational[Facility ID],0))</f>
        <v>71.94</v>
      </c>
    </row>
    <row r="577" spans="1:9" x14ac:dyDescent="0.3">
      <c r="A577" t="s">
        <v>63</v>
      </c>
      <c r="B577" t="s">
        <v>12</v>
      </c>
      <c r="C577" t="s">
        <v>34</v>
      </c>
      <c r="D577" t="s">
        <v>14</v>
      </c>
      <c r="E577" t="s">
        <v>24</v>
      </c>
      <c r="F577">
        <v>4679.05</v>
      </c>
      <c r="G577">
        <f>INDEX(Operational[Production Volume (units)],MATCH(Emission8[[#This Row],[Facility ID]],Operational[Facility ID],0))</f>
        <v>33688</v>
      </c>
      <c r="H577">
        <f>INDEX(Operational[Energy Consumption (MWh)],MATCH(Emission8[[#This Row],[Facility ID]],Operational[Facility ID],0))</f>
        <v>9495.48</v>
      </c>
      <c r="I577">
        <f>INDEX(Operational[Waste (tons)],MATCH(Emission8[[#This Row],[Facility ID]],Operational[Facility ID],0))</f>
        <v>55.55</v>
      </c>
    </row>
    <row r="578" spans="1:9" x14ac:dyDescent="0.3">
      <c r="A578" t="s">
        <v>147</v>
      </c>
      <c r="B578" t="s">
        <v>17</v>
      </c>
      <c r="C578" t="s">
        <v>8</v>
      </c>
      <c r="D578" t="s">
        <v>9</v>
      </c>
      <c r="E578" t="s">
        <v>10</v>
      </c>
      <c r="F578">
        <v>4154.1000000000004</v>
      </c>
      <c r="G578">
        <f>INDEX(Operational[Production Volume (units)],MATCH(Emission8[[#This Row],[Facility ID]],Operational[Facility ID],0))</f>
        <v>24095</v>
      </c>
      <c r="H578">
        <f>INDEX(Operational[Energy Consumption (MWh)],MATCH(Emission8[[#This Row],[Facility ID]],Operational[Facility ID],0))</f>
        <v>3167.52</v>
      </c>
      <c r="I578">
        <f>INDEX(Operational[Waste (tons)],MATCH(Emission8[[#This Row],[Facility ID]],Operational[Facility ID],0))</f>
        <v>31.02</v>
      </c>
    </row>
    <row r="579" spans="1:9" x14ac:dyDescent="0.3">
      <c r="A579" t="s">
        <v>118</v>
      </c>
      <c r="B579" t="s">
        <v>30</v>
      </c>
      <c r="C579" t="s">
        <v>8</v>
      </c>
      <c r="D579" t="s">
        <v>14</v>
      </c>
      <c r="E579" t="s">
        <v>10</v>
      </c>
      <c r="F579">
        <v>132.24</v>
      </c>
      <c r="G579">
        <f>INDEX(Operational[Production Volume (units)],MATCH(Emission8[[#This Row],[Facility ID]],Operational[Facility ID],0))</f>
        <v>68492</v>
      </c>
      <c r="H579">
        <f>INDEX(Operational[Energy Consumption (MWh)],MATCH(Emission8[[#This Row],[Facility ID]],Operational[Facility ID],0))</f>
        <v>3533.88</v>
      </c>
      <c r="I579">
        <f>INDEX(Operational[Waste (tons)],MATCH(Emission8[[#This Row],[Facility ID]],Operational[Facility ID],0))</f>
        <v>52.99</v>
      </c>
    </row>
    <row r="580" spans="1:9" x14ac:dyDescent="0.3">
      <c r="A580" t="s">
        <v>201</v>
      </c>
      <c r="B580" t="s">
        <v>12</v>
      </c>
      <c r="C580" t="s">
        <v>34</v>
      </c>
      <c r="D580" t="s">
        <v>14</v>
      </c>
      <c r="E580" t="s">
        <v>15</v>
      </c>
      <c r="F580">
        <v>3066.65</v>
      </c>
      <c r="G580">
        <f>INDEX(Operational[Production Volume (units)],MATCH(Emission8[[#This Row],[Facility ID]],Operational[Facility ID],0))</f>
        <v>58439</v>
      </c>
      <c r="H580">
        <f>INDEX(Operational[Energy Consumption (MWh)],MATCH(Emission8[[#This Row],[Facility ID]],Operational[Facility ID],0))</f>
        <v>5817.93</v>
      </c>
      <c r="I580">
        <f>INDEX(Operational[Waste (tons)],MATCH(Emission8[[#This Row],[Facility ID]],Operational[Facility ID],0))</f>
        <v>63.77</v>
      </c>
    </row>
    <row r="581" spans="1:9" x14ac:dyDescent="0.3">
      <c r="A581" t="s">
        <v>142</v>
      </c>
      <c r="B581" t="s">
        <v>17</v>
      </c>
      <c r="C581" t="s">
        <v>23</v>
      </c>
      <c r="D581" t="s">
        <v>9</v>
      </c>
      <c r="E581" t="s">
        <v>15</v>
      </c>
      <c r="F581">
        <v>1342.88</v>
      </c>
      <c r="G581">
        <f>INDEX(Operational[Production Volume (units)],MATCH(Emission8[[#This Row],[Facility ID]],Operational[Facility ID],0))</f>
        <v>75736</v>
      </c>
      <c r="H581">
        <f>INDEX(Operational[Energy Consumption (MWh)],MATCH(Emission8[[#This Row],[Facility ID]],Operational[Facility ID],0))</f>
        <v>6287.07</v>
      </c>
      <c r="I581">
        <f>INDEX(Operational[Waste (tons)],MATCH(Emission8[[#This Row],[Facility ID]],Operational[Facility ID],0))</f>
        <v>63.11</v>
      </c>
    </row>
    <row r="582" spans="1:9" x14ac:dyDescent="0.3">
      <c r="A582" t="s">
        <v>65</v>
      </c>
      <c r="B582" t="s">
        <v>30</v>
      </c>
      <c r="C582" t="s">
        <v>23</v>
      </c>
      <c r="D582" t="s">
        <v>14</v>
      </c>
      <c r="E582" t="s">
        <v>24</v>
      </c>
      <c r="F582">
        <v>3919.95</v>
      </c>
      <c r="G582">
        <f>INDEX(Operational[Production Volume (units)],MATCH(Emission8[[#This Row],[Facility ID]],Operational[Facility ID],0))</f>
        <v>99026</v>
      </c>
      <c r="H582">
        <f>INDEX(Operational[Energy Consumption (MWh)],MATCH(Emission8[[#This Row],[Facility ID]],Operational[Facility ID],0))</f>
        <v>5453.2</v>
      </c>
      <c r="I582">
        <f>INDEX(Operational[Waste (tons)],MATCH(Emission8[[#This Row],[Facility ID]],Operational[Facility ID],0))</f>
        <v>57.49</v>
      </c>
    </row>
    <row r="583" spans="1:9" x14ac:dyDescent="0.3">
      <c r="A583" t="s">
        <v>143</v>
      </c>
      <c r="B583" t="s">
        <v>17</v>
      </c>
      <c r="C583" t="s">
        <v>8</v>
      </c>
      <c r="D583" t="s">
        <v>14</v>
      </c>
      <c r="E583" t="s">
        <v>24</v>
      </c>
      <c r="F583">
        <v>4408.78</v>
      </c>
      <c r="G583">
        <f>INDEX(Operational[Production Volume (units)],MATCH(Emission8[[#This Row],[Facility ID]],Operational[Facility ID],0))</f>
        <v>94704</v>
      </c>
      <c r="H583">
        <f>INDEX(Operational[Energy Consumption (MWh)],MATCH(Emission8[[#This Row],[Facility ID]],Operational[Facility ID],0))</f>
        <v>6632.95</v>
      </c>
      <c r="I583">
        <f>INDEX(Operational[Waste (tons)],MATCH(Emission8[[#This Row],[Facility ID]],Operational[Facility ID],0))</f>
        <v>14.76</v>
      </c>
    </row>
    <row r="584" spans="1:9" x14ac:dyDescent="0.3">
      <c r="A584" t="s">
        <v>120</v>
      </c>
      <c r="B584" t="s">
        <v>30</v>
      </c>
      <c r="C584" t="s">
        <v>34</v>
      </c>
      <c r="D584" t="s">
        <v>14</v>
      </c>
      <c r="E584" t="s">
        <v>15</v>
      </c>
      <c r="F584">
        <v>4970.6899999999996</v>
      </c>
      <c r="G584">
        <f>INDEX(Operational[Production Volume (units)],MATCH(Emission8[[#This Row],[Facility ID]],Operational[Facility ID],0))</f>
        <v>79495</v>
      </c>
      <c r="H584">
        <f>INDEX(Operational[Energy Consumption (MWh)],MATCH(Emission8[[#This Row],[Facility ID]],Operational[Facility ID],0))</f>
        <v>7157.48</v>
      </c>
      <c r="I584">
        <f>INDEX(Operational[Waste (tons)],MATCH(Emission8[[#This Row],[Facility ID]],Operational[Facility ID],0))</f>
        <v>26.84</v>
      </c>
    </row>
    <row r="585" spans="1:9" x14ac:dyDescent="0.3">
      <c r="A585" t="s">
        <v>192</v>
      </c>
      <c r="B585" t="s">
        <v>19</v>
      </c>
      <c r="C585" t="s">
        <v>8</v>
      </c>
      <c r="D585" t="s">
        <v>9</v>
      </c>
      <c r="E585" t="s">
        <v>15</v>
      </c>
      <c r="F585">
        <v>1694.19</v>
      </c>
      <c r="G585">
        <f>INDEX(Operational[Production Volume (units)],MATCH(Emission8[[#This Row],[Facility ID]],Operational[Facility ID],0))</f>
        <v>43227</v>
      </c>
      <c r="H585">
        <f>INDEX(Operational[Energy Consumption (MWh)],MATCH(Emission8[[#This Row],[Facility ID]],Operational[Facility ID],0))</f>
        <v>5199.53</v>
      </c>
      <c r="I585">
        <f>INDEX(Operational[Waste (tons)],MATCH(Emission8[[#This Row],[Facility ID]],Operational[Facility ID],0))</f>
        <v>44.09</v>
      </c>
    </row>
    <row r="586" spans="1:9" x14ac:dyDescent="0.3">
      <c r="A586" t="s">
        <v>103</v>
      </c>
      <c r="B586" t="s">
        <v>19</v>
      </c>
      <c r="C586" t="s">
        <v>34</v>
      </c>
      <c r="D586" t="s">
        <v>14</v>
      </c>
      <c r="E586" t="s">
        <v>15</v>
      </c>
      <c r="F586">
        <v>4225.8</v>
      </c>
      <c r="G586">
        <f>INDEX(Operational[Production Volume (units)],MATCH(Emission8[[#This Row],[Facility ID]],Operational[Facility ID],0))</f>
        <v>38869</v>
      </c>
      <c r="H586">
        <f>INDEX(Operational[Energy Consumption (MWh)],MATCH(Emission8[[#This Row],[Facility ID]],Operational[Facility ID],0))</f>
        <v>5109.76</v>
      </c>
      <c r="I586">
        <f>INDEX(Operational[Waste (tons)],MATCH(Emission8[[#This Row],[Facility ID]],Operational[Facility ID],0))</f>
        <v>35.270000000000003</v>
      </c>
    </row>
    <row r="587" spans="1:9" x14ac:dyDescent="0.3">
      <c r="A587" t="s">
        <v>89</v>
      </c>
      <c r="B587" t="s">
        <v>17</v>
      </c>
      <c r="C587" t="s">
        <v>8</v>
      </c>
      <c r="D587" t="s">
        <v>14</v>
      </c>
      <c r="E587" t="s">
        <v>15</v>
      </c>
      <c r="F587">
        <v>2933.56</v>
      </c>
      <c r="G587">
        <f>INDEX(Operational[Production Volume (units)],MATCH(Emission8[[#This Row],[Facility ID]],Operational[Facility ID],0))</f>
        <v>36171</v>
      </c>
      <c r="H587">
        <f>INDEX(Operational[Energy Consumption (MWh)],MATCH(Emission8[[#This Row],[Facility ID]],Operational[Facility ID],0))</f>
        <v>6864.38</v>
      </c>
      <c r="I587">
        <f>INDEX(Operational[Waste (tons)],MATCH(Emission8[[#This Row],[Facility ID]],Operational[Facility ID],0))</f>
        <v>37.03</v>
      </c>
    </row>
    <row r="588" spans="1:9" x14ac:dyDescent="0.3">
      <c r="A588" t="s">
        <v>111</v>
      </c>
      <c r="B588" t="s">
        <v>19</v>
      </c>
      <c r="C588" t="s">
        <v>23</v>
      </c>
      <c r="D588" t="s">
        <v>9</v>
      </c>
      <c r="E588" t="s">
        <v>10</v>
      </c>
      <c r="F588">
        <v>1192.33</v>
      </c>
      <c r="G588">
        <f>INDEX(Operational[Production Volume (units)],MATCH(Emission8[[#This Row],[Facility ID]],Operational[Facility ID],0))</f>
        <v>37309</v>
      </c>
      <c r="H588">
        <f>INDEX(Operational[Energy Consumption (MWh)],MATCH(Emission8[[#This Row],[Facility ID]],Operational[Facility ID],0))</f>
        <v>4508.54</v>
      </c>
      <c r="I588">
        <f>INDEX(Operational[Waste (tons)],MATCH(Emission8[[#This Row],[Facility ID]],Operational[Facility ID],0))</f>
        <v>47.15</v>
      </c>
    </row>
    <row r="589" spans="1:9" x14ac:dyDescent="0.3">
      <c r="A589" t="s">
        <v>183</v>
      </c>
      <c r="B589" t="s">
        <v>7</v>
      </c>
      <c r="C589" t="s">
        <v>8</v>
      </c>
      <c r="D589" t="s">
        <v>14</v>
      </c>
      <c r="E589" t="s">
        <v>24</v>
      </c>
      <c r="F589">
        <v>2457.1</v>
      </c>
      <c r="G589">
        <f>INDEX(Operational[Production Volume (units)],MATCH(Emission8[[#This Row],[Facility ID]],Operational[Facility ID],0))</f>
        <v>14009</v>
      </c>
      <c r="H589">
        <f>INDEX(Operational[Energy Consumption (MWh)],MATCH(Emission8[[#This Row],[Facility ID]],Operational[Facility ID],0))</f>
        <v>7528.98</v>
      </c>
      <c r="I589">
        <f>INDEX(Operational[Waste (tons)],MATCH(Emission8[[#This Row],[Facility ID]],Operational[Facility ID],0))</f>
        <v>77.62</v>
      </c>
    </row>
    <row r="590" spans="1:9" x14ac:dyDescent="0.3">
      <c r="A590" t="s">
        <v>116</v>
      </c>
      <c r="B590" t="s">
        <v>17</v>
      </c>
      <c r="C590" t="s">
        <v>13</v>
      </c>
      <c r="D590" t="s">
        <v>28</v>
      </c>
      <c r="E590" t="s">
        <v>24</v>
      </c>
      <c r="F590">
        <v>3801.93</v>
      </c>
      <c r="G590">
        <f>INDEX(Operational[Production Volume (units)],MATCH(Emission8[[#This Row],[Facility ID]],Operational[Facility ID],0))</f>
        <v>68216</v>
      </c>
      <c r="H590">
        <f>INDEX(Operational[Energy Consumption (MWh)],MATCH(Emission8[[#This Row],[Facility ID]],Operational[Facility ID],0))</f>
        <v>9562.33</v>
      </c>
      <c r="I590">
        <f>INDEX(Operational[Waste (tons)],MATCH(Emission8[[#This Row],[Facility ID]],Operational[Facility ID],0))</f>
        <v>63.59</v>
      </c>
    </row>
    <row r="591" spans="1:9" x14ac:dyDescent="0.3">
      <c r="A591" t="s">
        <v>72</v>
      </c>
      <c r="B591" t="s">
        <v>19</v>
      </c>
      <c r="C591" t="s">
        <v>34</v>
      </c>
      <c r="D591" t="s">
        <v>28</v>
      </c>
      <c r="E591" t="s">
        <v>24</v>
      </c>
      <c r="F591">
        <v>2334.69</v>
      </c>
      <c r="G591">
        <f>INDEX(Operational[Production Volume (units)],MATCH(Emission8[[#This Row],[Facility ID]],Operational[Facility ID],0))</f>
        <v>29318</v>
      </c>
      <c r="H591">
        <f>INDEX(Operational[Energy Consumption (MWh)],MATCH(Emission8[[#This Row],[Facility ID]],Operational[Facility ID],0))</f>
        <v>9860.6200000000008</v>
      </c>
      <c r="I591">
        <f>INDEX(Operational[Waste (tons)],MATCH(Emission8[[#This Row],[Facility ID]],Operational[Facility ID],0))</f>
        <v>14.58</v>
      </c>
    </row>
    <row r="592" spans="1:9" x14ac:dyDescent="0.3">
      <c r="A592" t="s">
        <v>94</v>
      </c>
      <c r="B592" t="s">
        <v>7</v>
      </c>
      <c r="C592" t="s">
        <v>13</v>
      </c>
      <c r="D592" t="s">
        <v>28</v>
      </c>
      <c r="E592" t="s">
        <v>10</v>
      </c>
      <c r="F592">
        <v>4761.95</v>
      </c>
      <c r="G592">
        <f>INDEX(Operational[Production Volume (units)],MATCH(Emission8[[#This Row],[Facility ID]],Operational[Facility ID],0))</f>
        <v>26338</v>
      </c>
      <c r="H592">
        <f>INDEX(Operational[Energy Consumption (MWh)],MATCH(Emission8[[#This Row],[Facility ID]],Operational[Facility ID],0))</f>
        <v>578.73</v>
      </c>
      <c r="I592">
        <f>INDEX(Operational[Waste (tons)],MATCH(Emission8[[#This Row],[Facility ID]],Operational[Facility ID],0))</f>
        <v>72.52</v>
      </c>
    </row>
    <row r="593" spans="1:9" x14ac:dyDescent="0.3">
      <c r="A593" t="s">
        <v>135</v>
      </c>
      <c r="B593" t="s">
        <v>12</v>
      </c>
      <c r="C593" t="s">
        <v>34</v>
      </c>
      <c r="D593" t="s">
        <v>14</v>
      </c>
      <c r="E593" t="s">
        <v>24</v>
      </c>
      <c r="F593">
        <v>4516.03</v>
      </c>
      <c r="G593">
        <f>INDEX(Operational[Production Volume (units)],MATCH(Emission8[[#This Row],[Facility ID]],Operational[Facility ID],0))</f>
        <v>39560</v>
      </c>
      <c r="H593">
        <f>INDEX(Operational[Energy Consumption (MWh)],MATCH(Emission8[[#This Row],[Facility ID]],Operational[Facility ID],0))</f>
        <v>8380.77</v>
      </c>
      <c r="I593">
        <f>INDEX(Operational[Waste (tons)],MATCH(Emission8[[#This Row],[Facility ID]],Operational[Facility ID],0))</f>
        <v>94.01</v>
      </c>
    </row>
    <row r="594" spans="1:9" x14ac:dyDescent="0.3">
      <c r="A594" t="s">
        <v>190</v>
      </c>
      <c r="B594" t="s">
        <v>17</v>
      </c>
      <c r="C594" t="s">
        <v>8</v>
      </c>
      <c r="D594" t="s">
        <v>9</v>
      </c>
      <c r="E594" t="s">
        <v>24</v>
      </c>
      <c r="F594">
        <v>4645.59</v>
      </c>
      <c r="G594">
        <f>INDEX(Operational[Production Volume (units)],MATCH(Emission8[[#This Row],[Facility ID]],Operational[Facility ID],0))</f>
        <v>41953</v>
      </c>
      <c r="H594">
        <f>INDEX(Operational[Energy Consumption (MWh)],MATCH(Emission8[[#This Row],[Facility ID]],Operational[Facility ID],0))</f>
        <v>2379.14</v>
      </c>
      <c r="I594">
        <f>INDEX(Operational[Waste (tons)],MATCH(Emission8[[#This Row],[Facility ID]],Operational[Facility ID],0))</f>
        <v>65.67</v>
      </c>
    </row>
    <row r="595" spans="1:9" x14ac:dyDescent="0.3">
      <c r="A595" t="s">
        <v>63</v>
      </c>
      <c r="B595" t="s">
        <v>12</v>
      </c>
      <c r="C595" t="s">
        <v>23</v>
      </c>
      <c r="D595" t="s">
        <v>28</v>
      </c>
      <c r="E595" t="s">
        <v>24</v>
      </c>
      <c r="F595">
        <v>3245.36</v>
      </c>
      <c r="G595">
        <f>INDEX(Operational[Production Volume (units)],MATCH(Emission8[[#This Row],[Facility ID]],Operational[Facility ID],0))</f>
        <v>33688</v>
      </c>
      <c r="H595">
        <f>INDEX(Operational[Energy Consumption (MWh)],MATCH(Emission8[[#This Row],[Facility ID]],Operational[Facility ID],0))</f>
        <v>9495.48</v>
      </c>
      <c r="I595">
        <f>INDEX(Operational[Waste (tons)],MATCH(Emission8[[#This Row],[Facility ID]],Operational[Facility ID],0))</f>
        <v>55.55</v>
      </c>
    </row>
    <row r="596" spans="1:9" x14ac:dyDescent="0.3">
      <c r="A596" t="s">
        <v>208</v>
      </c>
      <c r="B596" t="s">
        <v>19</v>
      </c>
      <c r="C596" t="s">
        <v>23</v>
      </c>
      <c r="D596" t="s">
        <v>14</v>
      </c>
      <c r="E596" t="s">
        <v>10</v>
      </c>
      <c r="F596">
        <v>3907.47</v>
      </c>
      <c r="G596">
        <f>INDEX(Operational[Production Volume (units)],MATCH(Emission8[[#This Row],[Facility ID]],Operational[Facility ID],0))</f>
        <v>40553</v>
      </c>
      <c r="H596">
        <f>INDEX(Operational[Energy Consumption (MWh)],MATCH(Emission8[[#This Row],[Facility ID]],Operational[Facility ID],0))</f>
        <v>4875.2299999999996</v>
      </c>
      <c r="I596">
        <f>INDEX(Operational[Waste (tons)],MATCH(Emission8[[#This Row],[Facility ID]],Operational[Facility ID],0))</f>
        <v>23.33</v>
      </c>
    </row>
    <row r="597" spans="1:9" x14ac:dyDescent="0.3">
      <c r="A597" t="s">
        <v>176</v>
      </c>
      <c r="B597" t="s">
        <v>19</v>
      </c>
      <c r="C597" t="s">
        <v>13</v>
      </c>
      <c r="D597" t="s">
        <v>9</v>
      </c>
      <c r="E597" t="s">
        <v>10</v>
      </c>
      <c r="F597">
        <v>1337.85</v>
      </c>
      <c r="G597">
        <f>INDEX(Operational[Production Volume (units)],MATCH(Emission8[[#This Row],[Facility ID]],Operational[Facility ID],0))</f>
        <v>10907</v>
      </c>
      <c r="H597">
        <f>INDEX(Operational[Energy Consumption (MWh)],MATCH(Emission8[[#This Row],[Facility ID]],Operational[Facility ID],0))</f>
        <v>4748.66</v>
      </c>
      <c r="I597">
        <f>INDEX(Operational[Waste (tons)],MATCH(Emission8[[#This Row],[Facility ID]],Operational[Facility ID],0))</f>
        <v>39.36</v>
      </c>
    </row>
    <row r="598" spans="1:9" x14ac:dyDescent="0.3">
      <c r="A598" t="s">
        <v>43</v>
      </c>
      <c r="B598" t="s">
        <v>17</v>
      </c>
      <c r="C598" t="s">
        <v>23</v>
      </c>
      <c r="D598" t="s">
        <v>28</v>
      </c>
      <c r="E598" t="s">
        <v>10</v>
      </c>
      <c r="F598">
        <v>3487.09</v>
      </c>
      <c r="G598">
        <f>INDEX(Operational[Production Volume (units)],MATCH(Emission8[[#This Row],[Facility ID]],Operational[Facility ID],0))</f>
        <v>41168</v>
      </c>
      <c r="H598">
        <f>INDEX(Operational[Energy Consumption (MWh)],MATCH(Emission8[[#This Row],[Facility ID]],Operational[Facility ID],0))</f>
        <v>8226.77</v>
      </c>
      <c r="I598">
        <f>INDEX(Operational[Waste (tons)],MATCH(Emission8[[#This Row],[Facility ID]],Operational[Facility ID],0))</f>
        <v>42.55</v>
      </c>
    </row>
    <row r="599" spans="1:9" x14ac:dyDescent="0.3">
      <c r="A599" t="s">
        <v>209</v>
      </c>
      <c r="B599" t="s">
        <v>7</v>
      </c>
      <c r="C599" t="s">
        <v>23</v>
      </c>
      <c r="D599" t="s">
        <v>9</v>
      </c>
      <c r="E599" t="s">
        <v>15</v>
      </c>
      <c r="F599">
        <v>4959.59</v>
      </c>
      <c r="G599">
        <f>INDEX(Operational[Production Volume (units)],MATCH(Emission8[[#This Row],[Facility ID]],Operational[Facility ID],0))</f>
        <v>52357</v>
      </c>
      <c r="H599">
        <f>INDEX(Operational[Energy Consumption (MWh)],MATCH(Emission8[[#This Row],[Facility ID]],Operational[Facility ID],0))</f>
        <v>5643.16</v>
      </c>
      <c r="I599">
        <f>INDEX(Operational[Waste (tons)],MATCH(Emission8[[#This Row],[Facility ID]],Operational[Facility ID],0))</f>
        <v>37.130000000000003</v>
      </c>
    </row>
    <row r="600" spans="1:9" x14ac:dyDescent="0.3">
      <c r="A600" t="s">
        <v>129</v>
      </c>
      <c r="B600" t="s">
        <v>17</v>
      </c>
      <c r="C600" t="s">
        <v>8</v>
      </c>
      <c r="D600" t="s">
        <v>28</v>
      </c>
      <c r="E600" t="s">
        <v>15</v>
      </c>
      <c r="F600">
        <v>4294.03</v>
      </c>
      <c r="G600">
        <f>INDEX(Operational[Production Volume (units)],MATCH(Emission8[[#This Row],[Facility ID]],Operational[Facility ID],0))</f>
        <v>95292</v>
      </c>
      <c r="H600">
        <f>INDEX(Operational[Energy Consumption (MWh)],MATCH(Emission8[[#This Row],[Facility ID]],Operational[Facility ID],0))</f>
        <v>697.47</v>
      </c>
      <c r="I600">
        <f>INDEX(Operational[Waste (tons)],MATCH(Emission8[[#This Row],[Facility ID]],Operational[Facility ID],0))</f>
        <v>88.35</v>
      </c>
    </row>
    <row r="601" spans="1:9" x14ac:dyDescent="0.3">
      <c r="A601" t="s">
        <v>25</v>
      </c>
      <c r="B601" t="s">
        <v>19</v>
      </c>
      <c r="C601" t="s">
        <v>8</v>
      </c>
      <c r="D601" t="s">
        <v>14</v>
      </c>
      <c r="E601" t="s">
        <v>10</v>
      </c>
      <c r="F601">
        <v>648.78</v>
      </c>
      <c r="G601">
        <f>INDEX(Operational[Production Volume (units)],MATCH(Emission8[[#This Row],[Facility ID]],Operational[Facility ID],0))</f>
        <v>95306</v>
      </c>
      <c r="H601">
        <f>INDEX(Operational[Energy Consumption (MWh)],MATCH(Emission8[[#This Row],[Facility ID]],Operational[Facility ID],0))</f>
        <v>9037.76</v>
      </c>
      <c r="I601">
        <f>INDEX(Operational[Waste (tons)],MATCH(Emission8[[#This Row],[Facility ID]],Operational[Facility ID],0))</f>
        <v>13.35</v>
      </c>
    </row>
    <row r="602" spans="1:9" x14ac:dyDescent="0.3">
      <c r="A602" t="s">
        <v>25</v>
      </c>
      <c r="B602" t="s">
        <v>19</v>
      </c>
      <c r="C602" t="s">
        <v>13</v>
      </c>
      <c r="D602" t="s">
        <v>14</v>
      </c>
      <c r="E602" t="s">
        <v>10</v>
      </c>
      <c r="F602">
        <v>3771.9</v>
      </c>
      <c r="G602">
        <f>INDEX(Operational[Production Volume (units)],MATCH(Emission8[[#This Row],[Facility ID]],Operational[Facility ID],0))</f>
        <v>95306</v>
      </c>
      <c r="H602">
        <f>INDEX(Operational[Energy Consumption (MWh)],MATCH(Emission8[[#This Row],[Facility ID]],Operational[Facility ID],0))</f>
        <v>9037.76</v>
      </c>
      <c r="I602">
        <f>INDEX(Operational[Waste (tons)],MATCH(Emission8[[#This Row],[Facility ID]],Operational[Facility ID],0))</f>
        <v>13.35</v>
      </c>
    </row>
    <row r="603" spans="1:9" x14ac:dyDescent="0.3">
      <c r="A603" t="s">
        <v>116</v>
      </c>
      <c r="B603" t="s">
        <v>17</v>
      </c>
      <c r="C603" t="s">
        <v>34</v>
      </c>
      <c r="D603" t="s">
        <v>9</v>
      </c>
      <c r="E603" t="s">
        <v>24</v>
      </c>
      <c r="F603">
        <v>3071.55</v>
      </c>
      <c r="G603">
        <f>INDEX(Operational[Production Volume (units)],MATCH(Emission8[[#This Row],[Facility ID]],Operational[Facility ID],0))</f>
        <v>68216</v>
      </c>
      <c r="H603">
        <f>INDEX(Operational[Energy Consumption (MWh)],MATCH(Emission8[[#This Row],[Facility ID]],Operational[Facility ID],0))</f>
        <v>9562.33</v>
      </c>
      <c r="I603">
        <f>INDEX(Operational[Waste (tons)],MATCH(Emission8[[#This Row],[Facility ID]],Operational[Facility ID],0))</f>
        <v>63.59</v>
      </c>
    </row>
    <row r="604" spans="1:9" x14ac:dyDescent="0.3">
      <c r="A604" t="s">
        <v>50</v>
      </c>
      <c r="B604" t="s">
        <v>19</v>
      </c>
      <c r="C604" t="s">
        <v>13</v>
      </c>
      <c r="D604" t="s">
        <v>28</v>
      </c>
      <c r="E604" t="s">
        <v>24</v>
      </c>
      <c r="F604">
        <v>2591.1799999999998</v>
      </c>
      <c r="G604">
        <f>INDEX(Operational[Production Volume (units)],MATCH(Emission8[[#This Row],[Facility ID]],Operational[Facility ID],0))</f>
        <v>40577</v>
      </c>
      <c r="H604">
        <f>INDEX(Operational[Energy Consumption (MWh)],MATCH(Emission8[[#This Row],[Facility ID]],Operational[Facility ID],0))</f>
        <v>4280.82</v>
      </c>
      <c r="I604">
        <f>INDEX(Operational[Waste (tons)],MATCH(Emission8[[#This Row],[Facility ID]],Operational[Facility ID],0))</f>
        <v>79.88</v>
      </c>
    </row>
    <row r="605" spans="1:9" x14ac:dyDescent="0.3">
      <c r="A605" t="s">
        <v>36</v>
      </c>
      <c r="B605" t="s">
        <v>12</v>
      </c>
      <c r="C605" t="s">
        <v>23</v>
      </c>
      <c r="D605" t="s">
        <v>14</v>
      </c>
      <c r="E605" t="s">
        <v>15</v>
      </c>
      <c r="F605">
        <v>3280.07</v>
      </c>
      <c r="G605">
        <f>INDEX(Operational[Production Volume (units)],MATCH(Emission8[[#This Row],[Facility ID]],Operational[Facility ID],0))</f>
        <v>40226</v>
      </c>
      <c r="H605">
        <f>INDEX(Operational[Energy Consumption (MWh)],MATCH(Emission8[[#This Row],[Facility ID]],Operational[Facility ID],0))</f>
        <v>7868.86</v>
      </c>
      <c r="I605">
        <f>INDEX(Operational[Waste (tons)],MATCH(Emission8[[#This Row],[Facility ID]],Operational[Facility ID],0))</f>
        <v>80.53</v>
      </c>
    </row>
    <row r="606" spans="1:9" x14ac:dyDescent="0.3">
      <c r="A606" t="s">
        <v>46</v>
      </c>
      <c r="B606" t="s">
        <v>30</v>
      </c>
      <c r="C606" t="s">
        <v>34</v>
      </c>
      <c r="D606" t="s">
        <v>28</v>
      </c>
      <c r="E606" t="s">
        <v>15</v>
      </c>
      <c r="F606">
        <v>632.11</v>
      </c>
      <c r="G606">
        <f>INDEX(Operational[Production Volume (units)],MATCH(Emission8[[#This Row],[Facility ID]],Operational[Facility ID],0))</f>
        <v>43490</v>
      </c>
      <c r="H606">
        <f>INDEX(Operational[Energy Consumption (MWh)],MATCH(Emission8[[#This Row],[Facility ID]],Operational[Facility ID],0))</f>
        <v>9300.8799999999992</v>
      </c>
      <c r="I606">
        <f>INDEX(Operational[Waste (tons)],MATCH(Emission8[[#This Row],[Facility ID]],Operational[Facility ID],0))</f>
        <v>58.43</v>
      </c>
    </row>
    <row r="607" spans="1:9" x14ac:dyDescent="0.3">
      <c r="A607" t="s">
        <v>175</v>
      </c>
      <c r="B607" t="s">
        <v>7</v>
      </c>
      <c r="C607" t="s">
        <v>13</v>
      </c>
      <c r="D607" t="s">
        <v>14</v>
      </c>
      <c r="E607" t="s">
        <v>10</v>
      </c>
      <c r="F607">
        <v>2914.08</v>
      </c>
      <c r="G607">
        <f>INDEX(Operational[Production Volume (units)],MATCH(Emission8[[#This Row],[Facility ID]],Operational[Facility ID],0))</f>
        <v>83923</v>
      </c>
      <c r="H607">
        <f>INDEX(Operational[Energy Consumption (MWh)],MATCH(Emission8[[#This Row],[Facility ID]],Operational[Facility ID],0))</f>
        <v>8768.7999999999993</v>
      </c>
      <c r="I607">
        <f>INDEX(Operational[Waste (tons)],MATCH(Emission8[[#This Row],[Facility ID]],Operational[Facility ID],0))</f>
        <v>65.290000000000006</v>
      </c>
    </row>
    <row r="608" spans="1:9" x14ac:dyDescent="0.3">
      <c r="A608" t="s">
        <v>63</v>
      </c>
      <c r="B608" t="s">
        <v>12</v>
      </c>
      <c r="C608" t="s">
        <v>34</v>
      </c>
      <c r="D608" t="s">
        <v>28</v>
      </c>
      <c r="E608" t="s">
        <v>10</v>
      </c>
      <c r="F608">
        <v>637.63</v>
      </c>
      <c r="G608">
        <f>INDEX(Operational[Production Volume (units)],MATCH(Emission8[[#This Row],[Facility ID]],Operational[Facility ID],0))</f>
        <v>33688</v>
      </c>
      <c r="H608">
        <f>INDEX(Operational[Energy Consumption (MWh)],MATCH(Emission8[[#This Row],[Facility ID]],Operational[Facility ID],0))</f>
        <v>9495.48</v>
      </c>
      <c r="I608">
        <f>INDEX(Operational[Waste (tons)],MATCH(Emission8[[#This Row],[Facility ID]],Operational[Facility ID],0))</f>
        <v>55.55</v>
      </c>
    </row>
    <row r="609" spans="1:9" x14ac:dyDescent="0.3">
      <c r="A609" t="s">
        <v>97</v>
      </c>
      <c r="B609" t="s">
        <v>7</v>
      </c>
      <c r="C609" t="s">
        <v>23</v>
      </c>
      <c r="D609" t="s">
        <v>14</v>
      </c>
      <c r="E609" t="s">
        <v>24</v>
      </c>
      <c r="F609">
        <v>1996.46</v>
      </c>
      <c r="G609">
        <f>INDEX(Operational[Production Volume (units)],MATCH(Emission8[[#This Row],[Facility ID]],Operational[Facility ID],0))</f>
        <v>78624</v>
      </c>
      <c r="H609">
        <f>INDEX(Operational[Energy Consumption (MWh)],MATCH(Emission8[[#This Row],[Facility ID]],Operational[Facility ID],0))</f>
        <v>2373.27</v>
      </c>
      <c r="I609">
        <f>INDEX(Operational[Waste (tons)],MATCH(Emission8[[#This Row],[Facility ID]],Operational[Facility ID],0))</f>
        <v>25.07</v>
      </c>
    </row>
    <row r="610" spans="1:9" x14ac:dyDescent="0.3">
      <c r="A610" t="s">
        <v>48</v>
      </c>
      <c r="B610" t="s">
        <v>19</v>
      </c>
      <c r="C610" t="s">
        <v>23</v>
      </c>
      <c r="D610" t="s">
        <v>14</v>
      </c>
      <c r="E610" t="s">
        <v>24</v>
      </c>
      <c r="F610">
        <v>1059.26</v>
      </c>
      <c r="G610">
        <f>INDEX(Operational[Production Volume (units)],MATCH(Emission8[[#This Row],[Facility ID]],Operational[Facility ID],0))</f>
        <v>11952</v>
      </c>
      <c r="H610">
        <f>INDEX(Operational[Energy Consumption (MWh)],MATCH(Emission8[[#This Row],[Facility ID]],Operational[Facility ID],0))</f>
        <v>4637.74</v>
      </c>
      <c r="I610">
        <f>INDEX(Operational[Waste (tons)],MATCH(Emission8[[#This Row],[Facility ID]],Operational[Facility ID],0))</f>
        <v>63.78</v>
      </c>
    </row>
    <row r="611" spans="1:9" x14ac:dyDescent="0.3">
      <c r="A611" t="s">
        <v>36</v>
      </c>
      <c r="B611" t="s">
        <v>12</v>
      </c>
      <c r="C611" t="s">
        <v>13</v>
      </c>
      <c r="D611" t="s">
        <v>9</v>
      </c>
      <c r="E611" t="s">
        <v>24</v>
      </c>
      <c r="F611">
        <v>3555.94</v>
      </c>
      <c r="G611">
        <f>INDEX(Operational[Production Volume (units)],MATCH(Emission8[[#This Row],[Facility ID]],Operational[Facility ID],0))</f>
        <v>40226</v>
      </c>
      <c r="H611">
        <f>INDEX(Operational[Energy Consumption (MWh)],MATCH(Emission8[[#This Row],[Facility ID]],Operational[Facility ID],0))</f>
        <v>7868.86</v>
      </c>
      <c r="I611">
        <f>INDEX(Operational[Waste (tons)],MATCH(Emission8[[#This Row],[Facility ID]],Operational[Facility ID],0))</f>
        <v>80.53</v>
      </c>
    </row>
    <row r="612" spans="1:9" x14ac:dyDescent="0.3">
      <c r="A612" t="s">
        <v>99</v>
      </c>
      <c r="B612" t="s">
        <v>19</v>
      </c>
      <c r="C612" t="s">
        <v>34</v>
      </c>
      <c r="D612" t="s">
        <v>14</v>
      </c>
      <c r="E612" t="s">
        <v>15</v>
      </c>
      <c r="F612">
        <v>3698.27</v>
      </c>
      <c r="G612">
        <f>INDEX(Operational[Production Volume (units)],MATCH(Emission8[[#This Row],[Facility ID]],Operational[Facility ID],0))</f>
        <v>77400</v>
      </c>
      <c r="H612">
        <f>INDEX(Operational[Energy Consumption (MWh)],MATCH(Emission8[[#This Row],[Facility ID]],Operational[Facility ID],0))</f>
        <v>7504.8</v>
      </c>
      <c r="I612">
        <f>INDEX(Operational[Waste (tons)],MATCH(Emission8[[#This Row],[Facility ID]],Operational[Facility ID],0))</f>
        <v>68.819999999999993</v>
      </c>
    </row>
    <row r="613" spans="1:9" x14ac:dyDescent="0.3">
      <c r="A613" t="s">
        <v>175</v>
      </c>
      <c r="B613" t="s">
        <v>7</v>
      </c>
      <c r="C613" t="s">
        <v>34</v>
      </c>
      <c r="D613" t="s">
        <v>14</v>
      </c>
      <c r="E613" t="s">
        <v>15</v>
      </c>
      <c r="F613">
        <v>2286.9699999999998</v>
      </c>
      <c r="G613">
        <f>INDEX(Operational[Production Volume (units)],MATCH(Emission8[[#This Row],[Facility ID]],Operational[Facility ID],0))</f>
        <v>83923</v>
      </c>
      <c r="H613">
        <f>INDEX(Operational[Energy Consumption (MWh)],MATCH(Emission8[[#This Row],[Facility ID]],Operational[Facility ID],0))</f>
        <v>8768.7999999999993</v>
      </c>
      <c r="I613">
        <f>INDEX(Operational[Waste (tons)],MATCH(Emission8[[#This Row],[Facility ID]],Operational[Facility ID],0))</f>
        <v>65.290000000000006</v>
      </c>
    </row>
    <row r="614" spans="1:9" x14ac:dyDescent="0.3">
      <c r="A614" t="s">
        <v>41</v>
      </c>
      <c r="B614" t="s">
        <v>30</v>
      </c>
      <c r="C614" t="s">
        <v>34</v>
      </c>
      <c r="D614" t="s">
        <v>14</v>
      </c>
      <c r="E614" t="s">
        <v>24</v>
      </c>
      <c r="F614">
        <v>3316.45</v>
      </c>
      <c r="G614">
        <f>INDEX(Operational[Production Volume (units)],MATCH(Emission8[[#This Row],[Facility ID]],Operational[Facility ID],0))</f>
        <v>61743</v>
      </c>
      <c r="H614">
        <f>INDEX(Operational[Energy Consumption (MWh)],MATCH(Emission8[[#This Row],[Facility ID]],Operational[Facility ID],0))</f>
        <v>7426.75</v>
      </c>
      <c r="I614">
        <f>INDEX(Operational[Waste (tons)],MATCH(Emission8[[#This Row],[Facility ID]],Operational[Facility ID],0))</f>
        <v>26.39</v>
      </c>
    </row>
    <row r="615" spans="1:9" x14ac:dyDescent="0.3">
      <c r="A615" t="s">
        <v>95</v>
      </c>
      <c r="B615" t="s">
        <v>30</v>
      </c>
      <c r="C615" t="s">
        <v>23</v>
      </c>
      <c r="D615" t="s">
        <v>28</v>
      </c>
      <c r="E615" t="s">
        <v>24</v>
      </c>
      <c r="F615">
        <v>1242.96</v>
      </c>
      <c r="G615">
        <f>INDEX(Operational[Production Volume (units)],MATCH(Emission8[[#This Row],[Facility ID]],Operational[Facility ID],0))</f>
        <v>51800</v>
      </c>
      <c r="H615">
        <f>INDEX(Operational[Energy Consumption (MWh)],MATCH(Emission8[[#This Row],[Facility ID]],Operational[Facility ID],0))</f>
        <v>3042.95</v>
      </c>
      <c r="I615">
        <f>INDEX(Operational[Waste (tons)],MATCH(Emission8[[#This Row],[Facility ID]],Operational[Facility ID],0))</f>
        <v>71.87</v>
      </c>
    </row>
    <row r="616" spans="1:9" x14ac:dyDescent="0.3">
      <c r="A616" t="s">
        <v>48</v>
      </c>
      <c r="B616" t="s">
        <v>19</v>
      </c>
      <c r="C616" t="s">
        <v>34</v>
      </c>
      <c r="D616" t="s">
        <v>28</v>
      </c>
      <c r="E616" t="s">
        <v>10</v>
      </c>
      <c r="F616">
        <v>3792.28</v>
      </c>
      <c r="G616">
        <f>INDEX(Operational[Production Volume (units)],MATCH(Emission8[[#This Row],[Facility ID]],Operational[Facility ID],0))</f>
        <v>11952</v>
      </c>
      <c r="H616">
        <f>INDEX(Operational[Energy Consumption (MWh)],MATCH(Emission8[[#This Row],[Facility ID]],Operational[Facility ID],0))</f>
        <v>4637.74</v>
      </c>
      <c r="I616">
        <f>INDEX(Operational[Waste (tons)],MATCH(Emission8[[#This Row],[Facility ID]],Operational[Facility ID],0))</f>
        <v>63.78</v>
      </c>
    </row>
    <row r="617" spans="1:9" x14ac:dyDescent="0.3">
      <c r="A617" t="s">
        <v>107</v>
      </c>
      <c r="B617" t="s">
        <v>30</v>
      </c>
      <c r="C617" t="s">
        <v>34</v>
      </c>
      <c r="D617" t="s">
        <v>9</v>
      </c>
      <c r="E617" t="s">
        <v>15</v>
      </c>
      <c r="F617">
        <v>4685.3100000000004</v>
      </c>
      <c r="G617">
        <f>INDEX(Operational[Production Volume (units)],MATCH(Emission8[[#This Row],[Facility ID]],Operational[Facility ID],0))</f>
        <v>69305</v>
      </c>
      <c r="H617">
        <f>INDEX(Operational[Energy Consumption (MWh)],MATCH(Emission8[[#This Row],[Facility ID]],Operational[Facility ID],0))</f>
        <v>3203.67</v>
      </c>
      <c r="I617">
        <f>INDEX(Operational[Waste (tons)],MATCH(Emission8[[#This Row],[Facility ID]],Operational[Facility ID],0))</f>
        <v>83.65</v>
      </c>
    </row>
    <row r="618" spans="1:9" x14ac:dyDescent="0.3">
      <c r="A618" t="s">
        <v>26</v>
      </c>
      <c r="B618" t="s">
        <v>17</v>
      </c>
      <c r="C618" t="s">
        <v>13</v>
      </c>
      <c r="D618" t="s">
        <v>28</v>
      </c>
      <c r="E618" t="s">
        <v>24</v>
      </c>
      <c r="F618">
        <v>2273.65</v>
      </c>
      <c r="G618">
        <f>INDEX(Operational[Production Volume (units)],MATCH(Emission8[[#This Row],[Facility ID]],Operational[Facility ID],0))</f>
        <v>17311</v>
      </c>
      <c r="H618">
        <f>INDEX(Operational[Energy Consumption (MWh)],MATCH(Emission8[[#This Row],[Facility ID]],Operational[Facility ID],0))</f>
        <v>2257.38</v>
      </c>
      <c r="I618">
        <f>INDEX(Operational[Waste (tons)],MATCH(Emission8[[#This Row],[Facility ID]],Operational[Facility ID],0))</f>
        <v>91.07</v>
      </c>
    </row>
    <row r="619" spans="1:9" x14ac:dyDescent="0.3">
      <c r="A619" t="s">
        <v>144</v>
      </c>
      <c r="B619" t="s">
        <v>30</v>
      </c>
      <c r="C619" t="s">
        <v>23</v>
      </c>
      <c r="D619" t="s">
        <v>9</v>
      </c>
      <c r="E619" t="s">
        <v>24</v>
      </c>
      <c r="F619">
        <v>3021.59</v>
      </c>
      <c r="G619">
        <f>INDEX(Operational[Production Volume (units)],MATCH(Emission8[[#This Row],[Facility ID]],Operational[Facility ID],0))</f>
        <v>11426</v>
      </c>
      <c r="H619">
        <f>INDEX(Operational[Energy Consumption (MWh)],MATCH(Emission8[[#This Row],[Facility ID]],Operational[Facility ID],0))</f>
        <v>4439.5600000000004</v>
      </c>
      <c r="I619">
        <f>INDEX(Operational[Waste (tons)],MATCH(Emission8[[#This Row],[Facility ID]],Operational[Facility ID],0))</f>
        <v>52.71</v>
      </c>
    </row>
    <row r="620" spans="1:9" x14ac:dyDescent="0.3">
      <c r="A620" t="s">
        <v>43</v>
      </c>
      <c r="B620" t="s">
        <v>17</v>
      </c>
      <c r="C620" t="s">
        <v>34</v>
      </c>
      <c r="D620" t="s">
        <v>28</v>
      </c>
      <c r="E620" t="s">
        <v>24</v>
      </c>
      <c r="F620">
        <v>1312.78</v>
      </c>
      <c r="G620">
        <f>INDEX(Operational[Production Volume (units)],MATCH(Emission8[[#This Row],[Facility ID]],Operational[Facility ID],0))</f>
        <v>41168</v>
      </c>
      <c r="H620">
        <f>INDEX(Operational[Energy Consumption (MWh)],MATCH(Emission8[[#This Row],[Facility ID]],Operational[Facility ID],0))</f>
        <v>8226.77</v>
      </c>
      <c r="I620">
        <f>INDEX(Operational[Waste (tons)],MATCH(Emission8[[#This Row],[Facility ID]],Operational[Facility ID],0))</f>
        <v>42.55</v>
      </c>
    </row>
    <row r="621" spans="1:9" x14ac:dyDescent="0.3">
      <c r="A621" t="s">
        <v>21</v>
      </c>
      <c r="B621" t="s">
        <v>19</v>
      </c>
      <c r="C621" t="s">
        <v>34</v>
      </c>
      <c r="D621" t="s">
        <v>9</v>
      </c>
      <c r="E621" t="s">
        <v>15</v>
      </c>
      <c r="F621">
        <v>1829.71</v>
      </c>
      <c r="G621">
        <f>INDEX(Operational[Production Volume (units)],MATCH(Emission8[[#This Row],[Facility ID]],Operational[Facility ID],0))</f>
        <v>61157</v>
      </c>
      <c r="H621">
        <f>INDEX(Operational[Energy Consumption (MWh)],MATCH(Emission8[[#This Row],[Facility ID]],Operational[Facility ID],0))</f>
        <v>7331.54</v>
      </c>
      <c r="I621">
        <f>INDEX(Operational[Waste (tons)],MATCH(Emission8[[#This Row],[Facility ID]],Operational[Facility ID],0))</f>
        <v>55.52</v>
      </c>
    </row>
    <row r="622" spans="1:9" x14ac:dyDescent="0.3">
      <c r="A622" t="s">
        <v>101</v>
      </c>
      <c r="B622" t="s">
        <v>19</v>
      </c>
      <c r="C622" t="s">
        <v>34</v>
      </c>
      <c r="D622" t="s">
        <v>9</v>
      </c>
      <c r="E622" t="s">
        <v>15</v>
      </c>
      <c r="F622">
        <v>1549.72</v>
      </c>
      <c r="G622">
        <f>INDEX(Operational[Production Volume (units)],MATCH(Emission8[[#This Row],[Facility ID]],Operational[Facility ID],0))</f>
        <v>39050</v>
      </c>
      <c r="H622">
        <f>INDEX(Operational[Energy Consumption (MWh)],MATCH(Emission8[[#This Row],[Facility ID]],Operational[Facility ID],0))</f>
        <v>5885.73</v>
      </c>
      <c r="I622">
        <f>INDEX(Operational[Waste (tons)],MATCH(Emission8[[#This Row],[Facility ID]],Operational[Facility ID],0))</f>
        <v>93.04</v>
      </c>
    </row>
    <row r="623" spans="1:9" x14ac:dyDescent="0.3">
      <c r="A623" t="s">
        <v>136</v>
      </c>
      <c r="B623" t="s">
        <v>17</v>
      </c>
      <c r="C623" t="s">
        <v>8</v>
      </c>
      <c r="D623" t="s">
        <v>28</v>
      </c>
      <c r="E623" t="s">
        <v>10</v>
      </c>
      <c r="F623">
        <v>2500.38</v>
      </c>
      <c r="G623">
        <f>INDEX(Operational[Production Volume (units)],MATCH(Emission8[[#This Row],[Facility ID]],Operational[Facility ID],0))</f>
        <v>15128</v>
      </c>
      <c r="H623">
        <f>INDEX(Operational[Energy Consumption (MWh)],MATCH(Emission8[[#This Row],[Facility ID]],Operational[Facility ID],0))</f>
        <v>8847.09</v>
      </c>
      <c r="I623">
        <f>INDEX(Operational[Waste (tons)],MATCH(Emission8[[#This Row],[Facility ID]],Operational[Facility ID],0))</f>
        <v>5.25</v>
      </c>
    </row>
    <row r="624" spans="1:9" x14ac:dyDescent="0.3">
      <c r="A624" t="s">
        <v>56</v>
      </c>
      <c r="B624" t="s">
        <v>19</v>
      </c>
      <c r="C624" t="s">
        <v>13</v>
      </c>
      <c r="D624" t="s">
        <v>28</v>
      </c>
      <c r="E624" t="s">
        <v>24</v>
      </c>
      <c r="F624">
        <v>1314.88</v>
      </c>
      <c r="G624">
        <f>INDEX(Operational[Production Volume (units)],MATCH(Emission8[[#This Row],[Facility ID]],Operational[Facility ID],0))</f>
        <v>43747</v>
      </c>
      <c r="H624">
        <f>INDEX(Operational[Energy Consumption (MWh)],MATCH(Emission8[[#This Row],[Facility ID]],Operational[Facility ID],0))</f>
        <v>3453.48</v>
      </c>
      <c r="I624">
        <f>INDEX(Operational[Waste (tons)],MATCH(Emission8[[#This Row],[Facility ID]],Operational[Facility ID],0))</f>
        <v>98.78</v>
      </c>
    </row>
    <row r="625" spans="1:9" x14ac:dyDescent="0.3">
      <c r="A625" t="s">
        <v>141</v>
      </c>
      <c r="B625" t="s">
        <v>7</v>
      </c>
      <c r="C625" t="s">
        <v>34</v>
      </c>
      <c r="D625" t="s">
        <v>28</v>
      </c>
      <c r="E625" t="s">
        <v>24</v>
      </c>
      <c r="F625">
        <v>2425.58</v>
      </c>
      <c r="G625">
        <f>INDEX(Operational[Production Volume (units)],MATCH(Emission8[[#This Row],[Facility ID]],Operational[Facility ID],0))</f>
        <v>45644</v>
      </c>
      <c r="H625">
        <f>INDEX(Operational[Energy Consumption (MWh)],MATCH(Emission8[[#This Row],[Facility ID]],Operational[Facility ID],0))</f>
        <v>7724.73</v>
      </c>
      <c r="I625">
        <f>INDEX(Operational[Waste (tons)],MATCH(Emission8[[#This Row],[Facility ID]],Operational[Facility ID],0))</f>
        <v>31</v>
      </c>
    </row>
    <row r="626" spans="1:9" x14ac:dyDescent="0.3">
      <c r="A626" t="s">
        <v>35</v>
      </c>
      <c r="B626" t="s">
        <v>19</v>
      </c>
      <c r="C626" t="s">
        <v>13</v>
      </c>
      <c r="D626" t="s">
        <v>14</v>
      </c>
      <c r="E626" t="s">
        <v>15</v>
      </c>
      <c r="F626">
        <v>3143.07</v>
      </c>
      <c r="G626">
        <f>INDEX(Operational[Production Volume (units)],MATCH(Emission8[[#This Row],[Facility ID]],Operational[Facility ID],0))</f>
        <v>42382</v>
      </c>
      <c r="H626">
        <f>INDEX(Operational[Energy Consumption (MWh)],MATCH(Emission8[[#This Row],[Facility ID]],Operational[Facility ID],0))</f>
        <v>5116.6899999999996</v>
      </c>
      <c r="I626">
        <f>INDEX(Operational[Waste (tons)],MATCH(Emission8[[#This Row],[Facility ID]],Operational[Facility ID],0))</f>
        <v>80.42</v>
      </c>
    </row>
    <row r="627" spans="1:9" x14ac:dyDescent="0.3">
      <c r="A627" t="s">
        <v>210</v>
      </c>
      <c r="B627" t="s">
        <v>7</v>
      </c>
      <c r="C627" t="s">
        <v>34</v>
      </c>
      <c r="D627" t="s">
        <v>28</v>
      </c>
      <c r="E627" t="s">
        <v>15</v>
      </c>
      <c r="F627">
        <v>3426.65</v>
      </c>
      <c r="G627">
        <f>INDEX(Operational[Production Volume (units)],MATCH(Emission8[[#This Row],[Facility ID]],Operational[Facility ID],0))</f>
        <v>65666</v>
      </c>
      <c r="H627">
        <f>INDEX(Operational[Energy Consumption (MWh)],MATCH(Emission8[[#This Row],[Facility ID]],Operational[Facility ID],0))</f>
        <v>7269.98</v>
      </c>
      <c r="I627">
        <f>INDEX(Operational[Waste (tons)],MATCH(Emission8[[#This Row],[Facility ID]],Operational[Facility ID],0))</f>
        <v>75.62</v>
      </c>
    </row>
    <row r="628" spans="1:9" x14ac:dyDescent="0.3">
      <c r="A628" t="s">
        <v>50</v>
      </c>
      <c r="B628" t="s">
        <v>19</v>
      </c>
      <c r="C628" t="s">
        <v>34</v>
      </c>
      <c r="D628" t="s">
        <v>9</v>
      </c>
      <c r="E628" t="s">
        <v>15</v>
      </c>
      <c r="F628">
        <v>3334.69</v>
      </c>
      <c r="G628">
        <f>INDEX(Operational[Production Volume (units)],MATCH(Emission8[[#This Row],[Facility ID]],Operational[Facility ID],0))</f>
        <v>40577</v>
      </c>
      <c r="H628">
        <f>INDEX(Operational[Energy Consumption (MWh)],MATCH(Emission8[[#This Row],[Facility ID]],Operational[Facility ID],0))</f>
        <v>4280.82</v>
      </c>
      <c r="I628">
        <f>INDEX(Operational[Waste (tons)],MATCH(Emission8[[#This Row],[Facility ID]],Operational[Facility ID],0))</f>
        <v>79.88</v>
      </c>
    </row>
    <row r="629" spans="1:9" x14ac:dyDescent="0.3">
      <c r="A629" t="s">
        <v>103</v>
      </c>
      <c r="B629" t="s">
        <v>19</v>
      </c>
      <c r="C629" t="s">
        <v>8</v>
      </c>
      <c r="D629" t="s">
        <v>28</v>
      </c>
      <c r="E629" t="s">
        <v>24</v>
      </c>
      <c r="F629">
        <v>1554.47</v>
      </c>
      <c r="G629">
        <f>INDEX(Operational[Production Volume (units)],MATCH(Emission8[[#This Row],[Facility ID]],Operational[Facility ID],0))</f>
        <v>38869</v>
      </c>
      <c r="H629">
        <f>INDEX(Operational[Energy Consumption (MWh)],MATCH(Emission8[[#This Row],[Facility ID]],Operational[Facility ID],0))</f>
        <v>5109.76</v>
      </c>
      <c r="I629">
        <f>INDEX(Operational[Waste (tons)],MATCH(Emission8[[#This Row],[Facility ID]],Operational[Facility ID],0))</f>
        <v>35.270000000000003</v>
      </c>
    </row>
    <row r="630" spans="1:9" x14ac:dyDescent="0.3">
      <c r="A630" t="s">
        <v>163</v>
      </c>
      <c r="B630" t="s">
        <v>19</v>
      </c>
      <c r="C630" t="s">
        <v>13</v>
      </c>
      <c r="D630" t="s">
        <v>9</v>
      </c>
      <c r="E630" t="s">
        <v>24</v>
      </c>
      <c r="F630">
        <v>613.22</v>
      </c>
      <c r="G630">
        <f>INDEX(Operational[Production Volume (units)],MATCH(Emission8[[#This Row],[Facility ID]],Operational[Facility ID],0))</f>
        <v>87482</v>
      </c>
      <c r="H630">
        <f>INDEX(Operational[Energy Consumption (MWh)],MATCH(Emission8[[#This Row],[Facility ID]],Operational[Facility ID],0))</f>
        <v>2231.7399999999998</v>
      </c>
      <c r="I630">
        <f>INDEX(Operational[Waste (tons)],MATCH(Emission8[[#This Row],[Facility ID]],Operational[Facility ID],0))</f>
        <v>45.43</v>
      </c>
    </row>
    <row r="631" spans="1:9" x14ac:dyDescent="0.3">
      <c r="A631" t="s">
        <v>72</v>
      </c>
      <c r="B631" t="s">
        <v>19</v>
      </c>
      <c r="C631" t="s">
        <v>34</v>
      </c>
      <c r="D631" t="s">
        <v>28</v>
      </c>
      <c r="E631" t="s">
        <v>24</v>
      </c>
      <c r="F631">
        <v>2269.8200000000002</v>
      </c>
      <c r="G631">
        <f>INDEX(Operational[Production Volume (units)],MATCH(Emission8[[#This Row],[Facility ID]],Operational[Facility ID],0))</f>
        <v>29318</v>
      </c>
      <c r="H631">
        <f>INDEX(Operational[Energy Consumption (MWh)],MATCH(Emission8[[#This Row],[Facility ID]],Operational[Facility ID],0))</f>
        <v>9860.6200000000008</v>
      </c>
      <c r="I631">
        <f>INDEX(Operational[Waste (tons)],MATCH(Emission8[[#This Row],[Facility ID]],Operational[Facility ID],0))</f>
        <v>14.58</v>
      </c>
    </row>
    <row r="632" spans="1:9" x14ac:dyDescent="0.3">
      <c r="A632" t="s">
        <v>155</v>
      </c>
      <c r="B632" t="s">
        <v>7</v>
      </c>
      <c r="C632" t="s">
        <v>8</v>
      </c>
      <c r="D632" t="s">
        <v>9</v>
      </c>
      <c r="E632" t="s">
        <v>24</v>
      </c>
      <c r="F632">
        <v>1258.56</v>
      </c>
      <c r="G632">
        <f>INDEX(Operational[Production Volume (units)],MATCH(Emission8[[#This Row],[Facility ID]],Operational[Facility ID],0))</f>
        <v>72224</v>
      </c>
      <c r="H632">
        <f>INDEX(Operational[Energy Consumption (MWh)],MATCH(Emission8[[#This Row],[Facility ID]],Operational[Facility ID],0))</f>
        <v>1613.32</v>
      </c>
      <c r="I632">
        <f>INDEX(Operational[Waste (tons)],MATCH(Emission8[[#This Row],[Facility ID]],Operational[Facility ID],0))</f>
        <v>39.21</v>
      </c>
    </row>
    <row r="633" spans="1:9" x14ac:dyDescent="0.3">
      <c r="A633" t="s">
        <v>18</v>
      </c>
      <c r="B633" t="s">
        <v>19</v>
      </c>
      <c r="C633" t="s">
        <v>8</v>
      </c>
      <c r="D633" t="s">
        <v>14</v>
      </c>
      <c r="E633" t="s">
        <v>10</v>
      </c>
      <c r="F633">
        <v>2102.71</v>
      </c>
      <c r="G633">
        <f>INDEX(Operational[Production Volume (units)],MATCH(Emission8[[#This Row],[Facility ID]],Operational[Facility ID],0))</f>
        <v>98682</v>
      </c>
      <c r="H633">
        <f>INDEX(Operational[Energy Consumption (MWh)],MATCH(Emission8[[#This Row],[Facility ID]],Operational[Facility ID],0))</f>
        <v>6220.56</v>
      </c>
      <c r="I633">
        <f>INDEX(Operational[Waste (tons)],MATCH(Emission8[[#This Row],[Facility ID]],Operational[Facility ID],0))</f>
        <v>70.099999999999994</v>
      </c>
    </row>
    <row r="634" spans="1:9" x14ac:dyDescent="0.3">
      <c r="A634" t="s">
        <v>91</v>
      </c>
      <c r="B634" t="s">
        <v>30</v>
      </c>
      <c r="C634" t="s">
        <v>13</v>
      </c>
      <c r="D634" t="s">
        <v>28</v>
      </c>
      <c r="E634" t="s">
        <v>15</v>
      </c>
      <c r="F634">
        <v>1951.99</v>
      </c>
      <c r="G634">
        <f>INDEX(Operational[Production Volume (units)],MATCH(Emission8[[#This Row],[Facility ID]],Operational[Facility ID],0))</f>
        <v>20207</v>
      </c>
      <c r="H634">
        <f>INDEX(Operational[Energy Consumption (MWh)],MATCH(Emission8[[#This Row],[Facility ID]],Operational[Facility ID],0))</f>
        <v>5369.46</v>
      </c>
      <c r="I634">
        <f>INDEX(Operational[Waste (tons)],MATCH(Emission8[[#This Row],[Facility ID]],Operational[Facility ID],0))</f>
        <v>57.51</v>
      </c>
    </row>
    <row r="635" spans="1:9" x14ac:dyDescent="0.3">
      <c r="A635" t="s">
        <v>165</v>
      </c>
      <c r="B635" t="s">
        <v>7</v>
      </c>
      <c r="C635" t="s">
        <v>8</v>
      </c>
      <c r="D635" t="s">
        <v>9</v>
      </c>
      <c r="E635" t="s">
        <v>10</v>
      </c>
      <c r="F635">
        <v>942.66</v>
      </c>
      <c r="G635">
        <f>INDEX(Operational[Production Volume (units)],MATCH(Emission8[[#This Row],[Facility ID]],Operational[Facility ID],0))</f>
        <v>32991</v>
      </c>
      <c r="H635">
        <f>INDEX(Operational[Energy Consumption (MWh)],MATCH(Emission8[[#This Row],[Facility ID]],Operational[Facility ID],0))</f>
        <v>8540.14</v>
      </c>
      <c r="I635">
        <f>INDEX(Operational[Waste (tons)],MATCH(Emission8[[#This Row],[Facility ID]],Operational[Facility ID],0))</f>
        <v>37.75</v>
      </c>
    </row>
    <row r="636" spans="1:9" x14ac:dyDescent="0.3">
      <c r="A636" t="s">
        <v>18</v>
      </c>
      <c r="B636" t="s">
        <v>19</v>
      </c>
      <c r="C636" t="s">
        <v>8</v>
      </c>
      <c r="D636" t="s">
        <v>14</v>
      </c>
      <c r="E636" t="s">
        <v>24</v>
      </c>
      <c r="F636">
        <v>4612.42</v>
      </c>
      <c r="G636">
        <f>INDEX(Operational[Production Volume (units)],MATCH(Emission8[[#This Row],[Facility ID]],Operational[Facility ID],0))</f>
        <v>98682</v>
      </c>
      <c r="H636">
        <f>INDEX(Operational[Energy Consumption (MWh)],MATCH(Emission8[[#This Row],[Facility ID]],Operational[Facility ID],0))</f>
        <v>6220.56</v>
      </c>
      <c r="I636">
        <f>INDEX(Operational[Waste (tons)],MATCH(Emission8[[#This Row],[Facility ID]],Operational[Facility ID],0))</f>
        <v>70.099999999999994</v>
      </c>
    </row>
    <row r="637" spans="1:9" x14ac:dyDescent="0.3">
      <c r="A637" t="s">
        <v>137</v>
      </c>
      <c r="B637" t="s">
        <v>17</v>
      </c>
      <c r="C637" t="s">
        <v>23</v>
      </c>
      <c r="D637" t="s">
        <v>9</v>
      </c>
      <c r="E637" t="s">
        <v>15</v>
      </c>
      <c r="F637">
        <v>5180.6899999999996</v>
      </c>
      <c r="G637">
        <f>INDEX(Operational[Production Volume (units)],MATCH(Emission8[[#This Row],[Facility ID]],Operational[Facility ID],0))</f>
        <v>19265</v>
      </c>
      <c r="H637">
        <f>INDEX(Operational[Energy Consumption (MWh)],MATCH(Emission8[[#This Row],[Facility ID]],Operational[Facility ID],0))</f>
        <v>776.6</v>
      </c>
      <c r="I637">
        <f>INDEX(Operational[Waste (tons)],MATCH(Emission8[[#This Row],[Facility ID]],Operational[Facility ID],0))</f>
        <v>39.75</v>
      </c>
    </row>
    <row r="638" spans="1:9" x14ac:dyDescent="0.3">
      <c r="A638" t="s">
        <v>111</v>
      </c>
      <c r="B638" t="s">
        <v>19</v>
      </c>
      <c r="C638" t="s">
        <v>23</v>
      </c>
      <c r="D638" t="s">
        <v>9</v>
      </c>
      <c r="E638" t="s">
        <v>10</v>
      </c>
      <c r="F638">
        <v>3307.68</v>
      </c>
      <c r="G638">
        <f>INDEX(Operational[Production Volume (units)],MATCH(Emission8[[#This Row],[Facility ID]],Operational[Facility ID],0))</f>
        <v>37309</v>
      </c>
      <c r="H638">
        <f>INDEX(Operational[Energy Consumption (MWh)],MATCH(Emission8[[#This Row],[Facility ID]],Operational[Facility ID],0))</f>
        <v>4508.54</v>
      </c>
      <c r="I638">
        <f>INDEX(Operational[Waste (tons)],MATCH(Emission8[[#This Row],[Facility ID]],Operational[Facility ID],0))</f>
        <v>47.15</v>
      </c>
    </row>
    <row r="639" spans="1:9" x14ac:dyDescent="0.3">
      <c r="A639" t="s">
        <v>211</v>
      </c>
      <c r="B639" t="s">
        <v>7</v>
      </c>
      <c r="C639" t="s">
        <v>8</v>
      </c>
      <c r="D639" t="s">
        <v>28</v>
      </c>
      <c r="E639" t="s">
        <v>24</v>
      </c>
      <c r="F639">
        <v>4673.95</v>
      </c>
      <c r="G639">
        <f>INDEX(Operational[Production Volume (units)],MATCH(Emission8[[#This Row],[Facility ID]],Operational[Facility ID],0))</f>
        <v>27028</v>
      </c>
      <c r="H639">
        <f>INDEX(Operational[Energy Consumption (MWh)],MATCH(Emission8[[#This Row],[Facility ID]],Operational[Facility ID],0))</f>
        <v>4617.92</v>
      </c>
      <c r="I639">
        <f>INDEX(Operational[Waste (tons)],MATCH(Emission8[[#This Row],[Facility ID]],Operational[Facility ID],0))</f>
        <v>57.62</v>
      </c>
    </row>
    <row r="640" spans="1:9" x14ac:dyDescent="0.3">
      <c r="A640" t="s">
        <v>143</v>
      </c>
      <c r="B640" t="s">
        <v>17</v>
      </c>
      <c r="C640" t="s">
        <v>8</v>
      </c>
      <c r="D640" t="s">
        <v>28</v>
      </c>
      <c r="E640" t="s">
        <v>24</v>
      </c>
      <c r="F640">
        <v>2977.11</v>
      </c>
      <c r="G640">
        <f>INDEX(Operational[Production Volume (units)],MATCH(Emission8[[#This Row],[Facility ID]],Operational[Facility ID],0))</f>
        <v>94704</v>
      </c>
      <c r="H640">
        <f>INDEX(Operational[Energy Consumption (MWh)],MATCH(Emission8[[#This Row],[Facility ID]],Operational[Facility ID],0))</f>
        <v>6632.95</v>
      </c>
      <c r="I640">
        <f>INDEX(Operational[Waste (tons)],MATCH(Emission8[[#This Row],[Facility ID]],Operational[Facility ID],0))</f>
        <v>14.76</v>
      </c>
    </row>
    <row r="641" spans="1:9" x14ac:dyDescent="0.3">
      <c r="A641" t="s">
        <v>6</v>
      </c>
      <c r="B641" t="s">
        <v>7</v>
      </c>
      <c r="C641" t="s">
        <v>34</v>
      </c>
      <c r="D641" t="s">
        <v>9</v>
      </c>
      <c r="E641" t="s">
        <v>15</v>
      </c>
      <c r="F641">
        <v>2214.86</v>
      </c>
      <c r="G641">
        <f>INDEX(Operational[Production Volume (units)],MATCH(Emission8[[#This Row],[Facility ID]],Operational[Facility ID],0))</f>
        <v>77330</v>
      </c>
      <c r="H641">
        <f>INDEX(Operational[Energy Consumption (MWh)],MATCH(Emission8[[#This Row],[Facility ID]],Operational[Facility ID],0))</f>
        <v>6936.58</v>
      </c>
      <c r="I641">
        <f>INDEX(Operational[Waste (tons)],MATCH(Emission8[[#This Row],[Facility ID]],Operational[Facility ID],0))</f>
        <v>82.3</v>
      </c>
    </row>
    <row r="642" spans="1:9" x14ac:dyDescent="0.3">
      <c r="A642" t="s">
        <v>127</v>
      </c>
      <c r="B642" t="s">
        <v>17</v>
      </c>
      <c r="C642" t="s">
        <v>34</v>
      </c>
      <c r="D642" t="s">
        <v>28</v>
      </c>
      <c r="E642" t="s">
        <v>15</v>
      </c>
      <c r="F642">
        <v>2253.86</v>
      </c>
      <c r="G642">
        <f>INDEX(Operational[Production Volume (units)],MATCH(Emission8[[#This Row],[Facility ID]],Operational[Facility ID],0))</f>
        <v>17416</v>
      </c>
      <c r="H642">
        <f>INDEX(Operational[Energy Consumption (MWh)],MATCH(Emission8[[#This Row],[Facility ID]],Operational[Facility ID],0))</f>
        <v>812.06</v>
      </c>
      <c r="I642">
        <f>INDEX(Operational[Waste (tons)],MATCH(Emission8[[#This Row],[Facility ID]],Operational[Facility ID],0))</f>
        <v>5.7</v>
      </c>
    </row>
    <row r="643" spans="1:9" x14ac:dyDescent="0.3">
      <c r="A643" t="s">
        <v>112</v>
      </c>
      <c r="B643" t="s">
        <v>30</v>
      </c>
      <c r="C643" t="s">
        <v>34</v>
      </c>
      <c r="D643" t="s">
        <v>9</v>
      </c>
      <c r="E643" t="s">
        <v>10</v>
      </c>
      <c r="F643">
        <v>2426.7199999999998</v>
      </c>
      <c r="G643">
        <f>INDEX(Operational[Production Volume (units)],MATCH(Emission8[[#This Row],[Facility ID]],Operational[Facility ID],0))</f>
        <v>43294</v>
      </c>
      <c r="H643">
        <f>INDEX(Operational[Energy Consumption (MWh)],MATCH(Emission8[[#This Row],[Facility ID]],Operational[Facility ID],0))</f>
        <v>3802.13</v>
      </c>
      <c r="I643">
        <f>INDEX(Operational[Waste (tons)],MATCH(Emission8[[#This Row],[Facility ID]],Operational[Facility ID],0))</f>
        <v>45.84</v>
      </c>
    </row>
    <row r="644" spans="1:9" x14ac:dyDescent="0.3">
      <c r="A644" t="s">
        <v>115</v>
      </c>
      <c r="B644" t="s">
        <v>19</v>
      </c>
      <c r="C644" t="s">
        <v>13</v>
      </c>
      <c r="D644" t="s">
        <v>14</v>
      </c>
      <c r="E644" t="s">
        <v>24</v>
      </c>
      <c r="F644">
        <v>2903.42</v>
      </c>
      <c r="G644">
        <f>INDEX(Operational[Production Volume (units)],MATCH(Emission8[[#This Row],[Facility ID]],Operational[Facility ID],0))</f>
        <v>17162</v>
      </c>
      <c r="H644">
        <f>INDEX(Operational[Energy Consumption (MWh)],MATCH(Emission8[[#This Row],[Facility ID]],Operational[Facility ID],0))</f>
        <v>5079.95</v>
      </c>
      <c r="I644">
        <f>INDEX(Operational[Waste (tons)],MATCH(Emission8[[#This Row],[Facility ID]],Operational[Facility ID],0))</f>
        <v>19.239999999999998</v>
      </c>
    </row>
    <row r="645" spans="1:9" x14ac:dyDescent="0.3">
      <c r="A645" t="s">
        <v>202</v>
      </c>
      <c r="B645" t="s">
        <v>12</v>
      </c>
      <c r="C645" t="s">
        <v>13</v>
      </c>
      <c r="D645" t="s">
        <v>9</v>
      </c>
      <c r="E645" t="s">
        <v>10</v>
      </c>
      <c r="F645">
        <v>3101.84</v>
      </c>
      <c r="G645">
        <f>INDEX(Operational[Production Volume (units)],MATCH(Emission8[[#This Row],[Facility ID]],Operational[Facility ID],0))</f>
        <v>28400</v>
      </c>
      <c r="H645">
        <f>INDEX(Operational[Energy Consumption (MWh)],MATCH(Emission8[[#This Row],[Facility ID]],Operational[Facility ID],0))</f>
        <v>3056.67</v>
      </c>
      <c r="I645">
        <f>INDEX(Operational[Waste (tons)],MATCH(Emission8[[#This Row],[Facility ID]],Operational[Facility ID],0))</f>
        <v>52.68</v>
      </c>
    </row>
    <row r="646" spans="1:9" x14ac:dyDescent="0.3">
      <c r="A646" t="s">
        <v>139</v>
      </c>
      <c r="B646" t="s">
        <v>7</v>
      </c>
      <c r="C646" t="s">
        <v>8</v>
      </c>
      <c r="D646" t="s">
        <v>9</v>
      </c>
      <c r="E646" t="s">
        <v>10</v>
      </c>
      <c r="F646">
        <v>3483.93</v>
      </c>
      <c r="G646">
        <f>INDEX(Operational[Production Volume (units)],MATCH(Emission8[[#This Row],[Facility ID]],Operational[Facility ID],0))</f>
        <v>10067</v>
      </c>
      <c r="H646">
        <f>INDEX(Operational[Energy Consumption (MWh)],MATCH(Emission8[[#This Row],[Facility ID]],Operational[Facility ID],0))</f>
        <v>1953.33</v>
      </c>
      <c r="I646">
        <f>INDEX(Operational[Waste (tons)],MATCH(Emission8[[#This Row],[Facility ID]],Operational[Facility ID],0))</f>
        <v>25.15</v>
      </c>
    </row>
    <row r="647" spans="1:9" x14ac:dyDescent="0.3">
      <c r="A647" t="s">
        <v>41</v>
      </c>
      <c r="B647" t="s">
        <v>30</v>
      </c>
      <c r="C647" t="s">
        <v>8</v>
      </c>
      <c r="D647" t="s">
        <v>28</v>
      </c>
      <c r="E647" t="s">
        <v>15</v>
      </c>
      <c r="F647">
        <v>4798.16</v>
      </c>
      <c r="G647">
        <f>INDEX(Operational[Production Volume (units)],MATCH(Emission8[[#This Row],[Facility ID]],Operational[Facility ID],0))</f>
        <v>61743</v>
      </c>
      <c r="H647">
        <f>INDEX(Operational[Energy Consumption (MWh)],MATCH(Emission8[[#This Row],[Facility ID]],Operational[Facility ID],0))</f>
        <v>7426.75</v>
      </c>
      <c r="I647">
        <f>INDEX(Operational[Waste (tons)],MATCH(Emission8[[#This Row],[Facility ID]],Operational[Facility ID],0))</f>
        <v>26.39</v>
      </c>
    </row>
    <row r="648" spans="1:9" x14ac:dyDescent="0.3">
      <c r="A648" t="s">
        <v>188</v>
      </c>
      <c r="B648" t="s">
        <v>19</v>
      </c>
      <c r="C648" t="s">
        <v>13</v>
      </c>
      <c r="D648" t="s">
        <v>28</v>
      </c>
      <c r="E648" t="s">
        <v>10</v>
      </c>
      <c r="F648">
        <v>2226.6</v>
      </c>
      <c r="G648">
        <f>INDEX(Operational[Production Volume (units)],MATCH(Emission8[[#This Row],[Facility ID]],Operational[Facility ID],0))</f>
        <v>60513</v>
      </c>
      <c r="H648">
        <f>INDEX(Operational[Energy Consumption (MWh)],MATCH(Emission8[[#This Row],[Facility ID]],Operational[Facility ID],0))</f>
        <v>4578.16</v>
      </c>
      <c r="I648">
        <f>INDEX(Operational[Waste (tons)],MATCH(Emission8[[#This Row],[Facility ID]],Operational[Facility ID],0))</f>
        <v>65.53</v>
      </c>
    </row>
    <row r="649" spans="1:9" x14ac:dyDescent="0.3">
      <c r="A649" t="s">
        <v>156</v>
      </c>
      <c r="B649" t="s">
        <v>17</v>
      </c>
      <c r="C649" t="s">
        <v>23</v>
      </c>
      <c r="D649" t="s">
        <v>9</v>
      </c>
      <c r="E649" t="s">
        <v>15</v>
      </c>
      <c r="F649">
        <v>2848.95</v>
      </c>
      <c r="G649">
        <f>INDEX(Operational[Production Volume (units)],MATCH(Emission8[[#This Row],[Facility ID]],Operational[Facility ID],0))</f>
        <v>81057</v>
      </c>
      <c r="H649">
        <f>INDEX(Operational[Energy Consumption (MWh)],MATCH(Emission8[[#This Row],[Facility ID]],Operational[Facility ID],0))</f>
        <v>675.41</v>
      </c>
      <c r="I649">
        <f>INDEX(Operational[Waste (tons)],MATCH(Emission8[[#This Row],[Facility ID]],Operational[Facility ID],0))</f>
        <v>55.44</v>
      </c>
    </row>
    <row r="650" spans="1:9" x14ac:dyDescent="0.3">
      <c r="A650" t="s">
        <v>11</v>
      </c>
      <c r="B650" t="s">
        <v>12</v>
      </c>
      <c r="C650" t="s">
        <v>8</v>
      </c>
      <c r="D650" t="s">
        <v>14</v>
      </c>
      <c r="E650" t="s">
        <v>24</v>
      </c>
      <c r="F650">
        <v>751.3</v>
      </c>
      <c r="G650">
        <f>INDEX(Operational[Production Volume (units)],MATCH(Emission8[[#This Row],[Facility ID]],Operational[Facility ID],0))</f>
        <v>44657</v>
      </c>
      <c r="H650">
        <f>INDEX(Operational[Energy Consumption (MWh)],MATCH(Emission8[[#This Row],[Facility ID]],Operational[Facility ID],0))</f>
        <v>7867.98</v>
      </c>
      <c r="I650">
        <f>INDEX(Operational[Waste (tons)],MATCH(Emission8[[#This Row],[Facility ID]],Operational[Facility ID],0))</f>
        <v>96.01</v>
      </c>
    </row>
    <row r="651" spans="1:9" x14ac:dyDescent="0.3">
      <c r="A651" t="s">
        <v>64</v>
      </c>
      <c r="B651" t="s">
        <v>30</v>
      </c>
      <c r="C651" t="s">
        <v>23</v>
      </c>
      <c r="D651" t="s">
        <v>28</v>
      </c>
      <c r="E651" t="s">
        <v>15</v>
      </c>
      <c r="F651">
        <v>3286.05</v>
      </c>
      <c r="G651">
        <f>INDEX(Operational[Production Volume (units)],MATCH(Emission8[[#This Row],[Facility ID]],Operational[Facility ID],0))</f>
        <v>52836</v>
      </c>
      <c r="H651">
        <f>INDEX(Operational[Energy Consumption (MWh)],MATCH(Emission8[[#This Row],[Facility ID]],Operational[Facility ID],0))</f>
        <v>9330.2999999999993</v>
      </c>
      <c r="I651">
        <f>INDEX(Operational[Waste (tons)],MATCH(Emission8[[#This Row],[Facility ID]],Operational[Facility ID],0))</f>
        <v>87.27</v>
      </c>
    </row>
    <row r="652" spans="1:9" x14ac:dyDescent="0.3">
      <c r="A652" t="s">
        <v>100</v>
      </c>
      <c r="B652" t="s">
        <v>7</v>
      </c>
      <c r="C652" t="s">
        <v>13</v>
      </c>
      <c r="D652" t="s">
        <v>28</v>
      </c>
      <c r="E652" t="s">
        <v>15</v>
      </c>
      <c r="F652">
        <v>1018.05</v>
      </c>
      <c r="G652">
        <f>INDEX(Operational[Production Volume (units)],MATCH(Emission8[[#This Row],[Facility ID]],Operational[Facility ID],0))</f>
        <v>17468</v>
      </c>
      <c r="H652">
        <f>INDEX(Operational[Energy Consumption (MWh)],MATCH(Emission8[[#This Row],[Facility ID]],Operational[Facility ID],0))</f>
        <v>6359.73</v>
      </c>
      <c r="I652">
        <f>INDEX(Operational[Waste (tons)],MATCH(Emission8[[#This Row],[Facility ID]],Operational[Facility ID],0))</f>
        <v>5.22</v>
      </c>
    </row>
    <row r="653" spans="1:9" x14ac:dyDescent="0.3">
      <c r="A653" t="s">
        <v>189</v>
      </c>
      <c r="B653" t="s">
        <v>19</v>
      </c>
      <c r="C653" t="s">
        <v>34</v>
      </c>
      <c r="D653" t="s">
        <v>14</v>
      </c>
      <c r="E653" t="s">
        <v>24</v>
      </c>
      <c r="F653">
        <v>2978.67</v>
      </c>
      <c r="G653">
        <f>INDEX(Operational[Production Volume (units)],MATCH(Emission8[[#This Row],[Facility ID]],Operational[Facility ID],0))</f>
        <v>27681</v>
      </c>
      <c r="H653">
        <f>INDEX(Operational[Energy Consumption (MWh)],MATCH(Emission8[[#This Row],[Facility ID]],Operational[Facility ID],0))</f>
        <v>928.26</v>
      </c>
      <c r="I653">
        <f>INDEX(Operational[Waste (tons)],MATCH(Emission8[[#This Row],[Facility ID]],Operational[Facility ID],0))</f>
        <v>44.97</v>
      </c>
    </row>
    <row r="654" spans="1:9" x14ac:dyDescent="0.3">
      <c r="A654" t="s">
        <v>26</v>
      </c>
      <c r="B654" t="s">
        <v>17</v>
      </c>
      <c r="C654" t="s">
        <v>23</v>
      </c>
      <c r="D654" t="s">
        <v>28</v>
      </c>
      <c r="E654" t="s">
        <v>15</v>
      </c>
      <c r="F654">
        <v>1158.82</v>
      </c>
      <c r="G654">
        <f>INDEX(Operational[Production Volume (units)],MATCH(Emission8[[#This Row],[Facility ID]],Operational[Facility ID],0))</f>
        <v>17311</v>
      </c>
      <c r="H654">
        <f>INDEX(Operational[Energy Consumption (MWh)],MATCH(Emission8[[#This Row],[Facility ID]],Operational[Facility ID],0))</f>
        <v>2257.38</v>
      </c>
      <c r="I654">
        <f>INDEX(Operational[Waste (tons)],MATCH(Emission8[[#This Row],[Facility ID]],Operational[Facility ID],0))</f>
        <v>91.07</v>
      </c>
    </row>
    <row r="655" spans="1:9" x14ac:dyDescent="0.3">
      <c r="A655" t="s">
        <v>63</v>
      </c>
      <c r="B655" t="s">
        <v>12</v>
      </c>
      <c r="C655" t="s">
        <v>8</v>
      </c>
      <c r="D655" t="s">
        <v>9</v>
      </c>
      <c r="E655" t="s">
        <v>10</v>
      </c>
      <c r="F655">
        <v>4416.21</v>
      </c>
      <c r="G655">
        <f>INDEX(Operational[Production Volume (units)],MATCH(Emission8[[#This Row],[Facility ID]],Operational[Facility ID],0))</f>
        <v>33688</v>
      </c>
      <c r="H655">
        <f>INDEX(Operational[Energy Consumption (MWh)],MATCH(Emission8[[#This Row],[Facility ID]],Operational[Facility ID],0))</f>
        <v>9495.48</v>
      </c>
      <c r="I655">
        <f>INDEX(Operational[Waste (tons)],MATCH(Emission8[[#This Row],[Facility ID]],Operational[Facility ID],0))</f>
        <v>55.55</v>
      </c>
    </row>
    <row r="656" spans="1:9" x14ac:dyDescent="0.3">
      <c r="A656" t="s">
        <v>90</v>
      </c>
      <c r="B656" t="s">
        <v>19</v>
      </c>
      <c r="C656" t="s">
        <v>13</v>
      </c>
      <c r="D656" t="s">
        <v>9</v>
      </c>
      <c r="E656" t="s">
        <v>10</v>
      </c>
      <c r="F656">
        <v>1348.03</v>
      </c>
      <c r="G656">
        <f>INDEX(Operational[Production Volume (units)],MATCH(Emission8[[#This Row],[Facility ID]],Operational[Facility ID],0))</f>
        <v>97337</v>
      </c>
      <c r="H656">
        <f>INDEX(Operational[Energy Consumption (MWh)],MATCH(Emission8[[#This Row],[Facility ID]],Operational[Facility ID],0))</f>
        <v>3362.06</v>
      </c>
      <c r="I656">
        <f>INDEX(Operational[Waste (tons)],MATCH(Emission8[[#This Row],[Facility ID]],Operational[Facility ID],0))</f>
        <v>55.46</v>
      </c>
    </row>
    <row r="657" spans="1:9" x14ac:dyDescent="0.3">
      <c r="A657" t="s">
        <v>33</v>
      </c>
      <c r="B657" t="s">
        <v>19</v>
      </c>
      <c r="C657" t="s">
        <v>34</v>
      </c>
      <c r="D657" t="s">
        <v>28</v>
      </c>
      <c r="E657" t="s">
        <v>10</v>
      </c>
      <c r="F657">
        <v>2825.42</v>
      </c>
      <c r="G657">
        <f>INDEX(Operational[Production Volume (units)],MATCH(Emission8[[#This Row],[Facility ID]],Operational[Facility ID],0))</f>
        <v>65719</v>
      </c>
      <c r="H657">
        <f>INDEX(Operational[Energy Consumption (MWh)],MATCH(Emission8[[#This Row],[Facility ID]],Operational[Facility ID],0))</f>
        <v>9362.41</v>
      </c>
      <c r="I657">
        <f>INDEX(Operational[Waste (tons)],MATCH(Emission8[[#This Row],[Facility ID]],Operational[Facility ID],0))</f>
        <v>86.55</v>
      </c>
    </row>
    <row r="658" spans="1:9" x14ac:dyDescent="0.3">
      <c r="A658" t="s">
        <v>113</v>
      </c>
      <c r="B658" t="s">
        <v>30</v>
      </c>
      <c r="C658" t="s">
        <v>8</v>
      </c>
      <c r="D658" t="s">
        <v>9</v>
      </c>
      <c r="E658" t="s">
        <v>24</v>
      </c>
      <c r="F658">
        <v>4051.47</v>
      </c>
      <c r="G658">
        <f>INDEX(Operational[Production Volume (units)],MATCH(Emission8[[#This Row],[Facility ID]],Operational[Facility ID],0))</f>
        <v>90679</v>
      </c>
      <c r="H658">
        <f>INDEX(Operational[Energy Consumption (MWh)],MATCH(Emission8[[#This Row],[Facility ID]],Operational[Facility ID],0))</f>
        <v>7266.82</v>
      </c>
      <c r="I658">
        <f>INDEX(Operational[Waste (tons)],MATCH(Emission8[[#This Row],[Facility ID]],Operational[Facility ID],0))</f>
        <v>23.3</v>
      </c>
    </row>
    <row r="659" spans="1:9" x14ac:dyDescent="0.3">
      <c r="A659" t="s">
        <v>59</v>
      </c>
      <c r="B659" t="s">
        <v>17</v>
      </c>
      <c r="C659" t="s">
        <v>34</v>
      </c>
      <c r="D659" t="s">
        <v>28</v>
      </c>
      <c r="E659" t="s">
        <v>24</v>
      </c>
      <c r="F659">
        <v>3797.37</v>
      </c>
      <c r="G659">
        <f>INDEX(Operational[Production Volume (units)],MATCH(Emission8[[#This Row],[Facility ID]],Operational[Facility ID],0))</f>
        <v>15553</v>
      </c>
      <c r="H659">
        <f>INDEX(Operational[Energy Consumption (MWh)],MATCH(Emission8[[#This Row],[Facility ID]],Operational[Facility ID],0))</f>
        <v>3909.51</v>
      </c>
      <c r="I659">
        <f>INDEX(Operational[Waste (tons)],MATCH(Emission8[[#This Row],[Facility ID]],Operational[Facility ID],0))</f>
        <v>46.44</v>
      </c>
    </row>
    <row r="660" spans="1:9" x14ac:dyDescent="0.3">
      <c r="A660" t="s">
        <v>175</v>
      </c>
      <c r="B660" t="s">
        <v>7</v>
      </c>
      <c r="C660" t="s">
        <v>34</v>
      </c>
      <c r="D660" t="s">
        <v>28</v>
      </c>
      <c r="E660" t="s">
        <v>24</v>
      </c>
      <c r="F660">
        <v>4111.7700000000004</v>
      </c>
      <c r="G660">
        <f>INDEX(Operational[Production Volume (units)],MATCH(Emission8[[#This Row],[Facility ID]],Operational[Facility ID],0))</f>
        <v>83923</v>
      </c>
      <c r="H660">
        <f>INDEX(Operational[Energy Consumption (MWh)],MATCH(Emission8[[#This Row],[Facility ID]],Operational[Facility ID],0))</f>
        <v>8768.7999999999993</v>
      </c>
      <c r="I660">
        <f>INDEX(Operational[Waste (tons)],MATCH(Emission8[[#This Row],[Facility ID]],Operational[Facility ID],0))</f>
        <v>65.290000000000006</v>
      </c>
    </row>
    <row r="661" spans="1:9" x14ac:dyDescent="0.3">
      <c r="A661" t="s">
        <v>195</v>
      </c>
      <c r="B661" t="s">
        <v>7</v>
      </c>
      <c r="C661" t="s">
        <v>34</v>
      </c>
      <c r="D661" t="s">
        <v>9</v>
      </c>
      <c r="E661" t="s">
        <v>10</v>
      </c>
      <c r="F661">
        <v>1444.13</v>
      </c>
      <c r="G661">
        <f>INDEX(Operational[Production Volume (units)],MATCH(Emission8[[#This Row],[Facility ID]],Operational[Facility ID],0))</f>
        <v>68278</v>
      </c>
      <c r="H661">
        <f>INDEX(Operational[Energy Consumption (MWh)],MATCH(Emission8[[#This Row],[Facility ID]],Operational[Facility ID],0))</f>
        <v>3272.65</v>
      </c>
      <c r="I661">
        <f>INDEX(Operational[Waste (tons)],MATCH(Emission8[[#This Row],[Facility ID]],Operational[Facility ID],0))</f>
        <v>30.47</v>
      </c>
    </row>
    <row r="662" spans="1:9" x14ac:dyDescent="0.3">
      <c r="A662" t="s">
        <v>155</v>
      </c>
      <c r="B662" t="s">
        <v>7</v>
      </c>
      <c r="C662" t="s">
        <v>13</v>
      </c>
      <c r="D662" t="s">
        <v>28</v>
      </c>
      <c r="E662" t="s">
        <v>10</v>
      </c>
      <c r="F662">
        <v>3062.42</v>
      </c>
      <c r="G662">
        <f>INDEX(Operational[Production Volume (units)],MATCH(Emission8[[#This Row],[Facility ID]],Operational[Facility ID],0))</f>
        <v>72224</v>
      </c>
      <c r="H662">
        <f>INDEX(Operational[Energy Consumption (MWh)],MATCH(Emission8[[#This Row],[Facility ID]],Operational[Facility ID],0))</f>
        <v>1613.32</v>
      </c>
      <c r="I662">
        <f>INDEX(Operational[Waste (tons)],MATCH(Emission8[[#This Row],[Facility ID]],Operational[Facility ID],0))</f>
        <v>39.21</v>
      </c>
    </row>
    <row r="663" spans="1:9" x14ac:dyDescent="0.3">
      <c r="A663" t="s">
        <v>76</v>
      </c>
      <c r="B663" t="s">
        <v>17</v>
      </c>
      <c r="C663" t="s">
        <v>34</v>
      </c>
      <c r="D663" t="s">
        <v>14</v>
      </c>
      <c r="E663" t="s">
        <v>10</v>
      </c>
      <c r="F663">
        <v>1226.9100000000001</v>
      </c>
      <c r="G663">
        <f>INDEX(Operational[Production Volume (units)],MATCH(Emission8[[#This Row],[Facility ID]],Operational[Facility ID],0))</f>
        <v>59617</v>
      </c>
      <c r="H663">
        <f>INDEX(Operational[Energy Consumption (MWh)],MATCH(Emission8[[#This Row],[Facility ID]],Operational[Facility ID],0))</f>
        <v>5000.95</v>
      </c>
      <c r="I663">
        <f>INDEX(Operational[Waste (tons)],MATCH(Emission8[[#This Row],[Facility ID]],Operational[Facility ID],0))</f>
        <v>80.36</v>
      </c>
    </row>
    <row r="664" spans="1:9" x14ac:dyDescent="0.3">
      <c r="A664" t="s">
        <v>168</v>
      </c>
      <c r="B664" t="s">
        <v>17</v>
      </c>
      <c r="C664" t="s">
        <v>13</v>
      </c>
      <c r="D664" t="s">
        <v>14</v>
      </c>
      <c r="E664" t="s">
        <v>24</v>
      </c>
      <c r="F664">
        <v>1442.19</v>
      </c>
      <c r="G664">
        <f>INDEX(Operational[Production Volume (units)],MATCH(Emission8[[#This Row],[Facility ID]],Operational[Facility ID],0))</f>
        <v>41050</v>
      </c>
      <c r="H664">
        <f>INDEX(Operational[Energy Consumption (MWh)],MATCH(Emission8[[#This Row],[Facility ID]],Operational[Facility ID],0))</f>
        <v>6025.84</v>
      </c>
      <c r="I664">
        <f>INDEX(Operational[Waste (tons)],MATCH(Emission8[[#This Row],[Facility ID]],Operational[Facility ID],0))</f>
        <v>53.53</v>
      </c>
    </row>
    <row r="665" spans="1:9" x14ac:dyDescent="0.3">
      <c r="A665" t="s">
        <v>182</v>
      </c>
      <c r="B665" t="s">
        <v>12</v>
      </c>
      <c r="C665" t="s">
        <v>13</v>
      </c>
      <c r="D665" t="s">
        <v>14</v>
      </c>
      <c r="E665" t="s">
        <v>24</v>
      </c>
      <c r="F665">
        <v>3767.87</v>
      </c>
      <c r="G665">
        <f>INDEX(Operational[Production Volume (units)],MATCH(Emission8[[#This Row],[Facility ID]],Operational[Facility ID],0))</f>
        <v>21081</v>
      </c>
      <c r="H665">
        <f>INDEX(Operational[Energy Consumption (MWh)],MATCH(Emission8[[#This Row],[Facility ID]],Operational[Facility ID],0))</f>
        <v>9001.77</v>
      </c>
      <c r="I665">
        <f>INDEX(Operational[Waste (tons)],MATCH(Emission8[[#This Row],[Facility ID]],Operational[Facility ID],0))</f>
        <v>49.27</v>
      </c>
    </row>
    <row r="666" spans="1:9" x14ac:dyDescent="0.3">
      <c r="A666" t="s">
        <v>91</v>
      </c>
      <c r="B666" t="s">
        <v>30</v>
      </c>
      <c r="C666" t="s">
        <v>23</v>
      </c>
      <c r="D666" t="s">
        <v>14</v>
      </c>
      <c r="E666" t="s">
        <v>24</v>
      </c>
      <c r="F666">
        <v>1528.64</v>
      </c>
      <c r="G666">
        <f>INDEX(Operational[Production Volume (units)],MATCH(Emission8[[#This Row],[Facility ID]],Operational[Facility ID],0))</f>
        <v>20207</v>
      </c>
      <c r="H666">
        <f>INDEX(Operational[Energy Consumption (MWh)],MATCH(Emission8[[#This Row],[Facility ID]],Operational[Facility ID],0))</f>
        <v>5369.46</v>
      </c>
      <c r="I666">
        <f>INDEX(Operational[Waste (tons)],MATCH(Emission8[[#This Row],[Facility ID]],Operational[Facility ID],0))</f>
        <v>57.51</v>
      </c>
    </row>
    <row r="667" spans="1:9" x14ac:dyDescent="0.3">
      <c r="A667" t="s">
        <v>85</v>
      </c>
      <c r="B667" t="s">
        <v>30</v>
      </c>
      <c r="C667" t="s">
        <v>23</v>
      </c>
      <c r="D667" t="s">
        <v>28</v>
      </c>
      <c r="E667" t="s">
        <v>15</v>
      </c>
      <c r="F667">
        <v>438.03</v>
      </c>
      <c r="G667">
        <f>INDEX(Operational[Production Volume (units)],MATCH(Emission8[[#This Row],[Facility ID]],Operational[Facility ID],0))</f>
        <v>45519</v>
      </c>
      <c r="H667">
        <f>INDEX(Operational[Energy Consumption (MWh)],MATCH(Emission8[[#This Row],[Facility ID]],Operational[Facility ID],0))</f>
        <v>7987.69</v>
      </c>
      <c r="I667">
        <f>INDEX(Operational[Waste (tons)],MATCH(Emission8[[#This Row],[Facility ID]],Operational[Facility ID],0))</f>
        <v>10.86</v>
      </c>
    </row>
    <row r="668" spans="1:9" x14ac:dyDescent="0.3">
      <c r="A668" t="s">
        <v>119</v>
      </c>
      <c r="B668" t="s">
        <v>30</v>
      </c>
      <c r="C668" t="s">
        <v>13</v>
      </c>
      <c r="D668" t="s">
        <v>14</v>
      </c>
      <c r="E668" t="s">
        <v>10</v>
      </c>
      <c r="F668">
        <v>2291.7800000000002</v>
      </c>
      <c r="G668">
        <f>INDEX(Operational[Production Volume (units)],MATCH(Emission8[[#This Row],[Facility ID]],Operational[Facility ID],0))</f>
        <v>80488</v>
      </c>
      <c r="H668">
        <f>INDEX(Operational[Energy Consumption (MWh)],MATCH(Emission8[[#This Row],[Facility ID]],Operational[Facility ID],0))</f>
        <v>7629.95</v>
      </c>
      <c r="I668">
        <f>INDEX(Operational[Waste (tons)],MATCH(Emission8[[#This Row],[Facility ID]],Operational[Facility ID],0))</f>
        <v>63.83</v>
      </c>
    </row>
    <row r="669" spans="1:9" x14ac:dyDescent="0.3">
      <c r="A669" t="s">
        <v>42</v>
      </c>
      <c r="B669" t="s">
        <v>30</v>
      </c>
      <c r="C669" t="s">
        <v>13</v>
      </c>
      <c r="D669" t="s">
        <v>28</v>
      </c>
      <c r="E669" t="s">
        <v>10</v>
      </c>
      <c r="F669">
        <v>4099.03</v>
      </c>
      <c r="G669">
        <f>INDEX(Operational[Production Volume (units)],MATCH(Emission8[[#This Row],[Facility ID]],Operational[Facility ID],0))</f>
        <v>41539</v>
      </c>
      <c r="H669">
        <f>INDEX(Operational[Energy Consumption (MWh)],MATCH(Emission8[[#This Row],[Facility ID]],Operational[Facility ID],0))</f>
        <v>982.8</v>
      </c>
      <c r="I669">
        <f>INDEX(Operational[Waste (tons)],MATCH(Emission8[[#This Row],[Facility ID]],Operational[Facility ID],0))</f>
        <v>79.7</v>
      </c>
    </row>
    <row r="670" spans="1:9" x14ac:dyDescent="0.3">
      <c r="A670" t="s">
        <v>122</v>
      </c>
      <c r="B670" t="s">
        <v>19</v>
      </c>
      <c r="C670" t="s">
        <v>23</v>
      </c>
      <c r="D670" t="s">
        <v>9</v>
      </c>
      <c r="E670" t="s">
        <v>10</v>
      </c>
      <c r="F670">
        <v>2713.32</v>
      </c>
      <c r="G670">
        <f>INDEX(Operational[Production Volume (units)],MATCH(Emission8[[#This Row],[Facility ID]],Operational[Facility ID],0))</f>
        <v>95962</v>
      </c>
      <c r="H670">
        <f>INDEX(Operational[Energy Consumption (MWh)],MATCH(Emission8[[#This Row],[Facility ID]],Operational[Facility ID],0))</f>
        <v>524.72</v>
      </c>
      <c r="I670">
        <f>INDEX(Operational[Waste (tons)],MATCH(Emission8[[#This Row],[Facility ID]],Operational[Facility ID],0))</f>
        <v>49.55</v>
      </c>
    </row>
    <row r="671" spans="1:9" x14ac:dyDescent="0.3">
      <c r="A671" t="s">
        <v>25</v>
      </c>
      <c r="B671" t="s">
        <v>19</v>
      </c>
      <c r="C671" t="s">
        <v>13</v>
      </c>
      <c r="D671" t="s">
        <v>14</v>
      </c>
      <c r="E671" t="s">
        <v>15</v>
      </c>
      <c r="F671">
        <v>769.84</v>
      </c>
      <c r="G671">
        <f>INDEX(Operational[Production Volume (units)],MATCH(Emission8[[#This Row],[Facility ID]],Operational[Facility ID],0))</f>
        <v>95306</v>
      </c>
      <c r="H671">
        <f>INDEX(Operational[Energy Consumption (MWh)],MATCH(Emission8[[#This Row],[Facility ID]],Operational[Facility ID],0))</f>
        <v>9037.76</v>
      </c>
      <c r="I671">
        <f>INDEX(Operational[Waste (tons)],MATCH(Emission8[[#This Row],[Facility ID]],Operational[Facility ID],0))</f>
        <v>13.35</v>
      </c>
    </row>
    <row r="672" spans="1:9" x14ac:dyDescent="0.3">
      <c r="A672" t="s">
        <v>100</v>
      </c>
      <c r="B672" t="s">
        <v>7</v>
      </c>
      <c r="C672" t="s">
        <v>23</v>
      </c>
      <c r="D672" t="s">
        <v>28</v>
      </c>
      <c r="E672" t="s">
        <v>10</v>
      </c>
      <c r="F672">
        <v>3217.94</v>
      </c>
      <c r="G672">
        <f>INDEX(Operational[Production Volume (units)],MATCH(Emission8[[#This Row],[Facility ID]],Operational[Facility ID],0))</f>
        <v>17468</v>
      </c>
      <c r="H672">
        <f>INDEX(Operational[Energy Consumption (MWh)],MATCH(Emission8[[#This Row],[Facility ID]],Operational[Facility ID],0))</f>
        <v>6359.73</v>
      </c>
      <c r="I672">
        <f>INDEX(Operational[Waste (tons)],MATCH(Emission8[[#This Row],[Facility ID]],Operational[Facility ID],0))</f>
        <v>5.22</v>
      </c>
    </row>
    <row r="673" spans="1:9" x14ac:dyDescent="0.3">
      <c r="A673" t="s">
        <v>179</v>
      </c>
      <c r="B673" t="s">
        <v>7</v>
      </c>
      <c r="C673" t="s">
        <v>23</v>
      </c>
      <c r="D673" t="s">
        <v>9</v>
      </c>
      <c r="E673" t="s">
        <v>15</v>
      </c>
      <c r="F673">
        <v>3817.75</v>
      </c>
      <c r="G673">
        <f>INDEX(Operational[Production Volume (units)],MATCH(Emission8[[#This Row],[Facility ID]],Operational[Facility ID],0))</f>
        <v>94393</v>
      </c>
      <c r="H673">
        <f>INDEX(Operational[Energy Consumption (MWh)],MATCH(Emission8[[#This Row],[Facility ID]],Operational[Facility ID],0))</f>
        <v>6691.7</v>
      </c>
      <c r="I673">
        <f>INDEX(Operational[Waste (tons)],MATCH(Emission8[[#This Row],[Facility ID]],Operational[Facility ID],0))</f>
        <v>74.790000000000006</v>
      </c>
    </row>
    <row r="674" spans="1:9" x14ac:dyDescent="0.3">
      <c r="A674" t="s">
        <v>160</v>
      </c>
      <c r="B674" t="s">
        <v>30</v>
      </c>
      <c r="C674" t="s">
        <v>34</v>
      </c>
      <c r="D674" t="s">
        <v>14</v>
      </c>
      <c r="E674" t="s">
        <v>10</v>
      </c>
      <c r="F674">
        <v>3796.86</v>
      </c>
      <c r="G674">
        <f>INDEX(Operational[Production Volume (units)],MATCH(Emission8[[#This Row],[Facility ID]],Operational[Facility ID],0))</f>
        <v>18341</v>
      </c>
      <c r="H674">
        <f>INDEX(Operational[Energy Consumption (MWh)],MATCH(Emission8[[#This Row],[Facility ID]],Operational[Facility ID],0))</f>
        <v>8465.57</v>
      </c>
      <c r="I674">
        <f>INDEX(Operational[Waste (tons)],MATCH(Emission8[[#This Row],[Facility ID]],Operational[Facility ID],0))</f>
        <v>38.39</v>
      </c>
    </row>
    <row r="675" spans="1:9" x14ac:dyDescent="0.3">
      <c r="A675" t="s">
        <v>163</v>
      </c>
      <c r="B675" t="s">
        <v>19</v>
      </c>
      <c r="C675" t="s">
        <v>8</v>
      </c>
      <c r="D675" t="s">
        <v>28</v>
      </c>
      <c r="E675" t="s">
        <v>15</v>
      </c>
      <c r="F675">
        <v>1722.54</v>
      </c>
      <c r="G675">
        <f>INDEX(Operational[Production Volume (units)],MATCH(Emission8[[#This Row],[Facility ID]],Operational[Facility ID],0))</f>
        <v>87482</v>
      </c>
      <c r="H675">
        <f>INDEX(Operational[Energy Consumption (MWh)],MATCH(Emission8[[#This Row],[Facility ID]],Operational[Facility ID],0))</f>
        <v>2231.7399999999998</v>
      </c>
      <c r="I675">
        <f>INDEX(Operational[Waste (tons)],MATCH(Emission8[[#This Row],[Facility ID]],Operational[Facility ID],0))</f>
        <v>45.43</v>
      </c>
    </row>
    <row r="676" spans="1:9" x14ac:dyDescent="0.3">
      <c r="A676" t="s">
        <v>190</v>
      </c>
      <c r="B676" t="s">
        <v>17</v>
      </c>
      <c r="C676" t="s">
        <v>23</v>
      </c>
      <c r="D676" t="s">
        <v>14</v>
      </c>
      <c r="E676" t="s">
        <v>24</v>
      </c>
      <c r="F676">
        <v>2472.08</v>
      </c>
      <c r="G676">
        <f>INDEX(Operational[Production Volume (units)],MATCH(Emission8[[#This Row],[Facility ID]],Operational[Facility ID],0))</f>
        <v>41953</v>
      </c>
      <c r="H676">
        <f>INDEX(Operational[Energy Consumption (MWh)],MATCH(Emission8[[#This Row],[Facility ID]],Operational[Facility ID],0))</f>
        <v>2379.14</v>
      </c>
      <c r="I676">
        <f>INDEX(Operational[Waste (tons)],MATCH(Emission8[[#This Row],[Facility ID]],Operational[Facility ID],0))</f>
        <v>65.67</v>
      </c>
    </row>
    <row r="677" spans="1:9" x14ac:dyDescent="0.3">
      <c r="A677" t="s">
        <v>129</v>
      </c>
      <c r="B677" t="s">
        <v>17</v>
      </c>
      <c r="C677" t="s">
        <v>34</v>
      </c>
      <c r="D677" t="s">
        <v>28</v>
      </c>
      <c r="E677" t="s">
        <v>24</v>
      </c>
      <c r="F677">
        <v>3592.6</v>
      </c>
      <c r="G677">
        <f>INDEX(Operational[Production Volume (units)],MATCH(Emission8[[#This Row],[Facility ID]],Operational[Facility ID],0))</f>
        <v>95292</v>
      </c>
      <c r="H677">
        <f>INDEX(Operational[Energy Consumption (MWh)],MATCH(Emission8[[#This Row],[Facility ID]],Operational[Facility ID],0))</f>
        <v>697.47</v>
      </c>
      <c r="I677">
        <f>INDEX(Operational[Waste (tons)],MATCH(Emission8[[#This Row],[Facility ID]],Operational[Facility ID],0))</f>
        <v>88.35</v>
      </c>
    </row>
    <row r="678" spans="1:9" x14ac:dyDescent="0.3">
      <c r="A678" t="s">
        <v>80</v>
      </c>
      <c r="B678" t="s">
        <v>17</v>
      </c>
      <c r="C678" t="s">
        <v>34</v>
      </c>
      <c r="D678" t="s">
        <v>28</v>
      </c>
      <c r="E678" t="s">
        <v>15</v>
      </c>
      <c r="F678">
        <v>4482.0600000000004</v>
      </c>
      <c r="G678">
        <f>INDEX(Operational[Production Volume (units)],MATCH(Emission8[[#This Row],[Facility ID]],Operational[Facility ID],0))</f>
        <v>75508</v>
      </c>
      <c r="H678">
        <f>INDEX(Operational[Energy Consumption (MWh)],MATCH(Emission8[[#This Row],[Facility ID]],Operational[Facility ID],0))</f>
        <v>6856.22</v>
      </c>
      <c r="I678">
        <f>INDEX(Operational[Waste (tons)],MATCH(Emission8[[#This Row],[Facility ID]],Operational[Facility ID],0))</f>
        <v>18.2</v>
      </c>
    </row>
    <row r="679" spans="1:9" x14ac:dyDescent="0.3">
      <c r="A679" t="s">
        <v>156</v>
      </c>
      <c r="B679" t="s">
        <v>17</v>
      </c>
      <c r="C679" t="s">
        <v>23</v>
      </c>
      <c r="D679" t="s">
        <v>9</v>
      </c>
      <c r="E679" t="s">
        <v>15</v>
      </c>
      <c r="F679">
        <v>3888.63</v>
      </c>
      <c r="G679">
        <f>INDEX(Operational[Production Volume (units)],MATCH(Emission8[[#This Row],[Facility ID]],Operational[Facility ID],0))</f>
        <v>81057</v>
      </c>
      <c r="H679">
        <f>INDEX(Operational[Energy Consumption (MWh)],MATCH(Emission8[[#This Row],[Facility ID]],Operational[Facility ID],0))</f>
        <v>675.41</v>
      </c>
      <c r="I679">
        <f>INDEX(Operational[Waste (tons)],MATCH(Emission8[[#This Row],[Facility ID]],Operational[Facility ID],0))</f>
        <v>55.44</v>
      </c>
    </row>
    <row r="680" spans="1:9" x14ac:dyDescent="0.3">
      <c r="A680" t="s">
        <v>204</v>
      </c>
      <c r="B680" t="s">
        <v>30</v>
      </c>
      <c r="C680" t="s">
        <v>34</v>
      </c>
      <c r="D680" t="s">
        <v>9</v>
      </c>
      <c r="E680" t="s">
        <v>15</v>
      </c>
      <c r="F680">
        <v>1035.25</v>
      </c>
      <c r="G680">
        <f>INDEX(Operational[Production Volume (units)],MATCH(Emission8[[#This Row],[Facility ID]],Operational[Facility ID],0))</f>
        <v>36423</v>
      </c>
      <c r="H680">
        <f>INDEX(Operational[Energy Consumption (MWh)],MATCH(Emission8[[#This Row],[Facility ID]],Operational[Facility ID],0))</f>
        <v>589.96</v>
      </c>
      <c r="I680">
        <f>INDEX(Operational[Waste (tons)],MATCH(Emission8[[#This Row],[Facility ID]],Operational[Facility ID],0))</f>
        <v>30.9</v>
      </c>
    </row>
    <row r="681" spans="1:9" x14ac:dyDescent="0.3">
      <c r="A681" t="s">
        <v>107</v>
      </c>
      <c r="B681" t="s">
        <v>30</v>
      </c>
      <c r="C681" t="s">
        <v>34</v>
      </c>
      <c r="D681" t="s">
        <v>14</v>
      </c>
      <c r="E681" t="s">
        <v>15</v>
      </c>
      <c r="F681">
        <v>93.17</v>
      </c>
      <c r="G681">
        <f>INDEX(Operational[Production Volume (units)],MATCH(Emission8[[#This Row],[Facility ID]],Operational[Facility ID],0))</f>
        <v>69305</v>
      </c>
      <c r="H681">
        <f>INDEX(Operational[Energy Consumption (MWh)],MATCH(Emission8[[#This Row],[Facility ID]],Operational[Facility ID],0))</f>
        <v>3203.67</v>
      </c>
      <c r="I681">
        <f>INDEX(Operational[Waste (tons)],MATCH(Emission8[[#This Row],[Facility ID]],Operational[Facility ID],0))</f>
        <v>83.65</v>
      </c>
    </row>
    <row r="682" spans="1:9" x14ac:dyDescent="0.3">
      <c r="A682" t="s">
        <v>64</v>
      </c>
      <c r="B682" t="s">
        <v>30</v>
      </c>
      <c r="C682" t="s">
        <v>8</v>
      </c>
      <c r="D682" t="s">
        <v>14</v>
      </c>
      <c r="E682" t="s">
        <v>15</v>
      </c>
      <c r="F682">
        <v>489.88</v>
      </c>
      <c r="G682">
        <f>INDEX(Operational[Production Volume (units)],MATCH(Emission8[[#This Row],[Facility ID]],Operational[Facility ID],0))</f>
        <v>52836</v>
      </c>
      <c r="H682">
        <f>INDEX(Operational[Energy Consumption (MWh)],MATCH(Emission8[[#This Row],[Facility ID]],Operational[Facility ID],0))</f>
        <v>9330.2999999999993</v>
      </c>
      <c r="I682">
        <f>INDEX(Operational[Waste (tons)],MATCH(Emission8[[#This Row],[Facility ID]],Operational[Facility ID],0))</f>
        <v>87.27</v>
      </c>
    </row>
    <row r="683" spans="1:9" x14ac:dyDescent="0.3">
      <c r="A683" t="s">
        <v>42</v>
      </c>
      <c r="B683" t="s">
        <v>30</v>
      </c>
      <c r="C683" t="s">
        <v>8</v>
      </c>
      <c r="D683" t="s">
        <v>28</v>
      </c>
      <c r="E683" t="s">
        <v>24</v>
      </c>
      <c r="F683">
        <v>627.29999999999995</v>
      </c>
      <c r="G683">
        <f>INDEX(Operational[Production Volume (units)],MATCH(Emission8[[#This Row],[Facility ID]],Operational[Facility ID],0))</f>
        <v>41539</v>
      </c>
      <c r="H683">
        <f>INDEX(Operational[Energy Consumption (MWh)],MATCH(Emission8[[#This Row],[Facility ID]],Operational[Facility ID],0))</f>
        <v>982.8</v>
      </c>
      <c r="I683">
        <f>INDEX(Operational[Waste (tons)],MATCH(Emission8[[#This Row],[Facility ID]],Operational[Facility ID],0))</f>
        <v>79.7</v>
      </c>
    </row>
    <row r="684" spans="1:9" x14ac:dyDescent="0.3">
      <c r="A684" t="s">
        <v>169</v>
      </c>
      <c r="B684" t="s">
        <v>12</v>
      </c>
      <c r="C684" t="s">
        <v>23</v>
      </c>
      <c r="D684" t="s">
        <v>28</v>
      </c>
      <c r="E684" t="s">
        <v>24</v>
      </c>
      <c r="F684">
        <v>4443.8500000000004</v>
      </c>
      <c r="G684">
        <f>INDEX(Operational[Production Volume (units)],MATCH(Emission8[[#This Row],[Facility ID]],Operational[Facility ID],0))</f>
        <v>82377</v>
      </c>
      <c r="H684">
        <f>INDEX(Operational[Energy Consumption (MWh)],MATCH(Emission8[[#This Row],[Facility ID]],Operational[Facility ID],0))</f>
        <v>7974.74</v>
      </c>
      <c r="I684">
        <f>INDEX(Operational[Waste (tons)],MATCH(Emission8[[#This Row],[Facility ID]],Operational[Facility ID],0))</f>
        <v>9.17</v>
      </c>
    </row>
    <row r="685" spans="1:9" x14ac:dyDescent="0.3">
      <c r="A685" t="s">
        <v>188</v>
      </c>
      <c r="B685" t="s">
        <v>19</v>
      </c>
      <c r="C685" t="s">
        <v>8</v>
      </c>
      <c r="D685" t="s">
        <v>14</v>
      </c>
      <c r="E685" t="s">
        <v>15</v>
      </c>
      <c r="F685">
        <v>2192.52</v>
      </c>
      <c r="G685">
        <f>INDEX(Operational[Production Volume (units)],MATCH(Emission8[[#This Row],[Facility ID]],Operational[Facility ID],0))</f>
        <v>60513</v>
      </c>
      <c r="H685">
        <f>INDEX(Operational[Energy Consumption (MWh)],MATCH(Emission8[[#This Row],[Facility ID]],Operational[Facility ID],0))</f>
        <v>4578.16</v>
      </c>
      <c r="I685">
        <f>INDEX(Operational[Waste (tons)],MATCH(Emission8[[#This Row],[Facility ID]],Operational[Facility ID],0))</f>
        <v>65.53</v>
      </c>
    </row>
    <row r="686" spans="1:9" x14ac:dyDescent="0.3">
      <c r="A686" t="s">
        <v>35</v>
      </c>
      <c r="B686" t="s">
        <v>19</v>
      </c>
      <c r="C686" t="s">
        <v>34</v>
      </c>
      <c r="D686" t="s">
        <v>9</v>
      </c>
      <c r="E686" t="s">
        <v>15</v>
      </c>
      <c r="F686">
        <v>1166.77</v>
      </c>
      <c r="G686">
        <f>INDEX(Operational[Production Volume (units)],MATCH(Emission8[[#This Row],[Facility ID]],Operational[Facility ID],0))</f>
        <v>42382</v>
      </c>
      <c r="H686">
        <f>INDEX(Operational[Energy Consumption (MWh)],MATCH(Emission8[[#This Row],[Facility ID]],Operational[Facility ID],0))</f>
        <v>5116.6899999999996</v>
      </c>
      <c r="I686">
        <f>INDEX(Operational[Waste (tons)],MATCH(Emission8[[#This Row],[Facility ID]],Operational[Facility ID],0))</f>
        <v>80.42</v>
      </c>
    </row>
    <row r="687" spans="1:9" x14ac:dyDescent="0.3">
      <c r="A687" t="s">
        <v>156</v>
      </c>
      <c r="B687" t="s">
        <v>17</v>
      </c>
      <c r="C687" t="s">
        <v>8</v>
      </c>
      <c r="D687" t="s">
        <v>9</v>
      </c>
      <c r="E687" t="s">
        <v>10</v>
      </c>
      <c r="F687">
        <v>3803.96</v>
      </c>
      <c r="G687">
        <f>INDEX(Operational[Production Volume (units)],MATCH(Emission8[[#This Row],[Facility ID]],Operational[Facility ID],0))</f>
        <v>81057</v>
      </c>
      <c r="H687">
        <f>INDEX(Operational[Energy Consumption (MWh)],MATCH(Emission8[[#This Row],[Facility ID]],Operational[Facility ID],0))</f>
        <v>675.41</v>
      </c>
      <c r="I687">
        <f>INDEX(Operational[Waste (tons)],MATCH(Emission8[[#This Row],[Facility ID]],Operational[Facility ID],0))</f>
        <v>55.44</v>
      </c>
    </row>
    <row r="688" spans="1:9" x14ac:dyDescent="0.3">
      <c r="A688" t="s">
        <v>48</v>
      </c>
      <c r="B688" t="s">
        <v>19</v>
      </c>
      <c r="C688" t="s">
        <v>8</v>
      </c>
      <c r="D688" t="s">
        <v>14</v>
      </c>
      <c r="E688" t="s">
        <v>24</v>
      </c>
      <c r="F688">
        <v>4902.53</v>
      </c>
      <c r="G688">
        <f>INDEX(Operational[Production Volume (units)],MATCH(Emission8[[#This Row],[Facility ID]],Operational[Facility ID],0))</f>
        <v>11952</v>
      </c>
      <c r="H688">
        <f>INDEX(Operational[Energy Consumption (MWh)],MATCH(Emission8[[#This Row],[Facility ID]],Operational[Facility ID],0))</f>
        <v>4637.74</v>
      </c>
      <c r="I688">
        <f>INDEX(Operational[Waste (tons)],MATCH(Emission8[[#This Row],[Facility ID]],Operational[Facility ID],0))</f>
        <v>63.78</v>
      </c>
    </row>
    <row r="689" spans="1:9" x14ac:dyDescent="0.3">
      <c r="A689" t="s">
        <v>193</v>
      </c>
      <c r="B689" t="s">
        <v>12</v>
      </c>
      <c r="C689" t="s">
        <v>23</v>
      </c>
      <c r="D689" t="s">
        <v>28</v>
      </c>
      <c r="E689" t="s">
        <v>24</v>
      </c>
      <c r="F689">
        <v>1144.49</v>
      </c>
      <c r="G689">
        <f>INDEX(Operational[Production Volume (units)],MATCH(Emission8[[#This Row],[Facility ID]],Operational[Facility ID],0))</f>
        <v>13333</v>
      </c>
      <c r="H689">
        <f>INDEX(Operational[Energy Consumption (MWh)],MATCH(Emission8[[#This Row],[Facility ID]],Operational[Facility ID],0))</f>
        <v>6102.15</v>
      </c>
      <c r="I689">
        <f>INDEX(Operational[Waste (tons)],MATCH(Emission8[[#This Row],[Facility ID]],Operational[Facility ID],0))</f>
        <v>17.670000000000002</v>
      </c>
    </row>
    <row r="690" spans="1:9" x14ac:dyDescent="0.3">
      <c r="A690" t="s">
        <v>67</v>
      </c>
      <c r="B690" t="s">
        <v>7</v>
      </c>
      <c r="C690" t="s">
        <v>13</v>
      </c>
      <c r="D690" t="s">
        <v>9</v>
      </c>
      <c r="E690" t="s">
        <v>15</v>
      </c>
      <c r="F690">
        <v>4243.1099999999997</v>
      </c>
      <c r="G690">
        <f>INDEX(Operational[Production Volume (units)],MATCH(Emission8[[#This Row],[Facility ID]],Operational[Facility ID],0))</f>
        <v>70582</v>
      </c>
      <c r="H690">
        <f>INDEX(Operational[Energy Consumption (MWh)],MATCH(Emission8[[#This Row],[Facility ID]],Operational[Facility ID],0))</f>
        <v>7517.59</v>
      </c>
      <c r="I690">
        <f>INDEX(Operational[Waste (tons)],MATCH(Emission8[[#This Row],[Facility ID]],Operational[Facility ID],0))</f>
        <v>95.71</v>
      </c>
    </row>
    <row r="691" spans="1:9" x14ac:dyDescent="0.3">
      <c r="A691" t="s">
        <v>22</v>
      </c>
      <c r="B691" t="s">
        <v>12</v>
      </c>
      <c r="C691" t="s">
        <v>8</v>
      </c>
      <c r="D691" t="s">
        <v>28</v>
      </c>
      <c r="E691" t="s">
        <v>24</v>
      </c>
      <c r="F691">
        <v>2303.31</v>
      </c>
      <c r="G691">
        <f>INDEX(Operational[Production Volume (units)],MATCH(Emission8[[#This Row],[Facility ID]],Operational[Facility ID],0))</f>
        <v>47484</v>
      </c>
      <c r="H691">
        <f>INDEX(Operational[Energy Consumption (MWh)],MATCH(Emission8[[#This Row],[Facility ID]],Operational[Facility ID],0))</f>
        <v>3396.39</v>
      </c>
      <c r="I691">
        <f>INDEX(Operational[Waste (tons)],MATCH(Emission8[[#This Row],[Facility ID]],Operational[Facility ID],0))</f>
        <v>19.510000000000002</v>
      </c>
    </row>
    <row r="692" spans="1:9" x14ac:dyDescent="0.3">
      <c r="A692" t="s">
        <v>95</v>
      </c>
      <c r="B692" t="s">
        <v>30</v>
      </c>
      <c r="C692" t="s">
        <v>23</v>
      </c>
      <c r="D692" t="s">
        <v>14</v>
      </c>
      <c r="E692" t="s">
        <v>10</v>
      </c>
      <c r="F692">
        <v>3192.9</v>
      </c>
      <c r="G692">
        <f>INDEX(Operational[Production Volume (units)],MATCH(Emission8[[#This Row],[Facility ID]],Operational[Facility ID],0))</f>
        <v>51800</v>
      </c>
      <c r="H692">
        <f>INDEX(Operational[Energy Consumption (MWh)],MATCH(Emission8[[#This Row],[Facility ID]],Operational[Facility ID],0))</f>
        <v>3042.95</v>
      </c>
      <c r="I692">
        <f>INDEX(Operational[Waste (tons)],MATCH(Emission8[[#This Row],[Facility ID]],Operational[Facility ID],0))</f>
        <v>71.87</v>
      </c>
    </row>
    <row r="693" spans="1:9" x14ac:dyDescent="0.3">
      <c r="A693" t="s">
        <v>71</v>
      </c>
      <c r="B693" t="s">
        <v>7</v>
      </c>
      <c r="C693" t="s">
        <v>13</v>
      </c>
      <c r="D693" t="s">
        <v>28</v>
      </c>
      <c r="E693" t="s">
        <v>15</v>
      </c>
      <c r="F693">
        <v>3601.52</v>
      </c>
      <c r="G693">
        <f>INDEX(Operational[Production Volume (units)],MATCH(Emission8[[#This Row],[Facility ID]],Operational[Facility ID],0))</f>
        <v>68018</v>
      </c>
      <c r="H693">
        <f>INDEX(Operational[Energy Consumption (MWh)],MATCH(Emission8[[#This Row],[Facility ID]],Operational[Facility ID],0))</f>
        <v>3523.4</v>
      </c>
      <c r="I693">
        <f>INDEX(Operational[Waste (tons)],MATCH(Emission8[[#This Row],[Facility ID]],Operational[Facility ID],0))</f>
        <v>92.26</v>
      </c>
    </row>
    <row r="694" spans="1:9" x14ac:dyDescent="0.3">
      <c r="A694" t="s">
        <v>95</v>
      </c>
      <c r="B694" t="s">
        <v>30</v>
      </c>
      <c r="C694" t="s">
        <v>13</v>
      </c>
      <c r="D694" t="s">
        <v>14</v>
      </c>
      <c r="E694" t="s">
        <v>15</v>
      </c>
      <c r="F694">
        <v>4964.3100000000004</v>
      </c>
      <c r="G694">
        <f>INDEX(Operational[Production Volume (units)],MATCH(Emission8[[#This Row],[Facility ID]],Operational[Facility ID],0))</f>
        <v>51800</v>
      </c>
      <c r="H694">
        <f>INDEX(Operational[Energy Consumption (MWh)],MATCH(Emission8[[#This Row],[Facility ID]],Operational[Facility ID],0))</f>
        <v>3042.95</v>
      </c>
      <c r="I694">
        <f>INDEX(Operational[Waste (tons)],MATCH(Emission8[[#This Row],[Facility ID]],Operational[Facility ID],0))</f>
        <v>71.87</v>
      </c>
    </row>
    <row r="695" spans="1:9" x14ac:dyDescent="0.3">
      <c r="A695" t="s">
        <v>59</v>
      </c>
      <c r="B695" t="s">
        <v>17</v>
      </c>
      <c r="C695" t="s">
        <v>23</v>
      </c>
      <c r="D695" t="s">
        <v>14</v>
      </c>
      <c r="E695" t="s">
        <v>15</v>
      </c>
      <c r="F695">
        <v>2143.7399999999998</v>
      </c>
      <c r="G695">
        <f>INDEX(Operational[Production Volume (units)],MATCH(Emission8[[#This Row],[Facility ID]],Operational[Facility ID],0))</f>
        <v>15553</v>
      </c>
      <c r="H695">
        <f>INDEX(Operational[Energy Consumption (MWh)],MATCH(Emission8[[#This Row],[Facility ID]],Operational[Facility ID],0))</f>
        <v>3909.51</v>
      </c>
      <c r="I695">
        <f>INDEX(Operational[Waste (tons)],MATCH(Emission8[[#This Row],[Facility ID]],Operational[Facility ID],0))</f>
        <v>46.44</v>
      </c>
    </row>
    <row r="696" spans="1:9" x14ac:dyDescent="0.3">
      <c r="A696" t="s">
        <v>164</v>
      </c>
      <c r="B696" t="s">
        <v>19</v>
      </c>
      <c r="C696" t="s">
        <v>13</v>
      </c>
      <c r="D696" t="s">
        <v>14</v>
      </c>
      <c r="E696" t="s">
        <v>15</v>
      </c>
      <c r="F696">
        <v>563.55999999999995</v>
      </c>
      <c r="G696">
        <f>INDEX(Operational[Production Volume (units)],MATCH(Emission8[[#This Row],[Facility ID]],Operational[Facility ID],0))</f>
        <v>69636</v>
      </c>
      <c r="H696">
        <f>INDEX(Operational[Energy Consumption (MWh)],MATCH(Emission8[[#This Row],[Facility ID]],Operational[Facility ID],0))</f>
        <v>4246.55</v>
      </c>
      <c r="I696">
        <f>INDEX(Operational[Waste (tons)],MATCH(Emission8[[#This Row],[Facility ID]],Operational[Facility ID],0))</f>
        <v>69.290000000000006</v>
      </c>
    </row>
    <row r="697" spans="1:9" x14ac:dyDescent="0.3">
      <c r="A697" t="s">
        <v>95</v>
      </c>
      <c r="B697" t="s">
        <v>30</v>
      </c>
      <c r="C697" t="s">
        <v>13</v>
      </c>
      <c r="D697" t="s">
        <v>9</v>
      </c>
      <c r="E697" t="s">
        <v>15</v>
      </c>
      <c r="F697">
        <v>1541.86</v>
      </c>
      <c r="G697">
        <f>INDEX(Operational[Production Volume (units)],MATCH(Emission8[[#This Row],[Facility ID]],Operational[Facility ID],0))</f>
        <v>51800</v>
      </c>
      <c r="H697">
        <f>INDEX(Operational[Energy Consumption (MWh)],MATCH(Emission8[[#This Row],[Facility ID]],Operational[Facility ID],0))</f>
        <v>3042.95</v>
      </c>
      <c r="I697">
        <f>INDEX(Operational[Waste (tons)],MATCH(Emission8[[#This Row],[Facility ID]],Operational[Facility ID],0))</f>
        <v>71.87</v>
      </c>
    </row>
    <row r="698" spans="1:9" x14ac:dyDescent="0.3">
      <c r="A698" t="s">
        <v>46</v>
      </c>
      <c r="B698" t="s">
        <v>30</v>
      </c>
      <c r="C698" t="s">
        <v>23</v>
      </c>
      <c r="D698" t="s">
        <v>14</v>
      </c>
      <c r="E698" t="s">
        <v>10</v>
      </c>
      <c r="F698">
        <v>2191.88</v>
      </c>
      <c r="G698">
        <f>INDEX(Operational[Production Volume (units)],MATCH(Emission8[[#This Row],[Facility ID]],Operational[Facility ID],0))</f>
        <v>43490</v>
      </c>
      <c r="H698">
        <f>INDEX(Operational[Energy Consumption (MWh)],MATCH(Emission8[[#This Row],[Facility ID]],Operational[Facility ID],0))</f>
        <v>9300.8799999999992</v>
      </c>
      <c r="I698">
        <f>INDEX(Operational[Waste (tons)],MATCH(Emission8[[#This Row],[Facility ID]],Operational[Facility ID],0))</f>
        <v>58.43</v>
      </c>
    </row>
    <row r="699" spans="1:9" x14ac:dyDescent="0.3">
      <c r="A699" t="s">
        <v>45</v>
      </c>
      <c r="B699" t="s">
        <v>7</v>
      </c>
      <c r="C699" t="s">
        <v>34</v>
      </c>
      <c r="D699" t="s">
        <v>28</v>
      </c>
      <c r="E699" t="s">
        <v>15</v>
      </c>
      <c r="F699">
        <v>4804.76</v>
      </c>
      <c r="G699">
        <f>INDEX(Operational[Production Volume (units)],MATCH(Emission8[[#This Row],[Facility ID]],Operational[Facility ID],0))</f>
        <v>49924</v>
      </c>
      <c r="H699">
        <f>INDEX(Operational[Energy Consumption (MWh)],MATCH(Emission8[[#This Row],[Facility ID]],Operational[Facility ID],0))</f>
        <v>2199.16</v>
      </c>
      <c r="I699">
        <f>INDEX(Operational[Waste (tons)],MATCH(Emission8[[#This Row],[Facility ID]],Operational[Facility ID],0))</f>
        <v>75.48</v>
      </c>
    </row>
    <row r="700" spans="1:9" x14ac:dyDescent="0.3">
      <c r="A700" t="s">
        <v>212</v>
      </c>
      <c r="B700" t="s">
        <v>7</v>
      </c>
      <c r="C700" t="s">
        <v>13</v>
      </c>
      <c r="D700" t="s">
        <v>14</v>
      </c>
      <c r="E700" t="s">
        <v>10</v>
      </c>
      <c r="F700">
        <v>4966.99</v>
      </c>
      <c r="G700">
        <f>INDEX(Operational[Production Volume (units)],MATCH(Emission8[[#This Row],[Facility ID]],Operational[Facility ID],0))</f>
        <v>67820</v>
      </c>
      <c r="H700">
        <f>INDEX(Operational[Energy Consumption (MWh)],MATCH(Emission8[[#This Row],[Facility ID]],Operational[Facility ID],0))</f>
        <v>8177.95</v>
      </c>
      <c r="I700">
        <f>INDEX(Operational[Waste (tons)],MATCH(Emission8[[#This Row],[Facility ID]],Operational[Facility ID],0))</f>
        <v>40.69</v>
      </c>
    </row>
    <row r="701" spans="1:9" x14ac:dyDescent="0.3">
      <c r="A701" t="s">
        <v>99</v>
      </c>
      <c r="B701" t="s">
        <v>19</v>
      </c>
      <c r="C701" t="s">
        <v>8</v>
      </c>
      <c r="D701" t="s">
        <v>28</v>
      </c>
      <c r="E701" t="s">
        <v>15</v>
      </c>
      <c r="F701">
        <v>2346.08</v>
      </c>
      <c r="G701">
        <f>INDEX(Operational[Production Volume (units)],MATCH(Emission8[[#This Row],[Facility ID]],Operational[Facility ID],0))</f>
        <v>77400</v>
      </c>
      <c r="H701">
        <f>INDEX(Operational[Energy Consumption (MWh)],MATCH(Emission8[[#This Row],[Facility ID]],Operational[Facility ID],0))</f>
        <v>7504.8</v>
      </c>
      <c r="I701">
        <f>INDEX(Operational[Waste (tons)],MATCH(Emission8[[#This Row],[Facility ID]],Operational[Facility ID],0))</f>
        <v>68.819999999999993</v>
      </c>
    </row>
    <row r="702" spans="1:9" x14ac:dyDescent="0.3">
      <c r="A702" t="s">
        <v>140</v>
      </c>
      <c r="B702" t="s">
        <v>17</v>
      </c>
      <c r="C702" t="s">
        <v>34</v>
      </c>
      <c r="D702" t="s">
        <v>28</v>
      </c>
      <c r="E702" t="s">
        <v>15</v>
      </c>
      <c r="F702">
        <v>278.14</v>
      </c>
      <c r="G702">
        <f>INDEX(Operational[Production Volume (units)],MATCH(Emission8[[#This Row],[Facility ID]],Operational[Facility ID],0))</f>
        <v>88308</v>
      </c>
      <c r="H702">
        <f>INDEX(Operational[Energy Consumption (MWh)],MATCH(Emission8[[#This Row],[Facility ID]],Operational[Facility ID],0))</f>
        <v>7802.07</v>
      </c>
      <c r="I702">
        <f>INDEX(Operational[Waste (tons)],MATCH(Emission8[[#This Row],[Facility ID]],Operational[Facility ID],0))</f>
        <v>36.130000000000003</v>
      </c>
    </row>
    <row r="703" spans="1:9" x14ac:dyDescent="0.3">
      <c r="A703" t="s">
        <v>111</v>
      </c>
      <c r="B703" t="s">
        <v>19</v>
      </c>
      <c r="C703" t="s">
        <v>34</v>
      </c>
      <c r="D703" t="s">
        <v>28</v>
      </c>
      <c r="E703" t="s">
        <v>10</v>
      </c>
      <c r="F703">
        <v>3551.91</v>
      </c>
      <c r="G703">
        <f>INDEX(Operational[Production Volume (units)],MATCH(Emission8[[#This Row],[Facility ID]],Operational[Facility ID],0))</f>
        <v>37309</v>
      </c>
      <c r="H703">
        <f>INDEX(Operational[Energy Consumption (MWh)],MATCH(Emission8[[#This Row],[Facility ID]],Operational[Facility ID],0))</f>
        <v>4508.54</v>
      </c>
      <c r="I703">
        <f>INDEX(Operational[Waste (tons)],MATCH(Emission8[[#This Row],[Facility ID]],Operational[Facility ID],0))</f>
        <v>47.15</v>
      </c>
    </row>
    <row r="704" spans="1:9" x14ac:dyDescent="0.3">
      <c r="A704" t="s">
        <v>119</v>
      </c>
      <c r="B704" t="s">
        <v>30</v>
      </c>
      <c r="C704" t="s">
        <v>34</v>
      </c>
      <c r="D704" t="s">
        <v>28</v>
      </c>
      <c r="E704" t="s">
        <v>10</v>
      </c>
      <c r="F704">
        <v>3834.95</v>
      </c>
      <c r="G704">
        <f>INDEX(Operational[Production Volume (units)],MATCH(Emission8[[#This Row],[Facility ID]],Operational[Facility ID],0))</f>
        <v>80488</v>
      </c>
      <c r="H704">
        <f>INDEX(Operational[Energy Consumption (MWh)],MATCH(Emission8[[#This Row],[Facility ID]],Operational[Facility ID],0))</f>
        <v>7629.95</v>
      </c>
      <c r="I704">
        <f>INDEX(Operational[Waste (tons)],MATCH(Emission8[[#This Row],[Facility ID]],Operational[Facility ID],0))</f>
        <v>63.83</v>
      </c>
    </row>
    <row r="705" spans="1:9" x14ac:dyDescent="0.3">
      <c r="A705" t="s">
        <v>22</v>
      </c>
      <c r="B705" t="s">
        <v>12</v>
      </c>
      <c r="C705" t="s">
        <v>13</v>
      </c>
      <c r="D705" t="s">
        <v>14</v>
      </c>
      <c r="E705" t="s">
        <v>10</v>
      </c>
      <c r="F705">
        <v>4076.77</v>
      </c>
      <c r="G705">
        <f>INDEX(Operational[Production Volume (units)],MATCH(Emission8[[#This Row],[Facility ID]],Operational[Facility ID],0))</f>
        <v>47484</v>
      </c>
      <c r="H705">
        <f>INDEX(Operational[Energy Consumption (MWh)],MATCH(Emission8[[#This Row],[Facility ID]],Operational[Facility ID],0))</f>
        <v>3396.39</v>
      </c>
      <c r="I705">
        <f>INDEX(Operational[Waste (tons)],MATCH(Emission8[[#This Row],[Facility ID]],Operational[Facility ID],0))</f>
        <v>19.510000000000002</v>
      </c>
    </row>
    <row r="706" spans="1:9" x14ac:dyDescent="0.3">
      <c r="A706" t="s">
        <v>101</v>
      </c>
      <c r="B706" t="s">
        <v>19</v>
      </c>
      <c r="C706" t="s">
        <v>13</v>
      </c>
      <c r="D706" t="s">
        <v>14</v>
      </c>
      <c r="E706" t="s">
        <v>15</v>
      </c>
      <c r="F706">
        <v>1402.07</v>
      </c>
      <c r="G706">
        <f>INDEX(Operational[Production Volume (units)],MATCH(Emission8[[#This Row],[Facility ID]],Operational[Facility ID],0))</f>
        <v>39050</v>
      </c>
      <c r="H706">
        <f>INDEX(Operational[Energy Consumption (MWh)],MATCH(Emission8[[#This Row],[Facility ID]],Operational[Facility ID],0))</f>
        <v>5885.73</v>
      </c>
      <c r="I706">
        <f>INDEX(Operational[Waste (tons)],MATCH(Emission8[[#This Row],[Facility ID]],Operational[Facility ID],0))</f>
        <v>93.04</v>
      </c>
    </row>
    <row r="707" spans="1:9" x14ac:dyDescent="0.3">
      <c r="A707" t="s">
        <v>93</v>
      </c>
      <c r="B707" t="s">
        <v>30</v>
      </c>
      <c r="C707" t="s">
        <v>8</v>
      </c>
      <c r="D707" t="s">
        <v>14</v>
      </c>
      <c r="E707" t="s">
        <v>15</v>
      </c>
      <c r="F707">
        <v>2817.03</v>
      </c>
      <c r="G707">
        <f>INDEX(Operational[Production Volume (units)],MATCH(Emission8[[#This Row],[Facility ID]],Operational[Facility ID],0))</f>
        <v>26378</v>
      </c>
      <c r="H707">
        <f>INDEX(Operational[Energy Consumption (MWh)],MATCH(Emission8[[#This Row],[Facility ID]],Operational[Facility ID],0))</f>
        <v>2915.44</v>
      </c>
      <c r="I707">
        <f>INDEX(Operational[Waste (tons)],MATCH(Emission8[[#This Row],[Facility ID]],Operational[Facility ID],0))</f>
        <v>29.84</v>
      </c>
    </row>
    <row r="708" spans="1:9" x14ac:dyDescent="0.3">
      <c r="A708" t="s">
        <v>94</v>
      </c>
      <c r="B708" t="s">
        <v>7</v>
      </c>
      <c r="C708" t="s">
        <v>34</v>
      </c>
      <c r="D708" t="s">
        <v>14</v>
      </c>
      <c r="E708" t="s">
        <v>24</v>
      </c>
      <c r="F708">
        <v>4610.1499999999996</v>
      </c>
      <c r="G708">
        <f>INDEX(Operational[Production Volume (units)],MATCH(Emission8[[#This Row],[Facility ID]],Operational[Facility ID],0))</f>
        <v>26338</v>
      </c>
      <c r="H708">
        <f>INDEX(Operational[Energy Consumption (MWh)],MATCH(Emission8[[#This Row],[Facility ID]],Operational[Facility ID],0))</f>
        <v>578.73</v>
      </c>
      <c r="I708">
        <f>INDEX(Operational[Waste (tons)],MATCH(Emission8[[#This Row],[Facility ID]],Operational[Facility ID],0))</f>
        <v>72.52</v>
      </c>
    </row>
    <row r="709" spans="1:9" x14ac:dyDescent="0.3">
      <c r="A709" t="s">
        <v>191</v>
      </c>
      <c r="B709" t="s">
        <v>12</v>
      </c>
      <c r="C709" t="s">
        <v>23</v>
      </c>
      <c r="D709" t="s">
        <v>9</v>
      </c>
      <c r="E709" t="s">
        <v>24</v>
      </c>
      <c r="F709">
        <v>1197.68</v>
      </c>
      <c r="G709">
        <f>INDEX(Operational[Production Volume (units)],MATCH(Emission8[[#This Row],[Facility ID]],Operational[Facility ID],0))</f>
        <v>43346</v>
      </c>
      <c r="H709">
        <f>INDEX(Operational[Energy Consumption (MWh)],MATCH(Emission8[[#This Row],[Facility ID]],Operational[Facility ID],0))</f>
        <v>5559.12</v>
      </c>
      <c r="I709">
        <f>INDEX(Operational[Waste (tons)],MATCH(Emission8[[#This Row],[Facility ID]],Operational[Facility ID],0))</f>
        <v>39.4</v>
      </c>
    </row>
    <row r="710" spans="1:9" x14ac:dyDescent="0.3">
      <c r="A710" t="s">
        <v>80</v>
      </c>
      <c r="B710" t="s">
        <v>17</v>
      </c>
      <c r="C710" t="s">
        <v>23</v>
      </c>
      <c r="D710" t="s">
        <v>14</v>
      </c>
      <c r="E710" t="s">
        <v>24</v>
      </c>
      <c r="F710">
        <v>2154.8200000000002</v>
      </c>
      <c r="G710">
        <f>INDEX(Operational[Production Volume (units)],MATCH(Emission8[[#This Row],[Facility ID]],Operational[Facility ID],0))</f>
        <v>75508</v>
      </c>
      <c r="H710">
        <f>INDEX(Operational[Energy Consumption (MWh)],MATCH(Emission8[[#This Row],[Facility ID]],Operational[Facility ID],0))</f>
        <v>6856.22</v>
      </c>
      <c r="I710">
        <f>INDEX(Operational[Waste (tons)],MATCH(Emission8[[#This Row],[Facility ID]],Operational[Facility ID],0))</f>
        <v>18.2</v>
      </c>
    </row>
    <row r="711" spans="1:9" x14ac:dyDescent="0.3">
      <c r="A711" t="s">
        <v>71</v>
      </c>
      <c r="B711" t="s">
        <v>7</v>
      </c>
      <c r="C711" t="s">
        <v>23</v>
      </c>
      <c r="D711" t="s">
        <v>28</v>
      </c>
      <c r="E711" t="s">
        <v>15</v>
      </c>
      <c r="F711">
        <v>1398.72</v>
      </c>
      <c r="G711">
        <f>INDEX(Operational[Production Volume (units)],MATCH(Emission8[[#This Row],[Facility ID]],Operational[Facility ID],0))</f>
        <v>68018</v>
      </c>
      <c r="H711">
        <f>INDEX(Operational[Energy Consumption (MWh)],MATCH(Emission8[[#This Row],[Facility ID]],Operational[Facility ID],0))</f>
        <v>3523.4</v>
      </c>
      <c r="I711">
        <f>INDEX(Operational[Waste (tons)],MATCH(Emission8[[#This Row],[Facility ID]],Operational[Facility ID],0))</f>
        <v>92.26</v>
      </c>
    </row>
    <row r="712" spans="1:9" x14ac:dyDescent="0.3">
      <c r="A712" t="s">
        <v>18</v>
      </c>
      <c r="B712" t="s">
        <v>19</v>
      </c>
      <c r="C712" t="s">
        <v>23</v>
      </c>
      <c r="D712" t="s">
        <v>14</v>
      </c>
      <c r="E712" t="s">
        <v>15</v>
      </c>
      <c r="F712">
        <v>2433.64</v>
      </c>
      <c r="G712">
        <f>INDEX(Operational[Production Volume (units)],MATCH(Emission8[[#This Row],[Facility ID]],Operational[Facility ID],0))</f>
        <v>98682</v>
      </c>
      <c r="H712">
        <f>INDEX(Operational[Energy Consumption (MWh)],MATCH(Emission8[[#This Row],[Facility ID]],Operational[Facility ID],0))</f>
        <v>6220.56</v>
      </c>
      <c r="I712">
        <f>INDEX(Operational[Waste (tons)],MATCH(Emission8[[#This Row],[Facility ID]],Operational[Facility ID],0))</f>
        <v>70.099999999999994</v>
      </c>
    </row>
    <row r="713" spans="1:9" x14ac:dyDescent="0.3">
      <c r="A713" t="s">
        <v>52</v>
      </c>
      <c r="B713" t="s">
        <v>19</v>
      </c>
      <c r="C713" t="s">
        <v>23</v>
      </c>
      <c r="D713" t="s">
        <v>14</v>
      </c>
      <c r="E713" t="s">
        <v>10</v>
      </c>
      <c r="F713">
        <v>1785.88</v>
      </c>
      <c r="G713">
        <f>INDEX(Operational[Production Volume (units)],MATCH(Emission8[[#This Row],[Facility ID]],Operational[Facility ID],0))</f>
        <v>94949</v>
      </c>
      <c r="H713">
        <f>INDEX(Operational[Energy Consumption (MWh)],MATCH(Emission8[[#This Row],[Facility ID]],Operational[Facility ID],0))</f>
        <v>9714.76</v>
      </c>
      <c r="I713">
        <f>INDEX(Operational[Waste (tons)],MATCH(Emission8[[#This Row],[Facility ID]],Operational[Facility ID],0))</f>
        <v>64.900000000000006</v>
      </c>
    </row>
    <row r="714" spans="1:9" x14ac:dyDescent="0.3">
      <c r="A714" t="s">
        <v>65</v>
      </c>
      <c r="B714" t="s">
        <v>30</v>
      </c>
      <c r="C714" t="s">
        <v>8</v>
      </c>
      <c r="D714" t="s">
        <v>9</v>
      </c>
      <c r="E714" t="s">
        <v>10</v>
      </c>
      <c r="F714">
        <v>4694.88</v>
      </c>
      <c r="G714">
        <f>INDEX(Operational[Production Volume (units)],MATCH(Emission8[[#This Row],[Facility ID]],Operational[Facility ID],0))</f>
        <v>99026</v>
      </c>
      <c r="H714">
        <f>INDEX(Operational[Energy Consumption (MWh)],MATCH(Emission8[[#This Row],[Facility ID]],Operational[Facility ID],0))</f>
        <v>5453.2</v>
      </c>
      <c r="I714">
        <f>INDEX(Operational[Waste (tons)],MATCH(Emission8[[#This Row],[Facility ID]],Operational[Facility ID],0))</f>
        <v>57.49</v>
      </c>
    </row>
    <row r="715" spans="1:9" x14ac:dyDescent="0.3">
      <c r="A715" t="s">
        <v>71</v>
      </c>
      <c r="B715" t="s">
        <v>7</v>
      </c>
      <c r="C715" t="s">
        <v>8</v>
      </c>
      <c r="D715" t="s">
        <v>14</v>
      </c>
      <c r="E715" t="s">
        <v>10</v>
      </c>
      <c r="F715">
        <v>3069.11</v>
      </c>
      <c r="G715">
        <f>INDEX(Operational[Production Volume (units)],MATCH(Emission8[[#This Row],[Facility ID]],Operational[Facility ID],0))</f>
        <v>68018</v>
      </c>
      <c r="H715">
        <f>INDEX(Operational[Energy Consumption (MWh)],MATCH(Emission8[[#This Row],[Facility ID]],Operational[Facility ID],0))</f>
        <v>3523.4</v>
      </c>
      <c r="I715">
        <f>INDEX(Operational[Waste (tons)],MATCH(Emission8[[#This Row],[Facility ID]],Operational[Facility ID],0))</f>
        <v>92.26</v>
      </c>
    </row>
    <row r="716" spans="1:9" x14ac:dyDescent="0.3">
      <c r="A716" t="s">
        <v>196</v>
      </c>
      <c r="B716" t="s">
        <v>30</v>
      </c>
      <c r="C716" t="s">
        <v>13</v>
      </c>
      <c r="D716" t="s">
        <v>14</v>
      </c>
      <c r="E716" t="s">
        <v>15</v>
      </c>
      <c r="F716">
        <v>2819.92</v>
      </c>
      <c r="G716">
        <f>INDEX(Operational[Production Volume (units)],MATCH(Emission8[[#This Row],[Facility ID]],Operational[Facility ID],0))</f>
        <v>12262</v>
      </c>
      <c r="H716">
        <f>INDEX(Operational[Energy Consumption (MWh)],MATCH(Emission8[[#This Row],[Facility ID]],Operational[Facility ID],0))</f>
        <v>7106.18</v>
      </c>
      <c r="I716">
        <f>INDEX(Operational[Waste (tons)],MATCH(Emission8[[#This Row],[Facility ID]],Operational[Facility ID],0))</f>
        <v>45.69</v>
      </c>
    </row>
    <row r="717" spans="1:9" x14ac:dyDescent="0.3">
      <c r="A717" t="s">
        <v>95</v>
      </c>
      <c r="B717" t="s">
        <v>30</v>
      </c>
      <c r="C717" t="s">
        <v>13</v>
      </c>
      <c r="D717" t="s">
        <v>28</v>
      </c>
      <c r="E717" t="s">
        <v>24</v>
      </c>
      <c r="F717">
        <v>1772.23</v>
      </c>
      <c r="G717">
        <f>INDEX(Operational[Production Volume (units)],MATCH(Emission8[[#This Row],[Facility ID]],Operational[Facility ID],0))</f>
        <v>51800</v>
      </c>
      <c r="H717">
        <f>INDEX(Operational[Energy Consumption (MWh)],MATCH(Emission8[[#This Row],[Facility ID]],Operational[Facility ID],0))</f>
        <v>3042.95</v>
      </c>
      <c r="I717">
        <f>INDEX(Operational[Waste (tons)],MATCH(Emission8[[#This Row],[Facility ID]],Operational[Facility ID],0))</f>
        <v>71.87</v>
      </c>
    </row>
    <row r="718" spans="1:9" x14ac:dyDescent="0.3">
      <c r="A718" t="s">
        <v>57</v>
      </c>
      <c r="B718" t="s">
        <v>19</v>
      </c>
      <c r="C718" t="s">
        <v>8</v>
      </c>
      <c r="D718" t="s">
        <v>14</v>
      </c>
      <c r="E718" t="s">
        <v>24</v>
      </c>
      <c r="F718">
        <v>2502.25</v>
      </c>
      <c r="G718">
        <f>INDEX(Operational[Production Volume (units)],MATCH(Emission8[[#This Row],[Facility ID]],Operational[Facility ID],0))</f>
        <v>41027</v>
      </c>
      <c r="H718">
        <f>INDEX(Operational[Energy Consumption (MWh)],MATCH(Emission8[[#This Row],[Facility ID]],Operational[Facility ID],0))</f>
        <v>7285.85</v>
      </c>
      <c r="I718">
        <f>INDEX(Operational[Waste (tons)],MATCH(Emission8[[#This Row],[Facility ID]],Operational[Facility ID],0))</f>
        <v>59.87</v>
      </c>
    </row>
    <row r="719" spans="1:9" x14ac:dyDescent="0.3">
      <c r="A719" t="s">
        <v>74</v>
      </c>
      <c r="B719" t="s">
        <v>19</v>
      </c>
      <c r="C719" t="s">
        <v>8</v>
      </c>
      <c r="D719" t="s">
        <v>9</v>
      </c>
      <c r="E719" t="s">
        <v>15</v>
      </c>
      <c r="F719">
        <v>3851.93</v>
      </c>
      <c r="G719">
        <f>INDEX(Operational[Production Volume (units)],MATCH(Emission8[[#This Row],[Facility ID]],Operational[Facility ID],0))</f>
        <v>18175</v>
      </c>
      <c r="H719">
        <f>INDEX(Operational[Energy Consumption (MWh)],MATCH(Emission8[[#This Row],[Facility ID]],Operational[Facility ID],0))</f>
        <v>8349.49</v>
      </c>
      <c r="I719">
        <f>INDEX(Operational[Waste (tons)],MATCH(Emission8[[#This Row],[Facility ID]],Operational[Facility ID],0))</f>
        <v>39.97</v>
      </c>
    </row>
    <row r="720" spans="1:9" x14ac:dyDescent="0.3">
      <c r="A720" t="s">
        <v>114</v>
      </c>
      <c r="B720" t="s">
        <v>30</v>
      </c>
      <c r="C720" t="s">
        <v>13</v>
      </c>
      <c r="D720" t="s">
        <v>28</v>
      </c>
      <c r="E720" t="s">
        <v>24</v>
      </c>
      <c r="F720">
        <v>3031.48</v>
      </c>
      <c r="G720">
        <f>INDEX(Operational[Production Volume (units)],MATCH(Emission8[[#This Row],[Facility ID]],Operational[Facility ID],0))</f>
        <v>29264</v>
      </c>
      <c r="H720">
        <f>INDEX(Operational[Energy Consumption (MWh)],MATCH(Emission8[[#This Row],[Facility ID]],Operational[Facility ID],0))</f>
        <v>8362.7199999999993</v>
      </c>
      <c r="I720">
        <f>INDEX(Operational[Waste (tons)],MATCH(Emission8[[#This Row],[Facility ID]],Operational[Facility ID],0))</f>
        <v>61.93</v>
      </c>
    </row>
    <row r="721" spans="1:9" x14ac:dyDescent="0.3">
      <c r="A721" t="s">
        <v>78</v>
      </c>
      <c r="B721" t="s">
        <v>7</v>
      </c>
      <c r="C721" t="s">
        <v>23</v>
      </c>
      <c r="D721" t="s">
        <v>9</v>
      </c>
      <c r="E721" t="s">
        <v>24</v>
      </c>
      <c r="F721">
        <v>601.62</v>
      </c>
      <c r="G721">
        <f>INDEX(Operational[Production Volume (units)],MATCH(Emission8[[#This Row],[Facility ID]],Operational[Facility ID],0))</f>
        <v>86557</v>
      </c>
      <c r="H721">
        <f>INDEX(Operational[Energy Consumption (MWh)],MATCH(Emission8[[#This Row],[Facility ID]],Operational[Facility ID],0))</f>
        <v>8631.2800000000007</v>
      </c>
      <c r="I721">
        <f>INDEX(Operational[Waste (tons)],MATCH(Emission8[[#This Row],[Facility ID]],Operational[Facility ID],0))</f>
        <v>69.53</v>
      </c>
    </row>
    <row r="722" spans="1:9" x14ac:dyDescent="0.3">
      <c r="A722" t="s">
        <v>73</v>
      </c>
      <c r="B722" t="s">
        <v>30</v>
      </c>
      <c r="C722" t="s">
        <v>8</v>
      </c>
      <c r="D722" t="s">
        <v>28</v>
      </c>
      <c r="E722" t="s">
        <v>24</v>
      </c>
      <c r="F722">
        <v>2060.17</v>
      </c>
      <c r="G722">
        <f>INDEX(Operational[Production Volume (units)],MATCH(Emission8[[#This Row],[Facility ID]],Operational[Facility ID],0))</f>
        <v>55974</v>
      </c>
      <c r="H722">
        <f>INDEX(Operational[Energy Consumption (MWh)],MATCH(Emission8[[#This Row],[Facility ID]],Operational[Facility ID],0))</f>
        <v>7542.28</v>
      </c>
      <c r="I722">
        <f>INDEX(Operational[Waste (tons)],MATCH(Emission8[[#This Row],[Facility ID]],Operational[Facility ID],0))</f>
        <v>72.430000000000007</v>
      </c>
    </row>
    <row r="723" spans="1:9" x14ac:dyDescent="0.3">
      <c r="A723" t="s">
        <v>99</v>
      </c>
      <c r="B723" t="s">
        <v>19</v>
      </c>
      <c r="C723" t="s">
        <v>13</v>
      </c>
      <c r="D723" t="s">
        <v>28</v>
      </c>
      <c r="E723" t="s">
        <v>10</v>
      </c>
      <c r="F723">
        <v>2452.0300000000002</v>
      </c>
      <c r="G723">
        <f>INDEX(Operational[Production Volume (units)],MATCH(Emission8[[#This Row],[Facility ID]],Operational[Facility ID],0))</f>
        <v>77400</v>
      </c>
      <c r="H723">
        <f>INDEX(Operational[Energy Consumption (MWh)],MATCH(Emission8[[#This Row],[Facility ID]],Operational[Facility ID],0))</f>
        <v>7504.8</v>
      </c>
      <c r="I723">
        <f>INDEX(Operational[Waste (tons)],MATCH(Emission8[[#This Row],[Facility ID]],Operational[Facility ID],0))</f>
        <v>68.819999999999993</v>
      </c>
    </row>
    <row r="724" spans="1:9" x14ac:dyDescent="0.3">
      <c r="A724" t="s">
        <v>56</v>
      </c>
      <c r="B724" t="s">
        <v>19</v>
      </c>
      <c r="C724" t="s">
        <v>8</v>
      </c>
      <c r="D724" t="s">
        <v>28</v>
      </c>
      <c r="E724" t="s">
        <v>10</v>
      </c>
      <c r="F724">
        <v>1782.21</v>
      </c>
      <c r="G724">
        <f>INDEX(Operational[Production Volume (units)],MATCH(Emission8[[#This Row],[Facility ID]],Operational[Facility ID],0))</f>
        <v>43747</v>
      </c>
      <c r="H724">
        <f>INDEX(Operational[Energy Consumption (MWh)],MATCH(Emission8[[#This Row],[Facility ID]],Operational[Facility ID],0))</f>
        <v>3453.48</v>
      </c>
      <c r="I724">
        <f>INDEX(Operational[Waste (tons)],MATCH(Emission8[[#This Row],[Facility ID]],Operational[Facility ID],0))</f>
        <v>98.78</v>
      </c>
    </row>
    <row r="725" spans="1:9" x14ac:dyDescent="0.3">
      <c r="A725" t="s">
        <v>123</v>
      </c>
      <c r="B725" t="s">
        <v>30</v>
      </c>
      <c r="C725" t="s">
        <v>23</v>
      </c>
      <c r="D725" t="s">
        <v>9</v>
      </c>
      <c r="E725" t="s">
        <v>15</v>
      </c>
      <c r="F725">
        <v>103.31</v>
      </c>
      <c r="G725">
        <f>INDEX(Operational[Production Volume (units)],MATCH(Emission8[[#This Row],[Facility ID]],Operational[Facility ID],0))</f>
        <v>73977</v>
      </c>
      <c r="H725">
        <f>INDEX(Operational[Energy Consumption (MWh)],MATCH(Emission8[[#This Row],[Facility ID]],Operational[Facility ID],0))</f>
        <v>1646.75</v>
      </c>
      <c r="I725">
        <f>INDEX(Operational[Waste (tons)],MATCH(Emission8[[#This Row],[Facility ID]],Operational[Facility ID],0))</f>
        <v>43.77</v>
      </c>
    </row>
    <row r="726" spans="1:9" x14ac:dyDescent="0.3">
      <c r="A726" t="s">
        <v>171</v>
      </c>
      <c r="B726" t="s">
        <v>17</v>
      </c>
      <c r="C726" t="s">
        <v>13</v>
      </c>
      <c r="D726" t="s">
        <v>14</v>
      </c>
      <c r="E726" t="s">
        <v>15</v>
      </c>
      <c r="F726">
        <v>3568.05</v>
      </c>
      <c r="G726">
        <f>INDEX(Operational[Production Volume (units)],MATCH(Emission8[[#This Row],[Facility ID]],Operational[Facility ID],0))</f>
        <v>24502</v>
      </c>
      <c r="H726">
        <f>INDEX(Operational[Energy Consumption (MWh)],MATCH(Emission8[[#This Row],[Facility ID]],Operational[Facility ID],0))</f>
        <v>7466.86</v>
      </c>
      <c r="I726">
        <f>INDEX(Operational[Waste (tons)],MATCH(Emission8[[#This Row],[Facility ID]],Operational[Facility ID],0))</f>
        <v>88.83</v>
      </c>
    </row>
    <row r="727" spans="1:9" x14ac:dyDescent="0.3">
      <c r="A727" t="s">
        <v>67</v>
      </c>
      <c r="B727" t="s">
        <v>7</v>
      </c>
      <c r="C727" t="s">
        <v>23</v>
      </c>
      <c r="D727" t="s">
        <v>9</v>
      </c>
      <c r="E727" t="s">
        <v>15</v>
      </c>
      <c r="F727">
        <v>2290.64</v>
      </c>
      <c r="G727">
        <f>INDEX(Operational[Production Volume (units)],MATCH(Emission8[[#This Row],[Facility ID]],Operational[Facility ID],0))</f>
        <v>70582</v>
      </c>
      <c r="H727">
        <f>INDEX(Operational[Energy Consumption (MWh)],MATCH(Emission8[[#This Row],[Facility ID]],Operational[Facility ID],0))</f>
        <v>7517.59</v>
      </c>
      <c r="I727">
        <f>INDEX(Operational[Waste (tons)],MATCH(Emission8[[#This Row],[Facility ID]],Operational[Facility ID],0))</f>
        <v>95.71</v>
      </c>
    </row>
    <row r="728" spans="1:9" x14ac:dyDescent="0.3">
      <c r="A728" t="s">
        <v>105</v>
      </c>
      <c r="B728" t="s">
        <v>30</v>
      </c>
      <c r="C728" t="s">
        <v>23</v>
      </c>
      <c r="D728" t="s">
        <v>14</v>
      </c>
      <c r="E728" t="s">
        <v>24</v>
      </c>
      <c r="F728">
        <v>4937.24</v>
      </c>
      <c r="G728">
        <f>INDEX(Operational[Production Volume (units)],MATCH(Emission8[[#This Row],[Facility ID]],Operational[Facility ID],0))</f>
        <v>87337</v>
      </c>
      <c r="H728">
        <f>INDEX(Operational[Energy Consumption (MWh)],MATCH(Emission8[[#This Row],[Facility ID]],Operational[Facility ID],0))</f>
        <v>3603.06</v>
      </c>
      <c r="I728">
        <f>INDEX(Operational[Waste (tons)],MATCH(Emission8[[#This Row],[Facility ID]],Operational[Facility ID],0))</f>
        <v>67.13</v>
      </c>
    </row>
    <row r="729" spans="1:9" x14ac:dyDescent="0.3">
      <c r="A729" t="s">
        <v>150</v>
      </c>
      <c r="B729" t="s">
        <v>30</v>
      </c>
      <c r="C729" t="s">
        <v>23</v>
      </c>
      <c r="D729" t="s">
        <v>9</v>
      </c>
      <c r="E729" t="s">
        <v>15</v>
      </c>
      <c r="F729">
        <v>1728.81</v>
      </c>
      <c r="G729">
        <f>INDEX(Operational[Production Volume (units)],MATCH(Emission8[[#This Row],[Facility ID]],Operational[Facility ID],0))</f>
        <v>98356</v>
      </c>
      <c r="H729">
        <f>INDEX(Operational[Energy Consumption (MWh)],MATCH(Emission8[[#This Row],[Facility ID]],Operational[Facility ID],0))</f>
        <v>6968.69</v>
      </c>
      <c r="I729">
        <f>INDEX(Operational[Waste (tons)],MATCH(Emission8[[#This Row],[Facility ID]],Operational[Facility ID],0))</f>
        <v>81.72</v>
      </c>
    </row>
    <row r="730" spans="1:9" x14ac:dyDescent="0.3">
      <c r="A730" t="s">
        <v>213</v>
      </c>
      <c r="B730" t="s">
        <v>12</v>
      </c>
      <c r="C730" t="s">
        <v>13</v>
      </c>
      <c r="D730" t="s">
        <v>14</v>
      </c>
      <c r="E730" t="s">
        <v>10</v>
      </c>
      <c r="F730">
        <v>372.7</v>
      </c>
      <c r="G730">
        <f>INDEX(Operational[Production Volume (units)],MATCH(Emission8[[#This Row],[Facility ID]],Operational[Facility ID],0))</f>
        <v>58622</v>
      </c>
      <c r="H730">
        <f>INDEX(Operational[Energy Consumption (MWh)],MATCH(Emission8[[#This Row],[Facility ID]],Operational[Facility ID],0))</f>
        <v>7795.36</v>
      </c>
      <c r="I730">
        <f>INDEX(Operational[Waste (tons)],MATCH(Emission8[[#This Row],[Facility ID]],Operational[Facility ID],0))</f>
        <v>59.81</v>
      </c>
    </row>
    <row r="731" spans="1:9" x14ac:dyDescent="0.3">
      <c r="A731" t="s">
        <v>80</v>
      </c>
      <c r="B731" t="s">
        <v>17</v>
      </c>
      <c r="C731" t="s">
        <v>8</v>
      </c>
      <c r="D731" t="s">
        <v>14</v>
      </c>
      <c r="E731" t="s">
        <v>24</v>
      </c>
      <c r="F731">
        <v>3677.7</v>
      </c>
      <c r="G731">
        <f>INDEX(Operational[Production Volume (units)],MATCH(Emission8[[#This Row],[Facility ID]],Operational[Facility ID],0))</f>
        <v>75508</v>
      </c>
      <c r="H731">
        <f>INDEX(Operational[Energy Consumption (MWh)],MATCH(Emission8[[#This Row],[Facility ID]],Operational[Facility ID],0))</f>
        <v>6856.22</v>
      </c>
      <c r="I731">
        <f>INDEX(Operational[Waste (tons)],MATCH(Emission8[[#This Row],[Facility ID]],Operational[Facility ID],0))</f>
        <v>18.2</v>
      </c>
    </row>
    <row r="732" spans="1:9" x14ac:dyDescent="0.3">
      <c r="A732" t="s">
        <v>20</v>
      </c>
      <c r="B732" t="s">
        <v>17</v>
      </c>
      <c r="C732" t="s">
        <v>34</v>
      </c>
      <c r="D732" t="s">
        <v>28</v>
      </c>
      <c r="E732" t="s">
        <v>10</v>
      </c>
      <c r="F732">
        <v>2576.7800000000002</v>
      </c>
      <c r="G732">
        <f>INDEX(Operational[Production Volume (units)],MATCH(Emission8[[#This Row],[Facility ID]],Operational[Facility ID],0))</f>
        <v>29895</v>
      </c>
      <c r="H732">
        <f>INDEX(Operational[Energy Consumption (MWh)],MATCH(Emission8[[#This Row],[Facility ID]],Operational[Facility ID],0))</f>
        <v>1631.08</v>
      </c>
      <c r="I732">
        <f>INDEX(Operational[Waste (tons)],MATCH(Emission8[[#This Row],[Facility ID]],Operational[Facility ID],0))</f>
        <v>39.93</v>
      </c>
    </row>
    <row r="733" spans="1:9" x14ac:dyDescent="0.3">
      <c r="A733" t="s">
        <v>111</v>
      </c>
      <c r="B733" t="s">
        <v>19</v>
      </c>
      <c r="C733" t="s">
        <v>8</v>
      </c>
      <c r="D733" t="s">
        <v>28</v>
      </c>
      <c r="E733" t="s">
        <v>10</v>
      </c>
      <c r="F733">
        <v>2972.77</v>
      </c>
      <c r="G733">
        <f>INDEX(Operational[Production Volume (units)],MATCH(Emission8[[#This Row],[Facility ID]],Operational[Facility ID],0))</f>
        <v>37309</v>
      </c>
      <c r="H733">
        <f>INDEX(Operational[Energy Consumption (MWh)],MATCH(Emission8[[#This Row],[Facility ID]],Operational[Facility ID],0))</f>
        <v>4508.54</v>
      </c>
      <c r="I733">
        <f>INDEX(Operational[Waste (tons)],MATCH(Emission8[[#This Row],[Facility ID]],Operational[Facility ID],0))</f>
        <v>47.15</v>
      </c>
    </row>
    <row r="734" spans="1:9" x14ac:dyDescent="0.3">
      <c r="A734" t="s">
        <v>87</v>
      </c>
      <c r="B734" t="s">
        <v>12</v>
      </c>
      <c r="C734" t="s">
        <v>23</v>
      </c>
      <c r="D734" t="s">
        <v>28</v>
      </c>
      <c r="E734" t="s">
        <v>24</v>
      </c>
      <c r="F734">
        <v>3995.86</v>
      </c>
      <c r="G734">
        <f>INDEX(Operational[Production Volume (units)],MATCH(Emission8[[#This Row],[Facility ID]],Operational[Facility ID],0))</f>
        <v>15333</v>
      </c>
      <c r="H734">
        <f>INDEX(Operational[Energy Consumption (MWh)],MATCH(Emission8[[#This Row],[Facility ID]],Operational[Facility ID],0))</f>
        <v>2570.54</v>
      </c>
      <c r="I734">
        <f>INDEX(Operational[Waste (tons)],MATCH(Emission8[[#This Row],[Facility ID]],Operational[Facility ID],0))</f>
        <v>41.07</v>
      </c>
    </row>
    <row r="735" spans="1:9" x14ac:dyDescent="0.3">
      <c r="A735" t="s">
        <v>84</v>
      </c>
      <c r="B735" t="s">
        <v>30</v>
      </c>
      <c r="C735" t="s">
        <v>13</v>
      </c>
      <c r="D735" t="s">
        <v>14</v>
      </c>
      <c r="E735" t="s">
        <v>15</v>
      </c>
      <c r="F735">
        <v>2798.95</v>
      </c>
      <c r="G735">
        <f>INDEX(Operational[Production Volume (units)],MATCH(Emission8[[#This Row],[Facility ID]],Operational[Facility ID],0))</f>
        <v>85444</v>
      </c>
      <c r="H735">
        <f>INDEX(Operational[Energy Consumption (MWh)],MATCH(Emission8[[#This Row],[Facility ID]],Operational[Facility ID],0))</f>
        <v>852.57</v>
      </c>
      <c r="I735">
        <f>INDEX(Operational[Waste (tons)],MATCH(Emission8[[#This Row],[Facility ID]],Operational[Facility ID],0))</f>
        <v>72.650000000000006</v>
      </c>
    </row>
    <row r="736" spans="1:9" x14ac:dyDescent="0.3">
      <c r="A736" t="s">
        <v>36</v>
      </c>
      <c r="B736" t="s">
        <v>12</v>
      </c>
      <c r="C736" t="s">
        <v>8</v>
      </c>
      <c r="D736" t="s">
        <v>28</v>
      </c>
      <c r="E736" t="s">
        <v>15</v>
      </c>
      <c r="F736">
        <v>204.44</v>
      </c>
      <c r="G736">
        <f>INDEX(Operational[Production Volume (units)],MATCH(Emission8[[#This Row],[Facility ID]],Operational[Facility ID],0))</f>
        <v>40226</v>
      </c>
      <c r="H736">
        <f>INDEX(Operational[Energy Consumption (MWh)],MATCH(Emission8[[#This Row],[Facility ID]],Operational[Facility ID],0))</f>
        <v>7868.86</v>
      </c>
      <c r="I736">
        <f>INDEX(Operational[Waste (tons)],MATCH(Emission8[[#This Row],[Facility ID]],Operational[Facility ID],0))</f>
        <v>80.53</v>
      </c>
    </row>
    <row r="737" spans="1:9" x14ac:dyDescent="0.3">
      <c r="A737" t="s">
        <v>179</v>
      </c>
      <c r="B737" t="s">
        <v>7</v>
      </c>
      <c r="C737" t="s">
        <v>8</v>
      </c>
      <c r="D737" t="s">
        <v>14</v>
      </c>
      <c r="E737" t="s">
        <v>15</v>
      </c>
      <c r="F737">
        <v>2646.82</v>
      </c>
      <c r="G737">
        <f>INDEX(Operational[Production Volume (units)],MATCH(Emission8[[#This Row],[Facility ID]],Operational[Facility ID],0))</f>
        <v>94393</v>
      </c>
      <c r="H737">
        <f>INDEX(Operational[Energy Consumption (MWh)],MATCH(Emission8[[#This Row],[Facility ID]],Operational[Facility ID],0))</f>
        <v>6691.7</v>
      </c>
      <c r="I737">
        <f>INDEX(Operational[Waste (tons)],MATCH(Emission8[[#This Row],[Facility ID]],Operational[Facility ID],0))</f>
        <v>74.790000000000006</v>
      </c>
    </row>
    <row r="738" spans="1:9" x14ac:dyDescent="0.3">
      <c r="A738" t="s">
        <v>50</v>
      </c>
      <c r="B738" t="s">
        <v>19</v>
      </c>
      <c r="C738" t="s">
        <v>13</v>
      </c>
      <c r="D738" t="s">
        <v>14</v>
      </c>
      <c r="E738" t="s">
        <v>15</v>
      </c>
      <c r="F738">
        <v>2960.39</v>
      </c>
      <c r="G738">
        <f>INDEX(Operational[Production Volume (units)],MATCH(Emission8[[#This Row],[Facility ID]],Operational[Facility ID],0))</f>
        <v>40577</v>
      </c>
      <c r="H738">
        <f>INDEX(Operational[Energy Consumption (MWh)],MATCH(Emission8[[#This Row],[Facility ID]],Operational[Facility ID],0))</f>
        <v>4280.82</v>
      </c>
      <c r="I738">
        <f>INDEX(Operational[Waste (tons)],MATCH(Emission8[[#This Row],[Facility ID]],Operational[Facility ID],0))</f>
        <v>79.88</v>
      </c>
    </row>
    <row r="739" spans="1:9" x14ac:dyDescent="0.3">
      <c r="A739" t="s">
        <v>78</v>
      </c>
      <c r="B739" t="s">
        <v>7</v>
      </c>
      <c r="C739" t="s">
        <v>13</v>
      </c>
      <c r="D739" t="s">
        <v>14</v>
      </c>
      <c r="E739" t="s">
        <v>24</v>
      </c>
      <c r="F739">
        <v>1696.88</v>
      </c>
      <c r="G739">
        <f>INDEX(Operational[Production Volume (units)],MATCH(Emission8[[#This Row],[Facility ID]],Operational[Facility ID],0))</f>
        <v>86557</v>
      </c>
      <c r="H739">
        <f>INDEX(Operational[Energy Consumption (MWh)],MATCH(Emission8[[#This Row],[Facility ID]],Operational[Facility ID],0))</f>
        <v>8631.2800000000007</v>
      </c>
      <c r="I739">
        <f>INDEX(Operational[Waste (tons)],MATCH(Emission8[[#This Row],[Facility ID]],Operational[Facility ID],0))</f>
        <v>69.53</v>
      </c>
    </row>
    <row r="740" spans="1:9" x14ac:dyDescent="0.3">
      <c r="A740" t="s">
        <v>214</v>
      </c>
      <c r="B740" t="s">
        <v>30</v>
      </c>
      <c r="C740" t="s">
        <v>13</v>
      </c>
      <c r="D740" t="s">
        <v>9</v>
      </c>
      <c r="E740" t="s">
        <v>24</v>
      </c>
      <c r="F740">
        <v>623</v>
      </c>
      <c r="G740">
        <f>INDEX(Operational[Production Volume (units)],MATCH(Emission8[[#This Row],[Facility ID]],Operational[Facility ID],0))</f>
        <v>79330</v>
      </c>
      <c r="H740">
        <f>INDEX(Operational[Energy Consumption (MWh)],MATCH(Emission8[[#This Row],[Facility ID]],Operational[Facility ID],0))</f>
        <v>6075.23</v>
      </c>
      <c r="I740">
        <f>INDEX(Operational[Waste (tons)],MATCH(Emission8[[#This Row],[Facility ID]],Operational[Facility ID],0))</f>
        <v>83.97</v>
      </c>
    </row>
    <row r="741" spans="1:9" x14ac:dyDescent="0.3">
      <c r="A741" t="s">
        <v>128</v>
      </c>
      <c r="B741" t="s">
        <v>12</v>
      </c>
      <c r="C741" t="s">
        <v>23</v>
      </c>
      <c r="D741" t="s">
        <v>14</v>
      </c>
      <c r="E741" t="s">
        <v>24</v>
      </c>
      <c r="F741">
        <v>1684.41</v>
      </c>
      <c r="G741">
        <f>INDEX(Operational[Production Volume (units)],MATCH(Emission8[[#This Row],[Facility ID]],Operational[Facility ID],0))</f>
        <v>29406</v>
      </c>
      <c r="H741">
        <f>INDEX(Operational[Energy Consumption (MWh)],MATCH(Emission8[[#This Row],[Facility ID]],Operational[Facility ID],0))</f>
        <v>5281.69</v>
      </c>
      <c r="I741">
        <f>INDEX(Operational[Waste (tons)],MATCH(Emission8[[#This Row],[Facility ID]],Operational[Facility ID],0))</f>
        <v>27.01</v>
      </c>
    </row>
    <row r="742" spans="1:9" x14ac:dyDescent="0.3">
      <c r="A742" t="s">
        <v>68</v>
      </c>
      <c r="B742" t="s">
        <v>12</v>
      </c>
      <c r="C742" t="s">
        <v>34</v>
      </c>
      <c r="D742" t="s">
        <v>14</v>
      </c>
      <c r="E742" t="s">
        <v>24</v>
      </c>
      <c r="F742">
        <v>3307.16</v>
      </c>
      <c r="G742">
        <f>INDEX(Operational[Production Volume (units)],MATCH(Emission8[[#This Row],[Facility ID]],Operational[Facility ID],0))</f>
        <v>69100</v>
      </c>
      <c r="H742">
        <f>INDEX(Operational[Energy Consumption (MWh)],MATCH(Emission8[[#This Row],[Facility ID]],Operational[Facility ID],0))</f>
        <v>9356.02</v>
      </c>
      <c r="I742">
        <f>INDEX(Operational[Waste (tons)],MATCH(Emission8[[#This Row],[Facility ID]],Operational[Facility ID],0))</f>
        <v>16.5</v>
      </c>
    </row>
    <row r="743" spans="1:9" x14ac:dyDescent="0.3">
      <c r="A743" t="s">
        <v>38</v>
      </c>
      <c r="B743" t="s">
        <v>30</v>
      </c>
      <c r="C743" t="s">
        <v>34</v>
      </c>
      <c r="D743" t="s">
        <v>9</v>
      </c>
      <c r="E743" t="s">
        <v>10</v>
      </c>
      <c r="F743">
        <v>2731.17</v>
      </c>
      <c r="G743">
        <f>INDEX(Operational[Production Volume (units)],MATCH(Emission8[[#This Row],[Facility ID]],Operational[Facility ID],0))</f>
        <v>57215</v>
      </c>
      <c r="H743">
        <f>INDEX(Operational[Energy Consumption (MWh)],MATCH(Emission8[[#This Row],[Facility ID]],Operational[Facility ID],0))</f>
        <v>3227.1</v>
      </c>
      <c r="I743">
        <f>INDEX(Operational[Waste (tons)],MATCH(Emission8[[#This Row],[Facility ID]],Operational[Facility ID],0))</f>
        <v>32.909999999999997</v>
      </c>
    </row>
    <row r="744" spans="1:9" x14ac:dyDescent="0.3">
      <c r="A744" t="s">
        <v>29</v>
      </c>
      <c r="B744" t="s">
        <v>30</v>
      </c>
      <c r="C744" t="s">
        <v>13</v>
      </c>
      <c r="D744" t="s">
        <v>28</v>
      </c>
      <c r="E744" t="s">
        <v>24</v>
      </c>
      <c r="F744">
        <v>2861.41</v>
      </c>
      <c r="G744">
        <f>INDEX(Operational[Production Volume (units)],MATCH(Emission8[[#This Row],[Facility ID]],Operational[Facility ID],0))</f>
        <v>32131</v>
      </c>
      <c r="H744">
        <f>INDEX(Operational[Energy Consumption (MWh)],MATCH(Emission8[[#This Row],[Facility ID]],Operational[Facility ID],0))</f>
        <v>1474.23</v>
      </c>
      <c r="I744">
        <f>INDEX(Operational[Waste (tons)],MATCH(Emission8[[#This Row],[Facility ID]],Operational[Facility ID],0))</f>
        <v>45.47</v>
      </c>
    </row>
    <row r="745" spans="1:9" x14ac:dyDescent="0.3">
      <c r="A745" t="s">
        <v>117</v>
      </c>
      <c r="B745" t="s">
        <v>7</v>
      </c>
      <c r="C745" t="s">
        <v>34</v>
      </c>
      <c r="D745" t="s">
        <v>14</v>
      </c>
      <c r="E745" t="s">
        <v>15</v>
      </c>
      <c r="F745">
        <v>2409.39</v>
      </c>
      <c r="G745">
        <f>INDEX(Operational[Production Volume (units)],MATCH(Emission8[[#This Row],[Facility ID]],Operational[Facility ID],0))</f>
        <v>89321</v>
      </c>
      <c r="H745">
        <f>INDEX(Operational[Energy Consumption (MWh)],MATCH(Emission8[[#This Row],[Facility ID]],Operational[Facility ID],0))</f>
        <v>9836.34</v>
      </c>
      <c r="I745">
        <f>INDEX(Operational[Waste (tons)],MATCH(Emission8[[#This Row],[Facility ID]],Operational[Facility ID],0))</f>
        <v>16.989999999999998</v>
      </c>
    </row>
    <row r="746" spans="1:9" x14ac:dyDescent="0.3">
      <c r="A746" t="s">
        <v>125</v>
      </c>
      <c r="B746" t="s">
        <v>7</v>
      </c>
      <c r="C746" t="s">
        <v>13</v>
      </c>
      <c r="D746" t="s">
        <v>28</v>
      </c>
      <c r="E746" t="s">
        <v>24</v>
      </c>
      <c r="F746">
        <v>1958.41</v>
      </c>
      <c r="G746">
        <f>INDEX(Operational[Production Volume (units)],MATCH(Emission8[[#This Row],[Facility ID]],Operational[Facility ID],0))</f>
        <v>56392</v>
      </c>
      <c r="H746">
        <f>INDEX(Operational[Energy Consumption (MWh)],MATCH(Emission8[[#This Row],[Facility ID]],Operational[Facility ID],0))</f>
        <v>5703.76</v>
      </c>
      <c r="I746">
        <f>INDEX(Operational[Waste (tons)],MATCH(Emission8[[#This Row],[Facility ID]],Operational[Facility ID],0))</f>
        <v>23.04</v>
      </c>
    </row>
    <row r="747" spans="1:9" x14ac:dyDescent="0.3">
      <c r="A747" t="s">
        <v>87</v>
      </c>
      <c r="B747" t="s">
        <v>12</v>
      </c>
      <c r="C747" t="s">
        <v>8</v>
      </c>
      <c r="D747" t="s">
        <v>28</v>
      </c>
      <c r="E747" t="s">
        <v>10</v>
      </c>
      <c r="F747">
        <v>2816.97</v>
      </c>
      <c r="G747">
        <f>INDEX(Operational[Production Volume (units)],MATCH(Emission8[[#This Row],[Facility ID]],Operational[Facility ID],0))</f>
        <v>15333</v>
      </c>
      <c r="H747">
        <f>INDEX(Operational[Energy Consumption (MWh)],MATCH(Emission8[[#This Row],[Facility ID]],Operational[Facility ID],0))</f>
        <v>2570.54</v>
      </c>
      <c r="I747">
        <f>INDEX(Operational[Waste (tons)],MATCH(Emission8[[#This Row],[Facility ID]],Operational[Facility ID],0))</f>
        <v>41.07</v>
      </c>
    </row>
    <row r="748" spans="1:9" x14ac:dyDescent="0.3">
      <c r="A748" t="s">
        <v>164</v>
      </c>
      <c r="B748" t="s">
        <v>19</v>
      </c>
      <c r="C748" t="s">
        <v>8</v>
      </c>
      <c r="D748" t="s">
        <v>14</v>
      </c>
      <c r="E748" t="s">
        <v>24</v>
      </c>
      <c r="F748">
        <v>4263.92</v>
      </c>
      <c r="G748">
        <f>INDEX(Operational[Production Volume (units)],MATCH(Emission8[[#This Row],[Facility ID]],Operational[Facility ID],0))</f>
        <v>69636</v>
      </c>
      <c r="H748">
        <f>INDEX(Operational[Energy Consumption (MWh)],MATCH(Emission8[[#This Row],[Facility ID]],Operational[Facility ID],0))</f>
        <v>4246.55</v>
      </c>
      <c r="I748">
        <f>INDEX(Operational[Waste (tons)],MATCH(Emission8[[#This Row],[Facility ID]],Operational[Facility ID],0))</f>
        <v>69.290000000000006</v>
      </c>
    </row>
    <row r="749" spans="1:9" x14ac:dyDescent="0.3">
      <c r="A749" t="s">
        <v>163</v>
      </c>
      <c r="B749" t="s">
        <v>19</v>
      </c>
      <c r="C749" t="s">
        <v>34</v>
      </c>
      <c r="D749" t="s">
        <v>14</v>
      </c>
      <c r="E749" t="s">
        <v>24</v>
      </c>
      <c r="F749">
        <v>1867.58</v>
      </c>
      <c r="G749">
        <f>INDEX(Operational[Production Volume (units)],MATCH(Emission8[[#This Row],[Facility ID]],Operational[Facility ID],0))</f>
        <v>87482</v>
      </c>
      <c r="H749">
        <f>INDEX(Operational[Energy Consumption (MWh)],MATCH(Emission8[[#This Row],[Facility ID]],Operational[Facility ID],0))</f>
        <v>2231.7399999999998</v>
      </c>
      <c r="I749">
        <f>INDEX(Operational[Waste (tons)],MATCH(Emission8[[#This Row],[Facility ID]],Operational[Facility ID],0))</f>
        <v>45.43</v>
      </c>
    </row>
    <row r="750" spans="1:9" x14ac:dyDescent="0.3">
      <c r="A750" t="s">
        <v>54</v>
      </c>
      <c r="B750" t="s">
        <v>12</v>
      </c>
      <c r="C750" t="s">
        <v>23</v>
      </c>
      <c r="D750" t="s">
        <v>9</v>
      </c>
      <c r="E750" t="s">
        <v>10</v>
      </c>
      <c r="F750">
        <v>3447.61</v>
      </c>
      <c r="G750">
        <f>INDEX(Operational[Production Volume (units)],MATCH(Emission8[[#This Row],[Facility ID]],Operational[Facility ID],0))</f>
        <v>58111</v>
      </c>
      <c r="H750">
        <f>INDEX(Operational[Energy Consumption (MWh)],MATCH(Emission8[[#This Row],[Facility ID]],Operational[Facility ID],0))</f>
        <v>4610.8999999999996</v>
      </c>
      <c r="I750">
        <f>INDEX(Operational[Waste (tons)],MATCH(Emission8[[#This Row],[Facility ID]],Operational[Facility ID],0))</f>
        <v>21.53</v>
      </c>
    </row>
    <row r="751" spans="1:9" x14ac:dyDescent="0.3">
      <c r="A751" t="s">
        <v>75</v>
      </c>
      <c r="B751" t="s">
        <v>19</v>
      </c>
      <c r="C751" t="s">
        <v>34</v>
      </c>
      <c r="D751" t="s">
        <v>9</v>
      </c>
      <c r="E751" t="s">
        <v>15</v>
      </c>
      <c r="F751">
        <v>4785.58</v>
      </c>
      <c r="G751">
        <f>INDEX(Operational[Production Volume (units)],MATCH(Emission8[[#This Row],[Facility ID]],Operational[Facility ID],0))</f>
        <v>54136</v>
      </c>
      <c r="H751">
        <f>INDEX(Operational[Energy Consumption (MWh)],MATCH(Emission8[[#This Row],[Facility ID]],Operational[Facility ID],0))</f>
        <v>2775.38</v>
      </c>
      <c r="I751">
        <f>INDEX(Operational[Waste (tons)],MATCH(Emission8[[#This Row],[Facility ID]],Operational[Facility ID],0))</f>
        <v>75.459999999999994</v>
      </c>
    </row>
    <row r="752" spans="1:9" x14ac:dyDescent="0.3">
      <c r="A752" t="s">
        <v>68</v>
      </c>
      <c r="B752" t="s">
        <v>12</v>
      </c>
      <c r="C752" t="s">
        <v>23</v>
      </c>
      <c r="D752" t="s">
        <v>14</v>
      </c>
      <c r="E752" t="s">
        <v>15</v>
      </c>
      <c r="F752">
        <v>3739.05</v>
      </c>
      <c r="G752">
        <f>INDEX(Operational[Production Volume (units)],MATCH(Emission8[[#This Row],[Facility ID]],Operational[Facility ID],0))</f>
        <v>69100</v>
      </c>
      <c r="H752">
        <f>INDEX(Operational[Energy Consumption (MWh)],MATCH(Emission8[[#This Row],[Facility ID]],Operational[Facility ID],0))</f>
        <v>9356.02</v>
      </c>
      <c r="I752">
        <f>INDEX(Operational[Waste (tons)],MATCH(Emission8[[#This Row],[Facility ID]],Operational[Facility ID],0))</f>
        <v>16.5</v>
      </c>
    </row>
    <row r="753" spans="1:9" x14ac:dyDescent="0.3">
      <c r="A753" t="s">
        <v>25</v>
      </c>
      <c r="B753" t="s">
        <v>19</v>
      </c>
      <c r="C753" t="s">
        <v>34</v>
      </c>
      <c r="D753" t="s">
        <v>14</v>
      </c>
      <c r="E753" t="s">
        <v>10</v>
      </c>
      <c r="F753">
        <v>4330.71</v>
      </c>
      <c r="G753">
        <f>INDEX(Operational[Production Volume (units)],MATCH(Emission8[[#This Row],[Facility ID]],Operational[Facility ID],0))</f>
        <v>95306</v>
      </c>
      <c r="H753">
        <f>INDEX(Operational[Energy Consumption (MWh)],MATCH(Emission8[[#This Row],[Facility ID]],Operational[Facility ID],0))</f>
        <v>9037.76</v>
      </c>
      <c r="I753">
        <f>INDEX(Operational[Waste (tons)],MATCH(Emission8[[#This Row],[Facility ID]],Operational[Facility ID],0))</f>
        <v>13.35</v>
      </c>
    </row>
    <row r="754" spans="1:9" x14ac:dyDescent="0.3">
      <c r="A754" t="s">
        <v>156</v>
      </c>
      <c r="B754" t="s">
        <v>17</v>
      </c>
      <c r="C754" t="s">
        <v>13</v>
      </c>
      <c r="D754" t="s">
        <v>9</v>
      </c>
      <c r="E754" t="s">
        <v>24</v>
      </c>
      <c r="F754">
        <v>1947.42</v>
      </c>
      <c r="G754">
        <f>INDEX(Operational[Production Volume (units)],MATCH(Emission8[[#This Row],[Facility ID]],Operational[Facility ID],0))</f>
        <v>81057</v>
      </c>
      <c r="H754">
        <f>INDEX(Operational[Energy Consumption (MWh)],MATCH(Emission8[[#This Row],[Facility ID]],Operational[Facility ID],0))</f>
        <v>675.41</v>
      </c>
      <c r="I754">
        <f>INDEX(Operational[Waste (tons)],MATCH(Emission8[[#This Row],[Facility ID]],Operational[Facility ID],0))</f>
        <v>55.44</v>
      </c>
    </row>
    <row r="755" spans="1:9" x14ac:dyDescent="0.3">
      <c r="A755" t="s">
        <v>119</v>
      </c>
      <c r="B755" t="s">
        <v>30</v>
      </c>
      <c r="C755" t="s">
        <v>23</v>
      </c>
      <c r="D755" t="s">
        <v>14</v>
      </c>
      <c r="E755" t="s">
        <v>24</v>
      </c>
      <c r="F755">
        <v>2840.62</v>
      </c>
      <c r="G755">
        <f>INDEX(Operational[Production Volume (units)],MATCH(Emission8[[#This Row],[Facility ID]],Operational[Facility ID],0))</f>
        <v>80488</v>
      </c>
      <c r="H755">
        <f>INDEX(Operational[Energy Consumption (MWh)],MATCH(Emission8[[#This Row],[Facility ID]],Operational[Facility ID],0))</f>
        <v>7629.95</v>
      </c>
      <c r="I755">
        <f>INDEX(Operational[Waste (tons)],MATCH(Emission8[[#This Row],[Facility ID]],Operational[Facility ID],0))</f>
        <v>63.83</v>
      </c>
    </row>
    <row r="756" spans="1:9" x14ac:dyDescent="0.3">
      <c r="A756" t="s">
        <v>117</v>
      </c>
      <c r="B756" t="s">
        <v>7</v>
      </c>
      <c r="C756" t="s">
        <v>8</v>
      </c>
      <c r="D756" t="s">
        <v>28</v>
      </c>
      <c r="E756" t="s">
        <v>24</v>
      </c>
      <c r="F756">
        <v>2415.5100000000002</v>
      </c>
      <c r="G756">
        <f>INDEX(Operational[Production Volume (units)],MATCH(Emission8[[#This Row],[Facility ID]],Operational[Facility ID],0))</f>
        <v>89321</v>
      </c>
      <c r="H756">
        <f>INDEX(Operational[Energy Consumption (MWh)],MATCH(Emission8[[#This Row],[Facility ID]],Operational[Facility ID],0))</f>
        <v>9836.34</v>
      </c>
      <c r="I756">
        <f>INDEX(Operational[Waste (tons)],MATCH(Emission8[[#This Row],[Facility ID]],Operational[Facility ID],0))</f>
        <v>16.989999999999998</v>
      </c>
    </row>
    <row r="757" spans="1:9" x14ac:dyDescent="0.3">
      <c r="A757" t="s">
        <v>140</v>
      </c>
      <c r="B757" t="s">
        <v>17</v>
      </c>
      <c r="C757" t="s">
        <v>34</v>
      </c>
      <c r="D757" t="s">
        <v>9</v>
      </c>
      <c r="E757" t="s">
        <v>10</v>
      </c>
      <c r="F757">
        <v>5161.46</v>
      </c>
      <c r="G757">
        <f>INDEX(Operational[Production Volume (units)],MATCH(Emission8[[#This Row],[Facility ID]],Operational[Facility ID],0))</f>
        <v>88308</v>
      </c>
      <c r="H757">
        <f>INDEX(Operational[Energy Consumption (MWh)],MATCH(Emission8[[#This Row],[Facility ID]],Operational[Facility ID],0))</f>
        <v>7802.07</v>
      </c>
      <c r="I757">
        <f>INDEX(Operational[Waste (tons)],MATCH(Emission8[[#This Row],[Facility ID]],Operational[Facility ID],0))</f>
        <v>36.130000000000003</v>
      </c>
    </row>
    <row r="758" spans="1:9" x14ac:dyDescent="0.3">
      <c r="A758" t="s">
        <v>141</v>
      </c>
      <c r="B758" t="s">
        <v>7</v>
      </c>
      <c r="C758" t="s">
        <v>23</v>
      </c>
      <c r="D758" t="s">
        <v>14</v>
      </c>
      <c r="E758" t="s">
        <v>24</v>
      </c>
      <c r="F758">
        <v>2359.52</v>
      </c>
      <c r="G758">
        <f>INDEX(Operational[Production Volume (units)],MATCH(Emission8[[#This Row],[Facility ID]],Operational[Facility ID],0))</f>
        <v>45644</v>
      </c>
      <c r="H758">
        <f>INDEX(Operational[Energy Consumption (MWh)],MATCH(Emission8[[#This Row],[Facility ID]],Operational[Facility ID],0))</f>
        <v>7724.73</v>
      </c>
      <c r="I758">
        <f>INDEX(Operational[Waste (tons)],MATCH(Emission8[[#This Row],[Facility ID]],Operational[Facility ID],0))</f>
        <v>31</v>
      </c>
    </row>
    <row r="759" spans="1:9" x14ac:dyDescent="0.3">
      <c r="A759" t="s">
        <v>180</v>
      </c>
      <c r="B759" t="s">
        <v>30</v>
      </c>
      <c r="C759" t="s">
        <v>34</v>
      </c>
      <c r="D759" t="s">
        <v>14</v>
      </c>
      <c r="E759" t="s">
        <v>15</v>
      </c>
      <c r="F759">
        <v>4799.96</v>
      </c>
      <c r="G759">
        <f>INDEX(Operational[Production Volume (units)],MATCH(Emission8[[#This Row],[Facility ID]],Operational[Facility ID],0))</f>
        <v>72846</v>
      </c>
      <c r="H759">
        <f>INDEX(Operational[Energy Consumption (MWh)],MATCH(Emission8[[#This Row],[Facility ID]],Operational[Facility ID],0))</f>
        <v>5169.53</v>
      </c>
      <c r="I759">
        <f>INDEX(Operational[Waste (tons)],MATCH(Emission8[[#This Row],[Facility ID]],Operational[Facility ID],0))</f>
        <v>76.709999999999994</v>
      </c>
    </row>
    <row r="760" spans="1:9" x14ac:dyDescent="0.3">
      <c r="A760" t="s">
        <v>140</v>
      </c>
      <c r="B760" t="s">
        <v>17</v>
      </c>
      <c r="C760" t="s">
        <v>34</v>
      </c>
      <c r="D760" t="s">
        <v>28</v>
      </c>
      <c r="E760" t="s">
        <v>10</v>
      </c>
      <c r="F760">
        <v>152.66999999999999</v>
      </c>
      <c r="G760">
        <f>INDEX(Operational[Production Volume (units)],MATCH(Emission8[[#This Row],[Facility ID]],Operational[Facility ID],0))</f>
        <v>88308</v>
      </c>
      <c r="H760">
        <f>INDEX(Operational[Energy Consumption (MWh)],MATCH(Emission8[[#This Row],[Facility ID]],Operational[Facility ID],0))</f>
        <v>7802.07</v>
      </c>
      <c r="I760">
        <f>INDEX(Operational[Waste (tons)],MATCH(Emission8[[#This Row],[Facility ID]],Operational[Facility ID],0))</f>
        <v>36.130000000000003</v>
      </c>
    </row>
    <row r="761" spans="1:9" x14ac:dyDescent="0.3">
      <c r="A761" t="s">
        <v>199</v>
      </c>
      <c r="B761" t="s">
        <v>17</v>
      </c>
      <c r="C761" t="s">
        <v>13</v>
      </c>
      <c r="D761" t="s">
        <v>9</v>
      </c>
      <c r="E761" t="s">
        <v>24</v>
      </c>
      <c r="F761">
        <v>2461.89</v>
      </c>
      <c r="G761">
        <f>INDEX(Operational[Production Volume (units)],MATCH(Emission8[[#This Row],[Facility ID]],Operational[Facility ID],0))</f>
        <v>77317</v>
      </c>
      <c r="H761">
        <f>INDEX(Operational[Energy Consumption (MWh)],MATCH(Emission8[[#This Row],[Facility ID]],Operational[Facility ID],0))</f>
        <v>4862.95</v>
      </c>
      <c r="I761">
        <f>INDEX(Operational[Waste (tons)],MATCH(Emission8[[#This Row],[Facility ID]],Operational[Facility ID],0))</f>
        <v>89.78</v>
      </c>
    </row>
    <row r="762" spans="1:9" x14ac:dyDescent="0.3">
      <c r="A762" t="s">
        <v>126</v>
      </c>
      <c r="B762" t="s">
        <v>30</v>
      </c>
      <c r="C762" t="s">
        <v>23</v>
      </c>
      <c r="D762" t="s">
        <v>14</v>
      </c>
      <c r="E762" t="s">
        <v>15</v>
      </c>
      <c r="F762">
        <v>3223.43</v>
      </c>
      <c r="G762">
        <f>INDEX(Operational[Production Volume (units)],MATCH(Emission8[[#This Row],[Facility ID]],Operational[Facility ID],0))</f>
        <v>35506</v>
      </c>
      <c r="H762">
        <f>INDEX(Operational[Energy Consumption (MWh)],MATCH(Emission8[[#This Row],[Facility ID]],Operational[Facility ID],0))</f>
        <v>1892.04</v>
      </c>
      <c r="I762">
        <f>INDEX(Operational[Waste (tons)],MATCH(Emission8[[#This Row],[Facility ID]],Operational[Facility ID],0))</f>
        <v>61.53</v>
      </c>
    </row>
    <row r="763" spans="1:9" x14ac:dyDescent="0.3">
      <c r="A763" t="s">
        <v>58</v>
      </c>
      <c r="B763" t="s">
        <v>17</v>
      </c>
      <c r="C763" t="s">
        <v>34</v>
      </c>
      <c r="D763" t="s">
        <v>28</v>
      </c>
      <c r="E763" t="s">
        <v>15</v>
      </c>
      <c r="F763">
        <v>3987.54</v>
      </c>
      <c r="G763">
        <f>INDEX(Operational[Production Volume (units)],MATCH(Emission8[[#This Row],[Facility ID]],Operational[Facility ID],0))</f>
        <v>32246</v>
      </c>
      <c r="H763">
        <f>INDEX(Operational[Energy Consumption (MWh)],MATCH(Emission8[[#This Row],[Facility ID]],Operational[Facility ID],0))</f>
        <v>7903.93</v>
      </c>
      <c r="I763">
        <f>INDEX(Operational[Waste (tons)],MATCH(Emission8[[#This Row],[Facility ID]],Operational[Facility ID],0))</f>
        <v>42.12</v>
      </c>
    </row>
    <row r="764" spans="1:9" x14ac:dyDescent="0.3">
      <c r="A764" t="s">
        <v>32</v>
      </c>
      <c r="B764" t="s">
        <v>7</v>
      </c>
      <c r="C764" t="s">
        <v>23</v>
      </c>
      <c r="D764" t="s">
        <v>14</v>
      </c>
      <c r="E764" t="s">
        <v>24</v>
      </c>
      <c r="F764">
        <v>2592.73</v>
      </c>
      <c r="G764">
        <f>INDEX(Operational[Production Volume (units)],MATCH(Emission8[[#This Row],[Facility ID]],Operational[Facility ID],0))</f>
        <v>10933</v>
      </c>
      <c r="H764">
        <f>INDEX(Operational[Energy Consumption (MWh)],MATCH(Emission8[[#This Row],[Facility ID]],Operational[Facility ID],0))</f>
        <v>9004.3700000000008</v>
      </c>
      <c r="I764">
        <f>INDEX(Operational[Waste (tons)],MATCH(Emission8[[#This Row],[Facility ID]],Operational[Facility ID],0))</f>
        <v>26.84</v>
      </c>
    </row>
    <row r="765" spans="1:9" x14ac:dyDescent="0.3">
      <c r="A765" t="s">
        <v>48</v>
      </c>
      <c r="B765" t="s">
        <v>19</v>
      </c>
      <c r="C765" t="s">
        <v>8</v>
      </c>
      <c r="D765" t="s">
        <v>28</v>
      </c>
      <c r="E765" t="s">
        <v>10</v>
      </c>
      <c r="F765">
        <v>3770.78</v>
      </c>
      <c r="G765">
        <f>INDEX(Operational[Production Volume (units)],MATCH(Emission8[[#This Row],[Facility ID]],Operational[Facility ID],0))</f>
        <v>11952</v>
      </c>
      <c r="H765">
        <f>INDEX(Operational[Energy Consumption (MWh)],MATCH(Emission8[[#This Row],[Facility ID]],Operational[Facility ID],0))</f>
        <v>4637.74</v>
      </c>
      <c r="I765">
        <f>INDEX(Operational[Waste (tons)],MATCH(Emission8[[#This Row],[Facility ID]],Operational[Facility ID],0))</f>
        <v>63.78</v>
      </c>
    </row>
    <row r="766" spans="1:9" x14ac:dyDescent="0.3">
      <c r="A766" t="s">
        <v>54</v>
      </c>
      <c r="B766" t="s">
        <v>12</v>
      </c>
      <c r="C766" t="s">
        <v>34</v>
      </c>
      <c r="D766" t="s">
        <v>14</v>
      </c>
      <c r="E766" t="s">
        <v>10</v>
      </c>
      <c r="F766">
        <v>348.87</v>
      </c>
      <c r="G766">
        <f>INDEX(Operational[Production Volume (units)],MATCH(Emission8[[#This Row],[Facility ID]],Operational[Facility ID],0))</f>
        <v>58111</v>
      </c>
      <c r="H766">
        <f>INDEX(Operational[Energy Consumption (MWh)],MATCH(Emission8[[#This Row],[Facility ID]],Operational[Facility ID],0))</f>
        <v>4610.8999999999996</v>
      </c>
      <c r="I766">
        <f>INDEX(Operational[Waste (tons)],MATCH(Emission8[[#This Row],[Facility ID]],Operational[Facility ID],0))</f>
        <v>21.53</v>
      </c>
    </row>
    <row r="767" spans="1:9" x14ac:dyDescent="0.3">
      <c r="A767" t="s">
        <v>189</v>
      </c>
      <c r="B767" t="s">
        <v>19</v>
      </c>
      <c r="C767" t="s">
        <v>13</v>
      </c>
      <c r="D767" t="s">
        <v>14</v>
      </c>
      <c r="E767" t="s">
        <v>15</v>
      </c>
      <c r="F767">
        <v>2278.9499999999998</v>
      </c>
      <c r="G767">
        <f>INDEX(Operational[Production Volume (units)],MATCH(Emission8[[#This Row],[Facility ID]],Operational[Facility ID],0))</f>
        <v>27681</v>
      </c>
      <c r="H767">
        <f>INDEX(Operational[Energy Consumption (MWh)],MATCH(Emission8[[#This Row],[Facility ID]],Operational[Facility ID],0))</f>
        <v>928.26</v>
      </c>
      <c r="I767">
        <f>INDEX(Operational[Waste (tons)],MATCH(Emission8[[#This Row],[Facility ID]],Operational[Facility ID],0))</f>
        <v>44.97</v>
      </c>
    </row>
    <row r="768" spans="1:9" x14ac:dyDescent="0.3">
      <c r="A768" t="s">
        <v>85</v>
      </c>
      <c r="B768" t="s">
        <v>30</v>
      </c>
      <c r="C768" t="s">
        <v>8</v>
      </c>
      <c r="D768" t="s">
        <v>28</v>
      </c>
      <c r="E768" t="s">
        <v>10</v>
      </c>
      <c r="F768">
        <v>2550.35</v>
      </c>
      <c r="G768">
        <f>INDEX(Operational[Production Volume (units)],MATCH(Emission8[[#This Row],[Facility ID]],Operational[Facility ID],0))</f>
        <v>45519</v>
      </c>
      <c r="H768">
        <f>INDEX(Operational[Energy Consumption (MWh)],MATCH(Emission8[[#This Row],[Facility ID]],Operational[Facility ID],0))</f>
        <v>7987.69</v>
      </c>
      <c r="I768">
        <f>INDEX(Operational[Waste (tons)],MATCH(Emission8[[#This Row],[Facility ID]],Operational[Facility ID],0))</f>
        <v>10.86</v>
      </c>
    </row>
    <row r="769" spans="1:9" x14ac:dyDescent="0.3">
      <c r="A769" t="s">
        <v>107</v>
      </c>
      <c r="B769" t="s">
        <v>30</v>
      </c>
      <c r="C769" t="s">
        <v>23</v>
      </c>
      <c r="D769" t="s">
        <v>14</v>
      </c>
      <c r="E769" t="s">
        <v>15</v>
      </c>
      <c r="F769">
        <v>2694.43</v>
      </c>
      <c r="G769">
        <f>INDEX(Operational[Production Volume (units)],MATCH(Emission8[[#This Row],[Facility ID]],Operational[Facility ID],0))</f>
        <v>69305</v>
      </c>
      <c r="H769">
        <f>INDEX(Operational[Energy Consumption (MWh)],MATCH(Emission8[[#This Row],[Facility ID]],Operational[Facility ID],0))</f>
        <v>3203.67</v>
      </c>
      <c r="I769">
        <f>INDEX(Operational[Waste (tons)],MATCH(Emission8[[#This Row],[Facility ID]],Operational[Facility ID],0))</f>
        <v>83.65</v>
      </c>
    </row>
    <row r="770" spans="1:9" x14ac:dyDescent="0.3">
      <c r="A770" t="s">
        <v>114</v>
      </c>
      <c r="B770" t="s">
        <v>30</v>
      </c>
      <c r="C770" t="s">
        <v>13</v>
      </c>
      <c r="D770" t="s">
        <v>28</v>
      </c>
      <c r="E770" t="s">
        <v>10</v>
      </c>
      <c r="F770">
        <v>3868.63</v>
      </c>
      <c r="G770">
        <f>INDEX(Operational[Production Volume (units)],MATCH(Emission8[[#This Row],[Facility ID]],Operational[Facility ID],0))</f>
        <v>29264</v>
      </c>
      <c r="H770">
        <f>INDEX(Operational[Energy Consumption (MWh)],MATCH(Emission8[[#This Row],[Facility ID]],Operational[Facility ID],0))</f>
        <v>8362.7199999999993</v>
      </c>
      <c r="I770">
        <f>INDEX(Operational[Waste (tons)],MATCH(Emission8[[#This Row],[Facility ID]],Operational[Facility ID],0))</f>
        <v>61.93</v>
      </c>
    </row>
    <row r="771" spans="1:9" x14ac:dyDescent="0.3">
      <c r="A771" t="s">
        <v>70</v>
      </c>
      <c r="B771" t="s">
        <v>19</v>
      </c>
      <c r="C771" t="s">
        <v>8</v>
      </c>
      <c r="D771" t="s">
        <v>9</v>
      </c>
      <c r="E771" t="s">
        <v>10</v>
      </c>
      <c r="F771">
        <v>297.69</v>
      </c>
      <c r="G771">
        <f>INDEX(Operational[Production Volume (units)],MATCH(Emission8[[#This Row],[Facility ID]],Operational[Facility ID],0))</f>
        <v>42485</v>
      </c>
      <c r="H771">
        <f>INDEX(Operational[Energy Consumption (MWh)],MATCH(Emission8[[#This Row],[Facility ID]],Operational[Facility ID],0))</f>
        <v>4755.75</v>
      </c>
      <c r="I771">
        <f>INDEX(Operational[Waste (tons)],MATCH(Emission8[[#This Row],[Facility ID]],Operational[Facility ID],0))</f>
        <v>10.19</v>
      </c>
    </row>
    <row r="772" spans="1:9" x14ac:dyDescent="0.3">
      <c r="A772" t="s">
        <v>119</v>
      </c>
      <c r="B772" t="s">
        <v>30</v>
      </c>
      <c r="C772" t="s">
        <v>8</v>
      </c>
      <c r="D772" t="s">
        <v>28</v>
      </c>
      <c r="E772" t="s">
        <v>24</v>
      </c>
      <c r="F772">
        <v>579.69000000000005</v>
      </c>
      <c r="G772">
        <f>INDEX(Operational[Production Volume (units)],MATCH(Emission8[[#This Row],[Facility ID]],Operational[Facility ID],0))</f>
        <v>80488</v>
      </c>
      <c r="H772">
        <f>INDEX(Operational[Energy Consumption (MWh)],MATCH(Emission8[[#This Row],[Facility ID]],Operational[Facility ID],0))</f>
        <v>7629.95</v>
      </c>
      <c r="I772">
        <f>INDEX(Operational[Waste (tons)],MATCH(Emission8[[#This Row],[Facility ID]],Operational[Facility ID],0))</f>
        <v>63.83</v>
      </c>
    </row>
    <row r="773" spans="1:9" x14ac:dyDescent="0.3">
      <c r="A773" t="s">
        <v>197</v>
      </c>
      <c r="B773" t="s">
        <v>30</v>
      </c>
      <c r="C773" t="s">
        <v>8</v>
      </c>
      <c r="D773" t="s">
        <v>28</v>
      </c>
      <c r="E773" t="s">
        <v>10</v>
      </c>
      <c r="F773">
        <v>1933.86</v>
      </c>
      <c r="G773">
        <f>INDEX(Operational[Production Volume (units)],MATCH(Emission8[[#This Row],[Facility ID]],Operational[Facility ID],0))</f>
        <v>56752</v>
      </c>
      <c r="H773">
        <f>INDEX(Operational[Energy Consumption (MWh)],MATCH(Emission8[[#This Row],[Facility ID]],Operational[Facility ID],0))</f>
        <v>4177.68</v>
      </c>
      <c r="I773">
        <f>INDEX(Operational[Waste (tons)],MATCH(Emission8[[#This Row],[Facility ID]],Operational[Facility ID],0))</f>
        <v>10.96</v>
      </c>
    </row>
    <row r="774" spans="1:9" x14ac:dyDescent="0.3">
      <c r="A774" t="s">
        <v>191</v>
      </c>
      <c r="B774" t="s">
        <v>12</v>
      </c>
      <c r="C774" t="s">
        <v>13</v>
      </c>
      <c r="D774" t="s">
        <v>28</v>
      </c>
      <c r="E774" t="s">
        <v>15</v>
      </c>
      <c r="F774">
        <v>2753.65</v>
      </c>
      <c r="G774">
        <f>INDEX(Operational[Production Volume (units)],MATCH(Emission8[[#This Row],[Facility ID]],Operational[Facility ID],0))</f>
        <v>43346</v>
      </c>
      <c r="H774">
        <f>INDEX(Operational[Energy Consumption (MWh)],MATCH(Emission8[[#This Row],[Facility ID]],Operational[Facility ID],0))</f>
        <v>5559.12</v>
      </c>
      <c r="I774">
        <f>INDEX(Operational[Waste (tons)],MATCH(Emission8[[#This Row],[Facility ID]],Operational[Facility ID],0))</f>
        <v>39.4</v>
      </c>
    </row>
    <row r="775" spans="1:9" x14ac:dyDescent="0.3">
      <c r="A775" t="s">
        <v>122</v>
      </c>
      <c r="B775" t="s">
        <v>19</v>
      </c>
      <c r="C775" t="s">
        <v>13</v>
      </c>
      <c r="D775" t="s">
        <v>14</v>
      </c>
      <c r="E775" t="s">
        <v>15</v>
      </c>
      <c r="F775">
        <v>1643.04</v>
      </c>
      <c r="G775">
        <f>INDEX(Operational[Production Volume (units)],MATCH(Emission8[[#This Row],[Facility ID]],Operational[Facility ID],0))</f>
        <v>95962</v>
      </c>
      <c r="H775">
        <f>INDEX(Operational[Energy Consumption (MWh)],MATCH(Emission8[[#This Row],[Facility ID]],Operational[Facility ID],0))</f>
        <v>524.72</v>
      </c>
      <c r="I775">
        <f>INDEX(Operational[Waste (tons)],MATCH(Emission8[[#This Row],[Facility ID]],Operational[Facility ID],0))</f>
        <v>49.55</v>
      </c>
    </row>
    <row r="776" spans="1:9" x14ac:dyDescent="0.3">
      <c r="A776" t="s">
        <v>109</v>
      </c>
      <c r="B776" t="s">
        <v>12</v>
      </c>
      <c r="C776" t="s">
        <v>13</v>
      </c>
      <c r="D776" t="s">
        <v>14</v>
      </c>
      <c r="E776" t="s">
        <v>15</v>
      </c>
      <c r="F776">
        <v>4614.76</v>
      </c>
      <c r="G776">
        <f>INDEX(Operational[Production Volume (units)],MATCH(Emission8[[#This Row],[Facility ID]],Operational[Facility ID],0))</f>
        <v>84721</v>
      </c>
      <c r="H776">
        <f>INDEX(Operational[Energy Consumption (MWh)],MATCH(Emission8[[#This Row],[Facility ID]],Operational[Facility ID],0))</f>
        <v>2278.9699999999998</v>
      </c>
      <c r="I776">
        <f>INDEX(Operational[Waste (tons)],MATCH(Emission8[[#This Row],[Facility ID]],Operational[Facility ID],0))</f>
        <v>68.53</v>
      </c>
    </row>
    <row r="777" spans="1:9" x14ac:dyDescent="0.3">
      <c r="A777" t="s">
        <v>184</v>
      </c>
      <c r="B777" t="s">
        <v>30</v>
      </c>
      <c r="C777" t="s">
        <v>23</v>
      </c>
      <c r="D777" t="s">
        <v>28</v>
      </c>
      <c r="E777" t="s">
        <v>10</v>
      </c>
      <c r="F777">
        <v>1222.43</v>
      </c>
      <c r="G777">
        <f>INDEX(Operational[Production Volume (units)],MATCH(Emission8[[#This Row],[Facility ID]],Operational[Facility ID],0))</f>
        <v>13543</v>
      </c>
      <c r="H777">
        <f>INDEX(Operational[Energy Consumption (MWh)],MATCH(Emission8[[#This Row],[Facility ID]],Operational[Facility ID],0))</f>
        <v>7854.96</v>
      </c>
      <c r="I777">
        <f>INDEX(Operational[Waste (tons)],MATCH(Emission8[[#This Row],[Facility ID]],Operational[Facility ID],0))</f>
        <v>85.57</v>
      </c>
    </row>
    <row r="778" spans="1:9" x14ac:dyDescent="0.3">
      <c r="A778" t="s">
        <v>213</v>
      </c>
      <c r="B778" t="s">
        <v>12</v>
      </c>
      <c r="C778" t="s">
        <v>8</v>
      </c>
      <c r="D778" t="s">
        <v>9</v>
      </c>
      <c r="E778" t="s">
        <v>24</v>
      </c>
      <c r="F778">
        <v>2583.2199999999998</v>
      </c>
      <c r="G778">
        <f>INDEX(Operational[Production Volume (units)],MATCH(Emission8[[#This Row],[Facility ID]],Operational[Facility ID],0))</f>
        <v>58622</v>
      </c>
      <c r="H778">
        <f>INDEX(Operational[Energy Consumption (MWh)],MATCH(Emission8[[#This Row],[Facility ID]],Operational[Facility ID],0))</f>
        <v>7795.36</v>
      </c>
      <c r="I778">
        <f>INDEX(Operational[Waste (tons)],MATCH(Emission8[[#This Row],[Facility ID]],Operational[Facility ID],0))</f>
        <v>59.81</v>
      </c>
    </row>
    <row r="779" spans="1:9" x14ac:dyDescent="0.3">
      <c r="A779" t="s">
        <v>54</v>
      </c>
      <c r="B779" t="s">
        <v>12</v>
      </c>
      <c r="C779" t="s">
        <v>8</v>
      </c>
      <c r="D779" t="s">
        <v>28</v>
      </c>
      <c r="E779" t="s">
        <v>15</v>
      </c>
      <c r="F779">
        <v>1562.45</v>
      </c>
      <c r="G779">
        <f>INDEX(Operational[Production Volume (units)],MATCH(Emission8[[#This Row],[Facility ID]],Operational[Facility ID],0))</f>
        <v>58111</v>
      </c>
      <c r="H779">
        <f>INDEX(Operational[Energy Consumption (MWh)],MATCH(Emission8[[#This Row],[Facility ID]],Operational[Facility ID],0))</f>
        <v>4610.8999999999996</v>
      </c>
      <c r="I779">
        <f>INDEX(Operational[Waste (tons)],MATCH(Emission8[[#This Row],[Facility ID]],Operational[Facility ID],0))</f>
        <v>21.53</v>
      </c>
    </row>
    <row r="780" spans="1:9" x14ac:dyDescent="0.3">
      <c r="A780" t="s">
        <v>18</v>
      </c>
      <c r="B780" t="s">
        <v>19</v>
      </c>
      <c r="C780" t="s">
        <v>34</v>
      </c>
      <c r="D780" t="s">
        <v>9</v>
      </c>
      <c r="E780" t="s">
        <v>24</v>
      </c>
      <c r="F780">
        <v>3844.34</v>
      </c>
      <c r="G780">
        <f>INDEX(Operational[Production Volume (units)],MATCH(Emission8[[#This Row],[Facility ID]],Operational[Facility ID],0))</f>
        <v>98682</v>
      </c>
      <c r="H780">
        <f>INDEX(Operational[Energy Consumption (MWh)],MATCH(Emission8[[#This Row],[Facility ID]],Operational[Facility ID],0))</f>
        <v>6220.56</v>
      </c>
      <c r="I780">
        <f>INDEX(Operational[Waste (tons)],MATCH(Emission8[[#This Row],[Facility ID]],Operational[Facility ID],0))</f>
        <v>70.099999999999994</v>
      </c>
    </row>
    <row r="781" spans="1:9" x14ac:dyDescent="0.3">
      <c r="A781" t="s">
        <v>98</v>
      </c>
      <c r="B781" t="s">
        <v>19</v>
      </c>
      <c r="C781" t="s">
        <v>23</v>
      </c>
      <c r="D781" t="s">
        <v>9</v>
      </c>
      <c r="E781" t="s">
        <v>10</v>
      </c>
      <c r="F781">
        <v>695.19</v>
      </c>
      <c r="G781">
        <f>INDEX(Operational[Production Volume (units)],MATCH(Emission8[[#This Row],[Facility ID]],Operational[Facility ID],0))</f>
        <v>26170</v>
      </c>
      <c r="H781">
        <f>INDEX(Operational[Energy Consumption (MWh)],MATCH(Emission8[[#This Row],[Facility ID]],Operational[Facility ID],0))</f>
        <v>8057.54</v>
      </c>
      <c r="I781">
        <f>INDEX(Operational[Waste (tons)],MATCH(Emission8[[#This Row],[Facility ID]],Operational[Facility ID],0))</f>
        <v>63.71</v>
      </c>
    </row>
    <row r="782" spans="1:9" x14ac:dyDescent="0.3">
      <c r="A782" t="s">
        <v>214</v>
      </c>
      <c r="B782" t="s">
        <v>30</v>
      </c>
      <c r="C782" t="s">
        <v>34</v>
      </c>
      <c r="D782" t="s">
        <v>28</v>
      </c>
      <c r="E782" t="s">
        <v>15</v>
      </c>
      <c r="F782">
        <v>4607.08</v>
      </c>
      <c r="G782">
        <f>INDEX(Operational[Production Volume (units)],MATCH(Emission8[[#This Row],[Facility ID]],Operational[Facility ID],0))</f>
        <v>79330</v>
      </c>
      <c r="H782">
        <f>INDEX(Operational[Energy Consumption (MWh)],MATCH(Emission8[[#This Row],[Facility ID]],Operational[Facility ID],0))</f>
        <v>6075.23</v>
      </c>
      <c r="I782">
        <f>INDEX(Operational[Waste (tons)],MATCH(Emission8[[#This Row],[Facility ID]],Operational[Facility ID],0))</f>
        <v>83.97</v>
      </c>
    </row>
    <row r="783" spans="1:9" x14ac:dyDescent="0.3">
      <c r="A783" t="s">
        <v>76</v>
      </c>
      <c r="B783" t="s">
        <v>17</v>
      </c>
      <c r="C783" t="s">
        <v>13</v>
      </c>
      <c r="D783" t="s">
        <v>9</v>
      </c>
      <c r="E783" t="s">
        <v>10</v>
      </c>
      <c r="F783">
        <v>2391.3200000000002</v>
      </c>
      <c r="G783">
        <f>INDEX(Operational[Production Volume (units)],MATCH(Emission8[[#This Row],[Facility ID]],Operational[Facility ID],0))</f>
        <v>59617</v>
      </c>
      <c r="H783">
        <f>INDEX(Operational[Energy Consumption (MWh)],MATCH(Emission8[[#This Row],[Facility ID]],Operational[Facility ID],0))</f>
        <v>5000.95</v>
      </c>
      <c r="I783">
        <f>INDEX(Operational[Waste (tons)],MATCH(Emission8[[#This Row],[Facility ID]],Operational[Facility ID],0))</f>
        <v>80.36</v>
      </c>
    </row>
    <row r="784" spans="1:9" x14ac:dyDescent="0.3">
      <c r="A784" t="s">
        <v>186</v>
      </c>
      <c r="B784" t="s">
        <v>30</v>
      </c>
      <c r="C784" t="s">
        <v>13</v>
      </c>
      <c r="D784" t="s">
        <v>14</v>
      </c>
      <c r="E784" t="s">
        <v>15</v>
      </c>
      <c r="F784">
        <v>4313.43</v>
      </c>
      <c r="G784">
        <f>INDEX(Operational[Production Volume (units)],MATCH(Emission8[[#This Row],[Facility ID]],Operational[Facility ID],0))</f>
        <v>85868</v>
      </c>
      <c r="H784">
        <f>INDEX(Operational[Energy Consumption (MWh)],MATCH(Emission8[[#This Row],[Facility ID]],Operational[Facility ID],0))</f>
        <v>907.72</v>
      </c>
      <c r="I784">
        <f>INDEX(Operational[Waste (tons)],MATCH(Emission8[[#This Row],[Facility ID]],Operational[Facility ID],0))</f>
        <v>90.36</v>
      </c>
    </row>
    <row r="785" spans="1:9" x14ac:dyDescent="0.3">
      <c r="A785" t="s">
        <v>107</v>
      </c>
      <c r="B785" t="s">
        <v>30</v>
      </c>
      <c r="C785" t="s">
        <v>13</v>
      </c>
      <c r="D785" t="s">
        <v>14</v>
      </c>
      <c r="E785" t="s">
        <v>10</v>
      </c>
      <c r="F785">
        <v>1094.0999999999999</v>
      </c>
      <c r="G785">
        <f>INDEX(Operational[Production Volume (units)],MATCH(Emission8[[#This Row],[Facility ID]],Operational[Facility ID],0))</f>
        <v>69305</v>
      </c>
      <c r="H785">
        <f>INDEX(Operational[Energy Consumption (MWh)],MATCH(Emission8[[#This Row],[Facility ID]],Operational[Facility ID],0))</f>
        <v>3203.67</v>
      </c>
      <c r="I785">
        <f>INDEX(Operational[Waste (tons)],MATCH(Emission8[[#This Row],[Facility ID]],Operational[Facility ID],0))</f>
        <v>83.65</v>
      </c>
    </row>
    <row r="786" spans="1:9" x14ac:dyDescent="0.3">
      <c r="A786" t="s">
        <v>202</v>
      </c>
      <c r="B786" t="s">
        <v>12</v>
      </c>
      <c r="C786" t="s">
        <v>13</v>
      </c>
      <c r="D786" t="s">
        <v>9</v>
      </c>
      <c r="E786" t="s">
        <v>10</v>
      </c>
      <c r="F786">
        <v>5193.72</v>
      </c>
      <c r="G786">
        <f>INDEX(Operational[Production Volume (units)],MATCH(Emission8[[#This Row],[Facility ID]],Operational[Facility ID],0))</f>
        <v>28400</v>
      </c>
      <c r="H786">
        <f>INDEX(Operational[Energy Consumption (MWh)],MATCH(Emission8[[#This Row],[Facility ID]],Operational[Facility ID],0))</f>
        <v>3056.67</v>
      </c>
      <c r="I786">
        <f>INDEX(Operational[Waste (tons)],MATCH(Emission8[[#This Row],[Facility ID]],Operational[Facility ID],0))</f>
        <v>52.68</v>
      </c>
    </row>
    <row r="787" spans="1:9" x14ac:dyDescent="0.3">
      <c r="A787" t="s">
        <v>184</v>
      </c>
      <c r="B787" t="s">
        <v>30</v>
      </c>
      <c r="C787" t="s">
        <v>13</v>
      </c>
      <c r="D787" t="s">
        <v>28</v>
      </c>
      <c r="E787" t="s">
        <v>24</v>
      </c>
      <c r="F787">
        <v>3352.59</v>
      </c>
      <c r="G787">
        <f>INDEX(Operational[Production Volume (units)],MATCH(Emission8[[#This Row],[Facility ID]],Operational[Facility ID],0))</f>
        <v>13543</v>
      </c>
      <c r="H787">
        <f>INDEX(Operational[Energy Consumption (MWh)],MATCH(Emission8[[#This Row],[Facility ID]],Operational[Facility ID],0))</f>
        <v>7854.96</v>
      </c>
      <c r="I787">
        <f>INDEX(Operational[Waste (tons)],MATCH(Emission8[[#This Row],[Facility ID]],Operational[Facility ID],0))</f>
        <v>85.57</v>
      </c>
    </row>
    <row r="788" spans="1:9" x14ac:dyDescent="0.3">
      <c r="A788" t="s">
        <v>123</v>
      </c>
      <c r="B788" t="s">
        <v>30</v>
      </c>
      <c r="C788" t="s">
        <v>23</v>
      </c>
      <c r="D788" t="s">
        <v>9</v>
      </c>
      <c r="E788" t="s">
        <v>10</v>
      </c>
      <c r="F788">
        <v>3888.52</v>
      </c>
      <c r="G788">
        <f>INDEX(Operational[Production Volume (units)],MATCH(Emission8[[#This Row],[Facility ID]],Operational[Facility ID],0))</f>
        <v>73977</v>
      </c>
      <c r="H788">
        <f>INDEX(Operational[Energy Consumption (MWh)],MATCH(Emission8[[#This Row],[Facility ID]],Operational[Facility ID],0))</f>
        <v>1646.75</v>
      </c>
      <c r="I788">
        <f>INDEX(Operational[Waste (tons)],MATCH(Emission8[[#This Row],[Facility ID]],Operational[Facility ID],0))</f>
        <v>43.77</v>
      </c>
    </row>
    <row r="789" spans="1:9" x14ac:dyDescent="0.3">
      <c r="A789" t="s">
        <v>108</v>
      </c>
      <c r="B789" t="s">
        <v>7</v>
      </c>
      <c r="C789" t="s">
        <v>23</v>
      </c>
      <c r="D789" t="s">
        <v>28</v>
      </c>
      <c r="E789" t="s">
        <v>15</v>
      </c>
      <c r="F789">
        <v>3140.95</v>
      </c>
      <c r="G789">
        <f>INDEX(Operational[Production Volume (units)],MATCH(Emission8[[#This Row],[Facility ID]],Operational[Facility ID],0))</f>
        <v>22201</v>
      </c>
      <c r="H789">
        <f>INDEX(Operational[Energy Consumption (MWh)],MATCH(Emission8[[#This Row],[Facility ID]],Operational[Facility ID],0))</f>
        <v>2853.66</v>
      </c>
      <c r="I789">
        <f>INDEX(Operational[Waste (tons)],MATCH(Emission8[[#This Row],[Facility ID]],Operational[Facility ID],0))</f>
        <v>71.94</v>
      </c>
    </row>
    <row r="790" spans="1:9" x14ac:dyDescent="0.3">
      <c r="A790" t="s">
        <v>57</v>
      </c>
      <c r="B790" t="s">
        <v>19</v>
      </c>
      <c r="C790" t="s">
        <v>13</v>
      </c>
      <c r="D790" t="s">
        <v>9</v>
      </c>
      <c r="E790" t="s">
        <v>24</v>
      </c>
      <c r="F790">
        <v>1260.77</v>
      </c>
      <c r="G790">
        <f>INDEX(Operational[Production Volume (units)],MATCH(Emission8[[#This Row],[Facility ID]],Operational[Facility ID],0))</f>
        <v>41027</v>
      </c>
      <c r="H790">
        <f>INDEX(Operational[Energy Consumption (MWh)],MATCH(Emission8[[#This Row],[Facility ID]],Operational[Facility ID],0))</f>
        <v>7285.85</v>
      </c>
      <c r="I790">
        <f>INDEX(Operational[Waste (tons)],MATCH(Emission8[[#This Row],[Facility ID]],Operational[Facility ID],0))</f>
        <v>59.87</v>
      </c>
    </row>
    <row r="791" spans="1:9" x14ac:dyDescent="0.3">
      <c r="A791" t="s">
        <v>156</v>
      </c>
      <c r="B791" t="s">
        <v>17</v>
      </c>
      <c r="C791" t="s">
        <v>23</v>
      </c>
      <c r="D791" t="s">
        <v>14</v>
      </c>
      <c r="E791" t="s">
        <v>24</v>
      </c>
      <c r="F791">
        <v>416.29</v>
      </c>
      <c r="G791">
        <f>INDEX(Operational[Production Volume (units)],MATCH(Emission8[[#This Row],[Facility ID]],Operational[Facility ID],0))</f>
        <v>81057</v>
      </c>
      <c r="H791">
        <f>INDEX(Operational[Energy Consumption (MWh)],MATCH(Emission8[[#This Row],[Facility ID]],Operational[Facility ID],0))</f>
        <v>675.41</v>
      </c>
      <c r="I791">
        <f>INDEX(Operational[Waste (tons)],MATCH(Emission8[[#This Row],[Facility ID]],Operational[Facility ID],0))</f>
        <v>55.44</v>
      </c>
    </row>
    <row r="792" spans="1:9" x14ac:dyDescent="0.3">
      <c r="A792" t="s">
        <v>143</v>
      </c>
      <c r="B792" t="s">
        <v>17</v>
      </c>
      <c r="C792" t="s">
        <v>8</v>
      </c>
      <c r="D792" t="s">
        <v>14</v>
      </c>
      <c r="E792" t="s">
        <v>15</v>
      </c>
      <c r="F792">
        <v>96.09</v>
      </c>
      <c r="G792">
        <f>INDEX(Operational[Production Volume (units)],MATCH(Emission8[[#This Row],[Facility ID]],Operational[Facility ID],0))</f>
        <v>94704</v>
      </c>
      <c r="H792">
        <f>INDEX(Operational[Energy Consumption (MWh)],MATCH(Emission8[[#This Row],[Facility ID]],Operational[Facility ID],0))</f>
        <v>6632.95</v>
      </c>
      <c r="I792">
        <f>INDEX(Operational[Waste (tons)],MATCH(Emission8[[#This Row],[Facility ID]],Operational[Facility ID],0))</f>
        <v>14.76</v>
      </c>
    </row>
    <row r="793" spans="1:9" x14ac:dyDescent="0.3">
      <c r="A793" t="s">
        <v>130</v>
      </c>
      <c r="B793" t="s">
        <v>12</v>
      </c>
      <c r="C793" t="s">
        <v>23</v>
      </c>
      <c r="D793" t="s">
        <v>28</v>
      </c>
      <c r="E793" t="s">
        <v>15</v>
      </c>
      <c r="F793">
        <v>1224.1099999999999</v>
      </c>
      <c r="G793">
        <f>INDEX(Operational[Production Volume (units)],MATCH(Emission8[[#This Row],[Facility ID]],Operational[Facility ID],0))</f>
        <v>82332</v>
      </c>
      <c r="H793">
        <f>INDEX(Operational[Energy Consumption (MWh)],MATCH(Emission8[[#This Row],[Facility ID]],Operational[Facility ID],0))</f>
        <v>7134.86</v>
      </c>
      <c r="I793">
        <f>INDEX(Operational[Waste (tons)],MATCH(Emission8[[#This Row],[Facility ID]],Operational[Facility ID],0))</f>
        <v>22.44</v>
      </c>
    </row>
    <row r="794" spans="1:9" x14ac:dyDescent="0.3">
      <c r="A794" t="s">
        <v>37</v>
      </c>
      <c r="B794" t="s">
        <v>17</v>
      </c>
      <c r="C794" t="s">
        <v>34</v>
      </c>
      <c r="D794" t="s">
        <v>14</v>
      </c>
      <c r="E794" t="s">
        <v>15</v>
      </c>
      <c r="F794">
        <v>3899.81</v>
      </c>
      <c r="G794">
        <f>INDEX(Operational[Production Volume (units)],MATCH(Emission8[[#This Row],[Facility ID]],Operational[Facility ID],0))</f>
        <v>71747</v>
      </c>
      <c r="H794">
        <f>INDEX(Operational[Energy Consumption (MWh)],MATCH(Emission8[[#This Row],[Facility ID]],Operational[Facility ID],0))</f>
        <v>9838.66</v>
      </c>
      <c r="I794">
        <f>INDEX(Operational[Waste (tons)],MATCH(Emission8[[#This Row],[Facility ID]],Operational[Facility ID],0))</f>
        <v>7.25</v>
      </c>
    </row>
    <row r="795" spans="1:9" x14ac:dyDescent="0.3">
      <c r="A795" t="s">
        <v>117</v>
      </c>
      <c r="B795" t="s">
        <v>7</v>
      </c>
      <c r="C795" t="s">
        <v>13</v>
      </c>
      <c r="D795" t="s">
        <v>28</v>
      </c>
      <c r="E795" t="s">
        <v>15</v>
      </c>
      <c r="F795">
        <v>1065.82</v>
      </c>
      <c r="G795">
        <f>INDEX(Operational[Production Volume (units)],MATCH(Emission8[[#This Row],[Facility ID]],Operational[Facility ID],0))</f>
        <v>89321</v>
      </c>
      <c r="H795">
        <f>INDEX(Operational[Energy Consumption (MWh)],MATCH(Emission8[[#This Row],[Facility ID]],Operational[Facility ID],0))</f>
        <v>9836.34</v>
      </c>
      <c r="I795">
        <f>INDEX(Operational[Waste (tons)],MATCH(Emission8[[#This Row],[Facility ID]],Operational[Facility ID],0))</f>
        <v>16.989999999999998</v>
      </c>
    </row>
    <row r="796" spans="1:9" x14ac:dyDescent="0.3">
      <c r="A796" t="s">
        <v>177</v>
      </c>
      <c r="B796" t="s">
        <v>7</v>
      </c>
      <c r="C796" t="s">
        <v>34</v>
      </c>
      <c r="D796" t="s">
        <v>28</v>
      </c>
      <c r="E796" t="s">
        <v>15</v>
      </c>
      <c r="F796">
        <v>4448.1899999999996</v>
      </c>
      <c r="G796">
        <f>INDEX(Operational[Production Volume (units)],MATCH(Emission8[[#This Row],[Facility ID]],Operational[Facility ID],0))</f>
        <v>17097</v>
      </c>
      <c r="H796">
        <f>INDEX(Operational[Energy Consumption (MWh)],MATCH(Emission8[[#This Row],[Facility ID]],Operational[Facility ID],0))</f>
        <v>9061.7800000000007</v>
      </c>
      <c r="I796">
        <f>INDEX(Operational[Waste (tons)],MATCH(Emission8[[#This Row],[Facility ID]],Operational[Facility ID],0))</f>
        <v>95.92</v>
      </c>
    </row>
    <row r="797" spans="1:9" x14ac:dyDescent="0.3">
      <c r="A797" t="s">
        <v>43</v>
      </c>
      <c r="B797" t="s">
        <v>17</v>
      </c>
      <c r="C797" t="s">
        <v>23</v>
      </c>
      <c r="D797" t="s">
        <v>9</v>
      </c>
      <c r="E797" t="s">
        <v>24</v>
      </c>
      <c r="F797">
        <v>2211.09</v>
      </c>
      <c r="G797">
        <f>INDEX(Operational[Production Volume (units)],MATCH(Emission8[[#This Row],[Facility ID]],Operational[Facility ID],0))</f>
        <v>41168</v>
      </c>
      <c r="H797">
        <f>INDEX(Operational[Energy Consumption (MWh)],MATCH(Emission8[[#This Row],[Facility ID]],Operational[Facility ID],0))</f>
        <v>8226.77</v>
      </c>
      <c r="I797">
        <f>INDEX(Operational[Waste (tons)],MATCH(Emission8[[#This Row],[Facility ID]],Operational[Facility ID],0))</f>
        <v>42.55</v>
      </c>
    </row>
    <row r="798" spans="1:9" x14ac:dyDescent="0.3">
      <c r="A798" t="s">
        <v>140</v>
      </c>
      <c r="B798" t="s">
        <v>17</v>
      </c>
      <c r="C798" t="s">
        <v>23</v>
      </c>
      <c r="D798" t="s">
        <v>9</v>
      </c>
      <c r="E798" t="s">
        <v>24</v>
      </c>
      <c r="F798">
        <v>3199.41</v>
      </c>
      <c r="G798">
        <f>INDEX(Operational[Production Volume (units)],MATCH(Emission8[[#This Row],[Facility ID]],Operational[Facility ID],0))</f>
        <v>88308</v>
      </c>
      <c r="H798">
        <f>INDEX(Operational[Energy Consumption (MWh)],MATCH(Emission8[[#This Row],[Facility ID]],Operational[Facility ID],0))</f>
        <v>7802.07</v>
      </c>
      <c r="I798">
        <f>INDEX(Operational[Waste (tons)],MATCH(Emission8[[#This Row],[Facility ID]],Operational[Facility ID],0))</f>
        <v>36.130000000000003</v>
      </c>
    </row>
    <row r="799" spans="1:9" x14ac:dyDescent="0.3">
      <c r="A799" t="s">
        <v>212</v>
      </c>
      <c r="B799" t="s">
        <v>7</v>
      </c>
      <c r="C799" t="s">
        <v>34</v>
      </c>
      <c r="D799" t="s">
        <v>14</v>
      </c>
      <c r="E799" t="s">
        <v>24</v>
      </c>
      <c r="F799">
        <v>2263.6999999999998</v>
      </c>
      <c r="G799">
        <f>INDEX(Operational[Production Volume (units)],MATCH(Emission8[[#This Row],[Facility ID]],Operational[Facility ID],0))</f>
        <v>67820</v>
      </c>
      <c r="H799">
        <f>INDEX(Operational[Energy Consumption (MWh)],MATCH(Emission8[[#This Row],[Facility ID]],Operational[Facility ID],0))</f>
        <v>8177.95</v>
      </c>
      <c r="I799">
        <f>INDEX(Operational[Waste (tons)],MATCH(Emission8[[#This Row],[Facility ID]],Operational[Facility ID],0))</f>
        <v>40.69</v>
      </c>
    </row>
    <row r="800" spans="1:9" x14ac:dyDescent="0.3">
      <c r="A800" t="s">
        <v>49</v>
      </c>
      <c r="B800" t="s">
        <v>19</v>
      </c>
      <c r="C800" t="s">
        <v>13</v>
      </c>
      <c r="D800" t="s">
        <v>14</v>
      </c>
      <c r="E800" t="s">
        <v>15</v>
      </c>
      <c r="F800">
        <v>4326.03</v>
      </c>
      <c r="G800">
        <f>INDEX(Operational[Production Volume (units)],MATCH(Emission8[[#This Row],[Facility ID]],Operational[Facility ID],0))</f>
        <v>50306</v>
      </c>
      <c r="H800">
        <f>INDEX(Operational[Energy Consumption (MWh)],MATCH(Emission8[[#This Row],[Facility ID]],Operational[Facility ID],0))</f>
        <v>7031.37</v>
      </c>
      <c r="I800">
        <f>INDEX(Operational[Waste (tons)],MATCH(Emission8[[#This Row],[Facility ID]],Operational[Facility ID],0))</f>
        <v>13.27</v>
      </c>
    </row>
    <row r="801" spans="1:9" x14ac:dyDescent="0.3">
      <c r="A801" t="s">
        <v>203</v>
      </c>
      <c r="B801" t="s">
        <v>12</v>
      </c>
      <c r="C801" t="s">
        <v>34</v>
      </c>
      <c r="D801" t="s">
        <v>9</v>
      </c>
      <c r="E801" t="s">
        <v>24</v>
      </c>
      <c r="F801">
        <v>4352.74</v>
      </c>
      <c r="G801">
        <f>INDEX(Operational[Production Volume (units)],MATCH(Emission8[[#This Row],[Facility ID]],Operational[Facility ID],0))</f>
        <v>66398</v>
      </c>
      <c r="H801">
        <f>INDEX(Operational[Energy Consumption (MWh)],MATCH(Emission8[[#This Row],[Facility ID]],Operational[Facility ID],0))</f>
        <v>8713.61</v>
      </c>
      <c r="I801">
        <f>INDEX(Operational[Waste (tons)],MATCH(Emission8[[#This Row],[Facility ID]],Operational[Facility ID],0))</f>
        <v>83.44</v>
      </c>
    </row>
    <row r="802" spans="1:9" x14ac:dyDescent="0.3">
      <c r="A802" t="s">
        <v>32</v>
      </c>
      <c r="B802" t="s">
        <v>7</v>
      </c>
      <c r="C802" t="s">
        <v>13</v>
      </c>
      <c r="D802" t="s">
        <v>9</v>
      </c>
      <c r="E802" t="s">
        <v>15</v>
      </c>
      <c r="F802">
        <v>4294.79</v>
      </c>
      <c r="G802">
        <f>INDEX(Operational[Production Volume (units)],MATCH(Emission8[[#This Row],[Facility ID]],Operational[Facility ID],0))</f>
        <v>10933</v>
      </c>
      <c r="H802">
        <f>INDEX(Operational[Energy Consumption (MWh)],MATCH(Emission8[[#This Row],[Facility ID]],Operational[Facility ID],0))</f>
        <v>9004.3700000000008</v>
      </c>
      <c r="I802">
        <f>INDEX(Operational[Waste (tons)],MATCH(Emission8[[#This Row],[Facility ID]],Operational[Facility ID],0))</f>
        <v>26.84</v>
      </c>
    </row>
    <row r="803" spans="1:9" x14ac:dyDescent="0.3">
      <c r="A803" t="s">
        <v>132</v>
      </c>
      <c r="B803" t="s">
        <v>19</v>
      </c>
      <c r="C803" t="s">
        <v>23</v>
      </c>
      <c r="D803" t="s">
        <v>14</v>
      </c>
      <c r="E803" t="s">
        <v>15</v>
      </c>
      <c r="F803">
        <v>2678.48</v>
      </c>
      <c r="G803">
        <f>INDEX(Operational[Production Volume (units)],MATCH(Emission8[[#This Row],[Facility ID]],Operational[Facility ID],0))</f>
        <v>29860</v>
      </c>
      <c r="H803">
        <f>INDEX(Operational[Energy Consumption (MWh)],MATCH(Emission8[[#This Row],[Facility ID]],Operational[Facility ID],0))</f>
        <v>3956.23</v>
      </c>
      <c r="I803">
        <f>INDEX(Operational[Waste (tons)],MATCH(Emission8[[#This Row],[Facility ID]],Operational[Facility ID],0))</f>
        <v>57.5</v>
      </c>
    </row>
    <row r="804" spans="1:9" x14ac:dyDescent="0.3">
      <c r="A804" t="s">
        <v>73</v>
      </c>
      <c r="B804" t="s">
        <v>30</v>
      </c>
      <c r="C804" t="s">
        <v>8</v>
      </c>
      <c r="D804" t="s">
        <v>14</v>
      </c>
      <c r="E804" t="s">
        <v>15</v>
      </c>
      <c r="F804">
        <v>2267.79</v>
      </c>
      <c r="G804">
        <f>INDEX(Operational[Production Volume (units)],MATCH(Emission8[[#This Row],[Facility ID]],Operational[Facility ID],0))</f>
        <v>55974</v>
      </c>
      <c r="H804">
        <f>INDEX(Operational[Energy Consumption (MWh)],MATCH(Emission8[[#This Row],[Facility ID]],Operational[Facility ID],0))</f>
        <v>7542.28</v>
      </c>
      <c r="I804">
        <f>INDEX(Operational[Waste (tons)],MATCH(Emission8[[#This Row],[Facility ID]],Operational[Facility ID],0))</f>
        <v>72.430000000000007</v>
      </c>
    </row>
    <row r="805" spans="1:9" x14ac:dyDescent="0.3">
      <c r="A805" t="s">
        <v>93</v>
      </c>
      <c r="B805" t="s">
        <v>30</v>
      </c>
      <c r="C805" t="s">
        <v>8</v>
      </c>
      <c r="D805" t="s">
        <v>14</v>
      </c>
      <c r="E805" t="s">
        <v>24</v>
      </c>
      <c r="F805">
        <v>2496.0100000000002</v>
      </c>
      <c r="G805">
        <f>INDEX(Operational[Production Volume (units)],MATCH(Emission8[[#This Row],[Facility ID]],Operational[Facility ID],0))</f>
        <v>26378</v>
      </c>
      <c r="H805">
        <f>INDEX(Operational[Energy Consumption (MWh)],MATCH(Emission8[[#This Row],[Facility ID]],Operational[Facility ID],0))</f>
        <v>2915.44</v>
      </c>
      <c r="I805">
        <f>INDEX(Operational[Waste (tons)],MATCH(Emission8[[#This Row],[Facility ID]],Operational[Facility ID],0))</f>
        <v>29.84</v>
      </c>
    </row>
    <row r="806" spans="1:9" x14ac:dyDescent="0.3">
      <c r="A806" t="s">
        <v>16</v>
      </c>
      <c r="B806" t="s">
        <v>17</v>
      </c>
      <c r="C806" t="s">
        <v>13</v>
      </c>
      <c r="D806" t="s">
        <v>14</v>
      </c>
      <c r="E806" t="s">
        <v>15</v>
      </c>
      <c r="F806">
        <v>4601.71</v>
      </c>
      <c r="G806">
        <f>INDEX(Operational[Production Volume (units)],MATCH(Emission8[[#This Row],[Facility ID]],Operational[Facility ID],0))</f>
        <v>43512</v>
      </c>
      <c r="H806">
        <f>INDEX(Operational[Energy Consumption (MWh)],MATCH(Emission8[[#This Row],[Facility ID]],Operational[Facility ID],0))</f>
        <v>5352.18</v>
      </c>
      <c r="I806">
        <f>INDEX(Operational[Waste (tons)],MATCH(Emission8[[#This Row],[Facility ID]],Operational[Facility ID],0))</f>
        <v>6.17</v>
      </c>
    </row>
    <row r="807" spans="1:9" x14ac:dyDescent="0.3">
      <c r="A807" t="s">
        <v>211</v>
      </c>
      <c r="B807" t="s">
        <v>7</v>
      </c>
      <c r="C807" t="s">
        <v>34</v>
      </c>
      <c r="D807" t="s">
        <v>28</v>
      </c>
      <c r="E807" t="s">
        <v>24</v>
      </c>
      <c r="F807">
        <v>2739.77</v>
      </c>
      <c r="G807">
        <f>INDEX(Operational[Production Volume (units)],MATCH(Emission8[[#This Row],[Facility ID]],Operational[Facility ID],0))</f>
        <v>27028</v>
      </c>
      <c r="H807">
        <f>INDEX(Operational[Energy Consumption (MWh)],MATCH(Emission8[[#This Row],[Facility ID]],Operational[Facility ID],0))</f>
        <v>4617.92</v>
      </c>
      <c r="I807">
        <f>INDEX(Operational[Waste (tons)],MATCH(Emission8[[#This Row],[Facility ID]],Operational[Facility ID],0))</f>
        <v>57.62</v>
      </c>
    </row>
    <row r="808" spans="1:9" x14ac:dyDescent="0.3">
      <c r="A808" t="s">
        <v>99</v>
      </c>
      <c r="B808" t="s">
        <v>19</v>
      </c>
      <c r="C808" t="s">
        <v>23</v>
      </c>
      <c r="D808" t="s">
        <v>9</v>
      </c>
      <c r="E808" t="s">
        <v>10</v>
      </c>
      <c r="F808">
        <v>1410.4</v>
      </c>
      <c r="G808">
        <f>INDEX(Operational[Production Volume (units)],MATCH(Emission8[[#This Row],[Facility ID]],Operational[Facility ID],0))</f>
        <v>77400</v>
      </c>
      <c r="H808">
        <f>INDEX(Operational[Energy Consumption (MWh)],MATCH(Emission8[[#This Row],[Facility ID]],Operational[Facility ID],0))</f>
        <v>7504.8</v>
      </c>
      <c r="I808">
        <f>INDEX(Operational[Waste (tons)],MATCH(Emission8[[#This Row],[Facility ID]],Operational[Facility ID],0))</f>
        <v>68.819999999999993</v>
      </c>
    </row>
    <row r="809" spans="1:9" x14ac:dyDescent="0.3">
      <c r="A809" t="s">
        <v>171</v>
      </c>
      <c r="B809" t="s">
        <v>17</v>
      </c>
      <c r="C809" t="s">
        <v>8</v>
      </c>
      <c r="D809" t="s">
        <v>9</v>
      </c>
      <c r="E809" t="s">
        <v>24</v>
      </c>
      <c r="F809">
        <v>2563.09</v>
      </c>
      <c r="G809">
        <f>INDEX(Operational[Production Volume (units)],MATCH(Emission8[[#This Row],[Facility ID]],Operational[Facility ID],0))</f>
        <v>24502</v>
      </c>
      <c r="H809">
        <f>INDEX(Operational[Energy Consumption (MWh)],MATCH(Emission8[[#This Row],[Facility ID]],Operational[Facility ID],0))</f>
        <v>7466.86</v>
      </c>
      <c r="I809">
        <f>INDEX(Operational[Waste (tons)],MATCH(Emission8[[#This Row],[Facility ID]],Operational[Facility ID],0))</f>
        <v>88.83</v>
      </c>
    </row>
    <row r="810" spans="1:9" x14ac:dyDescent="0.3">
      <c r="A810" t="s">
        <v>208</v>
      </c>
      <c r="B810" t="s">
        <v>19</v>
      </c>
      <c r="C810" t="s">
        <v>23</v>
      </c>
      <c r="D810" t="s">
        <v>14</v>
      </c>
      <c r="E810" t="s">
        <v>24</v>
      </c>
      <c r="F810">
        <v>886.98</v>
      </c>
      <c r="G810">
        <f>INDEX(Operational[Production Volume (units)],MATCH(Emission8[[#This Row],[Facility ID]],Operational[Facility ID],0))</f>
        <v>40553</v>
      </c>
      <c r="H810">
        <f>INDEX(Operational[Energy Consumption (MWh)],MATCH(Emission8[[#This Row],[Facility ID]],Operational[Facility ID],0))</f>
        <v>4875.2299999999996</v>
      </c>
      <c r="I810">
        <f>INDEX(Operational[Waste (tons)],MATCH(Emission8[[#This Row],[Facility ID]],Operational[Facility ID],0))</f>
        <v>23.33</v>
      </c>
    </row>
    <row r="811" spans="1:9" x14ac:dyDescent="0.3">
      <c r="A811" t="s">
        <v>73</v>
      </c>
      <c r="B811" t="s">
        <v>30</v>
      </c>
      <c r="C811" t="s">
        <v>23</v>
      </c>
      <c r="D811" t="s">
        <v>14</v>
      </c>
      <c r="E811" t="s">
        <v>15</v>
      </c>
      <c r="F811">
        <v>4317.26</v>
      </c>
      <c r="G811">
        <f>INDEX(Operational[Production Volume (units)],MATCH(Emission8[[#This Row],[Facility ID]],Operational[Facility ID],0))</f>
        <v>55974</v>
      </c>
      <c r="H811">
        <f>INDEX(Operational[Energy Consumption (MWh)],MATCH(Emission8[[#This Row],[Facility ID]],Operational[Facility ID],0))</f>
        <v>7542.28</v>
      </c>
      <c r="I811">
        <f>INDEX(Operational[Waste (tons)],MATCH(Emission8[[#This Row],[Facility ID]],Operational[Facility ID],0))</f>
        <v>72.430000000000007</v>
      </c>
    </row>
    <row r="812" spans="1:9" x14ac:dyDescent="0.3">
      <c r="A812" t="s">
        <v>70</v>
      </c>
      <c r="B812" t="s">
        <v>19</v>
      </c>
      <c r="C812" t="s">
        <v>13</v>
      </c>
      <c r="D812" t="s">
        <v>28</v>
      </c>
      <c r="E812" t="s">
        <v>15</v>
      </c>
      <c r="F812">
        <v>1597.82</v>
      </c>
      <c r="G812">
        <f>INDEX(Operational[Production Volume (units)],MATCH(Emission8[[#This Row],[Facility ID]],Operational[Facility ID],0))</f>
        <v>42485</v>
      </c>
      <c r="H812">
        <f>INDEX(Operational[Energy Consumption (MWh)],MATCH(Emission8[[#This Row],[Facility ID]],Operational[Facility ID],0))</f>
        <v>4755.75</v>
      </c>
      <c r="I812">
        <f>INDEX(Operational[Waste (tons)],MATCH(Emission8[[#This Row],[Facility ID]],Operational[Facility ID],0))</f>
        <v>10.19</v>
      </c>
    </row>
    <row r="813" spans="1:9" x14ac:dyDescent="0.3">
      <c r="A813" t="s">
        <v>154</v>
      </c>
      <c r="B813" t="s">
        <v>12</v>
      </c>
      <c r="C813" t="s">
        <v>8</v>
      </c>
      <c r="D813" t="s">
        <v>14</v>
      </c>
      <c r="E813" t="s">
        <v>10</v>
      </c>
      <c r="F813">
        <v>3825.5</v>
      </c>
      <c r="G813">
        <f>INDEX(Operational[Production Volume (units)],MATCH(Emission8[[#This Row],[Facility ID]],Operational[Facility ID],0))</f>
        <v>87012</v>
      </c>
      <c r="H813">
        <f>INDEX(Operational[Energy Consumption (MWh)],MATCH(Emission8[[#This Row],[Facility ID]],Operational[Facility ID],0))</f>
        <v>7478.13</v>
      </c>
      <c r="I813">
        <f>INDEX(Operational[Waste (tons)],MATCH(Emission8[[#This Row],[Facility ID]],Operational[Facility ID],0))</f>
        <v>27.22</v>
      </c>
    </row>
    <row r="814" spans="1:9" x14ac:dyDescent="0.3">
      <c r="A814" t="s">
        <v>202</v>
      </c>
      <c r="B814" t="s">
        <v>12</v>
      </c>
      <c r="C814" t="s">
        <v>8</v>
      </c>
      <c r="D814" t="s">
        <v>9</v>
      </c>
      <c r="E814" t="s">
        <v>10</v>
      </c>
      <c r="F814">
        <v>3766.34</v>
      </c>
      <c r="G814">
        <f>INDEX(Operational[Production Volume (units)],MATCH(Emission8[[#This Row],[Facility ID]],Operational[Facility ID],0))</f>
        <v>28400</v>
      </c>
      <c r="H814">
        <f>INDEX(Operational[Energy Consumption (MWh)],MATCH(Emission8[[#This Row],[Facility ID]],Operational[Facility ID],0))</f>
        <v>3056.67</v>
      </c>
      <c r="I814">
        <f>INDEX(Operational[Waste (tons)],MATCH(Emission8[[#This Row],[Facility ID]],Operational[Facility ID],0))</f>
        <v>52.68</v>
      </c>
    </row>
    <row r="815" spans="1:9" x14ac:dyDescent="0.3">
      <c r="A815" t="s">
        <v>51</v>
      </c>
      <c r="B815" t="s">
        <v>30</v>
      </c>
      <c r="C815" t="s">
        <v>13</v>
      </c>
      <c r="D815" t="s">
        <v>9</v>
      </c>
      <c r="E815" t="s">
        <v>15</v>
      </c>
      <c r="F815">
        <v>4885.66</v>
      </c>
      <c r="G815">
        <f>INDEX(Operational[Production Volume (units)],MATCH(Emission8[[#This Row],[Facility ID]],Operational[Facility ID],0))</f>
        <v>44164</v>
      </c>
      <c r="H815">
        <f>INDEX(Operational[Energy Consumption (MWh)],MATCH(Emission8[[#This Row],[Facility ID]],Operational[Facility ID],0))</f>
        <v>3869.32</v>
      </c>
      <c r="I815">
        <f>INDEX(Operational[Waste (tons)],MATCH(Emission8[[#This Row],[Facility ID]],Operational[Facility ID],0))</f>
        <v>13.81</v>
      </c>
    </row>
    <row r="816" spans="1:9" x14ac:dyDescent="0.3">
      <c r="A816" t="s">
        <v>39</v>
      </c>
      <c r="B816" t="s">
        <v>7</v>
      </c>
      <c r="C816" t="s">
        <v>23</v>
      </c>
      <c r="D816" t="s">
        <v>9</v>
      </c>
      <c r="E816" t="s">
        <v>24</v>
      </c>
      <c r="F816">
        <v>2013.05</v>
      </c>
      <c r="G816">
        <f>INDEX(Operational[Production Volume (units)],MATCH(Emission8[[#This Row],[Facility ID]],Operational[Facility ID],0))</f>
        <v>80904</v>
      </c>
      <c r="H816">
        <f>INDEX(Operational[Energy Consumption (MWh)],MATCH(Emission8[[#This Row],[Facility ID]],Operational[Facility ID],0))</f>
        <v>3263.09</v>
      </c>
      <c r="I816">
        <f>INDEX(Operational[Waste (tons)],MATCH(Emission8[[#This Row],[Facility ID]],Operational[Facility ID],0))</f>
        <v>58.37</v>
      </c>
    </row>
    <row r="817" spans="1:9" x14ac:dyDescent="0.3">
      <c r="A817" t="s">
        <v>89</v>
      </c>
      <c r="B817" t="s">
        <v>17</v>
      </c>
      <c r="C817" t="s">
        <v>34</v>
      </c>
      <c r="D817" t="s">
        <v>9</v>
      </c>
      <c r="E817" t="s">
        <v>24</v>
      </c>
      <c r="F817">
        <v>2140.42</v>
      </c>
      <c r="G817">
        <f>INDEX(Operational[Production Volume (units)],MATCH(Emission8[[#This Row],[Facility ID]],Operational[Facility ID],0))</f>
        <v>36171</v>
      </c>
      <c r="H817">
        <f>INDEX(Operational[Energy Consumption (MWh)],MATCH(Emission8[[#This Row],[Facility ID]],Operational[Facility ID],0))</f>
        <v>6864.38</v>
      </c>
      <c r="I817">
        <f>INDEX(Operational[Waste (tons)],MATCH(Emission8[[#This Row],[Facility ID]],Operational[Facility ID],0))</f>
        <v>37.03</v>
      </c>
    </row>
    <row r="818" spans="1:9" x14ac:dyDescent="0.3">
      <c r="A818" t="s">
        <v>182</v>
      </c>
      <c r="B818" t="s">
        <v>12</v>
      </c>
      <c r="C818" t="s">
        <v>13</v>
      </c>
      <c r="D818" t="s">
        <v>28</v>
      </c>
      <c r="E818" t="s">
        <v>10</v>
      </c>
      <c r="F818">
        <v>707.7</v>
      </c>
      <c r="G818">
        <f>INDEX(Operational[Production Volume (units)],MATCH(Emission8[[#This Row],[Facility ID]],Operational[Facility ID],0))</f>
        <v>21081</v>
      </c>
      <c r="H818">
        <f>INDEX(Operational[Energy Consumption (MWh)],MATCH(Emission8[[#This Row],[Facility ID]],Operational[Facility ID],0))</f>
        <v>9001.77</v>
      </c>
      <c r="I818">
        <f>INDEX(Operational[Waste (tons)],MATCH(Emission8[[#This Row],[Facility ID]],Operational[Facility ID],0))</f>
        <v>49.27</v>
      </c>
    </row>
    <row r="819" spans="1:9" x14ac:dyDescent="0.3">
      <c r="A819" t="s">
        <v>57</v>
      </c>
      <c r="B819" t="s">
        <v>19</v>
      </c>
      <c r="C819" t="s">
        <v>23</v>
      </c>
      <c r="D819" t="s">
        <v>28</v>
      </c>
      <c r="E819" t="s">
        <v>24</v>
      </c>
      <c r="F819">
        <v>1703.95</v>
      </c>
      <c r="G819">
        <f>INDEX(Operational[Production Volume (units)],MATCH(Emission8[[#This Row],[Facility ID]],Operational[Facility ID],0))</f>
        <v>41027</v>
      </c>
      <c r="H819">
        <f>INDEX(Operational[Energy Consumption (MWh)],MATCH(Emission8[[#This Row],[Facility ID]],Operational[Facility ID],0))</f>
        <v>7285.85</v>
      </c>
      <c r="I819">
        <f>INDEX(Operational[Waste (tons)],MATCH(Emission8[[#This Row],[Facility ID]],Operational[Facility ID],0))</f>
        <v>59.87</v>
      </c>
    </row>
    <row r="820" spans="1:9" x14ac:dyDescent="0.3">
      <c r="A820" t="s">
        <v>199</v>
      </c>
      <c r="B820" t="s">
        <v>17</v>
      </c>
      <c r="C820" t="s">
        <v>8</v>
      </c>
      <c r="D820" t="s">
        <v>28</v>
      </c>
      <c r="E820" t="s">
        <v>10</v>
      </c>
      <c r="F820">
        <v>3023.57</v>
      </c>
      <c r="G820">
        <f>INDEX(Operational[Production Volume (units)],MATCH(Emission8[[#This Row],[Facility ID]],Operational[Facility ID],0))</f>
        <v>77317</v>
      </c>
      <c r="H820">
        <f>INDEX(Operational[Energy Consumption (MWh)],MATCH(Emission8[[#This Row],[Facility ID]],Operational[Facility ID],0))</f>
        <v>4862.95</v>
      </c>
      <c r="I820">
        <f>INDEX(Operational[Waste (tons)],MATCH(Emission8[[#This Row],[Facility ID]],Operational[Facility ID],0))</f>
        <v>89.78</v>
      </c>
    </row>
    <row r="821" spans="1:9" x14ac:dyDescent="0.3">
      <c r="A821" t="s">
        <v>11</v>
      </c>
      <c r="B821" t="s">
        <v>12</v>
      </c>
      <c r="C821" t="s">
        <v>23</v>
      </c>
      <c r="D821" t="s">
        <v>28</v>
      </c>
      <c r="E821" t="s">
        <v>24</v>
      </c>
      <c r="F821">
        <v>2101.7199999999998</v>
      </c>
      <c r="G821">
        <f>INDEX(Operational[Production Volume (units)],MATCH(Emission8[[#This Row],[Facility ID]],Operational[Facility ID],0))</f>
        <v>44657</v>
      </c>
      <c r="H821">
        <f>INDEX(Operational[Energy Consumption (MWh)],MATCH(Emission8[[#This Row],[Facility ID]],Operational[Facility ID],0))</f>
        <v>7867.98</v>
      </c>
      <c r="I821">
        <f>INDEX(Operational[Waste (tons)],MATCH(Emission8[[#This Row],[Facility ID]],Operational[Facility ID],0))</f>
        <v>96.01</v>
      </c>
    </row>
    <row r="822" spans="1:9" x14ac:dyDescent="0.3">
      <c r="A822" t="s">
        <v>215</v>
      </c>
      <c r="B822" t="s">
        <v>17</v>
      </c>
      <c r="C822" t="s">
        <v>34</v>
      </c>
      <c r="D822" t="s">
        <v>14</v>
      </c>
      <c r="E822" t="s">
        <v>15</v>
      </c>
      <c r="F822">
        <v>72.97</v>
      </c>
      <c r="G822">
        <f>INDEX(Operational[Production Volume (units)],MATCH(Emission8[[#This Row],[Facility ID]],Operational[Facility ID],0))</f>
        <v>72813</v>
      </c>
      <c r="H822">
        <f>INDEX(Operational[Energy Consumption (MWh)],MATCH(Emission8[[#This Row],[Facility ID]],Operational[Facility ID],0))</f>
        <v>8818.16</v>
      </c>
      <c r="I822">
        <f>INDEX(Operational[Waste (tons)],MATCH(Emission8[[#This Row],[Facility ID]],Operational[Facility ID],0))</f>
        <v>54.12</v>
      </c>
    </row>
    <row r="823" spans="1:9" x14ac:dyDescent="0.3">
      <c r="A823" t="s">
        <v>107</v>
      </c>
      <c r="B823" t="s">
        <v>30</v>
      </c>
      <c r="C823" t="s">
        <v>34</v>
      </c>
      <c r="D823" t="s">
        <v>28</v>
      </c>
      <c r="E823" t="s">
        <v>10</v>
      </c>
      <c r="F823">
        <v>1271.98</v>
      </c>
      <c r="G823">
        <f>INDEX(Operational[Production Volume (units)],MATCH(Emission8[[#This Row],[Facility ID]],Operational[Facility ID],0))</f>
        <v>69305</v>
      </c>
      <c r="H823">
        <f>INDEX(Operational[Energy Consumption (MWh)],MATCH(Emission8[[#This Row],[Facility ID]],Operational[Facility ID],0))</f>
        <v>3203.67</v>
      </c>
      <c r="I823">
        <f>INDEX(Operational[Waste (tons)],MATCH(Emission8[[#This Row],[Facility ID]],Operational[Facility ID],0))</f>
        <v>83.65</v>
      </c>
    </row>
    <row r="824" spans="1:9" x14ac:dyDescent="0.3">
      <c r="A824" t="s">
        <v>201</v>
      </c>
      <c r="B824" t="s">
        <v>12</v>
      </c>
      <c r="C824" t="s">
        <v>8</v>
      </c>
      <c r="D824" t="s">
        <v>14</v>
      </c>
      <c r="E824" t="s">
        <v>10</v>
      </c>
      <c r="F824">
        <v>1645.13</v>
      </c>
      <c r="G824">
        <f>INDEX(Operational[Production Volume (units)],MATCH(Emission8[[#This Row],[Facility ID]],Operational[Facility ID],0))</f>
        <v>58439</v>
      </c>
      <c r="H824">
        <f>INDEX(Operational[Energy Consumption (MWh)],MATCH(Emission8[[#This Row],[Facility ID]],Operational[Facility ID],0))</f>
        <v>5817.93</v>
      </c>
      <c r="I824">
        <f>INDEX(Operational[Waste (tons)],MATCH(Emission8[[#This Row],[Facility ID]],Operational[Facility ID],0))</f>
        <v>63.77</v>
      </c>
    </row>
    <row r="825" spans="1:9" x14ac:dyDescent="0.3">
      <c r="A825" t="s">
        <v>201</v>
      </c>
      <c r="B825" t="s">
        <v>12</v>
      </c>
      <c r="C825" t="s">
        <v>8</v>
      </c>
      <c r="D825" t="s">
        <v>14</v>
      </c>
      <c r="E825" t="s">
        <v>15</v>
      </c>
      <c r="F825">
        <v>1271.48</v>
      </c>
      <c r="G825">
        <f>INDEX(Operational[Production Volume (units)],MATCH(Emission8[[#This Row],[Facility ID]],Operational[Facility ID],0))</f>
        <v>58439</v>
      </c>
      <c r="H825">
        <f>INDEX(Operational[Energy Consumption (MWh)],MATCH(Emission8[[#This Row],[Facility ID]],Operational[Facility ID],0))</f>
        <v>5817.93</v>
      </c>
      <c r="I825">
        <f>INDEX(Operational[Waste (tons)],MATCH(Emission8[[#This Row],[Facility ID]],Operational[Facility ID],0))</f>
        <v>63.77</v>
      </c>
    </row>
    <row r="826" spans="1:9" x14ac:dyDescent="0.3">
      <c r="A826" t="s">
        <v>134</v>
      </c>
      <c r="B826" t="s">
        <v>7</v>
      </c>
      <c r="C826" t="s">
        <v>23</v>
      </c>
      <c r="D826" t="s">
        <v>28</v>
      </c>
      <c r="E826" t="s">
        <v>15</v>
      </c>
      <c r="F826">
        <v>1183.23</v>
      </c>
      <c r="G826">
        <f>INDEX(Operational[Production Volume (units)],MATCH(Emission8[[#This Row],[Facility ID]],Operational[Facility ID],0))</f>
        <v>39568</v>
      </c>
      <c r="H826">
        <f>INDEX(Operational[Energy Consumption (MWh)],MATCH(Emission8[[#This Row],[Facility ID]],Operational[Facility ID],0))</f>
        <v>3580.54</v>
      </c>
      <c r="I826">
        <f>INDEX(Operational[Waste (tons)],MATCH(Emission8[[#This Row],[Facility ID]],Operational[Facility ID],0))</f>
        <v>78.08</v>
      </c>
    </row>
    <row r="827" spans="1:9" x14ac:dyDescent="0.3">
      <c r="A827" t="s">
        <v>164</v>
      </c>
      <c r="B827" t="s">
        <v>19</v>
      </c>
      <c r="C827" t="s">
        <v>13</v>
      </c>
      <c r="D827" t="s">
        <v>9</v>
      </c>
      <c r="E827" t="s">
        <v>10</v>
      </c>
      <c r="F827">
        <v>3135.29</v>
      </c>
      <c r="G827">
        <f>INDEX(Operational[Production Volume (units)],MATCH(Emission8[[#This Row],[Facility ID]],Operational[Facility ID],0))</f>
        <v>69636</v>
      </c>
      <c r="H827">
        <f>INDEX(Operational[Energy Consumption (MWh)],MATCH(Emission8[[#This Row],[Facility ID]],Operational[Facility ID],0))</f>
        <v>4246.55</v>
      </c>
      <c r="I827">
        <f>INDEX(Operational[Waste (tons)],MATCH(Emission8[[#This Row],[Facility ID]],Operational[Facility ID],0))</f>
        <v>69.290000000000006</v>
      </c>
    </row>
    <row r="828" spans="1:9" x14ac:dyDescent="0.3">
      <c r="A828" t="s">
        <v>124</v>
      </c>
      <c r="B828" t="s">
        <v>12</v>
      </c>
      <c r="C828" t="s">
        <v>23</v>
      </c>
      <c r="D828" t="s">
        <v>14</v>
      </c>
      <c r="E828" t="s">
        <v>15</v>
      </c>
      <c r="F828">
        <v>2647.47</v>
      </c>
      <c r="G828">
        <f>INDEX(Operational[Production Volume (units)],MATCH(Emission8[[#This Row],[Facility ID]],Operational[Facility ID],0))</f>
        <v>47491</v>
      </c>
      <c r="H828">
        <f>INDEX(Operational[Energy Consumption (MWh)],MATCH(Emission8[[#This Row],[Facility ID]],Operational[Facility ID],0))</f>
        <v>5781.05</v>
      </c>
      <c r="I828">
        <f>INDEX(Operational[Waste (tons)],MATCH(Emission8[[#This Row],[Facility ID]],Operational[Facility ID],0))</f>
        <v>92.18</v>
      </c>
    </row>
    <row r="829" spans="1:9" x14ac:dyDescent="0.3">
      <c r="A829" t="s">
        <v>174</v>
      </c>
      <c r="B829" t="s">
        <v>19</v>
      </c>
      <c r="C829" t="s">
        <v>13</v>
      </c>
      <c r="D829" t="s">
        <v>14</v>
      </c>
      <c r="E829" t="s">
        <v>15</v>
      </c>
      <c r="F829">
        <v>1670.25</v>
      </c>
      <c r="G829">
        <f>INDEX(Operational[Production Volume (units)],MATCH(Emission8[[#This Row],[Facility ID]],Operational[Facility ID],0))</f>
        <v>66163</v>
      </c>
      <c r="H829">
        <f>INDEX(Operational[Energy Consumption (MWh)],MATCH(Emission8[[#This Row],[Facility ID]],Operational[Facility ID],0))</f>
        <v>1416.57</v>
      </c>
      <c r="I829">
        <f>INDEX(Operational[Waste (tons)],MATCH(Emission8[[#This Row],[Facility ID]],Operational[Facility ID],0))</f>
        <v>68.73</v>
      </c>
    </row>
    <row r="830" spans="1:9" x14ac:dyDescent="0.3">
      <c r="A830" t="s">
        <v>105</v>
      </c>
      <c r="B830" t="s">
        <v>30</v>
      </c>
      <c r="C830" t="s">
        <v>13</v>
      </c>
      <c r="D830" t="s">
        <v>9</v>
      </c>
      <c r="E830" t="s">
        <v>15</v>
      </c>
      <c r="F830">
        <v>3796.74</v>
      </c>
      <c r="G830">
        <f>INDEX(Operational[Production Volume (units)],MATCH(Emission8[[#This Row],[Facility ID]],Operational[Facility ID],0))</f>
        <v>87337</v>
      </c>
      <c r="H830">
        <f>INDEX(Operational[Energy Consumption (MWh)],MATCH(Emission8[[#This Row],[Facility ID]],Operational[Facility ID],0))</f>
        <v>3603.06</v>
      </c>
      <c r="I830">
        <f>INDEX(Operational[Waste (tons)],MATCH(Emission8[[#This Row],[Facility ID]],Operational[Facility ID],0))</f>
        <v>67.13</v>
      </c>
    </row>
    <row r="831" spans="1:9" x14ac:dyDescent="0.3">
      <c r="A831" t="s">
        <v>127</v>
      </c>
      <c r="B831" t="s">
        <v>17</v>
      </c>
      <c r="C831" t="s">
        <v>8</v>
      </c>
      <c r="D831" t="s">
        <v>14</v>
      </c>
      <c r="E831" t="s">
        <v>15</v>
      </c>
      <c r="F831">
        <v>2430.6999999999998</v>
      </c>
      <c r="G831">
        <f>INDEX(Operational[Production Volume (units)],MATCH(Emission8[[#This Row],[Facility ID]],Operational[Facility ID],0))</f>
        <v>17416</v>
      </c>
      <c r="H831">
        <f>INDEX(Operational[Energy Consumption (MWh)],MATCH(Emission8[[#This Row],[Facility ID]],Operational[Facility ID],0))</f>
        <v>812.06</v>
      </c>
      <c r="I831">
        <f>INDEX(Operational[Waste (tons)],MATCH(Emission8[[#This Row],[Facility ID]],Operational[Facility ID],0))</f>
        <v>5.7</v>
      </c>
    </row>
    <row r="832" spans="1:9" x14ac:dyDescent="0.3">
      <c r="A832" t="s">
        <v>100</v>
      </c>
      <c r="B832" t="s">
        <v>7</v>
      </c>
      <c r="C832" t="s">
        <v>8</v>
      </c>
      <c r="D832" t="s">
        <v>9</v>
      </c>
      <c r="E832" t="s">
        <v>10</v>
      </c>
      <c r="F832">
        <v>4664.5200000000004</v>
      </c>
      <c r="G832">
        <f>INDEX(Operational[Production Volume (units)],MATCH(Emission8[[#This Row],[Facility ID]],Operational[Facility ID],0))</f>
        <v>17468</v>
      </c>
      <c r="H832">
        <f>INDEX(Operational[Energy Consumption (MWh)],MATCH(Emission8[[#This Row],[Facility ID]],Operational[Facility ID],0))</f>
        <v>6359.73</v>
      </c>
      <c r="I832">
        <f>INDEX(Operational[Waste (tons)],MATCH(Emission8[[#This Row],[Facility ID]],Operational[Facility ID],0))</f>
        <v>5.22</v>
      </c>
    </row>
    <row r="833" spans="1:9" x14ac:dyDescent="0.3">
      <c r="A833" t="s">
        <v>70</v>
      </c>
      <c r="B833" t="s">
        <v>19</v>
      </c>
      <c r="C833" t="s">
        <v>8</v>
      </c>
      <c r="D833" t="s">
        <v>14</v>
      </c>
      <c r="E833" t="s">
        <v>10</v>
      </c>
      <c r="F833">
        <v>2563.5500000000002</v>
      </c>
      <c r="G833">
        <f>INDEX(Operational[Production Volume (units)],MATCH(Emission8[[#This Row],[Facility ID]],Operational[Facility ID],0))</f>
        <v>42485</v>
      </c>
      <c r="H833">
        <f>INDEX(Operational[Energy Consumption (MWh)],MATCH(Emission8[[#This Row],[Facility ID]],Operational[Facility ID],0))</f>
        <v>4755.75</v>
      </c>
      <c r="I833">
        <f>INDEX(Operational[Waste (tons)],MATCH(Emission8[[#This Row],[Facility ID]],Operational[Facility ID],0))</f>
        <v>10.19</v>
      </c>
    </row>
    <row r="834" spans="1:9" x14ac:dyDescent="0.3">
      <c r="A834" t="s">
        <v>62</v>
      </c>
      <c r="B834" t="s">
        <v>30</v>
      </c>
      <c r="C834" t="s">
        <v>13</v>
      </c>
      <c r="D834" t="s">
        <v>14</v>
      </c>
      <c r="E834" t="s">
        <v>24</v>
      </c>
      <c r="F834">
        <v>2866.4</v>
      </c>
      <c r="G834">
        <f>INDEX(Operational[Production Volume (units)],MATCH(Emission8[[#This Row],[Facility ID]],Operational[Facility ID],0))</f>
        <v>22309</v>
      </c>
      <c r="H834">
        <f>INDEX(Operational[Energy Consumption (MWh)],MATCH(Emission8[[#This Row],[Facility ID]],Operational[Facility ID],0))</f>
        <v>3656.29</v>
      </c>
      <c r="I834">
        <f>INDEX(Operational[Waste (tons)],MATCH(Emission8[[#This Row],[Facility ID]],Operational[Facility ID],0))</f>
        <v>75.25</v>
      </c>
    </row>
    <row r="835" spans="1:9" x14ac:dyDescent="0.3">
      <c r="A835" t="s">
        <v>35</v>
      </c>
      <c r="B835" t="s">
        <v>19</v>
      </c>
      <c r="C835" t="s">
        <v>34</v>
      </c>
      <c r="D835" t="s">
        <v>14</v>
      </c>
      <c r="E835" t="s">
        <v>10</v>
      </c>
      <c r="F835">
        <v>4646.07</v>
      </c>
      <c r="G835">
        <f>INDEX(Operational[Production Volume (units)],MATCH(Emission8[[#This Row],[Facility ID]],Operational[Facility ID],0))</f>
        <v>42382</v>
      </c>
      <c r="H835">
        <f>INDEX(Operational[Energy Consumption (MWh)],MATCH(Emission8[[#This Row],[Facility ID]],Operational[Facility ID],0))</f>
        <v>5116.6899999999996</v>
      </c>
      <c r="I835">
        <f>INDEX(Operational[Waste (tons)],MATCH(Emission8[[#This Row],[Facility ID]],Operational[Facility ID],0))</f>
        <v>80.42</v>
      </c>
    </row>
    <row r="836" spans="1:9" x14ac:dyDescent="0.3">
      <c r="A836" t="s">
        <v>73</v>
      </c>
      <c r="B836" t="s">
        <v>30</v>
      </c>
      <c r="C836" t="s">
        <v>23</v>
      </c>
      <c r="D836" t="s">
        <v>9</v>
      </c>
      <c r="E836" t="s">
        <v>10</v>
      </c>
      <c r="F836">
        <v>858.76</v>
      </c>
      <c r="G836">
        <f>INDEX(Operational[Production Volume (units)],MATCH(Emission8[[#This Row],[Facility ID]],Operational[Facility ID],0))</f>
        <v>55974</v>
      </c>
      <c r="H836">
        <f>INDEX(Operational[Energy Consumption (MWh)],MATCH(Emission8[[#This Row],[Facility ID]],Operational[Facility ID],0))</f>
        <v>7542.28</v>
      </c>
      <c r="I836">
        <f>INDEX(Operational[Waste (tons)],MATCH(Emission8[[#This Row],[Facility ID]],Operational[Facility ID],0))</f>
        <v>72.430000000000007</v>
      </c>
    </row>
    <row r="837" spans="1:9" x14ac:dyDescent="0.3">
      <c r="A837" t="s">
        <v>111</v>
      </c>
      <c r="B837" t="s">
        <v>19</v>
      </c>
      <c r="C837" t="s">
        <v>34</v>
      </c>
      <c r="D837" t="s">
        <v>14</v>
      </c>
      <c r="E837" t="s">
        <v>10</v>
      </c>
      <c r="F837">
        <v>2645.6</v>
      </c>
      <c r="G837">
        <f>INDEX(Operational[Production Volume (units)],MATCH(Emission8[[#This Row],[Facility ID]],Operational[Facility ID],0))</f>
        <v>37309</v>
      </c>
      <c r="H837">
        <f>INDEX(Operational[Energy Consumption (MWh)],MATCH(Emission8[[#This Row],[Facility ID]],Operational[Facility ID],0))</f>
        <v>4508.54</v>
      </c>
      <c r="I837">
        <f>INDEX(Operational[Waste (tons)],MATCH(Emission8[[#This Row],[Facility ID]],Operational[Facility ID],0))</f>
        <v>47.15</v>
      </c>
    </row>
    <row r="838" spans="1:9" x14ac:dyDescent="0.3">
      <c r="A838" t="s">
        <v>153</v>
      </c>
      <c r="B838" t="s">
        <v>7</v>
      </c>
      <c r="C838" t="s">
        <v>23</v>
      </c>
      <c r="D838" t="s">
        <v>9</v>
      </c>
      <c r="E838" t="s">
        <v>10</v>
      </c>
      <c r="F838">
        <v>4396.45</v>
      </c>
      <c r="G838">
        <f>INDEX(Operational[Production Volume (units)],MATCH(Emission8[[#This Row],[Facility ID]],Operational[Facility ID],0))</f>
        <v>21388</v>
      </c>
      <c r="H838">
        <f>INDEX(Operational[Energy Consumption (MWh)],MATCH(Emission8[[#This Row],[Facility ID]],Operational[Facility ID],0))</f>
        <v>5249.39</v>
      </c>
      <c r="I838">
        <f>INDEX(Operational[Waste (tons)],MATCH(Emission8[[#This Row],[Facility ID]],Operational[Facility ID],0))</f>
        <v>64.2</v>
      </c>
    </row>
    <row r="839" spans="1:9" x14ac:dyDescent="0.3">
      <c r="A839" t="s">
        <v>64</v>
      </c>
      <c r="B839" t="s">
        <v>30</v>
      </c>
      <c r="C839" t="s">
        <v>8</v>
      </c>
      <c r="D839" t="s">
        <v>9</v>
      </c>
      <c r="E839" t="s">
        <v>15</v>
      </c>
      <c r="F839">
        <v>2468.89</v>
      </c>
      <c r="G839">
        <f>INDEX(Operational[Production Volume (units)],MATCH(Emission8[[#This Row],[Facility ID]],Operational[Facility ID],0))</f>
        <v>52836</v>
      </c>
      <c r="H839">
        <f>INDEX(Operational[Energy Consumption (MWh)],MATCH(Emission8[[#This Row],[Facility ID]],Operational[Facility ID],0))</f>
        <v>9330.2999999999993</v>
      </c>
      <c r="I839">
        <f>INDEX(Operational[Waste (tons)],MATCH(Emission8[[#This Row],[Facility ID]],Operational[Facility ID],0))</f>
        <v>87.27</v>
      </c>
    </row>
    <row r="840" spans="1:9" x14ac:dyDescent="0.3">
      <c r="A840" t="s">
        <v>108</v>
      </c>
      <c r="B840" t="s">
        <v>7</v>
      </c>
      <c r="C840" t="s">
        <v>13</v>
      </c>
      <c r="D840" t="s">
        <v>14</v>
      </c>
      <c r="E840" t="s">
        <v>24</v>
      </c>
      <c r="F840">
        <v>3901.9</v>
      </c>
      <c r="G840">
        <f>INDEX(Operational[Production Volume (units)],MATCH(Emission8[[#This Row],[Facility ID]],Operational[Facility ID],0))</f>
        <v>22201</v>
      </c>
      <c r="H840">
        <f>INDEX(Operational[Energy Consumption (MWh)],MATCH(Emission8[[#This Row],[Facility ID]],Operational[Facility ID],0))</f>
        <v>2853.66</v>
      </c>
      <c r="I840">
        <f>INDEX(Operational[Waste (tons)],MATCH(Emission8[[#This Row],[Facility ID]],Operational[Facility ID],0))</f>
        <v>71.94</v>
      </c>
    </row>
    <row r="841" spans="1:9" x14ac:dyDescent="0.3">
      <c r="A841" t="s">
        <v>193</v>
      </c>
      <c r="B841" t="s">
        <v>12</v>
      </c>
      <c r="C841" t="s">
        <v>23</v>
      </c>
      <c r="D841" t="s">
        <v>9</v>
      </c>
      <c r="E841" t="s">
        <v>24</v>
      </c>
      <c r="F841">
        <v>2711</v>
      </c>
      <c r="G841">
        <f>INDEX(Operational[Production Volume (units)],MATCH(Emission8[[#This Row],[Facility ID]],Operational[Facility ID],0))</f>
        <v>13333</v>
      </c>
      <c r="H841">
        <f>INDEX(Operational[Energy Consumption (MWh)],MATCH(Emission8[[#This Row],[Facility ID]],Operational[Facility ID],0))</f>
        <v>6102.15</v>
      </c>
      <c r="I841">
        <f>INDEX(Operational[Waste (tons)],MATCH(Emission8[[#This Row],[Facility ID]],Operational[Facility ID],0))</f>
        <v>17.670000000000002</v>
      </c>
    </row>
    <row r="842" spans="1:9" x14ac:dyDescent="0.3">
      <c r="A842" t="s">
        <v>110</v>
      </c>
      <c r="B842" t="s">
        <v>12</v>
      </c>
      <c r="C842" t="s">
        <v>13</v>
      </c>
      <c r="D842" t="s">
        <v>9</v>
      </c>
      <c r="E842" t="s">
        <v>24</v>
      </c>
      <c r="F842">
        <v>1971.3</v>
      </c>
      <c r="G842">
        <f>INDEX(Operational[Production Volume (units)],MATCH(Emission8[[#This Row],[Facility ID]],Operational[Facility ID],0))</f>
        <v>70481</v>
      </c>
      <c r="H842">
        <f>INDEX(Operational[Energy Consumption (MWh)],MATCH(Emission8[[#This Row],[Facility ID]],Operational[Facility ID],0))</f>
        <v>4452.83</v>
      </c>
      <c r="I842">
        <f>INDEX(Operational[Waste (tons)],MATCH(Emission8[[#This Row],[Facility ID]],Operational[Facility ID],0))</f>
        <v>91.26</v>
      </c>
    </row>
    <row r="843" spans="1:9" x14ac:dyDescent="0.3">
      <c r="A843" t="s">
        <v>189</v>
      </c>
      <c r="B843" t="s">
        <v>19</v>
      </c>
      <c r="C843" t="s">
        <v>13</v>
      </c>
      <c r="D843" t="s">
        <v>14</v>
      </c>
      <c r="E843" t="s">
        <v>24</v>
      </c>
      <c r="F843">
        <v>4296.74</v>
      </c>
      <c r="G843">
        <f>INDEX(Operational[Production Volume (units)],MATCH(Emission8[[#This Row],[Facility ID]],Operational[Facility ID],0))</f>
        <v>27681</v>
      </c>
      <c r="H843">
        <f>INDEX(Operational[Energy Consumption (MWh)],MATCH(Emission8[[#This Row],[Facility ID]],Operational[Facility ID],0))</f>
        <v>928.26</v>
      </c>
      <c r="I843">
        <f>INDEX(Operational[Waste (tons)],MATCH(Emission8[[#This Row],[Facility ID]],Operational[Facility ID],0))</f>
        <v>44.97</v>
      </c>
    </row>
    <row r="844" spans="1:9" x14ac:dyDescent="0.3">
      <c r="A844" t="s">
        <v>87</v>
      </c>
      <c r="B844" t="s">
        <v>12</v>
      </c>
      <c r="C844" t="s">
        <v>23</v>
      </c>
      <c r="D844" t="s">
        <v>28</v>
      </c>
      <c r="E844" t="s">
        <v>24</v>
      </c>
      <c r="F844">
        <v>3792.89</v>
      </c>
      <c r="G844">
        <f>INDEX(Operational[Production Volume (units)],MATCH(Emission8[[#This Row],[Facility ID]],Operational[Facility ID],0))</f>
        <v>15333</v>
      </c>
      <c r="H844">
        <f>INDEX(Operational[Energy Consumption (MWh)],MATCH(Emission8[[#This Row],[Facility ID]],Operational[Facility ID],0))</f>
        <v>2570.54</v>
      </c>
      <c r="I844">
        <f>INDEX(Operational[Waste (tons)],MATCH(Emission8[[#This Row],[Facility ID]],Operational[Facility ID],0))</f>
        <v>41.07</v>
      </c>
    </row>
    <row r="845" spans="1:9" x14ac:dyDescent="0.3">
      <c r="A845" t="s">
        <v>99</v>
      </c>
      <c r="B845" t="s">
        <v>19</v>
      </c>
      <c r="C845" t="s">
        <v>34</v>
      </c>
      <c r="D845" t="s">
        <v>28</v>
      </c>
      <c r="E845" t="s">
        <v>15</v>
      </c>
      <c r="F845">
        <v>1486.21</v>
      </c>
      <c r="G845">
        <f>INDEX(Operational[Production Volume (units)],MATCH(Emission8[[#This Row],[Facility ID]],Operational[Facility ID],0))</f>
        <v>77400</v>
      </c>
      <c r="H845">
        <f>INDEX(Operational[Energy Consumption (MWh)],MATCH(Emission8[[#This Row],[Facility ID]],Operational[Facility ID],0))</f>
        <v>7504.8</v>
      </c>
      <c r="I845">
        <f>INDEX(Operational[Waste (tons)],MATCH(Emission8[[#This Row],[Facility ID]],Operational[Facility ID],0))</f>
        <v>68.819999999999993</v>
      </c>
    </row>
    <row r="846" spans="1:9" x14ac:dyDescent="0.3">
      <c r="A846" t="s">
        <v>216</v>
      </c>
      <c r="B846" t="s">
        <v>17</v>
      </c>
      <c r="C846" t="s">
        <v>34</v>
      </c>
      <c r="D846" t="s">
        <v>28</v>
      </c>
      <c r="E846" t="s">
        <v>15</v>
      </c>
      <c r="F846">
        <v>2653.12</v>
      </c>
      <c r="G846">
        <f>INDEX(Operational[Production Volume (units)],MATCH(Emission8[[#This Row],[Facility ID]],Operational[Facility ID],0))</f>
        <v>13302</v>
      </c>
      <c r="H846">
        <f>INDEX(Operational[Energy Consumption (MWh)],MATCH(Emission8[[#This Row],[Facility ID]],Operational[Facility ID],0))</f>
        <v>821.51</v>
      </c>
      <c r="I846">
        <f>INDEX(Operational[Waste (tons)],MATCH(Emission8[[#This Row],[Facility ID]],Operational[Facility ID],0))</f>
        <v>69.599999999999994</v>
      </c>
    </row>
    <row r="847" spans="1:9" x14ac:dyDescent="0.3">
      <c r="A847" t="s">
        <v>181</v>
      </c>
      <c r="B847" t="s">
        <v>30</v>
      </c>
      <c r="C847" t="s">
        <v>23</v>
      </c>
      <c r="D847" t="s">
        <v>14</v>
      </c>
      <c r="E847" t="s">
        <v>15</v>
      </c>
      <c r="F847">
        <v>4329.05</v>
      </c>
      <c r="G847">
        <f>INDEX(Operational[Production Volume (units)],MATCH(Emission8[[#This Row],[Facility ID]],Operational[Facility ID],0))</f>
        <v>28704</v>
      </c>
      <c r="H847">
        <f>INDEX(Operational[Energy Consumption (MWh)],MATCH(Emission8[[#This Row],[Facility ID]],Operational[Facility ID],0))</f>
        <v>6009.24</v>
      </c>
      <c r="I847">
        <f>INDEX(Operational[Waste (tons)],MATCH(Emission8[[#This Row],[Facility ID]],Operational[Facility ID],0))</f>
        <v>39.31</v>
      </c>
    </row>
    <row r="848" spans="1:9" x14ac:dyDescent="0.3">
      <c r="A848" t="s">
        <v>184</v>
      </c>
      <c r="B848" t="s">
        <v>30</v>
      </c>
      <c r="C848" t="s">
        <v>13</v>
      </c>
      <c r="D848" t="s">
        <v>9</v>
      </c>
      <c r="E848" t="s">
        <v>10</v>
      </c>
      <c r="F848">
        <v>3438.48</v>
      </c>
      <c r="G848">
        <f>INDEX(Operational[Production Volume (units)],MATCH(Emission8[[#This Row],[Facility ID]],Operational[Facility ID],0))</f>
        <v>13543</v>
      </c>
      <c r="H848">
        <f>INDEX(Operational[Energy Consumption (MWh)],MATCH(Emission8[[#This Row],[Facility ID]],Operational[Facility ID],0))</f>
        <v>7854.96</v>
      </c>
      <c r="I848">
        <f>INDEX(Operational[Waste (tons)],MATCH(Emission8[[#This Row],[Facility ID]],Operational[Facility ID],0))</f>
        <v>85.57</v>
      </c>
    </row>
    <row r="849" spans="1:9" x14ac:dyDescent="0.3">
      <c r="A849" t="s">
        <v>211</v>
      </c>
      <c r="B849" t="s">
        <v>7</v>
      </c>
      <c r="C849" t="s">
        <v>34</v>
      </c>
      <c r="D849" t="s">
        <v>9</v>
      </c>
      <c r="E849" t="s">
        <v>24</v>
      </c>
      <c r="F849">
        <v>4297.03</v>
      </c>
      <c r="G849">
        <f>INDEX(Operational[Production Volume (units)],MATCH(Emission8[[#This Row],[Facility ID]],Operational[Facility ID],0))</f>
        <v>27028</v>
      </c>
      <c r="H849">
        <f>INDEX(Operational[Energy Consumption (MWh)],MATCH(Emission8[[#This Row],[Facility ID]],Operational[Facility ID],0))</f>
        <v>4617.92</v>
      </c>
      <c r="I849">
        <f>INDEX(Operational[Waste (tons)],MATCH(Emission8[[#This Row],[Facility ID]],Operational[Facility ID],0))</f>
        <v>57.62</v>
      </c>
    </row>
    <row r="850" spans="1:9" x14ac:dyDescent="0.3">
      <c r="A850" t="s">
        <v>200</v>
      </c>
      <c r="B850" t="s">
        <v>30</v>
      </c>
      <c r="C850" t="s">
        <v>34</v>
      </c>
      <c r="D850" t="s">
        <v>9</v>
      </c>
      <c r="E850" t="s">
        <v>10</v>
      </c>
      <c r="F850">
        <v>1748.19</v>
      </c>
      <c r="G850">
        <f>INDEX(Operational[Production Volume (units)],MATCH(Emission8[[#This Row],[Facility ID]],Operational[Facility ID],0))</f>
        <v>46863</v>
      </c>
      <c r="H850">
        <f>INDEX(Operational[Energy Consumption (MWh)],MATCH(Emission8[[#This Row],[Facility ID]],Operational[Facility ID],0))</f>
        <v>6762.98</v>
      </c>
      <c r="I850">
        <f>INDEX(Operational[Waste (tons)],MATCH(Emission8[[#This Row],[Facility ID]],Operational[Facility ID],0))</f>
        <v>23.45</v>
      </c>
    </row>
    <row r="851" spans="1:9" x14ac:dyDescent="0.3">
      <c r="A851" t="s">
        <v>185</v>
      </c>
      <c r="B851" t="s">
        <v>30</v>
      </c>
      <c r="C851" t="s">
        <v>34</v>
      </c>
      <c r="D851" t="s">
        <v>9</v>
      </c>
      <c r="E851" t="s">
        <v>15</v>
      </c>
      <c r="F851">
        <v>2629.36</v>
      </c>
      <c r="G851">
        <f>INDEX(Operational[Production Volume (units)],MATCH(Emission8[[#This Row],[Facility ID]],Operational[Facility ID],0))</f>
        <v>24913</v>
      </c>
      <c r="H851">
        <f>INDEX(Operational[Energy Consumption (MWh)],MATCH(Emission8[[#This Row],[Facility ID]],Operational[Facility ID],0))</f>
        <v>5727.27</v>
      </c>
      <c r="I851">
        <f>INDEX(Operational[Waste (tons)],MATCH(Emission8[[#This Row],[Facility ID]],Operational[Facility ID],0))</f>
        <v>78.849999999999994</v>
      </c>
    </row>
    <row r="852" spans="1:9" x14ac:dyDescent="0.3">
      <c r="A852" t="s">
        <v>94</v>
      </c>
      <c r="B852" t="s">
        <v>7</v>
      </c>
      <c r="C852" t="s">
        <v>13</v>
      </c>
      <c r="D852" t="s">
        <v>9</v>
      </c>
      <c r="E852" t="s">
        <v>10</v>
      </c>
      <c r="F852">
        <v>4350.96</v>
      </c>
      <c r="G852">
        <f>INDEX(Operational[Production Volume (units)],MATCH(Emission8[[#This Row],[Facility ID]],Operational[Facility ID],0))</f>
        <v>26338</v>
      </c>
      <c r="H852">
        <f>INDEX(Operational[Energy Consumption (MWh)],MATCH(Emission8[[#This Row],[Facility ID]],Operational[Facility ID],0))</f>
        <v>578.73</v>
      </c>
      <c r="I852">
        <f>INDEX(Operational[Waste (tons)],MATCH(Emission8[[#This Row],[Facility ID]],Operational[Facility ID],0))</f>
        <v>72.52</v>
      </c>
    </row>
    <row r="853" spans="1:9" x14ac:dyDescent="0.3">
      <c r="A853" t="s">
        <v>142</v>
      </c>
      <c r="B853" t="s">
        <v>17</v>
      </c>
      <c r="C853" t="s">
        <v>34</v>
      </c>
      <c r="D853" t="s">
        <v>14</v>
      </c>
      <c r="E853" t="s">
        <v>10</v>
      </c>
      <c r="F853">
        <v>400</v>
      </c>
      <c r="G853">
        <f>INDEX(Operational[Production Volume (units)],MATCH(Emission8[[#This Row],[Facility ID]],Operational[Facility ID],0))</f>
        <v>75736</v>
      </c>
      <c r="H853">
        <f>INDEX(Operational[Energy Consumption (MWh)],MATCH(Emission8[[#This Row],[Facility ID]],Operational[Facility ID],0))</f>
        <v>6287.07</v>
      </c>
      <c r="I853">
        <f>INDEX(Operational[Waste (tons)],MATCH(Emission8[[#This Row],[Facility ID]],Operational[Facility ID],0))</f>
        <v>63.11</v>
      </c>
    </row>
    <row r="854" spans="1:9" x14ac:dyDescent="0.3">
      <c r="A854" t="s">
        <v>144</v>
      </c>
      <c r="B854" t="s">
        <v>30</v>
      </c>
      <c r="C854" t="s">
        <v>23</v>
      </c>
      <c r="D854" t="s">
        <v>28</v>
      </c>
      <c r="E854" t="s">
        <v>15</v>
      </c>
      <c r="F854">
        <v>4737.45</v>
      </c>
      <c r="G854">
        <f>INDEX(Operational[Production Volume (units)],MATCH(Emission8[[#This Row],[Facility ID]],Operational[Facility ID],0))</f>
        <v>11426</v>
      </c>
      <c r="H854">
        <f>INDEX(Operational[Energy Consumption (MWh)],MATCH(Emission8[[#This Row],[Facility ID]],Operational[Facility ID],0))</f>
        <v>4439.5600000000004</v>
      </c>
      <c r="I854">
        <f>INDEX(Operational[Waste (tons)],MATCH(Emission8[[#This Row],[Facility ID]],Operational[Facility ID],0))</f>
        <v>52.71</v>
      </c>
    </row>
    <row r="855" spans="1:9" x14ac:dyDescent="0.3">
      <c r="A855" t="s">
        <v>217</v>
      </c>
      <c r="B855" t="s">
        <v>19</v>
      </c>
      <c r="C855" t="s">
        <v>23</v>
      </c>
      <c r="D855" t="s">
        <v>28</v>
      </c>
      <c r="E855" t="s">
        <v>24</v>
      </c>
      <c r="F855">
        <v>2400.9</v>
      </c>
      <c r="G855">
        <f>INDEX(Operational[Production Volume (units)],MATCH(Emission8[[#This Row],[Facility ID]],Operational[Facility ID],0))</f>
        <v>80824</v>
      </c>
      <c r="H855">
        <f>INDEX(Operational[Energy Consumption (MWh)],MATCH(Emission8[[#This Row],[Facility ID]],Operational[Facility ID],0))</f>
        <v>2858.92</v>
      </c>
      <c r="I855">
        <f>INDEX(Operational[Waste (tons)],MATCH(Emission8[[#This Row],[Facility ID]],Operational[Facility ID],0))</f>
        <v>13.97</v>
      </c>
    </row>
    <row r="856" spans="1:9" x14ac:dyDescent="0.3">
      <c r="A856" t="s">
        <v>88</v>
      </c>
      <c r="B856" t="s">
        <v>7</v>
      </c>
      <c r="C856" t="s">
        <v>34</v>
      </c>
      <c r="D856" t="s">
        <v>14</v>
      </c>
      <c r="E856" t="s">
        <v>10</v>
      </c>
      <c r="F856">
        <v>3887.35</v>
      </c>
      <c r="G856">
        <f>INDEX(Operational[Production Volume (units)],MATCH(Emission8[[#This Row],[Facility ID]],Operational[Facility ID],0))</f>
        <v>44825</v>
      </c>
      <c r="H856">
        <f>INDEX(Operational[Energy Consumption (MWh)],MATCH(Emission8[[#This Row],[Facility ID]],Operational[Facility ID],0))</f>
        <v>6023.03</v>
      </c>
      <c r="I856">
        <f>INDEX(Operational[Waste (tons)],MATCH(Emission8[[#This Row],[Facility ID]],Operational[Facility ID],0))</f>
        <v>27.2</v>
      </c>
    </row>
    <row r="857" spans="1:9" x14ac:dyDescent="0.3">
      <c r="A857" t="s">
        <v>31</v>
      </c>
      <c r="B857" t="s">
        <v>30</v>
      </c>
      <c r="C857" t="s">
        <v>13</v>
      </c>
      <c r="D857" t="s">
        <v>14</v>
      </c>
      <c r="E857" t="s">
        <v>10</v>
      </c>
      <c r="F857">
        <v>3231.03</v>
      </c>
      <c r="G857">
        <f>INDEX(Operational[Production Volume (units)],MATCH(Emission8[[#This Row],[Facility ID]],Operational[Facility ID],0))</f>
        <v>84851</v>
      </c>
      <c r="H857">
        <f>INDEX(Operational[Energy Consumption (MWh)],MATCH(Emission8[[#This Row],[Facility ID]],Operational[Facility ID],0))</f>
        <v>560.75</v>
      </c>
      <c r="I857">
        <f>INDEX(Operational[Waste (tons)],MATCH(Emission8[[#This Row],[Facility ID]],Operational[Facility ID],0))</f>
        <v>80.23</v>
      </c>
    </row>
    <row r="858" spans="1:9" x14ac:dyDescent="0.3">
      <c r="A858" t="s">
        <v>85</v>
      </c>
      <c r="B858" t="s">
        <v>30</v>
      </c>
      <c r="C858" t="s">
        <v>34</v>
      </c>
      <c r="D858" t="s">
        <v>28</v>
      </c>
      <c r="E858" t="s">
        <v>24</v>
      </c>
      <c r="F858">
        <v>1139.33</v>
      </c>
      <c r="G858">
        <f>INDEX(Operational[Production Volume (units)],MATCH(Emission8[[#This Row],[Facility ID]],Operational[Facility ID],0))</f>
        <v>45519</v>
      </c>
      <c r="H858">
        <f>INDEX(Operational[Energy Consumption (MWh)],MATCH(Emission8[[#This Row],[Facility ID]],Operational[Facility ID],0))</f>
        <v>7987.69</v>
      </c>
      <c r="I858">
        <f>INDEX(Operational[Waste (tons)],MATCH(Emission8[[#This Row],[Facility ID]],Operational[Facility ID],0))</f>
        <v>10.86</v>
      </c>
    </row>
    <row r="859" spans="1:9" x14ac:dyDescent="0.3">
      <c r="A859" t="s">
        <v>171</v>
      </c>
      <c r="B859" t="s">
        <v>17</v>
      </c>
      <c r="C859" t="s">
        <v>34</v>
      </c>
      <c r="D859" t="s">
        <v>14</v>
      </c>
      <c r="E859" t="s">
        <v>15</v>
      </c>
      <c r="F859">
        <v>4799</v>
      </c>
      <c r="G859">
        <f>INDEX(Operational[Production Volume (units)],MATCH(Emission8[[#This Row],[Facility ID]],Operational[Facility ID],0))</f>
        <v>24502</v>
      </c>
      <c r="H859">
        <f>INDEX(Operational[Energy Consumption (MWh)],MATCH(Emission8[[#This Row],[Facility ID]],Operational[Facility ID],0))</f>
        <v>7466.86</v>
      </c>
      <c r="I859">
        <f>INDEX(Operational[Waste (tons)],MATCH(Emission8[[#This Row],[Facility ID]],Operational[Facility ID],0))</f>
        <v>88.83</v>
      </c>
    </row>
    <row r="860" spans="1:9" x14ac:dyDescent="0.3">
      <c r="A860" t="s">
        <v>26</v>
      </c>
      <c r="B860" t="s">
        <v>17</v>
      </c>
      <c r="C860" t="s">
        <v>8</v>
      </c>
      <c r="D860" t="s">
        <v>14</v>
      </c>
      <c r="E860" t="s">
        <v>24</v>
      </c>
      <c r="F860">
        <v>3657.83</v>
      </c>
      <c r="G860">
        <f>INDEX(Operational[Production Volume (units)],MATCH(Emission8[[#This Row],[Facility ID]],Operational[Facility ID],0))</f>
        <v>17311</v>
      </c>
      <c r="H860">
        <f>INDEX(Operational[Energy Consumption (MWh)],MATCH(Emission8[[#This Row],[Facility ID]],Operational[Facility ID],0))</f>
        <v>2257.38</v>
      </c>
      <c r="I860">
        <f>INDEX(Operational[Waste (tons)],MATCH(Emission8[[#This Row],[Facility ID]],Operational[Facility ID],0))</f>
        <v>91.07</v>
      </c>
    </row>
    <row r="861" spans="1:9" x14ac:dyDescent="0.3">
      <c r="A861" t="s">
        <v>195</v>
      </c>
      <c r="B861" t="s">
        <v>7</v>
      </c>
      <c r="C861" t="s">
        <v>23</v>
      </c>
      <c r="D861" t="s">
        <v>9</v>
      </c>
      <c r="E861" t="s">
        <v>10</v>
      </c>
      <c r="F861">
        <v>2571.46</v>
      </c>
      <c r="G861">
        <f>INDEX(Operational[Production Volume (units)],MATCH(Emission8[[#This Row],[Facility ID]],Operational[Facility ID],0))</f>
        <v>68278</v>
      </c>
      <c r="H861">
        <f>INDEX(Operational[Energy Consumption (MWh)],MATCH(Emission8[[#This Row],[Facility ID]],Operational[Facility ID],0))</f>
        <v>3272.65</v>
      </c>
      <c r="I861">
        <f>INDEX(Operational[Waste (tons)],MATCH(Emission8[[#This Row],[Facility ID]],Operational[Facility ID],0))</f>
        <v>30.47</v>
      </c>
    </row>
    <row r="862" spans="1:9" x14ac:dyDescent="0.3">
      <c r="A862" t="s">
        <v>154</v>
      </c>
      <c r="B862" t="s">
        <v>12</v>
      </c>
      <c r="C862" t="s">
        <v>8</v>
      </c>
      <c r="D862" t="s">
        <v>14</v>
      </c>
      <c r="E862" t="s">
        <v>24</v>
      </c>
      <c r="F862">
        <v>3338</v>
      </c>
      <c r="G862">
        <f>INDEX(Operational[Production Volume (units)],MATCH(Emission8[[#This Row],[Facility ID]],Operational[Facility ID],0))</f>
        <v>87012</v>
      </c>
      <c r="H862">
        <f>INDEX(Operational[Energy Consumption (MWh)],MATCH(Emission8[[#This Row],[Facility ID]],Operational[Facility ID],0))</f>
        <v>7478.13</v>
      </c>
      <c r="I862">
        <f>INDEX(Operational[Waste (tons)],MATCH(Emission8[[#This Row],[Facility ID]],Operational[Facility ID],0))</f>
        <v>27.22</v>
      </c>
    </row>
    <row r="863" spans="1:9" x14ac:dyDescent="0.3">
      <c r="A863" t="s">
        <v>115</v>
      </c>
      <c r="B863" t="s">
        <v>19</v>
      </c>
      <c r="C863" t="s">
        <v>13</v>
      </c>
      <c r="D863" t="s">
        <v>28</v>
      </c>
      <c r="E863" t="s">
        <v>24</v>
      </c>
      <c r="F863">
        <v>4623.8100000000004</v>
      </c>
      <c r="G863">
        <f>INDEX(Operational[Production Volume (units)],MATCH(Emission8[[#This Row],[Facility ID]],Operational[Facility ID],0))</f>
        <v>17162</v>
      </c>
      <c r="H863">
        <f>INDEX(Operational[Energy Consumption (MWh)],MATCH(Emission8[[#This Row],[Facility ID]],Operational[Facility ID],0))</f>
        <v>5079.95</v>
      </c>
      <c r="I863">
        <f>INDEX(Operational[Waste (tons)],MATCH(Emission8[[#This Row],[Facility ID]],Operational[Facility ID],0))</f>
        <v>19.239999999999998</v>
      </c>
    </row>
    <row r="864" spans="1:9" x14ac:dyDescent="0.3">
      <c r="A864" t="s">
        <v>140</v>
      </c>
      <c r="B864" t="s">
        <v>17</v>
      </c>
      <c r="C864" t="s">
        <v>13</v>
      </c>
      <c r="D864" t="s">
        <v>28</v>
      </c>
      <c r="E864" t="s">
        <v>15</v>
      </c>
      <c r="F864">
        <v>3591.86</v>
      </c>
      <c r="G864">
        <f>INDEX(Operational[Production Volume (units)],MATCH(Emission8[[#This Row],[Facility ID]],Operational[Facility ID],0))</f>
        <v>88308</v>
      </c>
      <c r="H864">
        <f>INDEX(Operational[Energy Consumption (MWh)],MATCH(Emission8[[#This Row],[Facility ID]],Operational[Facility ID],0))</f>
        <v>7802.07</v>
      </c>
      <c r="I864">
        <f>INDEX(Operational[Waste (tons)],MATCH(Emission8[[#This Row],[Facility ID]],Operational[Facility ID],0))</f>
        <v>36.130000000000003</v>
      </c>
    </row>
    <row r="865" spans="1:9" x14ac:dyDescent="0.3">
      <c r="A865" t="s">
        <v>128</v>
      </c>
      <c r="B865" t="s">
        <v>12</v>
      </c>
      <c r="C865" t="s">
        <v>8</v>
      </c>
      <c r="D865" t="s">
        <v>9</v>
      </c>
      <c r="E865" t="s">
        <v>15</v>
      </c>
      <c r="F865">
        <v>2370.4499999999998</v>
      </c>
      <c r="G865">
        <f>INDEX(Operational[Production Volume (units)],MATCH(Emission8[[#This Row],[Facility ID]],Operational[Facility ID],0))</f>
        <v>29406</v>
      </c>
      <c r="H865">
        <f>INDEX(Operational[Energy Consumption (MWh)],MATCH(Emission8[[#This Row],[Facility ID]],Operational[Facility ID],0))</f>
        <v>5281.69</v>
      </c>
      <c r="I865">
        <f>INDEX(Operational[Waste (tons)],MATCH(Emission8[[#This Row],[Facility ID]],Operational[Facility ID],0))</f>
        <v>27.01</v>
      </c>
    </row>
    <row r="866" spans="1:9" x14ac:dyDescent="0.3">
      <c r="A866" t="s">
        <v>76</v>
      </c>
      <c r="B866" t="s">
        <v>17</v>
      </c>
      <c r="C866" t="s">
        <v>34</v>
      </c>
      <c r="D866" t="s">
        <v>9</v>
      </c>
      <c r="E866" t="s">
        <v>10</v>
      </c>
      <c r="F866">
        <v>3703.06</v>
      </c>
      <c r="G866">
        <f>INDEX(Operational[Production Volume (units)],MATCH(Emission8[[#This Row],[Facility ID]],Operational[Facility ID],0))</f>
        <v>59617</v>
      </c>
      <c r="H866">
        <f>INDEX(Operational[Energy Consumption (MWh)],MATCH(Emission8[[#This Row],[Facility ID]],Operational[Facility ID],0))</f>
        <v>5000.95</v>
      </c>
      <c r="I866">
        <f>INDEX(Operational[Waste (tons)],MATCH(Emission8[[#This Row],[Facility ID]],Operational[Facility ID],0))</f>
        <v>80.36</v>
      </c>
    </row>
    <row r="867" spans="1:9" x14ac:dyDescent="0.3">
      <c r="A867" t="s">
        <v>6</v>
      </c>
      <c r="B867" t="s">
        <v>7</v>
      </c>
      <c r="C867" t="s">
        <v>34</v>
      </c>
      <c r="D867" t="s">
        <v>14</v>
      </c>
      <c r="E867" t="s">
        <v>15</v>
      </c>
      <c r="F867">
        <v>2135.3200000000002</v>
      </c>
      <c r="G867">
        <f>INDEX(Operational[Production Volume (units)],MATCH(Emission8[[#This Row],[Facility ID]],Operational[Facility ID],0))</f>
        <v>77330</v>
      </c>
      <c r="H867">
        <f>INDEX(Operational[Energy Consumption (MWh)],MATCH(Emission8[[#This Row],[Facility ID]],Operational[Facility ID],0))</f>
        <v>6936.58</v>
      </c>
      <c r="I867">
        <f>INDEX(Operational[Waste (tons)],MATCH(Emission8[[#This Row],[Facility ID]],Operational[Facility ID],0))</f>
        <v>82.3</v>
      </c>
    </row>
    <row r="868" spans="1:9" x14ac:dyDescent="0.3">
      <c r="A868" t="s">
        <v>179</v>
      </c>
      <c r="B868" t="s">
        <v>7</v>
      </c>
      <c r="C868" t="s">
        <v>23</v>
      </c>
      <c r="D868" t="s">
        <v>9</v>
      </c>
      <c r="E868" t="s">
        <v>15</v>
      </c>
      <c r="F868">
        <v>4016.48</v>
      </c>
      <c r="G868">
        <f>INDEX(Operational[Production Volume (units)],MATCH(Emission8[[#This Row],[Facility ID]],Operational[Facility ID],0))</f>
        <v>94393</v>
      </c>
      <c r="H868">
        <f>INDEX(Operational[Energy Consumption (MWh)],MATCH(Emission8[[#This Row],[Facility ID]],Operational[Facility ID],0))</f>
        <v>6691.7</v>
      </c>
      <c r="I868">
        <f>INDEX(Operational[Waste (tons)],MATCH(Emission8[[#This Row],[Facility ID]],Operational[Facility ID],0))</f>
        <v>74.790000000000006</v>
      </c>
    </row>
    <row r="869" spans="1:9" x14ac:dyDescent="0.3">
      <c r="A869" t="s">
        <v>210</v>
      </c>
      <c r="B869" t="s">
        <v>7</v>
      </c>
      <c r="C869" t="s">
        <v>8</v>
      </c>
      <c r="D869" t="s">
        <v>28</v>
      </c>
      <c r="E869" t="s">
        <v>24</v>
      </c>
      <c r="F869">
        <v>2536.5</v>
      </c>
      <c r="G869">
        <f>INDEX(Operational[Production Volume (units)],MATCH(Emission8[[#This Row],[Facility ID]],Operational[Facility ID],0))</f>
        <v>65666</v>
      </c>
      <c r="H869">
        <f>INDEX(Operational[Energy Consumption (MWh)],MATCH(Emission8[[#This Row],[Facility ID]],Operational[Facility ID],0))</f>
        <v>7269.98</v>
      </c>
      <c r="I869">
        <f>INDEX(Operational[Waste (tons)],MATCH(Emission8[[#This Row],[Facility ID]],Operational[Facility ID],0))</f>
        <v>75.62</v>
      </c>
    </row>
    <row r="870" spans="1:9" x14ac:dyDescent="0.3">
      <c r="A870" t="s">
        <v>88</v>
      </c>
      <c r="B870" t="s">
        <v>7</v>
      </c>
      <c r="C870" t="s">
        <v>13</v>
      </c>
      <c r="D870" t="s">
        <v>14</v>
      </c>
      <c r="E870" t="s">
        <v>15</v>
      </c>
      <c r="F870">
        <v>4254.34</v>
      </c>
      <c r="G870">
        <f>INDEX(Operational[Production Volume (units)],MATCH(Emission8[[#This Row],[Facility ID]],Operational[Facility ID],0))</f>
        <v>44825</v>
      </c>
      <c r="H870">
        <f>INDEX(Operational[Energy Consumption (MWh)],MATCH(Emission8[[#This Row],[Facility ID]],Operational[Facility ID],0))</f>
        <v>6023.03</v>
      </c>
      <c r="I870">
        <f>INDEX(Operational[Waste (tons)],MATCH(Emission8[[#This Row],[Facility ID]],Operational[Facility ID],0))</f>
        <v>27.2</v>
      </c>
    </row>
    <row r="871" spans="1:9" x14ac:dyDescent="0.3">
      <c r="A871" t="s">
        <v>82</v>
      </c>
      <c r="B871" t="s">
        <v>17</v>
      </c>
      <c r="C871" t="s">
        <v>34</v>
      </c>
      <c r="D871" t="s">
        <v>14</v>
      </c>
      <c r="E871" t="s">
        <v>15</v>
      </c>
      <c r="F871">
        <v>1897.31</v>
      </c>
      <c r="G871">
        <f>INDEX(Operational[Production Volume (units)],MATCH(Emission8[[#This Row],[Facility ID]],Operational[Facility ID],0))</f>
        <v>93409</v>
      </c>
      <c r="H871">
        <f>INDEX(Operational[Energy Consumption (MWh)],MATCH(Emission8[[#This Row],[Facility ID]],Operational[Facility ID],0))</f>
        <v>2375.83</v>
      </c>
      <c r="I871">
        <f>INDEX(Operational[Waste (tons)],MATCH(Emission8[[#This Row],[Facility ID]],Operational[Facility ID],0))</f>
        <v>5.83</v>
      </c>
    </row>
    <row r="872" spans="1:9" x14ac:dyDescent="0.3">
      <c r="A872" t="s">
        <v>82</v>
      </c>
      <c r="B872" t="s">
        <v>17</v>
      </c>
      <c r="C872" t="s">
        <v>8</v>
      </c>
      <c r="D872" t="s">
        <v>14</v>
      </c>
      <c r="E872" t="s">
        <v>15</v>
      </c>
      <c r="F872">
        <v>4286.67</v>
      </c>
      <c r="G872">
        <f>INDEX(Operational[Production Volume (units)],MATCH(Emission8[[#This Row],[Facility ID]],Operational[Facility ID],0))</f>
        <v>93409</v>
      </c>
      <c r="H872">
        <f>INDEX(Operational[Energy Consumption (MWh)],MATCH(Emission8[[#This Row],[Facility ID]],Operational[Facility ID],0))</f>
        <v>2375.83</v>
      </c>
      <c r="I872">
        <f>INDEX(Operational[Waste (tons)],MATCH(Emission8[[#This Row],[Facility ID]],Operational[Facility ID],0))</f>
        <v>5.83</v>
      </c>
    </row>
    <row r="873" spans="1:9" x14ac:dyDescent="0.3">
      <c r="A873" t="s">
        <v>83</v>
      </c>
      <c r="B873" t="s">
        <v>17</v>
      </c>
      <c r="C873" t="s">
        <v>8</v>
      </c>
      <c r="D873" t="s">
        <v>28</v>
      </c>
      <c r="E873" t="s">
        <v>15</v>
      </c>
      <c r="F873">
        <v>2709.88</v>
      </c>
      <c r="G873">
        <f>INDEX(Operational[Production Volume (units)],MATCH(Emission8[[#This Row],[Facility ID]],Operational[Facility ID],0))</f>
        <v>30934</v>
      </c>
      <c r="H873">
        <f>INDEX(Operational[Energy Consumption (MWh)],MATCH(Emission8[[#This Row],[Facility ID]],Operational[Facility ID],0))</f>
        <v>4175.6499999999996</v>
      </c>
      <c r="I873">
        <f>INDEX(Operational[Waste (tons)],MATCH(Emission8[[#This Row],[Facility ID]],Operational[Facility ID],0))</f>
        <v>77.290000000000006</v>
      </c>
    </row>
    <row r="874" spans="1:9" x14ac:dyDescent="0.3">
      <c r="A874" t="s">
        <v>91</v>
      </c>
      <c r="B874" t="s">
        <v>30</v>
      </c>
      <c r="C874" t="s">
        <v>13</v>
      </c>
      <c r="D874" t="s">
        <v>28</v>
      </c>
      <c r="E874" t="s">
        <v>15</v>
      </c>
      <c r="F874">
        <v>4482.51</v>
      </c>
      <c r="G874">
        <f>INDEX(Operational[Production Volume (units)],MATCH(Emission8[[#This Row],[Facility ID]],Operational[Facility ID],0))</f>
        <v>20207</v>
      </c>
      <c r="H874">
        <f>INDEX(Operational[Energy Consumption (MWh)],MATCH(Emission8[[#This Row],[Facility ID]],Operational[Facility ID],0))</f>
        <v>5369.46</v>
      </c>
      <c r="I874">
        <f>INDEX(Operational[Waste (tons)],MATCH(Emission8[[#This Row],[Facility ID]],Operational[Facility ID],0))</f>
        <v>57.51</v>
      </c>
    </row>
    <row r="875" spans="1:9" x14ac:dyDescent="0.3">
      <c r="A875" t="s">
        <v>62</v>
      </c>
      <c r="B875" t="s">
        <v>30</v>
      </c>
      <c r="C875" t="s">
        <v>34</v>
      </c>
      <c r="D875" t="s">
        <v>28</v>
      </c>
      <c r="E875" t="s">
        <v>24</v>
      </c>
      <c r="F875">
        <v>4156</v>
      </c>
      <c r="G875">
        <f>INDEX(Operational[Production Volume (units)],MATCH(Emission8[[#This Row],[Facility ID]],Operational[Facility ID],0))</f>
        <v>22309</v>
      </c>
      <c r="H875">
        <f>INDEX(Operational[Energy Consumption (MWh)],MATCH(Emission8[[#This Row],[Facility ID]],Operational[Facility ID],0))</f>
        <v>3656.29</v>
      </c>
      <c r="I875">
        <f>INDEX(Operational[Waste (tons)],MATCH(Emission8[[#This Row],[Facility ID]],Operational[Facility ID],0))</f>
        <v>75.25</v>
      </c>
    </row>
    <row r="876" spans="1:9" x14ac:dyDescent="0.3">
      <c r="A876" t="s">
        <v>41</v>
      </c>
      <c r="B876" t="s">
        <v>30</v>
      </c>
      <c r="C876" t="s">
        <v>34</v>
      </c>
      <c r="D876" t="s">
        <v>9</v>
      </c>
      <c r="E876" t="s">
        <v>10</v>
      </c>
      <c r="F876">
        <v>2731.89</v>
      </c>
      <c r="G876">
        <f>INDEX(Operational[Production Volume (units)],MATCH(Emission8[[#This Row],[Facility ID]],Operational[Facility ID],0))</f>
        <v>61743</v>
      </c>
      <c r="H876">
        <f>INDEX(Operational[Energy Consumption (MWh)],MATCH(Emission8[[#This Row],[Facility ID]],Operational[Facility ID],0))</f>
        <v>7426.75</v>
      </c>
      <c r="I876">
        <f>INDEX(Operational[Waste (tons)],MATCH(Emission8[[#This Row],[Facility ID]],Operational[Facility ID],0))</f>
        <v>26.39</v>
      </c>
    </row>
    <row r="877" spans="1:9" x14ac:dyDescent="0.3">
      <c r="A877" t="s">
        <v>180</v>
      </c>
      <c r="B877" t="s">
        <v>30</v>
      </c>
      <c r="C877" t="s">
        <v>8</v>
      </c>
      <c r="D877" t="s">
        <v>9</v>
      </c>
      <c r="E877" t="s">
        <v>24</v>
      </c>
      <c r="F877">
        <v>84.4</v>
      </c>
      <c r="G877">
        <f>INDEX(Operational[Production Volume (units)],MATCH(Emission8[[#This Row],[Facility ID]],Operational[Facility ID],0))</f>
        <v>72846</v>
      </c>
      <c r="H877">
        <f>INDEX(Operational[Energy Consumption (MWh)],MATCH(Emission8[[#This Row],[Facility ID]],Operational[Facility ID],0))</f>
        <v>5169.53</v>
      </c>
      <c r="I877">
        <f>INDEX(Operational[Waste (tons)],MATCH(Emission8[[#This Row],[Facility ID]],Operational[Facility ID],0))</f>
        <v>76.709999999999994</v>
      </c>
    </row>
    <row r="878" spans="1:9" x14ac:dyDescent="0.3">
      <c r="A878" t="s">
        <v>166</v>
      </c>
      <c r="B878" t="s">
        <v>7</v>
      </c>
      <c r="C878" t="s">
        <v>34</v>
      </c>
      <c r="D878" t="s">
        <v>14</v>
      </c>
      <c r="E878" t="s">
        <v>15</v>
      </c>
      <c r="F878">
        <v>84.55</v>
      </c>
      <c r="G878">
        <f>INDEX(Operational[Production Volume (units)],MATCH(Emission8[[#This Row],[Facility ID]],Operational[Facility ID],0))</f>
        <v>34318</v>
      </c>
      <c r="H878">
        <f>INDEX(Operational[Energy Consumption (MWh)],MATCH(Emission8[[#This Row],[Facility ID]],Operational[Facility ID],0))</f>
        <v>675.67</v>
      </c>
      <c r="I878">
        <f>INDEX(Operational[Waste (tons)],MATCH(Emission8[[#This Row],[Facility ID]],Operational[Facility ID],0))</f>
        <v>41.05</v>
      </c>
    </row>
    <row r="879" spans="1:9" x14ac:dyDescent="0.3">
      <c r="A879" t="s">
        <v>129</v>
      </c>
      <c r="B879" t="s">
        <v>17</v>
      </c>
      <c r="C879" t="s">
        <v>23</v>
      </c>
      <c r="D879" t="s">
        <v>14</v>
      </c>
      <c r="E879" t="s">
        <v>10</v>
      </c>
      <c r="F879">
        <v>3865.97</v>
      </c>
      <c r="G879">
        <f>INDEX(Operational[Production Volume (units)],MATCH(Emission8[[#This Row],[Facility ID]],Operational[Facility ID],0))</f>
        <v>95292</v>
      </c>
      <c r="H879">
        <f>INDEX(Operational[Energy Consumption (MWh)],MATCH(Emission8[[#This Row],[Facility ID]],Operational[Facility ID],0))</f>
        <v>697.47</v>
      </c>
      <c r="I879">
        <f>INDEX(Operational[Waste (tons)],MATCH(Emission8[[#This Row],[Facility ID]],Operational[Facility ID],0))</f>
        <v>88.35</v>
      </c>
    </row>
    <row r="880" spans="1:9" x14ac:dyDescent="0.3">
      <c r="A880" t="s">
        <v>70</v>
      </c>
      <c r="B880" t="s">
        <v>19</v>
      </c>
      <c r="C880" t="s">
        <v>13</v>
      </c>
      <c r="D880" t="s">
        <v>28</v>
      </c>
      <c r="E880" t="s">
        <v>24</v>
      </c>
      <c r="F880">
        <v>4994.79</v>
      </c>
      <c r="G880">
        <f>INDEX(Operational[Production Volume (units)],MATCH(Emission8[[#This Row],[Facility ID]],Operational[Facility ID],0))</f>
        <v>42485</v>
      </c>
      <c r="H880">
        <f>INDEX(Operational[Energy Consumption (MWh)],MATCH(Emission8[[#This Row],[Facility ID]],Operational[Facility ID],0))</f>
        <v>4755.75</v>
      </c>
      <c r="I880">
        <f>INDEX(Operational[Waste (tons)],MATCH(Emission8[[#This Row],[Facility ID]],Operational[Facility ID],0))</f>
        <v>10.19</v>
      </c>
    </row>
    <row r="881" spans="1:9" x14ac:dyDescent="0.3">
      <c r="A881" t="s">
        <v>65</v>
      </c>
      <c r="B881" t="s">
        <v>30</v>
      </c>
      <c r="C881" t="s">
        <v>8</v>
      </c>
      <c r="D881" t="s">
        <v>9</v>
      </c>
      <c r="E881" t="s">
        <v>24</v>
      </c>
      <c r="F881">
        <v>4341.67</v>
      </c>
      <c r="G881">
        <f>INDEX(Operational[Production Volume (units)],MATCH(Emission8[[#This Row],[Facility ID]],Operational[Facility ID],0))</f>
        <v>99026</v>
      </c>
      <c r="H881">
        <f>INDEX(Operational[Energy Consumption (MWh)],MATCH(Emission8[[#This Row],[Facility ID]],Operational[Facility ID],0))</f>
        <v>5453.2</v>
      </c>
      <c r="I881">
        <f>INDEX(Operational[Waste (tons)],MATCH(Emission8[[#This Row],[Facility ID]],Operational[Facility ID],0))</f>
        <v>57.49</v>
      </c>
    </row>
    <row r="882" spans="1:9" x14ac:dyDescent="0.3">
      <c r="A882" t="s">
        <v>165</v>
      </c>
      <c r="B882" t="s">
        <v>7</v>
      </c>
      <c r="C882" t="s">
        <v>34</v>
      </c>
      <c r="D882" t="s">
        <v>28</v>
      </c>
      <c r="E882" t="s">
        <v>10</v>
      </c>
      <c r="F882">
        <v>4845.8500000000004</v>
      </c>
      <c r="G882">
        <f>INDEX(Operational[Production Volume (units)],MATCH(Emission8[[#This Row],[Facility ID]],Operational[Facility ID],0))</f>
        <v>32991</v>
      </c>
      <c r="H882">
        <f>INDEX(Operational[Energy Consumption (MWh)],MATCH(Emission8[[#This Row],[Facility ID]],Operational[Facility ID],0))</f>
        <v>8540.14</v>
      </c>
      <c r="I882">
        <f>INDEX(Operational[Waste (tons)],MATCH(Emission8[[#This Row],[Facility ID]],Operational[Facility ID],0))</f>
        <v>37.75</v>
      </c>
    </row>
    <row r="883" spans="1:9" x14ac:dyDescent="0.3">
      <c r="A883" t="s">
        <v>22</v>
      </c>
      <c r="B883" t="s">
        <v>12</v>
      </c>
      <c r="C883" t="s">
        <v>23</v>
      </c>
      <c r="D883" t="s">
        <v>14</v>
      </c>
      <c r="E883" t="s">
        <v>15</v>
      </c>
      <c r="F883">
        <v>695.8</v>
      </c>
      <c r="G883">
        <f>INDEX(Operational[Production Volume (units)],MATCH(Emission8[[#This Row],[Facility ID]],Operational[Facility ID],0))</f>
        <v>47484</v>
      </c>
      <c r="H883">
        <f>INDEX(Operational[Energy Consumption (MWh)],MATCH(Emission8[[#This Row],[Facility ID]],Operational[Facility ID],0))</f>
        <v>3396.39</v>
      </c>
      <c r="I883">
        <f>INDEX(Operational[Waste (tons)],MATCH(Emission8[[#This Row],[Facility ID]],Operational[Facility ID],0))</f>
        <v>19.510000000000002</v>
      </c>
    </row>
    <row r="884" spans="1:9" x14ac:dyDescent="0.3">
      <c r="A884" t="s">
        <v>131</v>
      </c>
      <c r="B884" t="s">
        <v>17</v>
      </c>
      <c r="C884" t="s">
        <v>23</v>
      </c>
      <c r="D884" t="s">
        <v>9</v>
      </c>
      <c r="E884" t="s">
        <v>24</v>
      </c>
      <c r="F884">
        <v>2429.6999999999998</v>
      </c>
      <c r="G884">
        <f>INDEX(Operational[Production Volume (units)],MATCH(Emission8[[#This Row],[Facility ID]],Operational[Facility ID],0))</f>
        <v>94128</v>
      </c>
      <c r="H884">
        <f>INDEX(Operational[Energy Consumption (MWh)],MATCH(Emission8[[#This Row],[Facility ID]],Operational[Facility ID],0))</f>
        <v>8117.82</v>
      </c>
      <c r="I884">
        <f>INDEX(Operational[Waste (tons)],MATCH(Emission8[[#This Row],[Facility ID]],Operational[Facility ID],0))</f>
        <v>73.83</v>
      </c>
    </row>
    <row r="885" spans="1:9" x14ac:dyDescent="0.3">
      <c r="A885" t="s">
        <v>84</v>
      </c>
      <c r="B885" t="s">
        <v>30</v>
      </c>
      <c r="C885" t="s">
        <v>23</v>
      </c>
      <c r="D885" t="s">
        <v>28</v>
      </c>
      <c r="E885" t="s">
        <v>10</v>
      </c>
      <c r="F885">
        <v>3517.31</v>
      </c>
      <c r="G885">
        <f>INDEX(Operational[Production Volume (units)],MATCH(Emission8[[#This Row],[Facility ID]],Operational[Facility ID],0))</f>
        <v>85444</v>
      </c>
      <c r="H885">
        <f>INDEX(Operational[Energy Consumption (MWh)],MATCH(Emission8[[#This Row],[Facility ID]],Operational[Facility ID],0))</f>
        <v>852.57</v>
      </c>
      <c r="I885">
        <f>INDEX(Operational[Waste (tons)],MATCH(Emission8[[#This Row],[Facility ID]],Operational[Facility ID],0))</f>
        <v>72.650000000000006</v>
      </c>
    </row>
    <row r="886" spans="1:9" x14ac:dyDescent="0.3">
      <c r="A886" t="s">
        <v>56</v>
      </c>
      <c r="B886" t="s">
        <v>19</v>
      </c>
      <c r="C886" t="s">
        <v>23</v>
      </c>
      <c r="D886" t="s">
        <v>28</v>
      </c>
      <c r="E886" t="s">
        <v>10</v>
      </c>
      <c r="F886">
        <v>2893</v>
      </c>
      <c r="G886">
        <f>INDEX(Operational[Production Volume (units)],MATCH(Emission8[[#This Row],[Facility ID]],Operational[Facility ID],0))</f>
        <v>43747</v>
      </c>
      <c r="H886">
        <f>INDEX(Operational[Energy Consumption (MWh)],MATCH(Emission8[[#This Row],[Facility ID]],Operational[Facility ID],0))</f>
        <v>3453.48</v>
      </c>
      <c r="I886">
        <f>INDEX(Operational[Waste (tons)],MATCH(Emission8[[#This Row],[Facility ID]],Operational[Facility ID],0))</f>
        <v>98.78</v>
      </c>
    </row>
    <row r="887" spans="1:9" x14ac:dyDescent="0.3">
      <c r="A887" t="s">
        <v>213</v>
      </c>
      <c r="B887" t="s">
        <v>12</v>
      </c>
      <c r="C887" t="s">
        <v>13</v>
      </c>
      <c r="D887" t="s">
        <v>14</v>
      </c>
      <c r="E887" t="s">
        <v>10</v>
      </c>
      <c r="F887">
        <v>4115.76</v>
      </c>
      <c r="G887">
        <f>INDEX(Operational[Production Volume (units)],MATCH(Emission8[[#This Row],[Facility ID]],Operational[Facility ID],0))</f>
        <v>58622</v>
      </c>
      <c r="H887">
        <f>INDEX(Operational[Energy Consumption (MWh)],MATCH(Emission8[[#This Row],[Facility ID]],Operational[Facility ID],0))</f>
        <v>7795.36</v>
      </c>
      <c r="I887">
        <f>INDEX(Operational[Waste (tons)],MATCH(Emission8[[#This Row],[Facility ID]],Operational[Facility ID],0))</f>
        <v>59.81</v>
      </c>
    </row>
    <row r="888" spans="1:9" x14ac:dyDescent="0.3">
      <c r="A888" t="s">
        <v>6</v>
      </c>
      <c r="B888" t="s">
        <v>7</v>
      </c>
      <c r="C888" t="s">
        <v>34</v>
      </c>
      <c r="D888" t="s">
        <v>28</v>
      </c>
      <c r="E888" t="s">
        <v>15</v>
      </c>
      <c r="F888">
        <v>1917.42</v>
      </c>
      <c r="G888">
        <f>INDEX(Operational[Production Volume (units)],MATCH(Emission8[[#This Row],[Facility ID]],Operational[Facility ID],0))</f>
        <v>77330</v>
      </c>
      <c r="H888">
        <f>INDEX(Operational[Energy Consumption (MWh)],MATCH(Emission8[[#This Row],[Facility ID]],Operational[Facility ID],0))</f>
        <v>6936.58</v>
      </c>
      <c r="I888">
        <f>INDEX(Operational[Waste (tons)],MATCH(Emission8[[#This Row],[Facility ID]],Operational[Facility ID],0))</f>
        <v>82.3</v>
      </c>
    </row>
    <row r="889" spans="1:9" x14ac:dyDescent="0.3">
      <c r="A889" t="s">
        <v>127</v>
      </c>
      <c r="B889" t="s">
        <v>17</v>
      </c>
      <c r="C889" t="s">
        <v>34</v>
      </c>
      <c r="D889" t="s">
        <v>28</v>
      </c>
      <c r="E889" t="s">
        <v>10</v>
      </c>
      <c r="F889">
        <v>1203.1300000000001</v>
      </c>
      <c r="G889">
        <f>INDEX(Operational[Production Volume (units)],MATCH(Emission8[[#This Row],[Facility ID]],Operational[Facility ID],0))</f>
        <v>17416</v>
      </c>
      <c r="H889">
        <f>INDEX(Operational[Energy Consumption (MWh)],MATCH(Emission8[[#This Row],[Facility ID]],Operational[Facility ID],0))</f>
        <v>812.06</v>
      </c>
      <c r="I889">
        <f>INDEX(Operational[Waste (tons)],MATCH(Emission8[[#This Row],[Facility ID]],Operational[Facility ID],0))</f>
        <v>5.7</v>
      </c>
    </row>
    <row r="890" spans="1:9" x14ac:dyDescent="0.3">
      <c r="A890" t="s">
        <v>123</v>
      </c>
      <c r="B890" t="s">
        <v>30</v>
      </c>
      <c r="C890" t="s">
        <v>34</v>
      </c>
      <c r="D890" t="s">
        <v>14</v>
      </c>
      <c r="E890" t="s">
        <v>10</v>
      </c>
      <c r="F890">
        <v>3085.38</v>
      </c>
      <c r="G890">
        <f>INDEX(Operational[Production Volume (units)],MATCH(Emission8[[#This Row],[Facility ID]],Operational[Facility ID],0))</f>
        <v>73977</v>
      </c>
      <c r="H890">
        <f>INDEX(Operational[Energy Consumption (MWh)],MATCH(Emission8[[#This Row],[Facility ID]],Operational[Facility ID],0))</f>
        <v>1646.75</v>
      </c>
      <c r="I890">
        <f>INDEX(Operational[Waste (tons)],MATCH(Emission8[[#This Row],[Facility ID]],Operational[Facility ID],0))</f>
        <v>43.77</v>
      </c>
    </row>
    <row r="891" spans="1:9" x14ac:dyDescent="0.3">
      <c r="A891" t="s">
        <v>72</v>
      </c>
      <c r="B891" t="s">
        <v>19</v>
      </c>
      <c r="C891" t="s">
        <v>34</v>
      </c>
      <c r="D891" t="s">
        <v>14</v>
      </c>
      <c r="E891" t="s">
        <v>24</v>
      </c>
      <c r="F891">
        <v>1942.8</v>
      </c>
      <c r="G891">
        <f>INDEX(Operational[Production Volume (units)],MATCH(Emission8[[#This Row],[Facility ID]],Operational[Facility ID],0))</f>
        <v>29318</v>
      </c>
      <c r="H891">
        <f>INDEX(Operational[Energy Consumption (MWh)],MATCH(Emission8[[#This Row],[Facility ID]],Operational[Facility ID],0))</f>
        <v>9860.6200000000008</v>
      </c>
      <c r="I891">
        <f>INDEX(Operational[Waste (tons)],MATCH(Emission8[[#This Row],[Facility ID]],Operational[Facility ID],0))</f>
        <v>14.58</v>
      </c>
    </row>
    <row r="892" spans="1:9" x14ac:dyDescent="0.3">
      <c r="A892" t="s">
        <v>124</v>
      </c>
      <c r="B892" t="s">
        <v>12</v>
      </c>
      <c r="C892" t="s">
        <v>13</v>
      </c>
      <c r="D892" t="s">
        <v>14</v>
      </c>
      <c r="E892" t="s">
        <v>10</v>
      </c>
      <c r="F892">
        <v>3632.78</v>
      </c>
      <c r="G892">
        <f>INDEX(Operational[Production Volume (units)],MATCH(Emission8[[#This Row],[Facility ID]],Operational[Facility ID],0))</f>
        <v>47491</v>
      </c>
      <c r="H892">
        <f>INDEX(Operational[Energy Consumption (MWh)],MATCH(Emission8[[#This Row],[Facility ID]],Operational[Facility ID],0))</f>
        <v>5781.05</v>
      </c>
      <c r="I892">
        <f>INDEX(Operational[Waste (tons)],MATCH(Emission8[[#This Row],[Facility ID]],Operational[Facility ID],0))</f>
        <v>92.18</v>
      </c>
    </row>
    <row r="893" spans="1:9" x14ac:dyDescent="0.3">
      <c r="A893" t="s">
        <v>54</v>
      </c>
      <c r="B893" t="s">
        <v>12</v>
      </c>
      <c r="C893" t="s">
        <v>23</v>
      </c>
      <c r="D893" t="s">
        <v>14</v>
      </c>
      <c r="E893" t="s">
        <v>15</v>
      </c>
      <c r="F893">
        <v>4435.1000000000004</v>
      </c>
      <c r="G893">
        <f>INDEX(Operational[Production Volume (units)],MATCH(Emission8[[#This Row],[Facility ID]],Operational[Facility ID],0))</f>
        <v>58111</v>
      </c>
      <c r="H893">
        <f>INDEX(Operational[Energy Consumption (MWh)],MATCH(Emission8[[#This Row],[Facility ID]],Operational[Facility ID],0))</f>
        <v>4610.8999999999996</v>
      </c>
      <c r="I893">
        <f>INDEX(Operational[Waste (tons)],MATCH(Emission8[[#This Row],[Facility ID]],Operational[Facility ID],0))</f>
        <v>21.53</v>
      </c>
    </row>
    <row r="894" spans="1:9" x14ac:dyDescent="0.3">
      <c r="A894" t="s">
        <v>201</v>
      </c>
      <c r="B894" t="s">
        <v>12</v>
      </c>
      <c r="C894" t="s">
        <v>13</v>
      </c>
      <c r="D894" t="s">
        <v>14</v>
      </c>
      <c r="E894" t="s">
        <v>24</v>
      </c>
      <c r="F894">
        <v>3104.04</v>
      </c>
      <c r="G894">
        <f>INDEX(Operational[Production Volume (units)],MATCH(Emission8[[#This Row],[Facility ID]],Operational[Facility ID],0))</f>
        <v>58439</v>
      </c>
      <c r="H894">
        <f>INDEX(Operational[Energy Consumption (MWh)],MATCH(Emission8[[#This Row],[Facility ID]],Operational[Facility ID],0))</f>
        <v>5817.93</v>
      </c>
      <c r="I894">
        <f>INDEX(Operational[Waste (tons)],MATCH(Emission8[[#This Row],[Facility ID]],Operational[Facility ID],0))</f>
        <v>63.77</v>
      </c>
    </row>
    <row r="895" spans="1:9" x14ac:dyDescent="0.3">
      <c r="A895" t="s">
        <v>162</v>
      </c>
      <c r="B895" t="s">
        <v>30</v>
      </c>
      <c r="C895" t="s">
        <v>13</v>
      </c>
      <c r="D895" t="s">
        <v>14</v>
      </c>
      <c r="E895" t="s">
        <v>24</v>
      </c>
      <c r="F895">
        <v>1562.42</v>
      </c>
      <c r="G895">
        <f>INDEX(Operational[Production Volume (units)],MATCH(Emission8[[#This Row],[Facility ID]],Operational[Facility ID],0))</f>
        <v>94347</v>
      </c>
      <c r="H895">
        <f>INDEX(Operational[Energy Consumption (MWh)],MATCH(Emission8[[#This Row],[Facility ID]],Operational[Facility ID],0))</f>
        <v>2272.58</v>
      </c>
      <c r="I895">
        <f>INDEX(Operational[Waste (tons)],MATCH(Emission8[[#This Row],[Facility ID]],Operational[Facility ID],0))</f>
        <v>34.75</v>
      </c>
    </row>
    <row r="896" spans="1:9" x14ac:dyDescent="0.3">
      <c r="A896" t="s">
        <v>143</v>
      </c>
      <c r="B896" t="s">
        <v>17</v>
      </c>
      <c r="C896" t="s">
        <v>23</v>
      </c>
      <c r="D896" t="s">
        <v>9</v>
      </c>
      <c r="E896" t="s">
        <v>15</v>
      </c>
      <c r="F896">
        <v>3968.02</v>
      </c>
      <c r="G896">
        <f>INDEX(Operational[Production Volume (units)],MATCH(Emission8[[#This Row],[Facility ID]],Operational[Facility ID],0))</f>
        <v>94704</v>
      </c>
      <c r="H896">
        <f>INDEX(Operational[Energy Consumption (MWh)],MATCH(Emission8[[#This Row],[Facility ID]],Operational[Facility ID],0))</f>
        <v>6632.95</v>
      </c>
      <c r="I896">
        <f>INDEX(Operational[Waste (tons)],MATCH(Emission8[[#This Row],[Facility ID]],Operational[Facility ID],0))</f>
        <v>14.76</v>
      </c>
    </row>
    <row r="897" spans="1:9" x14ac:dyDescent="0.3">
      <c r="A897" t="s">
        <v>98</v>
      </c>
      <c r="B897" t="s">
        <v>19</v>
      </c>
      <c r="C897" t="s">
        <v>23</v>
      </c>
      <c r="D897" t="s">
        <v>28</v>
      </c>
      <c r="E897" t="s">
        <v>10</v>
      </c>
      <c r="F897">
        <v>3813.14</v>
      </c>
      <c r="G897">
        <f>INDEX(Operational[Production Volume (units)],MATCH(Emission8[[#This Row],[Facility ID]],Operational[Facility ID],0))</f>
        <v>26170</v>
      </c>
      <c r="H897">
        <f>INDEX(Operational[Energy Consumption (MWh)],MATCH(Emission8[[#This Row],[Facility ID]],Operational[Facility ID],0))</f>
        <v>8057.54</v>
      </c>
      <c r="I897">
        <f>INDEX(Operational[Waste (tons)],MATCH(Emission8[[#This Row],[Facility ID]],Operational[Facility ID],0))</f>
        <v>63.71</v>
      </c>
    </row>
    <row r="898" spans="1:9" x14ac:dyDescent="0.3">
      <c r="A898" t="s">
        <v>189</v>
      </c>
      <c r="B898" t="s">
        <v>19</v>
      </c>
      <c r="C898" t="s">
        <v>8</v>
      </c>
      <c r="D898" t="s">
        <v>14</v>
      </c>
      <c r="E898" t="s">
        <v>10</v>
      </c>
      <c r="F898">
        <v>1512.54</v>
      </c>
      <c r="G898">
        <f>INDEX(Operational[Production Volume (units)],MATCH(Emission8[[#This Row],[Facility ID]],Operational[Facility ID],0))</f>
        <v>27681</v>
      </c>
      <c r="H898">
        <f>INDEX(Operational[Energy Consumption (MWh)],MATCH(Emission8[[#This Row],[Facility ID]],Operational[Facility ID],0))</f>
        <v>928.26</v>
      </c>
      <c r="I898">
        <f>INDEX(Operational[Waste (tons)],MATCH(Emission8[[#This Row],[Facility ID]],Operational[Facility ID],0))</f>
        <v>44.97</v>
      </c>
    </row>
    <row r="899" spans="1:9" x14ac:dyDescent="0.3">
      <c r="A899" t="s">
        <v>74</v>
      </c>
      <c r="B899" t="s">
        <v>19</v>
      </c>
      <c r="C899" t="s">
        <v>13</v>
      </c>
      <c r="D899" t="s">
        <v>9</v>
      </c>
      <c r="E899" t="s">
        <v>24</v>
      </c>
      <c r="F899">
        <v>4044.95</v>
      </c>
      <c r="G899">
        <f>INDEX(Operational[Production Volume (units)],MATCH(Emission8[[#This Row],[Facility ID]],Operational[Facility ID],0))</f>
        <v>18175</v>
      </c>
      <c r="H899">
        <f>INDEX(Operational[Energy Consumption (MWh)],MATCH(Emission8[[#This Row],[Facility ID]],Operational[Facility ID],0))</f>
        <v>8349.49</v>
      </c>
      <c r="I899">
        <f>INDEX(Operational[Waste (tons)],MATCH(Emission8[[#This Row],[Facility ID]],Operational[Facility ID],0))</f>
        <v>39.97</v>
      </c>
    </row>
    <row r="900" spans="1:9" x14ac:dyDescent="0.3">
      <c r="A900" t="s">
        <v>200</v>
      </c>
      <c r="B900" t="s">
        <v>30</v>
      </c>
      <c r="C900" t="s">
        <v>34</v>
      </c>
      <c r="D900" t="s">
        <v>14</v>
      </c>
      <c r="E900" t="s">
        <v>15</v>
      </c>
      <c r="F900">
        <v>193.32</v>
      </c>
      <c r="G900">
        <f>INDEX(Operational[Production Volume (units)],MATCH(Emission8[[#This Row],[Facility ID]],Operational[Facility ID],0))</f>
        <v>46863</v>
      </c>
      <c r="H900">
        <f>INDEX(Operational[Energy Consumption (MWh)],MATCH(Emission8[[#This Row],[Facility ID]],Operational[Facility ID],0))</f>
        <v>6762.98</v>
      </c>
      <c r="I900">
        <f>INDEX(Operational[Waste (tons)],MATCH(Emission8[[#This Row],[Facility ID]],Operational[Facility ID],0))</f>
        <v>23.45</v>
      </c>
    </row>
    <row r="901" spans="1:9" x14ac:dyDescent="0.3">
      <c r="A901" t="s">
        <v>178</v>
      </c>
      <c r="B901" t="s">
        <v>30</v>
      </c>
      <c r="C901" t="s">
        <v>23</v>
      </c>
      <c r="D901" t="s">
        <v>28</v>
      </c>
      <c r="E901" t="s">
        <v>24</v>
      </c>
      <c r="F901">
        <v>2881.41</v>
      </c>
      <c r="G901">
        <f>INDEX(Operational[Production Volume (units)],MATCH(Emission8[[#This Row],[Facility ID]],Operational[Facility ID],0))</f>
        <v>88188</v>
      </c>
      <c r="H901">
        <f>INDEX(Operational[Energy Consumption (MWh)],MATCH(Emission8[[#This Row],[Facility ID]],Operational[Facility ID],0))</f>
        <v>815.86</v>
      </c>
      <c r="I901">
        <f>INDEX(Operational[Waste (tons)],MATCH(Emission8[[#This Row],[Facility ID]],Operational[Facility ID],0))</f>
        <v>57.53</v>
      </c>
    </row>
    <row r="902" spans="1:9" x14ac:dyDescent="0.3">
      <c r="A902" t="s">
        <v>38</v>
      </c>
      <c r="B902" t="s">
        <v>30</v>
      </c>
      <c r="C902" t="s">
        <v>13</v>
      </c>
      <c r="D902" t="s">
        <v>28</v>
      </c>
      <c r="E902" t="s">
        <v>15</v>
      </c>
      <c r="F902">
        <v>1949.55</v>
      </c>
      <c r="G902">
        <f>INDEX(Operational[Production Volume (units)],MATCH(Emission8[[#This Row],[Facility ID]],Operational[Facility ID],0))</f>
        <v>57215</v>
      </c>
      <c r="H902">
        <f>INDEX(Operational[Energy Consumption (MWh)],MATCH(Emission8[[#This Row],[Facility ID]],Operational[Facility ID],0))</f>
        <v>3227.1</v>
      </c>
      <c r="I902">
        <f>INDEX(Operational[Waste (tons)],MATCH(Emission8[[#This Row],[Facility ID]],Operational[Facility ID],0))</f>
        <v>32.909999999999997</v>
      </c>
    </row>
    <row r="903" spans="1:9" x14ac:dyDescent="0.3">
      <c r="A903" t="s">
        <v>142</v>
      </c>
      <c r="B903" t="s">
        <v>17</v>
      </c>
      <c r="C903" t="s">
        <v>8</v>
      </c>
      <c r="D903" t="s">
        <v>28</v>
      </c>
      <c r="E903" t="s">
        <v>24</v>
      </c>
      <c r="F903">
        <v>2729.42</v>
      </c>
      <c r="G903">
        <f>INDEX(Operational[Production Volume (units)],MATCH(Emission8[[#This Row],[Facility ID]],Operational[Facility ID],0))</f>
        <v>75736</v>
      </c>
      <c r="H903">
        <f>INDEX(Operational[Energy Consumption (MWh)],MATCH(Emission8[[#This Row],[Facility ID]],Operational[Facility ID],0))</f>
        <v>6287.07</v>
      </c>
      <c r="I903">
        <f>INDEX(Operational[Waste (tons)],MATCH(Emission8[[#This Row],[Facility ID]],Operational[Facility ID],0))</f>
        <v>63.11</v>
      </c>
    </row>
    <row r="904" spans="1:9" x14ac:dyDescent="0.3">
      <c r="A904" t="s">
        <v>150</v>
      </c>
      <c r="B904" t="s">
        <v>30</v>
      </c>
      <c r="C904" t="s">
        <v>34</v>
      </c>
      <c r="D904" t="s">
        <v>14</v>
      </c>
      <c r="E904" t="s">
        <v>10</v>
      </c>
      <c r="F904">
        <v>4965.24</v>
      </c>
      <c r="G904">
        <f>INDEX(Operational[Production Volume (units)],MATCH(Emission8[[#This Row],[Facility ID]],Operational[Facility ID],0))</f>
        <v>98356</v>
      </c>
      <c r="H904">
        <f>INDEX(Operational[Energy Consumption (MWh)],MATCH(Emission8[[#This Row],[Facility ID]],Operational[Facility ID],0))</f>
        <v>6968.69</v>
      </c>
      <c r="I904">
        <f>INDEX(Operational[Waste (tons)],MATCH(Emission8[[#This Row],[Facility ID]],Operational[Facility ID],0))</f>
        <v>81.72</v>
      </c>
    </row>
    <row r="905" spans="1:9" x14ac:dyDescent="0.3">
      <c r="A905" t="s">
        <v>215</v>
      </c>
      <c r="B905" t="s">
        <v>17</v>
      </c>
      <c r="C905" t="s">
        <v>34</v>
      </c>
      <c r="D905" t="s">
        <v>14</v>
      </c>
      <c r="E905" t="s">
        <v>24</v>
      </c>
      <c r="F905">
        <v>968.64</v>
      </c>
      <c r="G905">
        <f>INDEX(Operational[Production Volume (units)],MATCH(Emission8[[#This Row],[Facility ID]],Operational[Facility ID],0))</f>
        <v>72813</v>
      </c>
      <c r="H905">
        <f>INDEX(Operational[Energy Consumption (MWh)],MATCH(Emission8[[#This Row],[Facility ID]],Operational[Facility ID],0))</f>
        <v>8818.16</v>
      </c>
      <c r="I905">
        <f>INDEX(Operational[Waste (tons)],MATCH(Emission8[[#This Row],[Facility ID]],Operational[Facility ID],0))</f>
        <v>54.12</v>
      </c>
    </row>
    <row r="906" spans="1:9" x14ac:dyDescent="0.3">
      <c r="A906" t="s">
        <v>71</v>
      </c>
      <c r="B906" t="s">
        <v>7</v>
      </c>
      <c r="C906" t="s">
        <v>23</v>
      </c>
      <c r="D906" t="s">
        <v>28</v>
      </c>
      <c r="E906" t="s">
        <v>10</v>
      </c>
      <c r="F906">
        <v>2778.34</v>
      </c>
      <c r="G906">
        <f>INDEX(Operational[Production Volume (units)],MATCH(Emission8[[#This Row],[Facility ID]],Operational[Facility ID],0))</f>
        <v>68018</v>
      </c>
      <c r="H906">
        <f>INDEX(Operational[Energy Consumption (MWh)],MATCH(Emission8[[#This Row],[Facility ID]],Operational[Facility ID],0))</f>
        <v>3523.4</v>
      </c>
      <c r="I906">
        <f>INDEX(Operational[Waste (tons)],MATCH(Emission8[[#This Row],[Facility ID]],Operational[Facility ID],0))</f>
        <v>92.26</v>
      </c>
    </row>
    <row r="907" spans="1:9" x14ac:dyDescent="0.3">
      <c r="A907" t="s">
        <v>88</v>
      </c>
      <c r="B907" t="s">
        <v>7</v>
      </c>
      <c r="C907" t="s">
        <v>13</v>
      </c>
      <c r="D907" t="s">
        <v>28</v>
      </c>
      <c r="E907" t="s">
        <v>10</v>
      </c>
      <c r="F907">
        <v>901.71</v>
      </c>
      <c r="G907">
        <f>INDEX(Operational[Production Volume (units)],MATCH(Emission8[[#This Row],[Facility ID]],Operational[Facility ID],0))</f>
        <v>44825</v>
      </c>
      <c r="H907">
        <f>INDEX(Operational[Energy Consumption (MWh)],MATCH(Emission8[[#This Row],[Facility ID]],Operational[Facility ID],0))</f>
        <v>6023.03</v>
      </c>
      <c r="I907">
        <f>INDEX(Operational[Waste (tons)],MATCH(Emission8[[#This Row],[Facility ID]],Operational[Facility ID],0))</f>
        <v>27.2</v>
      </c>
    </row>
    <row r="908" spans="1:9" x14ac:dyDescent="0.3">
      <c r="A908" t="s">
        <v>44</v>
      </c>
      <c r="B908" t="s">
        <v>19</v>
      </c>
      <c r="C908" t="s">
        <v>34</v>
      </c>
      <c r="D908" t="s">
        <v>14</v>
      </c>
      <c r="E908" t="s">
        <v>10</v>
      </c>
      <c r="F908">
        <v>4031.94</v>
      </c>
      <c r="G908">
        <f>INDEX(Operational[Production Volume (units)],MATCH(Emission8[[#This Row],[Facility ID]],Operational[Facility ID],0))</f>
        <v>16256</v>
      </c>
      <c r="H908">
        <f>INDEX(Operational[Energy Consumption (MWh)],MATCH(Emission8[[#This Row],[Facility ID]],Operational[Facility ID],0))</f>
        <v>2127.1799999999998</v>
      </c>
      <c r="I908">
        <f>INDEX(Operational[Waste (tons)],MATCH(Emission8[[#This Row],[Facility ID]],Operational[Facility ID],0))</f>
        <v>38.94</v>
      </c>
    </row>
    <row r="909" spans="1:9" x14ac:dyDescent="0.3">
      <c r="A909" t="s">
        <v>124</v>
      </c>
      <c r="B909" t="s">
        <v>12</v>
      </c>
      <c r="C909" t="s">
        <v>8</v>
      </c>
      <c r="D909" t="s">
        <v>28</v>
      </c>
      <c r="E909" t="s">
        <v>24</v>
      </c>
      <c r="F909">
        <v>3868.62</v>
      </c>
      <c r="G909">
        <f>INDEX(Operational[Production Volume (units)],MATCH(Emission8[[#This Row],[Facility ID]],Operational[Facility ID],0))</f>
        <v>47491</v>
      </c>
      <c r="H909">
        <f>INDEX(Operational[Energy Consumption (MWh)],MATCH(Emission8[[#This Row],[Facility ID]],Operational[Facility ID],0))</f>
        <v>5781.05</v>
      </c>
      <c r="I909">
        <f>INDEX(Operational[Waste (tons)],MATCH(Emission8[[#This Row],[Facility ID]],Operational[Facility ID],0))</f>
        <v>92.18</v>
      </c>
    </row>
    <row r="910" spans="1:9" x14ac:dyDescent="0.3">
      <c r="A910" t="s">
        <v>135</v>
      </c>
      <c r="B910" t="s">
        <v>12</v>
      </c>
      <c r="C910" t="s">
        <v>34</v>
      </c>
      <c r="D910" t="s">
        <v>14</v>
      </c>
      <c r="E910" t="s">
        <v>24</v>
      </c>
      <c r="F910">
        <v>2670.34</v>
      </c>
      <c r="G910">
        <f>INDEX(Operational[Production Volume (units)],MATCH(Emission8[[#This Row],[Facility ID]],Operational[Facility ID],0))</f>
        <v>39560</v>
      </c>
      <c r="H910">
        <f>INDEX(Operational[Energy Consumption (MWh)],MATCH(Emission8[[#This Row],[Facility ID]],Operational[Facility ID],0))</f>
        <v>8380.77</v>
      </c>
      <c r="I910">
        <f>INDEX(Operational[Waste (tons)],MATCH(Emission8[[#This Row],[Facility ID]],Operational[Facility ID],0))</f>
        <v>94.01</v>
      </c>
    </row>
    <row r="911" spans="1:9" x14ac:dyDescent="0.3">
      <c r="A911" t="s">
        <v>57</v>
      </c>
      <c r="B911" t="s">
        <v>19</v>
      </c>
      <c r="C911" t="s">
        <v>13</v>
      </c>
      <c r="D911" t="s">
        <v>28</v>
      </c>
      <c r="E911" t="s">
        <v>10</v>
      </c>
      <c r="F911">
        <v>4061.97</v>
      </c>
      <c r="G911">
        <f>INDEX(Operational[Production Volume (units)],MATCH(Emission8[[#This Row],[Facility ID]],Operational[Facility ID],0))</f>
        <v>41027</v>
      </c>
      <c r="H911">
        <f>INDEX(Operational[Energy Consumption (MWh)],MATCH(Emission8[[#This Row],[Facility ID]],Operational[Facility ID],0))</f>
        <v>7285.85</v>
      </c>
      <c r="I911">
        <f>INDEX(Operational[Waste (tons)],MATCH(Emission8[[#This Row],[Facility ID]],Operational[Facility ID],0))</f>
        <v>59.87</v>
      </c>
    </row>
    <row r="912" spans="1:9" x14ac:dyDescent="0.3">
      <c r="A912" t="s">
        <v>61</v>
      </c>
      <c r="B912" t="s">
        <v>30</v>
      </c>
      <c r="C912" t="s">
        <v>23</v>
      </c>
      <c r="D912" t="s">
        <v>14</v>
      </c>
      <c r="E912" t="s">
        <v>15</v>
      </c>
      <c r="F912">
        <v>279.14</v>
      </c>
      <c r="G912">
        <f>INDEX(Operational[Production Volume (units)],MATCH(Emission8[[#This Row],[Facility ID]],Operational[Facility ID],0))</f>
        <v>95718</v>
      </c>
      <c r="H912">
        <f>INDEX(Operational[Energy Consumption (MWh)],MATCH(Emission8[[#This Row],[Facility ID]],Operational[Facility ID],0))</f>
        <v>2443.12</v>
      </c>
      <c r="I912">
        <f>INDEX(Operational[Waste (tons)],MATCH(Emission8[[#This Row],[Facility ID]],Operational[Facility ID],0))</f>
        <v>35.49</v>
      </c>
    </row>
    <row r="913" spans="1:9" x14ac:dyDescent="0.3">
      <c r="A913" t="s">
        <v>168</v>
      </c>
      <c r="B913" t="s">
        <v>17</v>
      </c>
      <c r="C913" t="s">
        <v>23</v>
      </c>
      <c r="D913" t="s">
        <v>9</v>
      </c>
      <c r="E913" t="s">
        <v>24</v>
      </c>
      <c r="F913">
        <v>936.92</v>
      </c>
      <c r="G913">
        <f>INDEX(Operational[Production Volume (units)],MATCH(Emission8[[#This Row],[Facility ID]],Operational[Facility ID],0))</f>
        <v>41050</v>
      </c>
      <c r="H913">
        <f>INDEX(Operational[Energy Consumption (MWh)],MATCH(Emission8[[#This Row],[Facility ID]],Operational[Facility ID],0))</f>
        <v>6025.84</v>
      </c>
      <c r="I913">
        <f>INDEX(Operational[Waste (tons)],MATCH(Emission8[[#This Row],[Facility ID]],Operational[Facility ID],0))</f>
        <v>53.53</v>
      </c>
    </row>
    <row r="914" spans="1:9" x14ac:dyDescent="0.3">
      <c r="A914" t="s">
        <v>65</v>
      </c>
      <c r="B914" t="s">
        <v>30</v>
      </c>
      <c r="C914" t="s">
        <v>8</v>
      </c>
      <c r="D914" t="s">
        <v>9</v>
      </c>
      <c r="E914" t="s">
        <v>24</v>
      </c>
      <c r="F914">
        <v>1890.57</v>
      </c>
      <c r="G914">
        <f>INDEX(Operational[Production Volume (units)],MATCH(Emission8[[#This Row],[Facility ID]],Operational[Facility ID],0))</f>
        <v>99026</v>
      </c>
      <c r="H914">
        <f>INDEX(Operational[Energy Consumption (MWh)],MATCH(Emission8[[#This Row],[Facility ID]],Operational[Facility ID],0))</f>
        <v>5453.2</v>
      </c>
      <c r="I914">
        <f>INDEX(Operational[Waste (tons)],MATCH(Emission8[[#This Row],[Facility ID]],Operational[Facility ID],0))</f>
        <v>57.49</v>
      </c>
    </row>
    <row r="915" spans="1:9" x14ac:dyDescent="0.3">
      <c r="A915" t="s">
        <v>78</v>
      </c>
      <c r="B915" t="s">
        <v>7</v>
      </c>
      <c r="C915" t="s">
        <v>13</v>
      </c>
      <c r="D915" t="s">
        <v>9</v>
      </c>
      <c r="E915" t="s">
        <v>10</v>
      </c>
      <c r="F915">
        <v>4697.92</v>
      </c>
      <c r="G915">
        <f>INDEX(Operational[Production Volume (units)],MATCH(Emission8[[#This Row],[Facility ID]],Operational[Facility ID],0))</f>
        <v>86557</v>
      </c>
      <c r="H915">
        <f>INDEX(Operational[Energy Consumption (MWh)],MATCH(Emission8[[#This Row],[Facility ID]],Operational[Facility ID],0))</f>
        <v>8631.2800000000007</v>
      </c>
      <c r="I915">
        <f>INDEX(Operational[Waste (tons)],MATCH(Emission8[[#This Row],[Facility ID]],Operational[Facility ID],0))</f>
        <v>69.53</v>
      </c>
    </row>
    <row r="916" spans="1:9" x14ac:dyDescent="0.3">
      <c r="A916" t="s">
        <v>52</v>
      </c>
      <c r="B916" t="s">
        <v>19</v>
      </c>
      <c r="C916" t="s">
        <v>34</v>
      </c>
      <c r="D916" t="s">
        <v>28</v>
      </c>
      <c r="E916" t="s">
        <v>24</v>
      </c>
      <c r="F916">
        <v>3192.85</v>
      </c>
      <c r="G916">
        <f>INDEX(Operational[Production Volume (units)],MATCH(Emission8[[#This Row],[Facility ID]],Operational[Facility ID],0))</f>
        <v>94949</v>
      </c>
      <c r="H916">
        <f>INDEX(Operational[Energy Consumption (MWh)],MATCH(Emission8[[#This Row],[Facility ID]],Operational[Facility ID],0))</f>
        <v>9714.76</v>
      </c>
      <c r="I916">
        <f>INDEX(Operational[Waste (tons)],MATCH(Emission8[[#This Row],[Facility ID]],Operational[Facility ID],0))</f>
        <v>64.900000000000006</v>
      </c>
    </row>
    <row r="917" spans="1:9" x14ac:dyDescent="0.3">
      <c r="A917" t="s">
        <v>160</v>
      </c>
      <c r="B917" t="s">
        <v>30</v>
      </c>
      <c r="C917" t="s">
        <v>13</v>
      </c>
      <c r="D917" t="s">
        <v>9</v>
      </c>
      <c r="E917" t="s">
        <v>10</v>
      </c>
      <c r="F917">
        <v>3010.17</v>
      </c>
      <c r="G917">
        <f>INDEX(Operational[Production Volume (units)],MATCH(Emission8[[#This Row],[Facility ID]],Operational[Facility ID],0))</f>
        <v>18341</v>
      </c>
      <c r="H917">
        <f>INDEX(Operational[Energy Consumption (MWh)],MATCH(Emission8[[#This Row],[Facility ID]],Operational[Facility ID],0))</f>
        <v>8465.57</v>
      </c>
      <c r="I917">
        <f>INDEX(Operational[Waste (tons)],MATCH(Emission8[[#This Row],[Facility ID]],Operational[Facility ID],0))</f>
        <v>38.39</v>
      </c>
    </row>
    <row r="918" spans="1:9" x14ac:dyDescent="0.3">
      <c r="A918" t="s">
        <v>188</v>
      </c>
      <c r="B918" t="s">
        <v>19</v>
      </c>
      <c r="C918" t="s">
        <v>23</v>
      </c>
      <c r="D918" t="s">
        <v>9</v>
      </c>
      <c r="E918" t="s">
        <v>24</v>
      </c>
      <c r="F918">
        <v>4348.8599999999997</v>
      </c>
      <c r="G918">
        <f>INDEX(Operational[Production Volume (units)],MATCH(Emission8[[#This Row],[Facility ID]],Operational[Facility ID],0))</f>
        <v>60513</v>
      </c>
      <c r="H918">
        <f>INDEX(Operational[Energy Consumption (MWh)],MATCH(Emission8[[#This Row],[Facility ID]],Operational[Facility ID],0))</f>
        <v>4578.16</v>
      </c>
      <c r="I918">
        <f>INDEX(Operational[Waste (tons)],MATCH(Emission8[[#This Row],[Facility ID]],Operational[Facility ID],0))</f>
        <v>65.53</v>
      </c>
    </row>
    <row r="919" spans="1:9" x14ac:dyDescent="0.3">
      <c r="A919" t="s">
        <v>22</v>
      </c>
      <c r="B919" t="s">
        <v>12</v>
      </c>
      <c r="C919" t="s">
        <v>8</v>
      </c>
      <c r="D919" t="s">
        <v>9</v>
      </c>
      <c r="E919" t="s">
        <v>10</v>
      </c>
      <c r="F919">
        <v>4115.1499999999996</v>
      </c>
      <c r="G919">
        <f>INDEX(Operational[Production Volume (units)],MATCH(Emission8[[#This Row],[Facility ID]],Operational[Facility ID],0))</f>
        <v>47484</v>
      </c>
      <c r="H919">
        <f>INDEX(Operational[Energy Consumption (MWh)],MATCH(Emission8[[#This Row],[Facility ID]],Operational[Facility ID],0))</f>
        <v>3396.39</v>
      </c>
      <c r="I919">
        <f>INDEX(Operational[Waste (tons)],MATCH(Emission8[[#This Row],[Facility ID]],Operational[Facility ID],0))</f>
        <v>19.510000000000002</v>
      </c>
    </row>
    <row r="920" spans="1:9" x14ac:dyDescent="0.3">
      <c r="A920" t="s">
        <v>195</v>
      </c>
      <c r="B920" t="s">
        <v>7</v>
      </c>
      <c r="C920" t="s">
        <v>8</v>
      </c>
      <c r="D920" t="s">
        <v>28</v>
      </c>
      <c r="E920" t="s">
        <v>15</v>
      </c>
      <c r="F920">
        <v>4352.3</v>
      </c>
      <c r="G920">
        <f>INDEX(Operational[Production Volume (units)],MATCH(Emission8[[#This Row],[Facility ID]],Operational[Facility ID],0))</f>
        <v>68278</v>
      </c>
      <c r="H920">
        <f>INDEX(Operational[Energy Consumption (MWh)],MATCH(Emission8[[#This Row],[Facility ID]],Operational[Facility ID],0))</f>
        <v>3272.65</v>
      </c>
      <c r="I920">
        <f>INDEX(Operational[Waste (tons)],MATCH(Emission8[[#This Row],[Facility ID]],Operational[Facility ID],0))</f>
        <v>30.47</v>
      </c>
    </row>
    <row r="921" spans="1:9" x14ac:dyDescent="0.3">
      <c r="A921" t="s">
        <v>56</v>
      </c>
      <c r="B921" t="s">
        <v>19</v>
      </c>
      <c r="C921" t="s">
        <v>13</v>
      </c>
      <c r="D921" t="s">
        <v>9</v>
      </c>
      <c r="E921" t="s">
        <v>15</v>
      </c>
      <c r="F921">
        <v>3591.33</v>
      </c>
      <c r="G921">
        <f>INDEX(Operational[Production Volume (units)],MATCH(Emission8[[#This Row],[Facility ID]],Operational[Facility ID],0))</f>
        <v>43747</v>
      </c>
      <c r="H921">
        <f>INDEX(Operational[Energy Consumption (MWh)],MATCH(Emission8[[#This Row],[Facility ID]],Operational[Facility ID],0))</f>
        <v>3453.48</v>
      </c>
      <c r="I921">
        <f>INDEX(Operational[Waste (tons)],MATCH(Emission8[[#This Row],[Facility ID]],Operational[Facility ID],0))</f>
        <v>98.78</v>
      </c>
    </row>
    <row r="922" spans="1:9" x14ac:dyDescent="0.3">
      <c r="A922" t="s">
        <v>87</v>
      </c>
      <c r="B922" t="s">
        <v>12</v>
      </c>
      <c r="C922" t="s">
        <v>8</v>
      </c>
      <c r="D922" t="s">
        <v>28</v>
      </c>
      <c r="E922" t="s">
        <v>15</v>
      </c>
      <c r="F922">
        <v>3260.39</v>
      </c>
      <c r="G922">
        <f>INDEX(Operational[Production Volume (units)],MATCH(Emission8[[#This Row],[Facility ID]],Operational[Facility ID],0))</f>
        <v>15333</v>
      </c>
      <c r="H922">
        <f>INDEX(Operational[Energy Consumption (MWh)],MATCH(Emission8[[#This Row],[Facility ID]],Operational[Facility ID],0))</f>
        <v>2570.54</v>
      </c>
      <c r="I922">
        <f>INDEX(Operational[Waste (tons)],MATCH(Emission8[[#This Row],[Facility ID]],Operational[Facility ID],0))</f>
        <v>41.07</v>
      </c>
    </row>
    <row r="923" spans="1:9" x14ac:dyDescent="0.3">
      <c r="A923" t="s">
        <v>91</v>
      </c>
      <c r="B923" t="s">
        <v>30</v>
      </c>
      <c r="C923" t="s">
        <v>23</v>
      </c>
      <c r="D923" t="s">
        <v>14</v>
      </c>
      <c r="E923" t="s">
        <v>24</v>
      </c>
      <c r="F923">
        <v>1083.03</v>
      </c>
      <c r="G923">
        <f>INDEX(Operational[Production Volume (units)],MATCH(Emission8[[#This Row],[Facility ID]],Operational[Facility ID],0))</f>
        <v>20207</v>
      </c>
      <c r="H923">
        <f>INDEX(Operational[Energy Consumption (MWh)],MATCH(Emission8[[#This Row],[Facility ID]],Operational[Facility ID],0))</f>
        <v>5369.46</v>
      </c>
      <c r="I923">
        <f>INDEX(Operational[Waste (tons)],MATCH(Emission8[[#This Row],[Facility ID]],Operational[Facility ID],0))</f>
        <v>57.51</v>
      </c>
    </row>
    <row r="924" spans="1:9" x14ac:dyDescent="0.3">
      <c r="A924" t="s">
        <v>215</v>
      </c>
      <c r="B924" t="s">
        <v>17</v>
      </c>
      <c r="C924" t="s">
        <v>13</v>
      </c>
      <c r="D924" t="s">
        <v>28</v>
      </c>
      <c r="E924" t="s">
        <v>10</v>
      </c>
      <c r="F924">
        <v>2051.69</v>
      </c>
      <c r="G924">
        <f>INDEX(Operational[Production Volume (units)],MATCH(Emission8[[#This Row],[Facility ID]],Operational[Facility ID],0))</f>
        <v>72813</v>
      </c>
      <c r="H924">
        <f>INDEX(Operational[Energy Consumption (MWh)],MATCH(Emission8[[#This Row],[Facility ID]],Operational[Facility ID],0))</f>
        <v>8818.16</v>
      </c>
      <c r="I924">
        <f>INDEX(Operational[Waste (tons)],MATCH(Emission8[[#This Row],[Facility ID]],Operational[Facility ID],0))</f>
        <v>54.12</v>
      </c>
    </row>
    <row r="925" spans="1:9" x14ac:dyDescent="0.3">
      <c r="A925" t="s">
        <v>33</v>
      </c>
      <c r="B925" t="s">
        <v>19</v>
      </c>
      <c r="C925" t="s">
        <v>23</v>
      </c>
      <c r="D925" t="s">
        <v>28</v>
      </c>
      <c r="E925" t="s">
        <v>10</v>
      </c>
      <c r="F925">
        <v>2402.8200000000002</v>
      </c>
      <c r="G925">
        <f>INDEX(Operational[Production Volume (units)],MATCH(Emission8[[#This Row],[Facility ID]],Operational[Facility ID],0))</f>
        <v>65719</v>
      </c>
      <c r="H925">
        <f>INDEX(Operational[Energy Consumption (MWh)],MATCH(Emission8[[#This Row],[Facility ID]],Operational[Facility ID],0))</f>
        <v>9362.41</v>
      </c>
      <c r="I925">
        <f>INDEX(Operational[Waste (tons)],MATCH(Emission8[[#This Row],[Facility ID]],Operational[Facility ID],0))</f>
        <v>86.55</v>
      </c>
    </row>
    <row r="926" spans="1:9" x14ac:dyDescent="0.3">
      <c r="A926" t="s">
        <v>168</v>
      </c>
      <c r="B926" t="s">
        <v>17</v>
      </c>
      <c r="C926" t="s">
        <v>13</v>
      </c>
      <c r="D926" t="s">
        <v>9</v>
      </c>
      <c r="E926" t="s">
        <v>10</v>
      </c>
      <c r="F926">
        <v>1465.51</v>
      </c>
      <c r="G926">
        <f>INDEX(Operational[Production Volume (units)],MATCH(Emission8[[#This Row],[Facility ID]],Operational[Facility ID],0))</f>
        <v>41050</v>
      </c>
      <c r="H926">
        <f>INDEX(Operational[Energy Consumption (MWh)],MATCH(Emission8[[#This Row],[Facility ID]],Operational[Facility ID],0))</f>
        <v>6025.84</v>
      </c>
      <c r="I926">
        <f>INDEX(Operational[Waste (tons)],MATCH(Emission8[[#This Row],[Facility ID]],Operational[Facility ID],0))</f>
        <v>53.53</v>
      </c>
    </row>
    <row r="927" spans="1:9" x14ac:dyDescent="0.3">
      <c r="A927" t="s">
        <v>129</v>
      </c>
      <c r="B927" t="s">
        <v>17</v>
      </c>
      <c r="C927" t="s">
        <v>8</v>
      </c>
      <c r="D927" t="s">
        <v>9</v>
      </c>
      <c r="E927" t="s">
        <v>10</v>
      </c>
      <c r="F927">
        <v>4841.54</v>
      </c>
      <c r="G927">
        <f>INDEX(Operational[Production Volume (units)],MATCH(Emission8[[#This Row],[Facility ID]],Operational[Facility ID],0))</f>
        <v>95292</v>
      </c>
      <c r="H927">
        <f>INDEX(Operational[Energy Consumption (MWh)],MATCH(Emission8[[#This Row],[Facility ID]],Operational[Facility ID],0))</f>
        <v>697.47</v>
      </c>
      <c r="I927">
        <f>INDEX(Operational[Waste (tons)],MATCH(Emission8[[#This Row],[Facility ID]],Operational[Facility ID],0))</f>
        <v>88.35</v>
      </c>
    </row>
    <row r="928" spans="1:9" x14ac:dyDescent="0.3">
      <c r="A928" t="s">
        <v>206</v>
      </c>
      <c r="B928" t="s">
        <v>19</v>
      </c>
      <c r="C928" t="s">
        <v>34</v>
      </c>
      <c r="D928" t="s">
        <v>28</v>
      </c>
      <c r="E928" t="s">
        <v>10</v>
      </c>
      <c r="F928">
        <v>3187.8</v>
      </c>
      <c r="G928">
        <f>INDEX(Operational[Production Volume (units)],MATCH(Emission8[[#This Row],[Facility ID]],Operational[Facility ID],0))</f>
        <v>10250</v>
      </c>
      <c r="H928">
        <f>INDEX(Operational[Energy Consumption (MWh)],MATCH(Emission8[[#This Row],[Facility ID]],Operational[Facility ID],0))</f>
        <v>4717</v>
      </c>
      <c r="I928">
        <f>INDEX(Operational[Waste (tons)],MATCH(Emission8[[#This Row],[Facility ID]],Operational[Facility ID],0))</f>
        <v>16.600000000000001</v>
      </c>
    </row>
    <row r="929" spans="1:9" x14ac:dyDescent="0.3">
      <c r="A929" t="s">
        <v>129</v>
      </c>
      <c r="B929" t="s">
        <v>17</v>
      </c>
      <c r="C929" t="s">
        <v>34</v>
      </c>
      <c r="D929" t="s">
        <v>28</v>
      </c>
      <c r="E929" t="s">
        <v>24</v>
      </c>
      <c r="F929">
        <v>4547.92</v>
      </c>
      <c r="G929">
        <f>INDEX(Operational[Production Volume (units)],MATCH(Emission8[[#This Row],[Facility ID]],Operational[Facility ID],0))</f>
        <v>95292</v>
      </c>
      <c r="H929">
        <f>INDEX(Operational[Energy Consumption (MWh)],MATCH(Emission8[[#This Row],[Facility ID]],Operational[Facility ID],0))</f>
        <v>697.47</v>
      </c>
      <c r="I929">
        <f>INDEX(Operational[Waste (tons)],MATCH(Emission8[[#This Row],[Facility ID]],Operational[Facility ID],0))</f>
        <v>88.35</v>
      </c>
    </row>
    <row r="930" spans="1:9" x14ac:dyDescent="0.3">
      <c r="A930" t="s">
        <v>135</v>
      </c>
      <c r="B930" t="s">
        <v>12</v>
      </c>
      <c r="C930" t="s">
        <v>13</v>
      </c>
      <c r="D930" t="s">
        <v>9</v>
      </c>
      <c r="E930" t="s">
        <v>10</v>
      </c>
      <c r="F930">
        <v>4751.75</v>
      </c>
      <c r="G930">
        <f>INDEX(Operational[Production Volume (units)],MATCH(Emission8[[#This Row],[Facility ID]],Operational[Facility ID],0))</f>
        <v>39560</v>
      </c>
      <c r="H930">
        <f>INDEX(Operational[Energy Consumption (MWh)],MATCH(Emission8[[#This Row],[Facility ID]],Operational[Facility ID],0))</f>
        <v>8380.77</v>
      </c>
      <c r="I930">
        <f>INDEX(Operational[Waste (tons)],MATCH(Emission8[[#This Row],[Facility ID]],Operational[Facility ID],0))</f>
        <v>94.01</v>
      </c>
    </row>
    <row r="931" spans="1:9" x14ac:dyDescent="0.3">
      <c r="A931" t="s">
        <v>49</v>
      </c>
      <c r="B931" t="s">
        <v>19</v>
      </c>
      <c r="C931" t="s">
        <v>13</v>
      </c>
      <c r="D931" t="s">
        <v>28</v>
      </c>
      <c r="E931" t="s">
        <v>10</v>
      </c>
      <c r="F931">
        <v>3218.33</v>
      </c>
      <c r="G931">
        <f>INDEX(Operational[Production Volume (units)],MATCH(Emission8[[#This Row],[Facility ID]],Operational[Facility ID],0))</f>
        <v>50306</v>
      </c>
      <c r="H931">
        <f>INDEX(Operational[Energy Consumption (MWh)],MATCH(Emission8[[#This Row],[Facility ID]],Operational[Facility ID],0))</f>
        <v>7031.37</v>
      </c>
      <c r="I931">
        <f>INDEX(Operational[Waste (tons)],MATCH(Emission8[[#This Row],[Facility ID]],Operational[Facility ID],0))</f>
        <v>13.27</v>
      </c>
    </row>
    <row r="932" spans="1:9" x14ac:dyDescent="0.3">
      <c r="A932" t="s">
        <v>177</v>
      </c>
      <c r="B932" t="s">
        <v>7</v>
      </c>
      <c r="C932" t="s">
        <v>23</v>
      </c>
      <c r="D932" t="s">
        <v>14</v>
      </c>
      <c r="E932" t="s">
        <v>24</v>
      </c>
      <c r="F932">
        <v>107.49</v>
      </c>
      <c r="G932">
        <f>INDEX(Operational[Production Volume (units)],MATCH(Emission8[[#This Row],[Facility ID]],Operational[Facility ID],0))</f>
        <v>17097</v>
      </c>
      <c r="H932">
        <f>INDEX(Operational[Energy Consumption (MWh)],MATCH(Emission8[[#This Row],[Facility ID]],Operational[Facility ID],0))</f>
        <v>9061.7800000000007</v>
      </c>
      <c r="I932">
        <f>INDEX(Operational[Waste (tons)],MATCH(Emission8[[#This Row],[Facility ID]],Operational[Facility ID],0))</f>
        <v>95.92</v>
      </c>
    </row>
    <row r="933" spans="1:9" x14ac:dyDescent="0.3">
      <c r="A933" t="s">
        <v>159</v>
      </c>
      <c r="B933" t="s">
        <v>7</v>
      </c>
      <c r="C933" t="s">
        <v>8</v>
      </c>
      <c r="D933" t="s">
        <v>28</v>
      </c>
      <c r="E933" t="s">
        <v>15</v>
      </c>
      <c r="F933">
        <v>4162.1899999999996</v>
      </c>
      <c r="G933">
        <f>INDEX(Operational[Production Volume (units)],MATCH(Emission8[[#This Row],[Facility ID]],Operational[Facility ID],0))</f>
        <v>47727</v>
      </c>
      <c r="H933">
        <f>INDEX(Operational[Energy Consumption (MWh)],MATCH(Emission8[[#This Row],[Facility ID]],Operational[Facility ID],0))</f>
        <v>8907.33</v>
      </c>
      <c r="I933">
        <f>INDEX(Operational[Waste (tons)],MATCH(Emission8[[#This Row],[Facility ID]],Operational[Facility ID],0))</f>
        <v>47.4</v>
      </c>
    </row>
    <row r="934" spans="1:9" x14ac:dyDescent="0.3">
      <c r="A934" t="s">
        <v>172</v>
      </c>
      <c r="B934" t="s">
        <v>7</v>
      </c>
      <c r="C934" t="s">
        <v>13</v>
      </c>
      <c r="D934" t="s">
        <v>14</v>
      </c>
      <c r="E934" t="s">
        <v>10</v>
      </c>
      <c r="F934">
        <v>1795.35</v>
      </c>
      <c r="G934">
        <f>INDEX(Operational[Production Volume (units)],MATCH(Emission8[[#This Row],[Facility ID]],Operational[Facility ID],0))</f>
        <v>68820</v>
      </c>
      <c r="H934">
        <f>INDEX(Operational[Energy Consumption (MWh)],MATCH(Emission8[[#This Row],[Facility ID]],Operational[Facility ID],0))</f>
        <v>9612.25</v>
      </c>
      <c r="I934">
        <f>INDEX(Operational[Waste (tons)],MATCH(Emission8[[#This Row],[Facility ID]],Operational[Facility ID],0))</f>
        <v>83.51</v>
      </c>
    </row>
    <row r="935" spans="1:9" x14ac:dyDescent="0.3">
      <c r="A935" t="s">
        <v>163</v>
      </c>
      <c r="B935" t="s">
        <v>19</v>
      </c>
      <c r="C935" t="s">
        <v>13</v>
      </c>
      <c r="D935" t="s">
        <v>14</v>
      </c>
      <c r="E935" t="s">
        <v>24</v>
      </c>
      <c r="F935">
        <v>930.97</v>
      </c>
      <c r="G935">
        <f>INDEX(Operational[Production Volume (units)],MATCH(Emission8[[#This Row],[Facility ID]],Operational[Facility ID],0))</f>
        <v>87482</v>
      </c>
      <c r="H935">
        <f>INDEX(Operational[Energy Consumption (MWh)],MATCH(Emission8[[#This Row],[Facility ID]],Operational[Facility ID],0))</f>
        <v>2231.7399999999998</v>
      </c>
      <c r="I935">
        <f>INDEX(Operational[Waste (tons)],MATCH(Emission8[[#This Row],[Facility ID]],Operational[Facility ID],0))</f>
        <v>45.43</v>
      </c>
    </row>
    <row r="936" spans="1:9" x14ac:dyDescent="0.3">
      <c r="A936" t="s">
        <v>143</v>
      </c>
      <c r="B936" t="s">
        <v>17</v>
      </c>
      <c r="C936" t="s">
        <v>23</v>
      </c>
      <c r="D936" t="s">
        <v>9</v>
      </c>
      <c r="E936" t="s">
        <v>10</v>
      </c>
      <c r="F936">
        <v>1962.97</v>
      </c>
      <c r="G936">
        <f>INDEX(Operational[Production Volume (units)],MATCH(Emission8[[#This Row],[Facility ID]],Operational[Facility ID],0))</f>
        <v>94704</v>
      </c>
      <c r="H936">
        <f>INDEX(Operational[Energy Consumption (MWh)],MATCH(Emission8[[#This Row],[Facility ID]],Operational[Facility ID],0))</f>
        <v>6632.95</v>
      </c>
      <c r="I936">
        <f>INDEX(Operational[Waste (tons)],MATCH(Emission8[[#This Row],[Facility ID]],Operational[Facility ID],0))</f>
        <v>14.76</v>
      </c>
    </row>
    <row r="937" spans="1:9" x14ac:dyDescent="0.3">
      <c r="A937" t="s">
        <v>181</v>
      </c>
      <c r="B937" t="s">
        <v>30</v>
      </c>
      <c r="C937" t="s">
        <v>23</v>
      </c>
      <c r="D937" t="s">
        <v>14</v>
      </c>
      <c r="E937" t="s">
        <v>10</v>
      </c>
      <c r="F937">
        <v>4615.88</v>
      </c>
      <c r="G937">
        <f>INDEX(Operational[Production Volume (units)],MATCH(Emission8[[#This Row],[Facility ID]],Operational[Facility ID],0))</f>
        <v>28704</v>
      </c>
      <c r="H937">
        <f>INDEX(Operational[Energy Consumption (MWh)],MATCH(Emission8[[#This Row],[Facility ID]],Operational[Facility ID],0))</f>
        <v>6009.24</v>
      </c>
      <c r="I937">
        <f>INDEX(Operational[Waste (tons)],MATCH(Emission8[[#This Row],[Facility ID]],Operational[Facility ID],0))</f>
        <v>39.31</v>
      </c>
    </row>
    <row r="938" spans="1:9" x14ac:dyDescent="0.3">
      <c r="A938" t="s">
        <v>146</v>
      </c>
      <c r="B938" t="s">
        <v>7</v>
      </c>
      <c r="C938" t="s">
        <v>34</v>
      </c>
      <c r="D938" t="s">
        <v>28</v>
      </c>
      <c r="E938" t="s">
        <v>15</v>
      </c>
      <c r="F938">
        <v>1530.83</v>
      </c>
      <c r="G938">
        <f>INDEX(Operational[Production Volume (units)],MATCH(Emission8[[#This Row],[Facility ID]],Operational[Facility ID],0))</f>
        <v>14170</v>
      </c>
      <c r="H938">
        <f>INDEX(Operational[Energy Consumption (MWh)],MATCH(Emission8[[#This Row],[Facility ID]],Operational[Facility ID],0))</f>
        <v>5455.23</v>
      </c>
      <c r="I938">
        <f>INDEX(Operational[Waste (tons)],MATCH(Emission8[[#This Row],[Facility ID]],Operational[Facility ID],0))</f>
        <v>25.46</v>
      </c>
    </row>
    <row r="939" spans="1:9" x14ac:dyDescent="0.3">
      <c r="A939" t="s">
        <v>173</v>
      </c>
      <c r="B939" t="s">
        <v>30</v>
      </c>
      <c r="C939" t="s">
        <v>23</v>
      </c>
      <c r="D939" t="s">
        <v>9</v>
      </c>
      <c r="E939" t="s">
        <v>10</v>
      </c>
      <c r="F939">
        <v>2440.9899999999998</v>
      </c>
      <c r="G939">
        <f>INDEX(Operational[Production Volume (units)],MATCH(Emission8[[#This Row],[Facility ID]],Operational[Facility ID],0))</f>
        <v>49620</v>
      </c>
      <c r="H939">
        <f>INDEX(Operational[Energy Consumption (MWh)],MATCH(Emission8[[#This Row],[Facility ID]],Operational[Facility ID],0))</f>
        <v>2424.31</v>
      </c>
      <c r="I939">
        <f>INDEX(Operational[Waste (tons)],MATCH(Emission8[[#This Row],[Facility ID]],Operational[Facility ID],0))</f>
        <v>62.09</v>
      </c>
    </row>
    <row r="940" spans="1:9" x14ac:dyDescent="0.3">
      <c r="A940" t="s">
        <v>121</v>
      </c>
      <c r="B940" t="s">
        <v>30</v>
      </c>
      <c r="C940" t="s">
        <v>8</v>
      </c>
      <c r="D940" t="s">
        <v>28</v>
      </c>
      <c r="E940" t="s">
        <v>24</v>
      </c>
      <c r="F940">
        <v>1674.72</v>
      </c>
      <c r="G940">
        <f>INDEX(Operational[Production Volume (units)],MATCH(Emission8[[#This Row],[Facility ID]],Operational[Facility ID],0))</f>
        <v>58895</v>
      </c>
      <c r="H940">
        <f>INDEX(Operational[Energy Consumption (MWh)],MATCH(Emission8[[#This Row],[Facility ID]],Operational[Facility ID],0))</f>
        <v>3039.17</v>
      </c>
      <c r="I940">
        <f>INDEX(Operational[Waste (tons)],MATCH(Emission8[[#This Row],[Facility ID]],Operational[Facility ID],0))</f>
        <v>59.82</v>
      </c>
    </row>
    <row r="941" spans="1:9" x14ac:dyDescent="0.3">
      <c r="A941" t="s">
        <v>50</v>
      </c>
      <c r="B941" t="s">
        <v>19</v>
      </c>
      <c r="C941" t="s">
        <v>13</v>
      </c>
      <c r="D941" t="s">
        <v>28</v>
      </c>
      <c r="E941" t="s">
        <v>15</v>
      </c>
      <c r="F941">
        <v>3245.74</v>
      </c>
      <c r="G941">
        <f>INDEX(Operational[Production Volume (units)],MATCH(Emission8[[#This Row],[Facility ID]],Operational[Facility ID],0))</f>
        <v>40577</v>
      </c>
      <c r="H941">
        <f>INDEX(Operational[Energy Consumption (MWh)],MATCH(Emission8[[#This Row],[Facility ID]],Operational[Facility ID],0))</f>
        <v>4280.82</v>
      </c>
      <c r="I941">
        <f>INDEX(Operational[Waste (tons)],MATCH(Emission8[[#This Row],[Facility ID]],Operational[Facility ID],0))</f>
        <v>79.88</v>
      </c>
    </row>
    <row r="942" spans="1:9" x14ac:dyDescent="0.3">
      <c r="A942" t="s">
        <v>214</v>
      </c>
      <c r="B942" t="s">
        <v>30</v>
      </c>
      <c r="C942" t="s">
        <v>8</v>
      </c>
      <c r="D942" t="s">
        <v>28</v>
      </c>
      <c r="E942" t="s">
        <v>15</v>
      </c>
      <c r="F942">
        <v>3114.72</v>
      </c>
      <c r="G942">
        <f>INDEX(Operational[Production Volume (units)],MATCH(Emission8[[#This Row],[Facility ID]],Operational[Facility ID],0))</f>
        <v>79330</v>
      </c>
      <c r="H942">
        <f>INDEX(Operational[Energy Consumption (MWh)],MATCH(Emission8[[#This Row],[Facility ID]],Operational[Facility ID],0))</f>
        <v>6075.23</v>
      </c>
      <c r="I942">
        <f>INDEX(Operational[Waste (tons)],MATCH(Emission8[[#This Row],[Facility ID]],Operational[Facility ID],0))</f>
        <v>83.97</v>
      </c>
    </row>
    <row r="943" spans="1:9" x14ac:dyDescent="0.3">
      <c r="A943" t="s">
        <v>101</v>
      </c>
      <c r="B943" t="s">
        <v>19</v>
      </c>
      <c r="C943" t="s">
        <v>13</v>
      </c>
      <c r="D943" t="s">
        <v>14</v>
      </c>
      <c r="E943" t="s">
        <v>15</v>
      </c>
      <c r="F943">
        <v>2078.6799999999998</v>
      </c>
      <c r="G943">
        <f>INDEX(Operational[Production Volume (units)],MATCH(Emission8[[#This Row],[Facility ID]],Operational[Facility ID],0))</f>
        <v>39050</v>
      </c>
      <c r="H943">
        <f>INDEX(Operational[Energy Consumption (MWh)],MATCH(Emission8[[#This Row],[Facility ID]],Operational[Facility ID],0))</f>
        <v>5885.73</v>
      </c>
      <c r="I943">
        <f>INDEX(Operational[Waste (tons)],MATCH(Emission8[[#This Row],[Facility ID]],Operational[Facility ID],0))</f>
        <v>93.04</v>
      </c>
    </row>
    <row r="944" spans="1:9" x14ac:dyDescent="0.3">
      <c r="A944" t="s">
        <v>137</v>
      </c>
      <c r="B944" t="s">
        <v>17</v>
      </c>
      <c r="C944" t="s">
        <v>8</v>
      </c>
      <c r="D944" t="s">
        <v>28</v>
      </c>
      <c r="E944" t="s">
        <v>15</v>
      </c>
      <c r="F944">
        <v>2458.83</v>
      </c>
      <c r="G944">
        <f>INDEX(Operational[Production Volume (units)],MATCH(Emission8[[#This Row],[Facility ID]],Operational[Facility ID],0))</f>
        <v>19265</v>
      </c>
      <c r="H944">
        <f>INDEX(Operational[Energy Consumption (MWh)],MATCH(Emission8[[#This Row],[Facility ID]],Operational[Facility ID],0))</f>
        <v>776.6</v>
      </c>
      <c r="I944">
        <f>INDEX(Operational[Waste (tons)],MATCH(Emission8[[#This Row],[Facility ID]],Operational[Facility ID],0))</f>
        <v>39.75</v>
      </c>
    </row>
    <row r="945" spans="1:9" x14ac:dyDescent="0.3">
      <c r="A945" t="s">
        <v>126</v>
      </c>
      <c r="B945" t="s">
        <v>30</v>
      </c>
      <c r="C945" t="s">
        <v>23</v>
      </c>
      <c r="D945" t="s">
        <v>14</v>
      </c>
      <c r="E945" t="s">
        <v>15</v>
      </c>
      <c r="F945">
        <v>3902.33</v>
      </c>
      <c r="G945">
        <f>INDEX(Operational[Production Volume (units)],MATCH(Emission8[[#This Row],[Facility ID]],Operational[Facility ID],0))</f>
        <v>35506</v>
      </c>
      <c r="H945">
        <f>INDEX(Operational[Energy Consumption (MWh)],MATCH(Emission8[[#This Row],[Facility ID]],Operational[Facility ID],0))</f>
        <v>1892.04</v>
      </c>
      <c r="I945">
        <f>INDEX(Operational[Waste (tons)],MATCH(Emission8[[#This Row],[Facility ID]],Operational[Facility ID],0))</f>
        <v>61.53</v>
      </c>
    </row>
    <row r="946" spans="1:9" x14ac:dyDescent="0.3">
      <c r="A946" t="s">
        <v>22</v>
      </c>
      <c r="B946" t="s">
        <v>12</v>
      </c>
      <c r="C946" t="s">
        <v>23</v>
      </c>
      <c r="D946" t="s">
        <v>9</v>
      </c>
      <c r="E946" t="s">
        <v>10</v>
      </c>
      <c r="F946">
        <v>3436.69</v>
      </c>
      <c r="G946">
        <f>INDEX(Operational[Production Volume (units)],MATCH(Emission8[[#This Row],[Facility ID]],Operational[Facility ID],0))</f>
        <v>47484</v>
      </c>
      <c r="H946">
        <f>INDEX(Operational[Energy Consumption (MWh)],MATCH(Emission8[[#This Row],[Facility ID]],Operational[Facility ID],0))</f>
        <v>3396.39</v>
      </c>
      <c r="I946">
        <f>INDEX(Operational[Waste (tons)],MATCH(Emission8[[#This Row],[Facility ID]],Operational[Facility ID],0))</f>
        <v>19.510000000000002</v>
      </c>
    </row>
    <row r="947" spans="1:9" x14ac:dyDescent="0.3">
      <c r="A947" t="s">
        <v>133</v>
      </c>
      <c r="B947" t="s">
        <v>17</v>
      </c>
      <c r="C947" t="s">
        <v>23</v>
      </c>
      <c r="D947" t="s">
        <v>28</v>
      </c>
      <c r="E947" t="s">
        <v>24</v>
      </c>
      <c r="F947">
        <v>3373.97</v>
      </c>
      <c r="G947">
        <f>INDEX(Operational[Production Volume (units)],MATCH(Emission8[[#This Row],[Facility ID]],Operational[Facility ID],0))</f>
        <v>48501</v>
      </c>
      <c r="H947">
        <f>INDEX(Operational[Energy Consumption (MWh)],MATCH(Emission8[[#This Row],[Facility ID]],Operational[Facility ID],0))</f>
        <v>7209.77</v>
      </c>
      <c r="I947">
        <f>INDEX(Operational[Waste (tons)],MATCH(Emission8[[#This Row],[Facility ID]],Operational[Facility ID],0))</f>
        <v>92.51</v>
      </c>
    </row>
    <row r="948" spans="1:9" x14ac:dyDescent="0.3">
      <c r="A948" t="s">
        <v>202</v>
      </c>
      <c r="B948" t="s">
        <v>12</v>
      </c>
      <c r="C948" t="s">
        <v>8</v>
      </c>
      <c r="D948" t="s">
        <v>14</v>
      </c>
      <c r="E948" t="s">
        <v>15</v>
      </c>
      <c r="F948">
        <v>2524.3200000000002</v>
      </c>
      <c r="G948">
        <f>INDEX(Operational[Production Volume (units)],MATCH(Emission8[[#This Row],[Facility ID]],Operational[Facility ID],0))</f>
        <v>28400</v>
      </c>
      <c r="H948">
        <f>INDEX(Operational[Energy Consumption (MWh)],MATCH(Emission8[[#This Row],[Facility ID]],Operational[Facility ID],0))</f>
        <v>3056.67</v>
      </c>
      <c r="I948">
        <f>INDEX(Operational[Waste (tons)],MATCH(Emission8[[#This Row],[Facility ID]],Operational[Facility ID],0))</f>
        <v>52.68</v>
      </c>
    </row>
    <row r="949" spans="1:9" x14ac:dyDescent="0.3">
      <c r="A949" t="s">
        <v>67</v>
      </c>
      <c r="B949" t="s">
        <v>7</v>
      </c>
      <c r="C949" t="s">
        <v>13</v>
      </c>
      <c r="D949" t="s">
        <v>28</v>
      </c>
      <c r="E949" t="s">
        <v>24</v>
      </c>
      <c r="F949">
        <v>4152.62</v>
      </c>
      <c r="G949">
        <f>INDEX(Operational[Production Volume (units)],MATCH(Emission8[[#This Row],[Facility ID]],Operational[Facility ID],0))</f>
        <v>70582</v>
      </c>
      <c r="H949">
        <f>INDEX(Operational[Energy Consumption (MWh)],MATCH(Emission8[[#This Row],[Facility ID]],Operational[Facility ID],0))</f>
        <v>7517.59</v>
      </c>
      <c r="I949">
        <f>INDEX(Operational[Waste (tons)],MATCH(Emission8[[#This Row],[Facility ID]],Operational[Facility ID],0))</f>
        <v>95.71</v>
      </c>
    </row>
    <row r="950" spans="1:9" x14ac:dyDescent="0.3">
      <c r="A950" t="s">
        <v>159</v>
      </c>
      <c r="B950" t="s">
        <v>7</v>
      </c>
      <c r="C950" t="s">
        <v>13</v>
      </c>
      <c r="D950" t="s">
        <v>9</v>
      </c>
      <c r="E950" t="s">
        <v>15</v>
      </c>
      <c r="F950">
        <v>5429.12</v>
      </c>
      <c r="G950">
        <f>INDEX(Operational[Production Volume (units)],MATCH(Emission8[[#This Row],[Facility ID]],Operational[Facility ID],0))</f>
        <v>47727</v>
      </c>
      <c r="H950">
        <f>INDEX(Operational[Energy Consumption (MWh)],MATCH(Emission8[[#This Row],[Facility ID]],Operational[Facility ID],0))</f>
        <v>8907.33</v>
      </c>
      <c r="I950">
        <f>INDEX(Operational[Waste (tons)],MATCH(Emission8[[#This Row],[Facility ID]],Operational[Facility ID],0))</f>
        <v>47.4</v>
      </c>
    </row>
    <row r="951" spans="1:9" x14ac:dyDescent="0.3">
      <c r="A951" t="s">
        <v>193</v>
      </c>
      <c r="B951" t="s">
        <v>12</v>
      </c>
      <c r="C951" t="s">
        <v>23</v>
      </c>
      <c r="D951" t="s">
        <v>9</v>
      </c>
      <c r="E951" t="s">
        <v>24</v>
      </c>
      <c r="F951">
        <v>4835.42</v>
      </c>
      <c r="G951">
        <f>INDEX(Operational[Production Volume (units)],MATCH(Emission8[[#This Row],[Facility ID]],Operational[Facility ID],0))</f>
        <v>13333</v>
      </c>
      <c r="H951">
        <f>INDEX(Operational[Energy Consumption (MWh)],MATCH(Emission8[[#This Row],[Facility ID]],Operational[Facility ID],0))</f>
        <v>6102.15</v>
      </c>
      <c r="I951">
        <f>INDEX(Operational[Waste (tons)],MATCH(Emission8[[#This Row],[Facility ID]],Operational[Facility ID],0))</f>
        <v>17.670000000000002</v>
      </c>
    </row>
    <row r="952" spans="1:9" x14ac:dyDescent="0.3">
      <c r="A952" t="s">
        <v>101</v>
      </c>
      <c r="B952" t="s">
        <v>19</v>
      </c>
      <c r="C952" t="s">
        <v>23</v>
      </c>
      <c r="D952" t="s">
        <v>28</v>
      </c>
      <c r="E952" t="s">
        <v>15</v>
      </c>
      <c r="F952">
        <v>783.3</v>
      </c>
      <c r="G952">
        <f>INDEX(Operational[Production Volume (units)],MATCH(Emission8[[#This Row],[Facility ID]],Operational[Facility ID],0))</f>
        <v>39050</v>
      </c>
      <c r="H952">
        <f>INDEX(Operational[Energy Consumption (MWh)],MATCH(Emission8[[#This Row],[Facility ID]],Operational[Facility ID],0))</f>
        <v>5885.73</v>
      </c>
      <c r="I952">
        <f>INDEX(Operational[Waste (tons)],MATCH(Emission8[[#This Row],[Facility ID]],Operational[Facility ID],0))</f>
        <v>93.04</v>
      </c>
    </row>
    <row r="953" spans="1:9" x14ac:dyDescent="0.3">
      <c r="A953" t="s">
        <v>112</v>
      </c>
      <c r="B953" t="s">
        <v>30</v>
      </c>
      <c r="C953" t="s">
        <v>8</v>
      </c>
      <c r="D953" t="s">
        <v>28</v>
      </c>
      <c r="E953" t="s">
        <v>24</v>
      </c>
      <c r="F953">
        <v>4038.18</v>
      </c>
      <c r="G953">
        <f>INDEX(Operational[Production Volume (units)],MATCH(Emission8[[#This Row],[Facility ID]],Operational[Facility ID],0))</f>
        <v>43294</v>
      </c>
      <c r="H953">
        <f>INDEX(Operational[Energy Consumption (MWh)],MATCH(Emission8[[#This Row],[Facility ID]],Operational[Facility ID],0))</f>
        <v>3802.13</v>
      </c>
      <c r="I953">
        <f>INDEX(Operational[Waste (tons)],MATCH(Emission8[[#This Row],[Facility ID]],Operational[Facility ID],0))</f>
        <v>45.84</v>
      </c>
    </row>
    <row r="954" spans="1:9" x14ac:dyDescent="0.3">
      <c r="A954" t="s">
        <v>140</v>
      </c>
      <c r="B954" t="s">
        <v>17</v>
      </c>
      <c r="C954" t="s">
        <v>13</v>
      </c>
      <c r="D954" t="s">
        <v>9</v>
      </c>
      <c r="E954" t="s">
        <v>10</v>
      </c>
      <c r="F954">
        <v>4925.53</v>
      </c>
      <c r="G954">
        <f>INDEX(Operational[Production Volume (units)],MATCH(Emission8[[#This Row],[Facility ID]],Operational[Facility ID],0))</f>
        <v>88308</v>
      </c>
      <c r="H954">
        <f>INDEX(Operational[Energy Consumption (MWh)],MATCH(Emission8[[#This Row],[Facility ID]],Operational[Facility ID],0))</f>
        <v>7802.07</v>
      </c>
      <c r="I954">
        <f>INDEX(Operational[Waste (tons)],MATCH(Emission8[[#This Row],[Facility ID]],Operational[Facility ID],0))</f>
        <v>36.130000000000003</v>
      </c>
    </row>
    <row r="955" spans="1:9" x14ac:dyDescent="0.3">
      <c r="A955" t="s">
        <v>20</v>
      </c>
      <c r="B955" t="s">
        <v>17</v>
      </c>
      <c r="C955" t="s">
        <v>23</v>
      </c>
      <c r="D955" t="s">
        <v>9</v>
      </c>
      <c r="E955" t="s">
        <v>10</v>
      </c>
      <c r="F955">
        <v>2926.75</v>
      </c>
      <c r="G955">
        <f>INDEX(Operational[Production Volume (units)],MATCH(Emission8[[#This Row],[Facility ID]],Operational[Facility ID],0))</f>
        <v>29895</v>
      </c>
      <c r="H955">
        <f>INDEX(Operational[Energy Consumption (MWh)],MATCH(Emission8[[#This Row],[Facility ID]],Operational[Facility ID],0))</f>
        <v>1631.08</v>
      </c>
      <c r="I955">
        <f>INDEX(Operational[Waste (tons)],MATCH(Emission8[[#This Row],[Facility ID]],Operational[Facility ID],0))</f>
        <v>39.93</v>
      </c>
    </row>
    <row r="956" spans="1:9" x14ac:dyDescent="0.3">
      <c r="A956" t="s">
        <v>170</v>
      </c>
      <c r="B956" t="s">
        <v>12</v>
      </c>
      <c r="C956" t="s">
        <v>8</v>
      </c>
      <c r="D956" t="s">
        <v>28</v>
      </c>
      <c r="E956" t="s">
        <v>15</v>
      </c>
      <c r="F956">
        <v>1931.14</v>
      </c>
      <c r="G956">
        <f>INDEX(Operational[Production Volume (units)],MATCH(Emission8[[#This Row],[Facility ID]],Operational[Facility ID],0))</f>
        <v>54133</v>
      </c>
      <c r="H956">
        <f>INDEX(Operational[Energy Consumption (MWh)],MATCH(Emission8[[#This Row],[Facility ID]],Operational[Facility ID],0))</f>
        <v>8543.68</v>
      </c>
      <c r="I956">
        <f>INDEX(Operational[Waste (tons)],MATCH(Emission8[[#This Row],[Facility ID]],Operational[Facility ID],0))</f>
        <v>24</v>
      </c>
    </row>
    <row r="957" spans="1:9" x14ac:dyDescent="0.3">
      <c r="A957" t="s">
        <v>80</v>
      </c>
      <c r="B957" t="s">
        <v>17</v>
      </c>
      <c r="C957" t="s">
        <v>13</v>
      </c>
      <c r="D957" t="s">
        <v>9</v>
      </c>
      <c r="E957" t="s">
        <v>24</v>
      </c>
      <c r="F957">
        <v>3586.91</v>
      </c>
      <c r="G957">
        <f>INDEX(Operational[Production Volume (units)],MATCH(Emission8[[#This Row],[Facility ID]],Operational[Facility ID],0))</f>
        <v>75508</v>
      </c>
      <c r="H957">
        <f>INDEX(Operational[Energy Consumption (MWh)],MATCH(Emission8[[#This Row],[Facility ID]],Operational[Facility ID],0))</f>
        <v>6856.22</v>
      </c>
      <c r="I957">
        <f>INDEX(Operational[Waste (tons)],MATCH(Emission8[[#This Row],[Facility ID]],Operational[Facility ID],0))</f>
        <v>18.2</v>
      </c>
    </row>
    <row r="958" spans="1:9" x14ac:dyDescent="0.3">
      <c r="A958" t="s">
        <v>217</v>
      </c>
      <c r="B958" t="s">
        <v>19</v>
      </c>
      <c r="C958" t="s">
        <v>34</v>
      </c>
      <c r="D958" t="s">
        <v>14</v>
      </c>
      <c r="E958" t="s">
        <v>15</v>
      </c>
      <c r="F958">
        <v>2192.19</v>
      </c>
      <c r="G958">
        <f>INDEX(Operational[Production Volume (units)],MATCH(Emission8[[#This Row],[Facility ID]],Operational[Facility ID],0))</f>
        <v>80824</v>
      </c>
      <c r="H958">
        <f>INDEX(Operational[Energy Consumption (MWh)],MATCH(Emission8[[#This Row],[Facility ID]],Operational[Facility ID],0))</f>
        <v>2858.92</v>
      </c>
      <c r="I958">
        <f>INDEX(Operational[Waste (tons)],MATCH(Emission8[[#This Row],[Facility ID]],Operational[Facility ID],0))</f>
        <v>13.97</v>
      </c>
    </row>
    <row r="959" spans="1:9" x14ac:dyDescent="0.3">
      <c r="A959" t="s">
        <v>55</v>
      </c>
      <c r="B959" t="s">
        <v>12</v>
      </c>
      <c r="C959" t="s">
        <v>34</v>
      </c>
      <c r="D959" t="s">
        <v>28</v>
      </c>
      <c r="E959" t="s">
        <v>15</v>
      </c>
      <c r="F959">
        <v>3113.98</v>
      </c>
      <c r="G959">
        <f>INDEX(Operational[Production Volume (units)],MATCH(Emission8[[#This Row],[Facility ID]],Operational[Facility ID],0))</f>
        <v>38181</v>
      </c>
      <c r="H959">
        <f>INDEX(Operational[Energy Consumption (MWh)],MATCH(Emission8[[#This Row],[Facility ID]],Operational[Facility ID],0))</f>
        <v>691.84</v>
      </c>
      <c r="I959">
        <f>INDEX(Operational[Waste (tons)],MATCH(Emission8[[#This Row],[Facility ID]],Operational[Facility ID],0))</f>
        <v>33.53</v>
      </c>
    </row>
    <row r="960" spans="1:9" x14ac:dyDescent="0.3">
      <c r="A960" t="s">
        <v>142</v>
      </c>
      <c r="B960" t="s">
        <v>17</v>
      </c>
      <c r="C960" t="s">
        <v>34</v>
      </c>
      <c r="D960" t="s">
        <v>9</v>
      </c>
      <c r="E960" t="s">
        <v>10</v>
      </c>
      <c r="F960">
        <v>4943.08</v>
      </c>
      <c r="G960">
        <f>INDEX(Operational[Production Volume (units)],MATCH(Emission8[[#This Row],[Facility ID]],Operational[Facility ID],0))</f>
        <v>75736</v>
      </c>
      <c r="H960">
        <f>INDEX(Operational[Energy Consumption (MWh)],MATCH(Emission8[[#This Row],[Facility ID]],Operational[Facility ID],0))</f>
        <v>6287.07</v>
      </c>
      <c r="I960">
        <f>INDEX(Operational[Waste (tons)],MATCH(Emission8[[#This Row],[Facility ID]],Operational[Facility ID],0))</f>
        <v>63.11</v>
      </c>
    </row>
    <row r="961" spans="1:9" x14ac:dyDescent="0.3">
      <c r="A961" t="s">
        <v>214</v>
      </c>
      <c r="B961" t="s">
        <v>30</v>
      </c>
      <c r="C961" t="s">
        <v>8</v>
      </c>
      <c r="D961" t="s">
        <v>14</v>
      </c>
      <c r="E961" t="s">
        <v>15</v>
      </c>
      <c r="F961">
        <v>4608.99</v>
      </c>
      <c r="G961">
        <f>INDEX(Operational[Production Volume (units)],MATCH(Emission8[[#This Row],[Facility ID]],Operational[Facility ID],0))</f>
        <v>79330</v>
      </c>
      <c r="H961">
        <f>INDEX(Operational[Energy Consumption (MWh)],MATCH(Emission8[[#This Row],[Facility ID]],Operational[Facility ID],0))</f>
        <v>6075.23</v>
      </c>
      <c r="I961">
        <f>INDEX(Operational[Waste (tons)],MATCH(Emission8[[#This Row],[Facility ID]],Operational[Facility ID],0))</f>
        <v>83.97</v>
      </c>
    </row>
    <row r="962" spans="1:9" x14ac:dyDescent="0.3">
      <c r="A962" t="s">
        <v>56</v>
      </c>
      <c r="B962" t="s">
        <v>19</v>
      </c>
      <c r="C962" t="s">
        <v>13</v>
      </c>
      <c r="D962" t="s">
        <v>28</v>
      </c>
      <c r="E962" t="s">
        <v>15</v>
      </c>
      <c r="F962">
        <v>548.27</v>
      </c>
      <c r="G962">
        <f>INDEX(Operational[Production Volume (units)],MATCH(Emission8[[#This Row],[Facility ID]],Operational[Facility ID],0))</f>
        <v>43747</v>
      </c>
      <c r="H962">
        <f>INDEX(Operational[Energy Consumption (MWh)],MATCH(Emission8[[#This Row],[Facility ID]],Operational[Facility ID],0))</f>
        <v>3453.48</v>
      </c>
      <c r="I962">
        <f>INDEX(Operational[Waste (tons)],MATCH(Emission8[[#This Row],[Facility ID]],Operational[Facility ID],0))</f>
        <v>98.78</v>
      </c>
    </row>
    <row r="963" spans="1:9" x14ac:dyDescent="0.3">
      <c r="A963" t="s">
        <v>61</v>
      </c>
      <c r="B963" t="s">
        <v>30</v>
      </c>
      <c r="C963" t="s">
        <v>8</v>
      </c>
      <c r="D963" t="s">
        <v>9</v>
      </c>
      <c r="E963" t="s">
        <v>10</v>
      </c>
      <c r="F963">
        <v>2949.12</v>
      </c>
      <c r="G963">
        <f>INDEX(Operational[Production Volume (units)],MATCH(Emission8[[#This Row],[Facility ID]],Operational[Facility ID],0))</f>
        <v>95718</v>
      </c>
      <c r="H963">
        <f>INDEX(Operational[Energy Consumption (MWh)],MATCH(Emission8[[#This Row],[Facility ID]],Operational[Facility ID],0))</f>
        <v>2443.12</v>
      </c>
      <c r="I963">
        <f>INDEX(Operational[Waste (tons)],MATCH(Emission8[[#This Row],[Facility ID]],Operational[Facility ID],0))</f>
        <v>35.49</v>
      </c>
    </row>
    <row r="964" spans="1:9" x14ac:dyDescent="0.3">
      <c r="A964" t="s">
        <v>41</v>
      </c>
      <c r="B964" t="s">
        <v>30</v>
      </c>
      <c r="C964" t="s">
        <v>34</v>
      </c>
      <c r="D964" t="s">
        <v>9</v>
      </c>
      <c r="E964" t="s">
        <v>24</v>
      </c>
      <c r="F964">
        <v>2617.0700000000002</v>
      </c>
      <c r="G964">
        <f>INDEX(Operational[Production Volume (units)],MATCH(Emission8[[#This Row],[Facility ID]],Operational[Facility ID],0))</f>
        <v>61743</v>
      </c>
      <c r="H964">
        <f>INDEX(Operational[Energy Consumption (MWh)],MATCH(Emission8[[#This Row],[Facility ID]],Operational[Facility ID],0))</f>
        <v>7426.75</v>
      </c>
      <c r="I964">
        <f>INDEX(Operational[Waste (tons)],MATCH(Emission8[[#This Row],[Facility ID]],Operational[Facility ID],0))</f>
        <v>26.39</v>
      </c>
    </row>
    <row r="965" spans="1:9" x14ac:dyDescent="0.3">
      <c r="A965" t="s">
        <v>92</v>
      </c>
      <c r="B965" t="s">
        <v>30</v>
      </c>
      <c r="C965" t="s">
        <v>34</v>
      </c>
      <c r="D965" t="s">
        <v>14</v>
      </c>
      <c r="E965" t="s">
        <v>15</v>
      </c>
      <c r="F965">
        <v>4990.76</v>
      </c>
      <c r="G965">
        <f>INDEX(Operational[Production Volume (units)],MATCH(Emission8[[#This Row],[Facility ID]],Operational[Facility ID],0))</f>
        <v>18726</v>
      </c>
      <c r="H965">
        <f>INDEX(Operational[Energy Consumption (MWh)],MATCH(Emission8[[#This Row],[Facility ID]],Operational[Facility ID],0))</f>
        <v>5099.54</v>
      </c>
      <c r="I965">
        <f>INDEX(Operational[Waste (tons)],MATCH(Emission8[[#This Row],[Facility ID]],Operational[Facility ID],0))</f>
        <v>71.05</v>
      </c>
    </row>
    <row r="966" spans="1:9" x14ac:dyDescent="0.3">
      <c r="A966" t="s">
        <v>182</v>
      </c>
      <c r="B966" t="s">
        <v>12</v>
      </c>
      <c r="C966" t="s">
        <v>34</v>
      </c>
      <c r="D966" t="s">
        <v>28</v>
      </c>
      <c r="E966" t="s">
        <v>15</v>
      </c>
      <c r="F966">
        <v>922.25</v>
      </c>
      <c r="G966">
        <f>INDEX(Operational[Production Volume (units)],MATCH(Emission8[[#This Row],[Facility ID]],Operational[Facility ID],0))</f>
        <v>21081</v>
      </c>
      <c r="H966">
        <f>INDEX(Operational[Energy Consumption (MWh)],MATCH(Emission8[[#This Row],[Facility ID]],Operational[Facility ID],0))</f>
        <v>9001.77</v>
      </c>
      <c r="I966">
        <f>INDEX(Operational[Waste (tons)],MATCH(Emission8[[#This Row],[Facility ID]],Operational[Facility ID],0))</f>
        <v>49.27</v>
      </c>
    </row>
    <row r="967" spans="1:9" x14ac:dyDescent="0.3">
      <c r="A967" t="s">
        <v>68</v>
      </c>
      <c r="B967" t="s">
        <v>12</v>
      </c>
      <c r="C967" t="s">
        <v>23</v>
      </c>
      <c r="D967" t="s">
        <v>14</v>
      </c>
      <c r="E967" t="s">
        <v>15</v>
      </c>
      <c r="F967">
        <v>1919.35</v>
      </c>
      <c r="G967">
        <f>INDEX(Operational[Production Volume (units)],MATCH(Emission8[[#This Row],[Facility ID]],Operational[Facility ID],0))</f>
        <v>69100</v>
      </c>
      <c r="H967">
        <f>INDEX(Operational[Energy Consumption (MWh)],MATCH(Emission8[[#This Row],[Facility ID]],Operational[Facility ID],0))</f>
        <v>9356.02</v>
      </c>
      <c r="I967">
        <f>INDEX(Operational[Waste (tons)],MATCH(Emission8[[#This Row],[Facility ID]],Operational[Facility ID],0))</f>
        <v>16.5</v>
      </c>
    </row>
    <row r="968" spans="1:9" x14ac:dyDescent="0.3">
      <c r="A968" t="s">
        <v>192</v>
      </c>
      <c r="B968" t="s">
        <v>19</v>
      </c>
      <c r="C968" t="s">
        <v>34</v>
      </c>
      <c r="D968" t="s">
        <v>9</v>
      </c>
      <c r="E968" t="s">
        <v>24</v>
      </c>
      <c r="F968">
        <v>3296.98</v>
      </c>
      <c r="G968">
        <f>INDEX(Operational[Production Volume (units)],MATCH(Emission8[[#This Row],[Facility ID]],Operational[Facility ID],0))</f>
        <v>43227</v>
      </c>
      <c r="H968">
        <f>INDEX(Operational[Energy Consumption (MWh)],MATCH(Emission8[[#This Row],[Facility ID]],Operational[Facility ID],0))</f>
        <v>5199.53</v>
      </c>
      <c r="I968">
        <f>INDEX(Operational[Waste (tons)],MATCH(Emission8[[#This Row],[Facility ID]],Operational[Facility ID],0))</f>
        <v>44.09</v>
      </c>
    </row>
    <row r="969" spans="1:9" x14ac:dyDescent="0.3">
      <c r="A969" t="s">
        <v>102</v>
      </c>
      <c r="B969" t="s">
        <v>19</v>
      </c>
      <c r="C969" t="s">
        <v>13</v>
      </c>
      <c r="D969" t="s">
        <v>28</v>
      </c>
      <c r="E969" t="s">
        <v>24</v>
      </c>
      <c r="F969">
        <v>3879.07</v>
      </c>
      <c r="G969">
        <f>INDEX(Operational[Production Volume (units)],MATCH(Emission8[[#This Row],[Facility ID]],Operational[Facility ID],0))</f>
        <v>86263</v>
      </c>
      <c r="H969">
        <f>INDEX(Operational[Energy Consumption (MWh)],MATCH(Emission8[[#This Row],[Facility ID]],Operational[Facility ID],0))</f>
        <v>3213.71</v>
      </c>
      <c r="I969">
        <f>INDEX(Operational[Waste (tons)],MATCH(Emission8[[#This Row],[Facility ID]],Operational[Facility ID],0))</f>
        <v>98.39</v>
      </c>
    </row>
    <row r="970" spans="1:9" x14ac:dyDescent="0.3">
      <c r="A970" t="s">
        <v>177</v>
      </c>
      <c r="B970" t="s">
        <v>7</v>
      </c>
      <c r="C970" t="s">
        <v>23</v>
      </c>
      <c r="D970" t="s">
        <v>9</v>
      </c>
      <c r="E970" t="s">
        <v>15</v>
      </c>
      <c r="F970">
        <v>3326.96</v>
      </c>
      <c r="G970">
        <f>INDEX(Operational[Production Volume (units)],MATCH(Emission8[[#This Row],[Facility ID]],Operational[Facility ID],0))</f>
        <v>17097</v>
      </c>
      <c r="H970">
        <f>INDEX(Operational[Energy Consumption (MWh)],MATCH(Emission8[[#This Row],[Facility ID]],Operational[Facility ID],0))</f>
        <v>9061.7800000000007</v>
      </c>
      <c r="I970">
        <f>INDEX(Operational[Waste (tons)],MATCH(Emission8[[#This Row],[Facility ID]],Operational[Facility ID],0))</f>
        <v>95.92</v>
      </c>
    </row>
    <row r="971" spans="1:9" x14ac:dyDescent="0.3">
      <c r="A971" t="s">
        <v>113</v>
      </c>
      <c r="B971" t="s">
        <v>30</v>
      </c>
      <c r="C971" t="s">
        <v>13</v>
      </c>
      <c r="D971" t="s">
        <v>9</v>
      </c>
      <c r="E971" t="s">
        <v>15</v>
      </c>
      <c r="F971">
        <v>2620.38</v>
      </c>
      <c r="G971">
        <f>INDEX(Operational[Production Volume (units)],MATCH(Emission8[[#This Row],[Facility ID]],Operational[Facility ID],0))</f>
        <v>90679</v>
      </c>
      <c r="H971">
        <f>INDEX(Operational[Energy Consumption (MWh)],MATCH(Emission8[[#This Row],[Facility ID]],Operational[Facility ID],0))</f>
        <v>7266.82</v>
      </c>
      <c r="I971">
        <f>INDEX(Operational[Waste (tons)],MATCH(Emission8[[#This Row],[Facility ID]],Operational[Facility ID],0))</f>
        <v>23.3</v>
      </c>
    </row>
    <row r="972" spans="1:9" x14ac:dyDescent="0.3">
      <c r="A972" t="s">
        <v>100</v>
      </c>
      <c r="B972" t="s">
        <v>7</v>
      </c>
      <c r="C972" t="s">
        <v>23</v>
      </c>
      <c r="D972" t="s">
        <v>28</v>
      </c>
      <c r="E972" t="s">
        <v>10</v>
      </c>
      <c r="F972">
        <v>3511.53</v>
      </c>
      <c r="G972">
        <f>INDEX(Operational[Production Volume (units)],MATCH(Emission8[[#This Row],[Facility ID]],Operational[Facility ID],0))</f>
        <v>17468</v>
      </c>
      <c r="H972">
        <f>INDEX(Operational[Energy Consumption (MWh)],MATCH(Emission8[[#This Row],[Facility ID]],Operational[Facility ID],0))</f>
        <v>6359.73</v>
      </c>
      <c r="I972">
        <f>INDEX(Operational[Waste (tons)],MATCH(Emission8[[#This Row],[Facility ID]],Operational[Facility ID],0))</f>
        <v>5.22</v>
      </c>
    </row>
    <row r="973" spans="1:9" x14ac:dyDescent="0.3">
      <c r="A973" t="s">
        <v>200</v>
      </c>
      <c r="B973" t="s">
        <v>30</v>
      </c>
      <c r="C973" t="s">
        <v>8</v>
      </c>
      <c r="D973" t="s">
        <v>28</v>
      </c>
      <c r="E973" t="s">
        <v>15</v>
      </c>
      <c r="F973">
        <v>402.68</v>
      </c>
      <c r="G973">
        <f>INDEX(Operational[Production Volume (units)],MATCH(Emission8[[#This Row],[Facility ID]],Operational[Facility ID],0))</f>
        <v>46863</v>
      </c>
      <c r="H973">
        <f>INDEX(Operational[Energy Consumption (MWh)],MATCH(Emission8[[#This Row],[Facility ID]],Operational[Facility ID],0))</f>
        <v>6762.98</v>
      </c>
      <c r="I973">
        <f>INDEX(Operational[Waste (tons)],MATCH(Emission8[[#This Row],[Facility ID]],Operational[Facility ID],0))</f>
        <v>23.45</v>
      </c>
    </row>
    <row r="974" spans="1:9" x14ac:dyDescent="0.3">
      <c r="A974" t="s">
        <v>147</v>
      </c>
      <c r="B974" t="s">
        <v>17</v>
      </c>
      <c r="C974" t="s">
        <v>34</v>
      </c>
      <c r="D974" t="s">
        <v>14</v>
      </c>
      <c r="E974" t="s">
        <v>10</v>
      </c>
      <c r="F974">
        <v>3834.83</v>
      </c>
      <c r="G974">
        <f>INDEX(Operational[Production Volume (units)],MATCH(Emission8[[#This Row],[Facility ID]],Operational[Facility ID],0))</f>
        <v>24095</v>
      </c>
      <c r="H974">
        <f>INDEX(Operational[Energy Consumption (MWh)],MATCH(Emission8[[#This Row],[Facility ID]],Operational[Facility ID],0))</f>
        <v>3167.52</v>
      </c>
      <c r="I974">
        <f>INDEX(Operational[Waste (tons)],MATCH(Emission8[[#This Row],[Facility ID]],Operational[Facility ID],0))</f>
        <v>31.02</v>
      </c>
    </row>
    <row r="975" spans="1:9" x14ac:dyDescent="0.3">
      <c r="A975" t="s">
        <v>123</v>
      </c>
      <c r="B975" t="s">
        <v>30</v>
      </c>
      <c r="C975" t="s">
        <v>13</v>
      </c>
      <c r="D975" t="s">
        <v>14</v>
      </c>
      <c r="E975" t="s">
        <v>15</v>
      </c>
      <c r="F975">
        <v>2705.01</v>
      </c>
      <c r="G975">
        <f>INDEX(Operational[Production Volume (units)],MATCH(Emission8[[#This Row],[Facility ID]],Operational[Facility ID],0))</f>
        <v>73977</v>
      </c>
      <c r="H975">
        <f>INDEX(Operational[Energy Consumption (MWh)],MATCH(Emission8[[#This Row],[Facility ID]],Operational[Facility ID],0))</f>
        <v>1646.75</v>
      </c>
      <c r="I975">
        <f>INDEX(Operational[Waste (tons)],MATCH(Emission8[[#This Row],[Facility ID]],Operational[Facility ID],0))</f>
        <v>43.77</v>
      </c>
    </row>
    <row r="976" spans="1:9" x14ac:dyDescent="0.3">
      <c r="A976" t="s">
        <v>151</v>
      </c>
      <c r="B976" t="s">
        <v>12</v>
      </c>
      <c r="C976" t="s">
        <v>13</v>
      </c>
      <c r="D976" t="s">
        <v>14</v>
      </c>
      <c r="E976" t="s">
        <v>15</v>
      </c>
      <c r="F976">
        <v>2242.38</v>
      </c>
      <c r="G976">
        <f>INDEX(Operational[Production Volume (units)],MATCH(Emission8[[#This Row],[Facility ID]],Operational[Facility ID],0))</f>
        <v>61207</v>
      </c>
      <c r="H976">
        <f>INDEX(Operational[Energy Consumption (MWh)],MATCH(Emission8[[#This Row],[Facility ID]],Operational[Facility ID],0))</f>
        <v>6922.33</v>
      </c>
      <c r="I976">
        <f>INDEX(Operational[Waste (tons)],MATCH(Emission8[[#This Row],[Facility ID]],Operational[Facility ID],0))</f>
        <v>9.1999999999999993</v>
      </c>
    </row>
    <row r="977" spans="1:9" x14ac:dyDescent="0.3">
      <c r="A977" t="s">
        <v>58</v>
      </c>
      <c r="B977" t="s">
        <v>17</v>
      </c>
      <c r="C977" t="s">
        <v>34</v>
      </c>
      <c r="D977" t="s">
        <v>9</v>
      </c>
      <c r="E977" t="s">
        <v>15</v>
      </c>
      <c r="F977">
        <v>1860.74</v>
      </c>
      <c r="G977">
        <f>INDEX(Operational[Production Volume (units)],MATCH(Emission8[[#This Row],[Facility ID]],Operational[Facility ID],0))</f>
        <v>32246</v>
      </c>
      <c r="H977">
        <f>INDEX(Operational[Energy Consumption (MWh)],MATCH(Emission8[[#This Row],[Facility ID]],Operational[Facility ID],0))</f>
        <v>7903.93</v>
      </c>
      <c r="I977">
        <f>INDEX(Operational[Waste (tons)],MATCH(Emission8[[#This Row],[Facility ID]],Operational[Facility ID],0))</f>
        <v>42.12</v>
      </c>
    </row>
    <row r="978" spans="1:9" x14ac:dyDescent="0.3">
      <c r="A978" t="s">
        <v>66</v>
      </c>
      <c r="B978" t="s">
        <v>30</v>
      </c>
      <c r="C978" t="s">
        <v>8</v>
      </c>
      <c r="D978" t="s">
        <v>28</v>
      </c>
      <c r="E978" t="s">
        <v>24</v>
      </c>
      <c r="F978">
        <v>2978.15</v>
      </c>
      <c r="G978">
        <f>INDEX(Operational[Production Volume (units)],MATCH(Emission8[[#This Row],[Facility ID]],Operational[Facility ID],0))</f>
        <v>98396</v>
      </c>
      <c r="H978">
        <f>INDEX(Operational[Energy Consumption (MWh)],MATCH(Emission8[[#This Row],[Facility ID]],Operational[Facility ID],0))</f>
        <v>5174.07</v>
      </c>
      <c r="I978">
        <f>INDEX(Operational[Waste (tons)],MATCH(Emission8[[#This Row],[Facility ID]],Operational[Facility ID],0))</f>
        <v>63.38</v>
      </c>
    </row>
    <row r="979" spans="1:9" x14ac:dyDescent="0.3">
      <c r="A979" t="s">
        <v>197</v>
      </c>
      <c r="B979" t="s">
        <v>30</v>
      </c>
      <c r="C979" t="s">
        <v>23</v>
      </c>
      <c r="D979" t="s">
        <v>28</v>
      </c>
      <c r="E979" t="s">
        <v>10</v>
      </c>
      <c r="F979">
        <v>1338.04</v>
      </c>
      <c r="G979">
        <f>INDEX(Operational[Production Volume (units)],MATCH(Emission8[[#This Row],[Facility ID]],Operational[Facility ID],0))</f>
        <v>56752</v>
      </c>
      <c r="H979">
        <f>INDEX(Operational[Energy Consumption (MWh)],MATCH(Emission8[[#This Row],[Facility ID]],Operational[Facility ID],0))</f>
        <v>4177.68</v>
      </c>
      <c r="I979">
        <f>INDEX(Operational[Waste (tons)],MATCH(Emission8[[#This Row],[Facility ID]],Operational[Facility ID],0))</f>
        <v>10.96</v>
      </c>
    </row>
    <row r="980" spans="1:9" x14ac:dyDescent="0.3">
      <c r="A980" t="s">
        <v>65</v>
      </c>
      <c r="B980" t="s">
        <v>30</v>
      </c>
      <c r="C980" t="s">
        <v>34</v>
      </c>
      <c r="D980" t="s">
        <v>28</v>
      </c>
      <c r="E980" t="s">
        <v>24</v>
      </c>
      <c r="F980">
        <v>2538.44</v>
      </c>
      <c r="G980">
        <f>INDEX(Operational[Production Volume (units)],MATCH(Emission8[[#This Row],[Facility ID]],Operational[Facility ID],0))</f>
        <v>99026</v>
      </c>
      <c r="H980">
        <f>INDEX(Operational[Energy Consumption (MWh)],MATCH(Emission8[[#This Row],[Facility ID]],Operational[Facility ID],0))</f>
        <v>5453.2</v>
      </c>
      <c r="I980">
        <f>INDEX(Operational[Waste (tons)],MATCH(Emission8[[#This Row],[Facility ID]],Operational[Facility ID],0))</f>
        <v>57.49</v>
      </c>
    </row>
    <row r="981" spans="1:9" x14ac:dyDescent="0.3">
      <c r="A981" t="s">
        <v>210</v>
      </c>
      <c r="B981" t="s">
        <v>7</v>
      </c>
      <c r="C981" t="s">
        <v>13</v>
      </c>
      <c r="D981" t="s">
        <v>28</v>
      </c>
      <c r="E981" t="s">
        <v>24</v>
      </c>
      <c r="F981">
        <v>1644.11</v>
      </c>
      <c r="G981">
        <f>INDEX(Operational[Production Volume (units)],MATCH(Emission8[[#This Row],[Facility ID]],Operational[Facility ID],0))</f>
        <v>65666</v>
      </c>
      <c r="H981">
        <f>INDEX(Operational[Energy Consumption (MWh)],MATCH(Emission8[[#This Row],[Facility ID]],Operational[Facility ID],0))</f>
        <v>7269.98</v>
      </c>
      <c r="I981">
        <f>INDEX(Operational[Waste (tons)],MATCH(Emission8[[#This Row],[Facility ID]],Operational[Facility ID],0))</f>
        <v>75.62</v>
      </c>
    </row>
    <row r="982" spans="1:9" x14ac:dyDescent="0.3">
      <c r="A982" t="s">
        <v>166</v>
      </c>
      <c r="B982" t="s">
        <v>7</v>
      </c>
      <c r="C982" t="s">
        <v>13</v>
      </c>
      <c r="D982" t="s">
        <v>14</v>
      </c>
      <c r="E982" t="s">
        <v>15</v>
      </c>
      <c r="F982">
        <v>3858.7</v>
      </c>
      <c r="G982">
        <f>INDEX(Operational[Production Volume (units)],MATCH(Emission8[[#This Row],[Facility ID]],Operational[Facility ID],0))</f>
        <v>34318</v>
      </c>
      <c r="H982">
        <f>INDEX(Operational[Energy Consumption (MWh)],MATCH(Emission8[[#This Row],[Facility ID]],Operational[Facility ID],0))</f>
        <v>675.67</v>
      </c>
      <c r="I982">
        <f>INDEX(Operational[Waste (tons)],MATCH(Emission8[[#This Row],[Facility ID]],Operational[Facility ID],0))</f>
        <v>41.05</v>
      </c>
    </row>
    <row r="983" spans="1:9" x14ac:dyDescent="0.3">
      <c r="A983" t="s">
        <v>112</v>
      </c>
      <c r="B983" t="s">
        <v>30</v>
      </c>
      <c r="C983" t="s">
        <v>34</v>
      </c>
      <c r="D983" t="s">
        <v>28</v>
      </c>
      <c r="E983" t="s">
        <v>24</v>
      </c>
      <c r="F983">
        <v>2079.69</v>
      </c>
      <c r="G983">
        <f>INDEX(Operational[Production Volume (units)],MATCH(Emission8[[#This Row],[Facility ID]],Operational[Facility ID],0))</f>
        <v>43294</v>
      </c>
      <c r="H983">
        <f>INDEX(Operational[Energy Consumption (MWh)],MATCH(Emission8[[#This Row],[Facility ID]],Operational[Facility ID],0))</f>
        <v>3802.13</v>
      </c>
      <c r="I983">
        <f>INDEX(Operational[Waste (tons)],MATCH(Emission8[[#This Row],[Facility ID]],Operational[Facility ID],0))</f>
        <v>45.84</v>
      </c>
    </row>
    <row r="984" spans="1:9" x14ac:dyDescent="0.3">
      <c r="A984" t="s">
        <v>77</v>
      </c>
      <c r="B984" t="s">
        <v>30</v>
      </c>
      <c r="C984" t="s">
        <v>8</v>
      </c>
      <c r="D984" t="s">
        <v>28</v>
      </c>
      <c r="E984" t="s">
        <v>15</v>
      </c>
      <c r="F984">
        <v>439.97</v>
      </c>
      <c r="G984">
        <f>INDEX(Operational[Production Volume (units)],MATCH(Emission8[[#This Row],[Facility ID]],Operational[Facility ID],0))</f>
        <v>61942</v>
      </c>
      <c r="H984">
        <f>INDEX(Operational[Energy Consumption (MWh)],MATCH(Emission8[[#This Row],[Facility ID]],Operational[Facility ID],0))</f>
        <v>4891.32</v>
      </c>
      <c r="I984">
        <f>INDEX(Operational[Waste (tons)],MATCH(Emission8[[#This Row],[Facility ID]],Operational[Facility ID],0))</f>
        <v>91.59</v>
      </c>
    </row>
    <row r="985" spans="1:9" x14ac:dyDescent="0.3">
      <c r="A985" t="s">
        <v>176</v>
      </c>
      <c r="B985" t="s">
        <v>19</v>
      </c>
      <c r="C985" t="s">
        <v>23</v>
      </c>
      <c r="D985" t="s">
        <v>28</v>
      </c>
      <c r="E985" t="s">
        <v>10</v>
      </c>
      <c r="F985">
        <v>1486</v>
      </c>
      <c r="G985">
        <f>INDEX(Operational[Production Volume (units)],MATCH(Emission8[[#This Row],[Facility ID]],Operational[Facility ID],0))</f>
        <v>10907</v>
      </c>
      <c r="H985">
        <f>INDEX(Operational[Energy Consumption (MWh)],MATCH(Emission8[[#This Row],[Facility ID]],Operational[Facility ID],0))</f>
        <v>4748.66</v>
      </c>
      <c r="I985">
        <f>INDEX(Operational[Waste (tons)],MATCH(Emission8[[#This Row],[Facility ID]],Operational[Facility ID],0))</f>
        <v>39.36</v>
      </c>
    </row>
    <row r="986" spans="1:9" x14ac:dyDescent="0.3">
      <c r="A986" t="s">
        <v>179</v>
      </c>
      <c r="B986" t="s">
        <v>7</v>
      </c>
      <c r="C986" t="s">
        <v>23</v>
      </c>
      <c r="D986" t="s">
        <v>9</v>
      </c>
      <c r="E986" t="s">
        <v>24</v>
      </c>
      <c r="F986">
        <v>396.7</v>
      </c>
      <c r="G986">
        <f>INDEX(Operational[Production Volume (units)],MATCH(Emission8[[#This Row],[Facility ID]],Operational[Facility ID],0))</f>
        <v>94393</v>
      </c>
      <c r="H986">
        <f>INDEX(Operational[Energy Consumption (MWh)],MATCH(Emission8[[#This Row],[Facility ID]],Operational[Facility ID],0))</f>
        <v>6691.7</v>
      </c>
      <c r="I986">
        <f>INDEX(Operational[Waste (tons)],MATCH(Emission8[[#This Row],[Facility ID]],Operational[Facility ID],0))</f>
        <v>74.790000000000006</v>
      </c>
    </row>
    <row r="987" spans="1:9" x14ac:dyDescent="0.3">
      <c r="A987" t="s">
        <v>135</v>
      </c>
      <c r="B987" t="s">
        <v>12</v>
      </c>
      <c r="C987" t="s">
        <v>13</v>
      </c>
      <c r="D987" t="s">
        <v>9</v>
      </c>
      <c r="E987" t="s">
        <v>15</v>
      </c>
      <c r="F987">
        <v>1724.46</v>
      </c>
      <c r="G987">
        <f>INDEX(Operational[Production Volume (units)],MATCH(Emission8[[#This Row],[Facility ID]],Operational[Facility ID],0))</f>
        <v>39560</v>
      </c>
      <c r="H987">
        <f>INDEX(Operational[Energy Consumption (MWh)],MATCH(Emission8[[#This Row],[Facility ID]],Operational[Facility ID],0))</f>
        <v>8380.77</v>
      </c>
      <c r="I987">
        <f>INDEX(Operational[Waste (tons)],MATCH(Emission8[[#This Row],[Facility ID]],Operational[Facility ID],0))</f>
        <v>94.01</v>
      </c>
    </row>
    <row r="988" spans="1:9" x14ac:dyDescent="0.3">
      <c r="A988" t="s">
        <v>77</v>
      </c>
      <c r="B988" t="s">
        <v>30</v>
      </c>
      <c r="C988" t="s">
        <v>23</v>
      </c>
      <c r="D988" t="s">
        <v>28</v>
      </c>
      <c r="E988" t="s">
        <v>15</v>
      </c>
      <c r="F988">
        <v>3569.77</v>
      </c>
      <c r="G988">
        <f>INDEX(Operational[Production Volume (units)],MATCH(Emission8[[#This Row],[Facility ID]],Operational[Facility ID],0))</f>
        <v>61942</v>
      </c>
      <c r="H988">
        <f>INDEX(Operational[Energy Consumption (MWh)],MATCH(Emission8[[#This Row],[Facility ID]],Operational[Facility ID],0))</f>
        <v>4891.32</v>
      </c>
      <c r="I988">
        <f>INDEX(Operational[Waste (tons)],MATCH(Emission8[[#This Row],[Facility ID]],Operational[Facility ID],0))</f>
        <v>91.59</v>
      </c>
    </row>
    <row r="989" spans="1:9" x14ac:dyDescent="0.3">
      <c r="A989" t="s">
        <v>151</v>
      </c>
      <c r="B989" t="s">
        <v>12</v>
      </c>
      <c r="C989" t="s">
        <v>8</v>
      </c>
      <c r="D989" t="s">
        <v>14</v>
      </c>
      <c r="E989" t="s">
        <v>10</v>
      </c>
      <c r="F989">
        <v>1244.99</v>
      </c>
      <c r="G989">
        <f>INDEX(Operational[Production Volume (units)],MATCH(Emission8[[#This Row],[Facility ID]],Operational[Facility ID],0))</f>
        <v>61207</v>
      </c>
      <c r="H989">
        <f>INDEX(Operational[Energy Consumption (MWh)],MATCH(Emission8[[#This Row],[Facility ID]],Operational[Facility ID],0))</f>
        <v>6922.33</v>
      </c>
      <c r="I989">
        <f>INDEX(Operational[Waste (tons)],MATCH(Emission8[[#This Row],[Facility ID]],Operational[Facility ID],0))</f>
        <v>9.1999999999999993</v>
      </c>
    </row>
    <row r="990" spans="1:9" x14ac:dyDescent="0.3">
      <c r="A990" t="s">
        <v>218</v>
      </c>
      <c r="B990" t="s">
        <v>17</v>
      </c>
      <c r="C990" t="s">
        <v>13</v>
      </c>
      <c r="D990" t="s">
        <v>9</v>
      </c>
      <c r="E990" t="s">
        <v>10</v>
      </c>
      <c r="F990">
        <v>4645.6400000000003</v>
      </c>
      <c r="G990">
        <f>INDEX(Operational[Production Volume (units)],MATCH(Emission8[[#This Row],[Facility ID]],Operational[Facility ID],0))</f>
        <v>22525</v>
      </c>
      <c r="H990">
        <f>INDEX(Operational[Energy Consumption (MWh)],MATCH(Emission8[[#This Row],[Facility ID]],Operational[Facility ID],0))</f>
        <v>9465.65</v>
      </c>
      <c r="I990">
        <f>INDEX(Operational[Waste (tons)],MATCH(Emission8[[#This Row],[Facility ID]],Operational[Facility ID],0))</f>
        <v>37.79</v>
      </c>
    </row>
    <row r="991" spans="1:9" x14ac:dyDescent="0.3">
      <c r="A991" t="s">
        <v>106</v>
      </c>
      <c r="B991" t="s">
        <v>12</v>
      </c>
      <c r="C991" t="s">
        <v>8</v>
      </c>
      <c r="D991" t="s">
        <v>9</v>
      </c>
      <c r="E991" t="s">
        <v>24</v>
      </c>
      <c r="F991">
        <v>3635.37</v>
      </c>
      <c r="G991">
        <f>INDEX(Operational[Production Volume (units)],MATCH(Emission8[[#This Row],[Facility ID]],Operational[Facility ID],0))</f>
        <v>21386</v>
      </c>
      <c r="H991">
        <f>INDEX(Operational[Energy Consumption (MWh)],MATCH(Emission8[[#This Row],[Facility ID]],Operational[Facility ID],0))</f>
        <v>2271.92</v>
      </c>
      <c r="I991">
        <f>INDEX(Operational[Waste (tons)],MATCH(Emission8[[#This Row],[Facility ID]],Operational[Facility ID],0))</f>
        <v>49.67</v>
      </c>
    </row>
    <row r="992" spans="1:9" x14ac:dyDescent="0.3">
      <c r="A992" t="s">
        <v>87</v>
      </c>
      <c r="B992" t="s">
        <v>12</v>
      </c>
      <c r="C992" t="s">
        <v>13</v>
      </c>
      <c r="D992" t="s">
        <v>9</v>
      </c>
      <c r="E992" t="s">
        <v>24</v>
      </c>
      <c r="F992">
        <v>4563.12</v>
      </c>
      <c r="G992">
        <f>INDEX(Operational[Production Volume (units)],MATCH(Emission8[[#This Row],[Facility ID]],Operational[Facility ID],0))</f>
        <v>15333</v>
      </c>
      <c r="H992">
        <f>INDEX(Operational[Energy Consumption (MWh)],MATCH(Emission8[[#This Row],[Facility ID]],Operational[Facility ID],0))</f>
        <v>2570.54</v>
      </c>
      <c r="I992">
        <f>INDEX(Operational[Waste (tons)],MATCH(Emission8[[#This Row],[Facility ID]],Operational[Facility ID],0))</f>
        <v>41.07</v>
      </c>
    </row>
    <row r="993" spans="1:9" x14ac:dyDescent="0.3">
      <c r="A993" t="s">
        <v>20</v>
      </c>
      <c r="B993" t="s">
        <v>17</v>
      </c>
      <c r="C993" t="s">
        <v>8</v>
      </c>
      <c r="D993" t="s">
        <v>9</v>
      </c>
      <c r="E993" t="s">
        <v>15</v>
      </c>
      <c r="F993">
        <v>1337.44</v>
      </c>
      <c r="G993">
        <f>INDEX(Operational[Production Volume (units)],MATCH(Emission8[[#This Row],[Facility ID]],Operational[Facility ID],0))</f>
        <v>29895</v>
      </c>
      <c r="H993">
        <f>INDEX(Operational[Energy Consumption (MWh)],MATCH(Emission8[[#This Row],[Facility ID]],Operational[Facility ID],0))</f>
        <v>1631.08</v>
      </c>
      <c r="I993">
        <f>INDEX(Operational[Waste (tons)],MATCH(Emission8[[#This Row],[Facility ID]],Operational[Facility ID],0))</f>
        <v>39.93</v>
      </c>
    </row>
    <row r="994" spans="1:9" x14ac:dyDescent="0.3">
      <c r="A994" t="s">
        <v>136</v>
      </c>
      <c r="B994" t="s">
        <v>17</v>
      </c>
      <c r="C994" t="s">
        <v>23</v>
      </c>
      <c r="D994" t="s">
        <v>9</v>
      </c>
      <c r="E994" t="s">
        <v>24</v>
      </c>
      <c r="F994">
        <v>527.42999999999995</v>
      </c>
      <c r="G994">
        <f>INDEX(Operational[Production Volume (units)],MATCH(Emission8[[#This Row],[Facility ID]],Operational[Facility ID],0))</f>
        <v>15128</v>
      </c>
      <c r="H994">
        <f>INDEX(Operational[Energy Consumption (MWh)],MATCH(Emission8[[#This Row],[Facility ID]],Operational[Facility ID],0))</f>
        <v>8847.09</v>
      </c>
      <c r="I994">
        <f>INDEX(Operational[Waste (tons)],MATCH(Emission8[[#This Row],[Facility ID]],Operational[Facility ID],0))</f>
        <v>5.25</v>
      </c>
    </row>
    <row r="995" spans="1:9" x14ac:dyDescent="0.3">
      <c r="A995" t="s">
        <v>190</v>
      </c>
      <c r="B995" t="s">
        <v>17</v>
      </c>
      <c r="C995" t="s">
        <v>34</v>
      </c>
      <c r="D995" t="s">
        <v>14</v>
      </c>
      <c r="E995" t="s">
        <v>10</v>
      </c>
      <c r="F995">
        <v>1979.48</v>
      </c>
      <c r="G995">
        <f>INDEX(Operational[Production Volume (units)],MATCH(Emission8[[#This Row],[Facility ID]],Operational[Facility ID],0))</f>
        <v>41953</v>
      </c>
      <c r="H995">
        <f>INDEX(Operational[Energy Consumption (MWh)],MATCH(Emission8[[#This Row],[Facility ID]],Operational[Facility ID],0))</f>
        <v>2379.14</v>
      </c>
      <c r="I995">
        <f>INDEX(Operational[Waste (tons)],MATCH(Emission8[[#This Row],[Facility ID]],Operational[Facility ID],0))</f>
        <v>65.67</v>
      </c>
    </row>
    <row r="996" spans="1:9" x14ac:dyDescent="0.3">
      <c r="A996" t="s">
        <v>99</v>
      </c>
      <c r="B996" t="s">
        <v>19</v>
      </c>
      <c r="C996" t="s">
        <v>23</v>
      </c>
      <c r="D996" t="s">
        <v>9</v>
      </c>
      <c r="E996" t="s">
        <v>15</v>
      </c>
      <c r="F996">
        <v>2025.95</v>
      </c>
      <c r="G996">
        <f>INDEX(Operational[Production Volume (units)],MATCH(Emission8[[#This Row],[Facility ID]],Operational[Facility ID],0))</f>
        <v>77400</v>
      </c>
      <c r="H996">
        <f>INDEX(Operational[Energy Consumption (MWh)],MATCH(Emission8[[#This Row],[Facility ID]],Operational[Facility ID],0))</f>
        <v>7504.8</v>
      </c>
      <c r="I996">
        <f>INDEX(Operational[Waste (tons)],MATCH(Emission8[[#This Row],[Facility ID]],Operational[Facility ID],0))</f>
        <v>68.819999999999993</v>
      </c>
    </row>
    <row r="997" spans="1:9" x14ac:dyDescent="0.3">
      <c r="A997" t="s">
        <v>20</v>
      </c>
      <c r="B997" t="s">
        <v>17</v>
      </c>
      <c r="C997" t="s">
        <v>13</v>
      </c>
      <c r="D997" t="s">
        <v>28</v>
      </c>
      <c r="E997" t="s">
        <v>15</v>
      </c>
      <c r="F997">
        <v>4195.17</v>
      </c>
      <c r="G997">
        <f>INDEX(Operational[Production Volume (units)],MATCH(Emission8[[#This Row],[Facility ID]],Operational[Facility ID],0))</f>
        <v>29895</v>
      </c>
      <c r="H997">
        <f>INDEX(Operational[Energy Consumption (MWh)],MATCH(Emission8[[#This Row],[Facility ID]],Operational[Facility ID],0))</f>
        <v>1631.08</v>
      </c>
      <c r="I997">
        <f>INDEX(Operational[Waste (tons)],MATCH(Emission8[[#This Row],[Facility ID]],Operational[Facility ID],0))</f>
        <v>39.93</v>
      </c>
    </row>
    <row r="998" spans="1:9" x14ac:dyDescent="0.3">
      <c r="A998" t="s">
        <v>125</v>
      </c>
      <c r="B998" t="s">
        <v>7</v>
      </c>
      <c r="C998" t="s">
        <v>8</v>
      </c>
      <c r="D998" t="s">
        <v>28</v>
      </c>
      <c r="E998" t="s">
        <v>24</v>
      </c>
      <c r="F998">
        <v>2104.08</v>
      </c>
      <c r="G998">
        <f>INDEX(Operational[Production Volume (units)],MATCH(Emission8[[#This Row],[Facility ID]],Operational[Facility ID],0))</f>
        <v>56392</v>
      </c>
      <c r="H998">
        <f>INDEX(Operational[Energy Consumption (MWh)],MATCH(Emission8[[#This Row],[Facility ID]],Operational[Facility ID],0))</f>
        <v>5703.76</v>
      </c>
      <c r="I998">
        <f>INDEX(Operational[Waste (tons)],MATCH(Emission8[[#This Row],[Facility ID]],Operational[Facility ID],0))</f>
        <v>23.04</v>
      </c>
    </row>
    <row r="999" spans="1:9" x14ac:dyDescent="0.3">
      <c r="A999" t="s">
        <v>49</v>
      </c>
      <c r="B999" t="s">
        <v>19</v>
      </c>
      <c r="C999" t="s">
        <v>8</v>
      </c>
      <c r="D999" t="s">
        <v>28</v>
      </c>
      <c r="E999" t="s">
        <v>15</v>
      </c>
      <c r="F999">
        <v>4229.93</v>
      </c>
      <c r="G999">
        <f>INDEX(Operational[Production Volume (units)],MATCH(Emission8[[#This Row],[Facility ID]],Operational[Facility ID],0))</f>
        <v>50306</v>
      </c>
      <c r="H999">
        <f>INDEX(Operational[Energy Consumption (MWh)],MATCH(Emission8[[#This Row],[Facility ID]],Operational[Facility ID],0))</f>
        <v>7031.37</v>
      </c>
      <c r="I999">
        <f>INDEX(Operational[Waste (tons)],MATCH(Emission8[[#This Row],[Facility ID]],Operational[Facility ID],0))</f>
        <v>13.27</v>
      </c>
    </row>
    <row r="1000" spans="1:9" x14ac:dyDescent="0.3">
      <c r="A1000" t="s">
        <v>143</v>
      </c>
      <c r="B1000" t="s">
        <v>17</v>
      </c>
      <c r="C1000" t="s">
        <v>8</v>
      </c>
      <c r="D1000" t="s">
        <v>14</v>
      </c>
      <c r="E1000" t="s">
        <v>15</v>
      </c>
      <c r="F1000">
        <v>3136.15</v>
      </c>
      <c r="G1000">
        <f>INDEX(Operational[Production Volume (units)],MATCH(Emission8[[#This Row],[Facility ID]],Operational[Facility ID],0))</f>
        <v>94704</v>
      </c>
      <c r="H1000">
        <f>INDEX(Operational[Energy Consumption (MWh)],MATCH(Emission8[[#This Row],[Facility ID]],Operational[Facility ID],0))</f>
        <v>6632.95</v>
      </c>
      <c r="I1000">
        <f>INDEX(Operational[Waste (tons)],MATCH(Emission8[[#This Row],[Facility ID]],Operational[Facility ID],0))</f>
        <v>14.76</v>
      </c>
    </row>
    <row r="1001" spans="1:9" x14ac:dyDescent="0.3">
      <c r="A1001" t="s">
        <v>182</v>
      </c>
      <c r="B1001" t="s">
        <v>12</v>
      </c>
      <c r="C1001" t="s">
        <v>34</v>
      </c>
      <c r="D1001" t="s">
        <v>9</v>
      </c>
      <c r="E1001" t="s">
        <v>24</v>
      </c>
      <c r="F1001">
        <v>1959.33</v>
      </c>
      <c r="G1001">
        <f>INDEX(Operational[Production Volume (units)],MATCH(Emission8[[#This Row],[Facility ID]],Operational[Facility ID],0))</f>
        <v>21081</v>
      </c>
      <c r="H1001">
        <f>INDEX(Operational[Energy Consumption (MWh)],MATCH(Emission8[[#This Row],[Facility ID]],Operational[Facility ID],0))</f>
        <v>9001.77</v>
      </c>
      <c r="I1001">
        <f>INDEX(Operational[Waste (tons)],MATCH(Emission8[[#This Row],[Facility ID]],Operational[Facility ID],0))</f>
        <v>49.27</v>
      </c>
    </row>
    <row r="1002" spans="1:9" x14ac:dyDescent="0.3">
      <c r="A1002" t="s">
        <v>134</v>
      </c>
      <c r="B1002" t="s">
        <v>7</v>
      </c>
      <c r="C1002" t="s">
        <v>8</v>
      </c>
      <c r="D1002" t="s">
        <v>9</v>
      </c>
      <c r="E1002" t="s">
        <v>24</v>
      </c>
      <c r="F1002">
        <v>1221.95</v>
      </c>
      <c r="G1002">
        <f>INDEX(Operational[Production Volume (units)],MATCH(Emission8[[#This Row],[Facility ID]],Operational[Facility ID],0))</f>
        <v>39568</v>
      </c>
      <c r="H1002">
        <f>INDEX(Operational[Energy Consumption (MWh)],MATCH(Emission8[[#This Row],[Facility ID]],Operational[Facility ID],0))</f>
        <v>3580.54</v>
      </c>
      <c r="I1002">
        <f>INDEX(Operational[Waste (tons)],MATCH(Emission8[[#This Row],[Facility ID]],Operational[Facility ID],0))</f>
        <v>78.08</v>
      </c>
    </row>
    <row r="1003" spans="1:9" x14ac:dyDescent="0.3">
      <c r="A1003" t="s">
        <v>92</v>
      </c>
      <c r="B1003" t="s">
        <v>30</v>
      </c>
      <c r="C1003" t="s">
        <v>13</v>
      </c>
      <c r="D1003" t="s">
        <v>28</v>
      </c>
      <c r="E1003" t="s">
        <v>10</v>
      </c>
      <c r="F1003">
        <v>300.75</v>
      </c>
      <c r="G1003">
        <f>INDEX(Operational[Production Volume (units)],MATCH(Emission8[[#This Row],[Facility ID]],Operational[Facility ID],0))</f>
        <v>18726</v>
      </c>
      <c r="H1003">
        <f>INDEX(Operational[Energy Consumption (MWh)],MATCH(Emission8[[#This Row],[Facility ID]],Operational[Facility ID],0))</f>
        <v>5099.54</v>
      </c>
      <c r="I1003">
        <f>INDEX(Operational[Waste (tons)],MATCH(Emission8[[#This Row],[Facility ID]],Operational[Facility ID],0))</f>
        <v>71.05</v>
      </c>
    </row>
    <row r="1004" spans="1:9" x14ac:dyDescent="0.3">
      <c r="A1004" t="s">
        <v>107</v>
      </c>
      <c r="B1004" t="s">
        <v>30</v>
      </c>
      <c r="C1004" t="s">
        <v>23</v>
      </c>
      <c r="D1004" t="s">
        <v>28</v>
      </c>
      <c r="E1004" t="s">
        <v>24</v>
      </c>
      <c r="F1004">
        <v>4099.18</v>
      </c>
      <c r="G1004">
        <f>INDEX(Operational[Production Volume (units)],MATCH(Emission8[[#This Row],[Facility ID]],Operational[Facility ID],0))</f>
        <v>69305</v>
      </c>
      <c r="H1004">
        <f>INDEX(Operational[Energy Consumption (MWh)],MATCH(Emission8[[#This Row],[Facility ID]],Operational[Facility ID],0))</f>
        <v>3203.67</v>
      </c>
      <c r="I1004">
        <f>INDEX(Operational[Waste (tons)],MATCH(Emission8[[#This Row],[Facility ID]],Operational[Facility ID],0))</f>
        <v>83.65</v>
      </c>
    </row>
    <row r="1005" spans="1:9" x14ac:dyDescent="0.3">
      <c r="A1005" t="s">
        <v>50</v>
      </c>
      <c r="B1005" t="s">
        <v>19</v>
      </c>
      <c r="C1005" t="s">
        <v>13</v>
      </c>
      <c r="D1005" t="s">
        <v>14</v>
      </c>
      <c r="E1005" t="s">
        <v>10</v>
      </c>
      <c r="F1005">
        <v>104.53</v>
      </c>
      <c r="G1005">
        <f>INDEX(Operational[Production Volume (units)],MATCH(Emission8[[#This Row],[Facility ID]],Operational[Facility ID],0))</f>
        <v>40577</v>
      </c>
      <c r="H1005">
        <f>INDEX(Operational[Energy Consumption (MWh)],MATCH(Emission8[[#This Row],[Facility ID]],Operational[Facility ID],0))</f>
        <v>4280.82</v>
      </c>
      <c r="I1005">
        <f>INDEX(Operational[Waste (tons)],MATCH(Emission8[[#This Row],[Facility ID]],Operational[Facility ID],0))</f>
        <v>79.88</v>
      </c>
    </row>
    <row r="1006" spans="1:9" x14ac:dyDescent="0.3">
      <c r="A1006" t="s">
        <v>172</v>
      </c>
      <c r="B1006" t="s">
        <v>7</v>
      </c>
      <c r="C1006" t="s">
        <v>34</v>
      </c>
      <c r="D1006" t="s">
        <v>14</v>
      </c>
      <c r="E1006" t="s">
        <v>24</v>
      </c>
      <c r="F1006">
        <v>2781</v>
      </c>
      <c r="G1006">
        <f>INDEX(Operational[Production Volume (units)],MATCH(Emission8[[#This Row],[Facility ID]],Operational[Facility ID],0))</f>
        <v>68820</v>
      </c>
      <c r="H1006">
        <f>INDEX(Operational[Energy Consumption (MWh)],MATCH(Emission8[[#This Row],[Facility ID]],Operational[Facility ID],0))</f>
        <v>9612.25</v>
      </c>
      <c r="I1006">
        <f>INDEX(Operational[Waste (tons)],MATCH(Emission8[[#This Row],[Facility ID]],Operational[Facility ID],0))</f>
        <v>83.51</v>
      </c>
    </row>
    <row r="1007" spans="1:9" x14ac:dyDescent="0.3">
      <c r="A1007" t="s">
        <v>20</v>
      </c>
      <c r="B1007" t="s">
        <v>17</v>
      </c>
      <c r="C1007" t="s">
        <v>23</v>
      </c>
      <c r="D1007" t="s">
        <v>9</v>
      </c>
      <c r="E1007" t="s">
        <v>24</v>
      </c>
      <c r="F1007">
        <v>3597.3</v>
      </c>
      <c r="G1007">
        <f>INDEX(Operational[Production Volume (units)],MATCH(Emission8[[#This Row],[Facility ID]],Operational[Facility ID],0))</f>
        <v>29895</v>
      </c>
      <c r="H1007">
        <f>INDEX(Operational[Energy Consumption (MWh)],MATCH(Emission8[[#This Row],[Facility ID]],Operational[Facility ID],0))</f>
        <v>1631.08</v>
      </c>
      <c r="I1007">
        <f>INDEX(Operational[Waste (tons)],MATCH(Emission8[[#This Row],[Facility ID]],Operational[Facility ID],0))</f>
        <v>39.93</v>
      </c>
    </row>
    <row r="1008" spans="1:9" x14ac:dyDescent="0.3">
      <c r="A1008" t="s">
        <v>174</v>
      </c>
      <c r="B1008" t="s">
        <v>19</v>
      </c>
      <c r="C1008" t="s">
        <v>23</v>
      </c>
      <c r="D1008" t="s">
        <v>28</v>
      </c>
      <c r="E1008" t="s">
        <v>24</v>
      </c>
      <c r="F1008">
        <v>2055.7399999999998</v>
      </c>
      <c r="G1008">
        <f>INDEX(Operational[Production Volume (units)],MATCH(Emission8[[#This Row],[Facility ID]],Operational[Facility ID],0))</f>
        <v>66163</v>
      </c>
      <c r="H1008">
        <f>INDEX(Operational[Energy Consumption (MWh)],MATCH(Emission8[[#This Row],[Facility ID]],Operational[Facility ID],0))</f>
        <v>1416.57</v>
      </c>
      <c r="I1008">
        <f>INDEX(Operational[Waste (tons)],MATCH(Emission8[[#This Row],[Facility ID]],Operational[Facility ID],0))</f>
        <v>68.73</v>
      </c>
    </row>
    <row r="1009" spans="1:9" x14ac:dyDescent="0.3">
      <c r="A1009" t="s">
        <v>167</v>
      </c>
      <c r="B1009" t="s">
        <v>30</v>
      </c>
      <c r="C1009" t="s">
        <v>23</v>
      </c>
      <c r="D1009" t="s">
        <v>14</v>
      </c>
      <c r="E1009" t="s">
        <v>10</v>
      </c>
      <c r="F1009">
        <v>437.58</v>
      </c>
      <c r="G1009">
        <f>INDEX(Operational[Production Volume (units)],MATCH(Emission8[[#This Row],[Facility ID]],Operational[Facility ID],0))</f>
        <v>67213</v>
      </c>
      <c r="H1009">
        <f>INDEX(Operational[Energy Consumption (MWh)],MATCH(Emission8[[#This Row],[Facility ID]],Operational[Facility ID],0))</f>
        <v>5533.81</v>
      </c>
      <c r="I1009">
        <f>INDEX(Operational[Waste (tons)],MATCH(Emission8[[#This Row],[Facility ID]],Operational[Facility ID],0))</f>
        <v>90.88</v>
      </c>
    </row>
    <row r="1010" spans="1:9" x14ac:dyDescent="0.3">
      <c r="A1010" t="s">
        <v>185</v>
      </c>
      <c r="B1010" t="s">
        <v>30</v>
      </c>
      <c r="C1010" t="s">
        <v>13</v>
      </c>
      <c r="D1010" t="s">
        <v>28</v>
      </c>
      <c r="E1010" t="s">
        <v>10</v>
      </c>
      <c r="F1010">
        <v>3087.52</v>
      </c>
      <c r="G1010">
        <f>INDEX(Operational[Production Volume (units)],MATCH(Emission8[[#This Row],[Facility ID]],Operational[Facility ID],0))</f>
        <v>24913</v>
      </c>
      <c r="H1010">
        <f>INDEX(Operational[Energy Consumption (MWh)],MATCH(Emission8[[#This Row],[Facility ID]],Operational[Facility ID],0))</f>
        <v>5727.27</v>
      </c>
      <c r="I1010">
        <f>INDEX(Operational[Waste (tons)],MATCH(Emission8[[#This Row],[Facility ID]],Operational[Facility ID],0))</f>
        <v>78.849999999999994</v>
      </c>
    </row>
    <row r="1011" spans="1:9" x14ac:dyDescent="0.3">
      <c r="A1011" t="s">
        <v>190</v>
      </c>
      <c r="B1011" t="s">
        <v>17</v>
      </c>
      <c r="C1011" t="s">
        <v>13</v>
      </c>
      <c r="D1011" t="s">
        <v>9</v>
      </c>
      <c r="E1011" t="s">
        <v>10</v>
      </c>
      <c r="F1011">
        <v>2226.37</v>
      </c>
      <c r="G1011">
        <f>INDEX(Operational[Production Volume (units)],MATCH(Emission8[[#This Row],[Facility ID]],Operational[Facility ID],0))</f>
        <v>41953</v>
      </c>
      <c r="H1011">
        <f>INDEX(Operational[Energy Consumption (MWh)],MATCH(Emission8[[#This Row],[Facility ID]],Operational[Facility ID],0))</f>
        <v>2379.14</v>
      </c>
      <c r="I1011">
        <f>INDEX(Operational[Waste (tons)],MATCH(Emission8[[#This Row],[Facility ID]],Operational[Facility ID],0))</f>
        <v>65.67</v>
      </c>
    </row>
    <row r="1012" spans="1:9" x14ac:dyDescent="0.3">
      <c r="A1012" t="s">
        <v>211</v>
      </c>
      <c r="B1012" t="s">
        <v>7</v>
      </c>
      <c r="C1012" t="s">
        <v>8</v>
      </c>
      <c r="D1012" t="s">
        <v>28</v>
      </c>
      <c r="E1012" t="s">
        <v>10</v>
      </c>
      <c r="F1012">
        <v>769.29</v>
      </c>
      <c r="G1012">
        <f>INDEX(Operational[Production Volume (units)],MATCH(Emission8[[#This Row],[Facility ID]],Operational[Facility ID],0))</f>
        <v>27028</v>
      </c>
      <c r="H1012">
        <f>INDEX(Operational[Energy Consumption (MWh)],MATCH(Emission8[[#This Row],[Facility ID]],Operational[Facility ID],0))</f>
        <v>4617.92</v>
      </c>
      <c r="I1012">
        <f>INDEX(Operational[Waste (tons)],MATCH(Emission8[[#This Row],[Facility ID]],Operational[Facility ID],0))</f>
        <v>57.62</v>
      </c>
    </row>
    <row r="1013" spans="1:9" x14ac:dyDescent="0.3">
      <c r="A1013" t="s">
        <v>27</v>
      </c>
      <c r="B1013" t="s">
        <v>12</v>
      </c>
      <c r="C1013" t="s">
        <v>23</v>
      </c>
      <c r="D1013" t="s">
        <v>28</v>
      </c>
      <c r="E1013" t="s">
        <v>24</v>
      </c>
      <c r="F1013">
        <v>3008.89</v>
      </c>
      <c r="G1013">
        <f>INDEX(Operational[Production Volume (units)],MATCH(Emission8[[#This Row],[Facility ID]],Operational[Facility ID],0))</f>
        <v>91031</v>
      </c>
      <c r="H1013">
        <f>INDEX(Operational[Energy Consumption (MWh)],MATCH(Emission8[[#This Row],[Facility ID]],Operational[Facility ID],0))</f>
        <v>1783.57</v>
      </c>
      <c r="I1013">
        <f>INDEX(Operational[Waste (tons)],MATCH(Emission8[[#This Row],[Facility ID]],Operational[Facility ID],0))</f>
        <v>32.049999999999997</v>
      </c>
    </row>
    <row r="1014" spans="1:9" x14ac:dyDescent="0.3">
      <c r="A1014" t="s">
        <v>121</v>
      </c>
      <c r="B1014" t="s">
        <v>30</v>
      </c>
      <c r="C1014" t="s">
        <v>34</v>
      </c>
      <c r="D1014" t="s">
        <v>9</v>
      </c>
      <c r="E1014" t="s">
        <v>10</v>
      </c>
      <c r="F1014">
        <v>1802.3</v>
      </c>
      <c r="G1014">
        <f>INDEX(Operational[Production Volume (units)],MATCH(Emission8[[#This Row],[Facility ID]],Operational[Facility ID],0))</f>
        <v>58895</v>
      </c>
      <c r="H1014">
        <f>INDEX(Operational[Energy Consumption (MWh)],MATCH(Emission8[[#This Row],[Facility ID]],Operational[Facility ID],0))</f>
        <v>3039.17</v>
      </c>
      <c r="I1014">
        <f>INDEX(Operational[Waste (tons)],MATCH(Emission8[[#This Row],[Facility ID]],Operational[Facility ID],0))</f>
        <v>59.82</v>
      </c>
    </row>
    <row r="1015" spans="1:9" x14ac:dyDescent="0.3">
      <c r="A1015" t="s">
        <v>121</v>
      </c>
      <c r="B1015" t="s">
        <v>30</v>
      </c>
      <c r="C1015" t="s">
        <v>34</v>
      </c>
      <c r="D1015" t="s">
        <v>28</v>
      </c>
      <c r="E1015" t="s">
        <v>10</v>
      </c>
      <c r="F1015">
        <v>3707.94</v>
      </c>
      <c r="G1015">
        <f>INDEX(Operational[Production Volume (units)],MATCH(Emission8[[#This Row],[Facility ID]],Operational[Facility ID],0))</f>
        <v>58895</v>
      </c>
      <c r="H1015">
        <f>INDEX(Operational[Energy Consumption (MWh)],MATCH(Emission8[[#This Row],[Facility ID]],Operational[Facility ID],0))</f>
        <v>3039.17</v>
      </c>
      <c r="I1015">
        <f>INDEX(Operational[Waste (tons)],MATCH(Emission8[[#This Row],[Facility ID]],Operational[Facility ID],0))</f>
        <v>59.82</v>
      </c>
    </row>
    <row r="1016" spans="1:9" x14ac:dyDescent="0.3">
      <c r="A1016" t="s">
        <v>128</v>
      </c>
      <c r="B1016" t="s">
        <v>12</v>
      </c>
      <c r="C1016" t="s">
        <v>13</v>
      </c>
      <c r="D1016" t="s">
        <v>9</v>
      </c>
      <c r="E1016" t="s">
        <v>10</v>
      </c>
      <c r="F1016">
        <v>3134.24</v>
      </c>
      <c r="G1016">
        <f>INDEX(Operational[Production Volume (units)],MATCH(Emission8[[#This Row],[Facility ID]],Operational[Facility ID],0))</f>
        <v>29406</v>
      </c>
      <c r="H1016">
        <f>INDEX(Operational[Energy Consumption (MWh)],MATCH(Emission8[[#This Row],[Facility ID]],Operational[Facility ID],0))</f>
        <v>5281.69</v>
      </c>
      <c r="I1016">
        <f>INDEX(Operational[Waste (tons)],MATCH(Emission8[[#This Row],[Facility ID]],Operational[Facility ID],0))</f>
        <v>27.01</v>
      </c>
    </row>
    <row r="1017" spans="1:9" x14ac:dyDescent="0.3">
      <c r="A1017" t="s">
        <v>29</v>
      </c>
      <c r="B1017" t="s">
        <v>30</v>
      </c>
      <c r="C1017" t="s">
        <v>23</v>
      </c>
      <c r="D1017" t="s">
        <v>28</v>
      </c>
      <c r="E1017" t="s">
        <v>15</v>
      </c>
      <c r="F1017">
        <v>1671.05</v>
      </c>
      <c r="G1017">
        <f>INDEX(Operational[Production Volume (units)],MATCH(Emission8[[#This Row],[Facility ID]],Operational[Facility ID],0))</f>
        <v>32131</v>
      </c>
      <c r="H1017">
        <f>INDEX(Operational[Energy Consumption (MWh)],MATCH(Emission8[[#This Row],[Facility ID]],Operational[Facility ID],0))</f>
        <v>1474.23</v>
      </c>
      <c r="I1017">
        <f>INDEX(Operational[Waste (tons)],MATCH(Emission8[[#This Row],[Facility ID]],Operational[Facility ID],0))</f>
        <v>45.47</v>
      </c>
    </row>
    <row r="1018" spans="1:9" x14ac:dyDescent="0.3">
      <c r="A1018" t="s">
        <v>90</v>
      </c>
      <c r="B1018" t="s">
        <v>19</v>
      </c>
      <c r="C1018" t="s">
        <v>8</v>
      </c>
      <c r="D1018" t="s">
        <v>9</v>
      </c>
      <c r="E1018" t="s">
        <v>15</v>
      </c>
      <c r="F1018">
        <v>456.6</v>
      </c>
      <c r="G1018">
        <f>INDEX(Operational[Production Volume (units)],MATCH(Emission8[[#This Row],[Facility ID]],Operational[Facility ID],0))</f>
        <v>97337</v>
      </c>
      <c r="H1018">
        <f>INDEX(Operational[Energy Consumption (MWh)],MATCH(Emission8[[#This Row],[Facility ID]],Operational[Facility ID],0))</f>
        <v>3362.06</v>
      </c>
      <c r="I1018">
        <f>INDEX(Operational[Waste (tons)],MATCH(Emission8[[#This Row],[Facility ID]],Operational[Facility ID],0))</f>
        <v>55.46</v>
      </c>
    </row>
    <row r="1019" spans="1:9" x14ac:dyDescent="0.3">
      <c r="A1019" t="s">
        <v>140</v>
      </c>
      <c r="B1019" t="s">
        <v>17</v>
      </c>
      <c r="C1019" t="s">
        <v>8</v>
      </c>
      <c r="D1019" t="s">
        <v>14</v>
      </c>
      <c r="E1019" t="s">
        <v>10</v>
      </c>
      <c r="F1019">
        <v>4237.93</v>
      </c>
      <c r="G1019">
        <f>INDEX(Operational[Production Volume (units)],MATCH(Emission8[[#This Row],[Facility ID]],Operational[Facility ID],0))</f>
        <v>88308</v>
      </c>
      <c r="H1019">
        <f>INDEX(Operational[Energy Consumption (MWh)],MATCH(Emission8[[#This Row],[Facility ID]],Operational[Facility ID],0))</f>
        <v>7802.07</v>
      </c>
      <c r="I1019">
        <f>INDEX(Operational[Waste (tons)],MATCH(Emission8[[#This Row],[Facility ID]],Operational[Facility ID],0))</f>
        <v>36.130000000000003</v>
      </c>
    </row>
    <row r="1020" spans="1:9" x14ac:dyDescent="0.3">
      <c r="A1020" t="s">
        <v>203</v>
      </c>
      <c r="B1020" t="s">
        <v>12</v>
      </c>
      <c r="C1020" t="s">
        <v>23</v>
      </c>
      <c r="D1020" t="s">
        <v>9</v>
      </c>
      <c r="E1020" t="s">
        <v>24</v>
      </c>
      <c r="F1020">
        <v>4750.1899999999996</v>
      </c>
      <c r="G1020">
        <f>INDEX(Operational[Production Volume (units)],MATCH(Emission8[[#This Row],[Facility ID]],Operational[Facility ID],0))</f>
        <v>66398</v>
      </c>
      <c r="H1020">
        <f>INDEX(Operational[Energy Consumption (MWh)],MATCH(Emission8[[#This Row],[Facility ID]],Operational[Facility ID],0))</f>
        <v>8713.61</v>
      </c>
      <c r="I1020">
        <f>INDEX(Operational[Waste (tons)],MATCH(Emission8[[#This Row],[Facility ID]],Operational[Facility ID],0))</f>
        <v>83.44</v>
      </c>
    </row>
    <row r="1021" spans="1:9" x14ac:dyDescent="0.3">
      <c r="A1021" t="s">
        <v>215</v>
      </c>
      <c r="B1021" t="s">
        <v>17</v>
      </c>
      <c r="C1021" t="s">
        <v>23</v>
      </c>
      <c r="D1021" t="s">
        <v>28</v>
      </c>
      <c r="E1021" t="s">
        <v>10</v>
      </c>
      <c r="F1021">
        <v>3912.43</v>
      </c>
      <c r="G1021">
        <f>INDEX(Operational[Production Volume (units)],MATCH(Emission8[[#This Row],[Facility ID]],Operational[Facility ID],0))</f>
        <v>72813</v>
      </c>
      <c r="H1021">
        <f>INDEX(Operational[Energy Consumption (MWh)],MATCH(Emission8[[#This Row],[Facility ID]],Operational[Facility ID],0))</f>
        <v>8818.16</v>
      </c>
      <c r="I1021">
        <f>INDEX(Operational[Waste (tons)],MATCH(Emission8[[#This Row],[Facility ID]],Operational[Facility ID],0))</f>
        <v>54.12</v>
      </c>
    </row>
    <row r="1022" spans="1:9" x14ac:dyDescent="0.3">
      <c r="A1022" t="s">
        <v>50</v>
      </c>
      <c r="B1022" t="s">
        <v>19</v>
      </c>
      <c r="C1022" t="s">
        <v>23</v>
      </c>
      <c r="D1022" t="s">
        <v>14</v>
      </c>
      <c r="E1022" t="s">
        <v>15</v>
      </c>
      <c r="F1022">
        <v>349.13</v>
      </c>
      <c r="G1022">
        <f>INDEX(Operational[Production Volume (units)],MATCH(Emission8[[#This Row],[Facility ID]],Operational[Facility ID],0))</f>
        <v>40577</v>
      </c>
      <c r="H1022">
        <f>INDEX(Operational[Energy Consumption (MWh)],MATCH(Emission8[[#This Row],[Facility ID]],Operational[Facility ID],0))</f>
        <v>4280.82</v>
      </c>
      <c r="I1022">
        <f>INDEX(Operational[Waste (tons)],MATCH(Emission8[[#This Row],[Facility ID]],Operational[Facility ID],0))</f>
        <v>79.88</v>
      </c>
    </row>
    <row r="1023" spans="1:9" x14ac:dyDescent="0.3">
      <c r="A1023" t="s">
        <v>35</v>
      </c>
      <c r="B1023" t="s">
        <v>19</v>
      </c>
      <c r="C1023" t="s">
        <v>13</v>
      </c>
      <c r="D1023" t="s">
        <v>28</v>
      </c>
      <c r="E1023" t="s">
        <v>24</v>
      </c>
      <c r="F1023">
        <v>3133.74</v>
      </c>
      <c r="G1023">
        <f>INDEX(Operational[Production Volume (units)],MATCH(Emission8[[#This Row],[Facility ID]],Operational[Facility ID],0))</f>
        <v>42382</v>
      </c>
      <c r="H1023">
        <f>INDEX(Operational[Energy Consumption (MWh)],MATCH(Emission8[[#This Row],[Facility ID]],Operational[Facility ID],0))</f>
        <v>5116.6899999999996</v>
      </c>
      <c r="I1023">
        <f>INDEX(Operational[Waste (tons)],MATCH(Emission8[[#This Row],[Facility ID]],Operational[Facility ID],0))</f>
        <v>80.42</v>
      </c>
    </row>
    <row r="1024" spans="1:9" x14ac:dyDescent="0.3">
      <c r="A1024" t="s">
        <v>50</v>
      </c>
      <c r="B1024" t="s">
        <v>19</v>
      </c>
      <c r="C1024" t="s">
        <v>34</v>
      </c>
      <c r="D1024" t="s">
        <v>28</v>
      </c>
      <c r="E1024" t="s">
        <v>10</v>
      </c>
      <c r="F1024">
        <v>228.22</v>
      </c>
      <c r="G1024">
        <f>INDEX(Operational[Production Volume (units)],MATCH(Emission8[[#This Row],[Facility ID]],Operational[Facility ID],0))</f>
        <v>40577</v>
      </c>
      <c r="H1024">
        <f>INDEX(Operational[Energy Consumption (MWh)],MATCH(Emission8[[#This Row],[Facility ID]],Operational[Facility ID],0))</f>
        <v>4280.82</v>
      </c>
      <c r="I1024">
        <f>INDEX(Operational[Waste (tons)],MATCH(Emission8[[#This Row],[Facility ID]],Operational[Facility ID],0))</f>
        <v>79.88</v>
      </c>
    </row>
    <row r="1025" spans="1:9" x14ac:dyDescent="0.3">
      <c r="A1025" t="s">
        <v>123</v>
      </c>
      <c r="B1025" t="s">
        <v>30</v>
      </c>
      <c r="C1025" t="s">
        <v>8</v>
      </c>
      <c r="D1025" t="s">
        <v>28</v>
      </c>
      <c r="E1025" t="s">
        <v>15</v>
      </c>
      <c r="F1025">
        <v>1437.79</v>
      </c>
      <c r="G1025">
        <f>INDEX(Operational[Production Volume (units)],MATCH(Emission8[[#This Row],[Facility ID]],Operational[Facility ID],0))</f>
        <v>73977</v>
      </c>
      <c r="H1025">
        <f>INDEX(Operational[Energy Consumption (MWh)],MATCH(Emission8[[#This Row],[Facility ID]],Operational[Facility ID],0))</f>
        <v>1646.75</v>
      </c>
      <c r="I1025">
        <f>INDEX(Operational[Waste (tons)],MATCH(Emission8[[#This Row],[Facility ID]],Operational[Facility ID],0))</f>
        <v>43.77</v>
      </c>
    </row>
    <row r="1026" spans="1:9" x14ac:dyDescent="0.3">
      <c r="A1026" t="s">
        <v>83</v>
      </c>
      <c r="B1026" t="s">
        <v>17</v>
      </c>
      <c r="C1026" t="s">
        <v>34</v>
      </c>
      <c r="D1026" t="s">
        <v>28</v>
      </c>
      <c r="E1026" t="s">
        <v>24</v>
      </c>
      <c r="F1026">
        <v>3734.66</v>
      </c>
      <c r="G1026">
        <f>INDEX(Operational[Production Volume (units)],MATCH(Emission8[[#This Row],[Facility ID]],Operational[Facility ID],0))</f>
        <v>30934</v>
      </c>
      <c r="H1026">
        <f>INDEX(Operational[Energy Consumption (MWh)],MATCH(Emission8[[#This Row],[Facility ID]],Operational[Facility ID],0))</f>
        <v>4175.6499999999996</v>
      </c>
      <c r="I1026">
        <f>INDEX(Operational[Waste (tons)],MATCH(Emission8[[#This Row],[Facility ID]],Operational[Facility ID],0))</f>
        <v>77.290000000000006</v>
      </c>
    </row>
    <row r="1027" spans="1:9" x14ac:dyDescent="0.3">
      <c r="A1027" t="s">
        <v>40</v>
      </c>
      <c r="B1027" t="s">
        <v>19</v>
      </c>
      <c r="C1027" t="s">
        <v>13</v>
      </c>
      <c r="D1027" t="s">
        <v>28</v>
      </c>
      <c r="E1027" t="s">
        <v>15</v>
      </c>
      <c r="F1027">
        <v>923.68</v>
      </c>
      <c r="G1027">
        <f>INDEX(Operational[Production Volume (units)],MATCH(Emission8[[#This Row],[Facility ID]],Operational[Facility ID],0))</f>
        <v>96474</v>
      </c>
      <c r="H1027">
        <f>INDEX(Operational[Energy Consumption (MWh)],MATCH(Emission8[[#This Row],[Facility ID]],Operational[Facility ID],0))</f>
        <v>7574.39</v>
      </c>
      <c r="I1027">
        <f>INDEX(Operational[Waste (tons)],MATCH(Emission8[[#This Row],[Facility ID]],Operational[Facility ID],0))</f>
        <v>95.54</v>
      </c>
    </row>
    <row r="1028" spans="1:9" x14ac:dyDescent="0.3">
      <c r="A1028" t="s">
        <v>163</v>
      </c>
      <c r="B1028" t="s">
        <v>19</v>
      </c>
      <c r="C1028" t="s">
        <v>34</v>
      </c>
      <c r="D1028" t="s">
        <v>28</v>
      </c>
      <c r="E1028" t="s">
        <v>24</v>
      </c>
      <c r="F1028">
        <v>1962.58</v>
      </c>
      <c r="G1028">
        <f>INDEX(Operational[Production Volume (units)],MATCH(Emission8[[#This Row],[Facility ID]],Operational[Facility ID],0))</f>
        <v>87482</v>
      </c>
      <c r="H1028">
        <f>INDEX(Operational[Energy Consumption (MWh)],MATCH(Emission8[[#This Row],[Facility ID]],Operational[Facility ID],0))</f>
        <v>2231.7399999999998</v>
      </c>
      <c r="I1028">
        <f>INDEX(Operational[Waste (tons)],MATCH(Emission8[[#This Row],[Facility ID]],Operational[Facility ID],0))</f>
        <v>45.43</v>
      </c>
    </row>
    <row r="1029" spans="1:9" x14ac:dyDescent="0.3">
      <c r="A1029" t="s">
        <v>180</v>
      </c>
      <c r="B1029" t="s">
        <v>30</v>
      </c>
      <c r="C1029" t="s">
        <v>8</v>
      </c>
      <c r="D1029" t="s">
        <v>14</v>
      </c>
      <c r="E1029" t="s">
        <v>15</v>
      </c>
      <c r="F1029">
        <v>690.6</v>
      </c>
      <c r="G1029">
        <f>INDEX(Operational[Production Volume (units)],MATCH(Emission8[[#This Row],[Facility ID]],Operational[Facility ID],0))</f>
        <v>72846</v>
      </c>
      <c r="H1029">
        <f>INDEX(Operational[Energy Consumption (MWh)],MATCH(Emission8[[#This Row],[Facility ID]],Operational[Facility ID],0))</f>
        <v>5169.53</v>
      </c>
      <c r="I1029">
        <f>INDEX(Operational[Waste (tons)],MATCH(Emission8[[#This Row],[Facility ID]],Operational[Facility ID],0))</f>
        <v>76.709999999999994</v>
      </c>
    </row>
    <row r="1030" spans="1:9" x14ac:dyDescent="0.3">
      <c r="A1030" t="s">
        <v>175</v>
      </c>
      <c r="B1030" t="s">
        <v>7</v>
      </c>
      <c r="C1030" t="s">
        <v>34</v>
      </c>
      <c r="D1030" t="s">
        <v>9</v>
      </c>
      <c r="E1030" t="s">
        <v>10</v>
      </c>
      <c r="F1030">
        <v>1785.82</v>
      </c>
      <c r="G1030">
        <f>INDEX(Operational[Production Volume (units)],MATCH(Emission8[[#This Row],[Facility ID]],Operational[Facility ID],0))</f>
        <v>83923</v>
      </c>
      <c r="H1030">
        <f>INDEX(Operational[Energy Consumption (MWh)],MATCH(Emission8[[#This Row],[Facility ID]],Operational[Facility ID],0))</f>
        <v>8768.7999999999993</v>
      </c>
      <c r="I1030">
        <f>INDEX(Operational[Waste (tons)],MATCH(Emission8[[#This Row],[Facility ID]],Operational[Facility ID],0))</f>
        <v>65.290000000000006</v>
      </c>
    </row>
    <row r="1031" spans="1:9" x14ac:dyDescent="0.3">
      <c r="A1031" t="s">
        <v>38</v>
      </c>
      <c r="B1031" t="s">
        <v>30</v>
      </c>
      <c r="C1031" t="s">
        <v>23</v>
      </c>
      <c r="D1031" t="s">
        <v>28</v>
      </c>
      <c r="E1031" t="s">
        <v>24</v>
      </c>
      <c r="F1031">
        <v>4949.3</v>
      </c>
      <c r="G1031">
        <f>INDEX(Operational[Production Volume (units)],MATCH(Emission8[[#This Row],[Facility ID]],Operational[Facility ID],0))</f>
        <v>57215</v>
      </c>
      <c r="H1031">
        <f>INDEX(Operational[Energy Consumption (MWh)],MATCH(Emission8[[#This Row],[Facility ID]],Operational[Facility ID],0))</f>
        <v>3227.1</v>
      </c>
      <c r="I1031">
        <f>INDEX(Operational[Waste (tons)],MATCH(Emission8[[#This Row],[Facility ID]],Operational[Facility ID],0))</f>
        <v>32.909999999999997</v>
      </c>
    </row>
    <row r="1032" spans="1:9" x14ac:dyDescent="0.3">
      <c r="A1032" t="s">
        <v>92</v>
      </c>
      <c r="B1032" t="s">
        <v>30</v>
      </c>
      <c r="C1032" t="s">
        <v>23</v>
      </c>
      <c r="D1032" t="s">
        <v>9</v>
      </c>
      <c r="E1032" t="s">
        <v>10</v>
      </c>
      <c r="F1032">
        <v>3153.34</v>
      </c>
      <c r="G1032">
        <f>INDEX(Operational[Production Volume (units)],MATCH(Emission8[[#This Row],[Facility ID]],Operational[Facility ID],0))</f>
        <v>18726</v>
      </c>
      <c r="H1032">
        <f>INDEX(Operational[Energy Consumption (MWh)],MATCH(Emission8[[#This Row],[Facility ID]],Operational[Facility ID],0))</f>
        <v>5099.54</v>
      </c>
      <c r="I1032">
        <f>INDEX(Operational[Waste (tons)],MATCH(Emission8[[#This Row],[Facility ID]],Operational[Facility ID],0))</f>
        <v>71.05</v>
      </c>
    </row>
    <row r="1033" spans="1:9" x14ac:dyDescent="0.3">
      <c r="A1033" t="s">
        <v>129</v>
      </c>
      <c r="B1033" t="s">
        <v>17</v>
      </c>
      <c r="C1033" t="s">
        <v>34</v>
      </c>
      <c r="D1033" t="s">
        <v>14</v>
      </c>
      <c r="E1033" t="s">
        <v>15</v>
      </c>
      <c r="F1033">
        <v>919.35</v>
      </c>
      <c r="G1033">
        <f>INDEX(Operational[Production Volume (units)],MATCH(Emission8[[#This Row],[Facility ID]],Operational[Facility ID],0))</f>
        <v>95292</v>
      </c>
      <c r="H1033">
        <f>INDEX(Operational[Energy Consumption (MWh)],MATCH(Emission8[[#This Row],[Facility ID]],Operational[Facility ID],0))</f>
        <v>697.47</v>
      </c>
      <c r="I1033">
        <f>INDEX(Operational[Waste (tons)],MATCH(Emission8[[#This Row],[Facility ID]],Operational[Facility ID],0))</f>
        <v>88.35</v>
      </c>
    </row>
    <row r="1034" spans="1:9" x14ac:dyDescent="0.3">
      <c r="A1034" t="s">
        <v>123</v>
      </c>
      <c r="B1034" t="s">
        <v>30</v>
      </c>
      <c r="C1034" t="s">
        <v>34</v>
      </c>
      <c r="D1034" t="s">
        <v>14</v>
      </c>
      <c r="E1034" t="s">
        <v>15</v>
      </c>
      <c r="F1034">
        <v>2465.21</v>
      </c>
      <c r="G1034">
        <f>INDEX(Operational[Production Volume (units)],MATCH(Emission8[[#This Row],[Facility ID]],Operational[Facility ID],0))</f>
        <v>73977</v>
      </c>
      <c r="H1034">
        <f>INDEX(Operational[Energy Consumption (MWh)],MATCH(Emission8[[#This Row],[Facility ID]],Operational[Facility ID],0))</f>
        <v>1646.75</v>
      </c>
      <c r="I1034">
        <f>INDEX(Operational[Waste (tons)],MATCH(Emission8[[#This Row],[Facility ID]],Operational[Facility ID],0))</f>
        <v>43.77</v>
      </c>
    </row>
    <row r="1035" spans="1:9" x14ac:dyDescent="0.3">
      <c r="A1035" t="s">
        <v>147</v>
      </c>
      <c r="B1035" t="s">
        <v>17</v>
      </c>
      <c r="C1035" t="s">
        <v>23</v>
      </c>
      <c r="D1035" t="s">
        <v>14</v>
      </c>
      <c r="E1035" t="s">
        <v>10</v>
      </c>
      <c r="F1035">
        <v>2956.74</v>
      </c>
      <c r="G1035">
        <f>INDEX(Operational[Production Volume (units)],MATCH(Emission8[[#This Row],[Facility ID]],Operational[Facility ID],0))</f>
        <v>24095</v>
      </c>
      <c r="H1035">
        <f>INDEX(Operational[Energy Consumption (MWh)],MATCH(Emission8[[#This Row],[Facility ID]],Operational[Facility ID],0))</f>
        <v>3167.52</v>
      </c>
      <c r="I1035">
        <f>INDEX(Operational[Waste (tons)],MATCH(Emission8[[#This Row],[Facility ID]],Operational[Facility ID],0))</f>
        <v>31.02</v>
      </c>
    </row>
    <row r="1036" spans="1:9" x14ac:dyDescent="0.3">
      <c r="A1036" t="s">
        <v>125</v>
      </c>
      <c r="B1036" t="s">
        <v>7</v>
      </c>
      <c r="C1036" t="s">
        <v>34</v>
      </c>
      <c r="D1036" t="s">
        <v>9</v>
      </c>
      <c r="E1036" t="s">
        <v>10</v>
      </c>
      <c r="F1036">
        <v>1174.6300000000001</v>
      </c>
      <c r="G1036">
        <f>INDEX(Operational[Production Volume (units)],MATCH(Emission8[[#This Row],[Facility ID]],Operational[Facility ID],0))</f>
        <v>56392</v>
      </c>
      <c r="H1036">
        <f>INDEX(Operational[Energy Consumption (MWh)],MATCH(Emission8[[#This Row],[Facility ID]],Operational[Facility ID],0))</f>
        <v>5703.76</v>
      </c>
      <c r="I1036">
        <f>INDEX(Operational[Waste (tons)],MATCH(Emission8[[#This Row],[Facility ID]],Operational[Facility ID],0))</f>
        <v>23.04</v>
      </c>
    </row>
    <row r="1037" spans="1:9" x14ac:dyDescent="0.3">
      <c r="A1037" t="s">
        <v>130</v>
      </c>
      <c r="B1037" t="s">
        <v>12</v>
      </c>
      <c r="C1037" t="s">
        <v>34</v>
      </c>
      <c r="D1037" t="s">
        <v>14</v>
      </c>
      <c r="E1037" t="s">
        <v>24</v>
      </c>
      <c r="F1037">
        <v>1574.82</v>
      </c>
      <c r="G1037">
        <f>INDEX(Operational[Production Volume (units)],MATCH(Emission8[[#This Row],[Facility ID]],Operational[Facility ID],0))</f>
        <v>82332</v>
      </c>
      <c r="H1037">
        <f>INDEX(Operational[Energy Consumption (MWh)],MATCH(Emission8[[#This Row],[Facility ID]],Operational[Facility ID],0))</f>
        <v>7134.86</v>
      </c>
      <c r="I1037">
        <f>INDEX(Operational[Waste (tons)],MATCH(Emission8[[#This Row],[Facility ID]],Operational[Facility ID],0))</f>
        <v>22.44</v>
      </c>
    </row>
    <row r="1038" spans="1:9" x14ac:dyDescent="0.3">
      <c r="A1038" t="s">
        <v>102</v>
      </c>
      <c r="B1038" t="s">
        <v>19</v>
      </c>
      <c r="C1038" t="s">
        <v>8</v>
      </c>
      <c r="D1038" t="s">
        <v>9</v>
      </c>
      <c r="E1038" t="s">
        <v>10</v>
      </c>
      <c r="F1038">
        <v>922.32</v>
      </c>
      <c r="G1038">
        <f>INDEX(Operational[Production Volume (units)],MATCH(Emission8[[#This Row],[Facility ID]],Operational[Facility ID],0))</f>
        <v>86263</v>
      </c>
      <c r="H1038">
        <f>INDEX(Operational[Energy Consumption (MWh)],MATCH(Emission8[[#This Row],[Facility ID]],Operational[Facility ID],0))</f>
        <v>3213.71</v>
      </c>
      <c r="I1038">
        <f>INDEX(Operational[Waste (tons)],MATCH(Emission8[[#This Row],[Facility ID]],Operational[Facility ID],0))</f>
        <v>98.39</v>
      </c>
    </row>
    <row r="1039" spans="1:9" x14ac:dyDescent="0.3">
      <c r="A1039" t="s">
        <v>73</v>
      </c>
      <c r="B1039" t="s">
        <v>30</v>
      </c>
      <c r="C1039" t="s">
        <v>23</v>
      </c>
      <c r="D1039" t="s">
        <v>9</v>
      </c>
      <c r="E1039" t="s">
        <v>10</v>
      </c>
      <c r="F1039">
        <v>842.92</v>
      </c>
      <c r="G1039">
        <f>INDEX(Operational[Production Volume (units)],MATCH(Emission8[[#This Row],[Facility ID]],Operational[Facility ID],0))</f>
        <v>55974</v>
      </c>
      <c r="H1039">
        <f>INDEX(Operational[Energy Consumption (MWh)],MATCH(Emission8[[#This Row],[Facility ID]],Operational[Facility ID],0))</f>
        <v>7542.28</v>
      </c>
      <c r="I1039">
        <f>INDEX(Operational[Waste (tons)],MATCH(Emission8[[#This Row],[Facility ID]],Operational[Facility ID],0))</f>
        <v>72.430000000000007</v>
      </c>
    </row>
    <row r="1040" spans="1:9" x14ac:dyDescent="0.3">
      <c r="A1040" t="s">
        <v>110</v>
      </c>
      <c r="B1040" t="s">
        <v>12</v>
      </c>
      <c r="C1040" t="s">
        <v>8</v>
      </c>
      <c r="D1040" t="s">
        <v>14</v>
      </c>
      <c r="E1040" t="s">
        <v>10</v>
      </c>
      <c r="F1040">
        <v>3132.1</v>
      </c>
      <c r="G1040">
        <f>INDEX(Operational[Production Volume (units)],MATCH(Emission8[[#This Row],[Facility ID]],Operational[Facility ID],0))</f>
        <v>70481</v>
      </c>
      <c r="H1040">
        <f>INDEX(Operational[Energy Consumption (MWh)],MATCH(Emission8[[#This Row],[Facility ID]],Operational[Facility ID],0))</f>
        <v>4452.83</v>
      </c>
      <c r="I1040">
        <f>INDEX(Operational[Waste (tons)],MATCH(Emission8[[#This Row],[Facility ID]],Operational[Facility ID],0))</f>
        <v>91.26</v>
      </c>
    </row>
    <row r="1041" spans="1:9" x14ac:dyDescent="0.3">
      <c r="A1041" t="s">
        <v>109</v>
      </c>
      <c r="B1041" t="s">
        <v>12</v>
      </c>
      <c r="C1041" t="s">
        <v>13</v>
      </c>
      <c r="D1041" t="s">
        <v>9</v>
      </c>
      <c r="E1041" t="s">
        <v>10</v>
      </c>
      <c r="F1041">
        <v>3613.5</v>
      </c>
      <c r="G1041">
        <f>INDEX(Operational[Production Volume (units)],MATCH(Emission8[[#This Row],[Facility ID]],Operational[Facility ID],0))</f>
        <v>84721</v>
      </c>
      <c r="H1041">
        <f>INDEX(Operational[Energy Consumption (MWh)],MATCH(Emission8[[#This Row],[Facility ID]],Operational[Facility ID],0))</f>
        <v>2278.9699999999998</v>
      </c>
      <c r="I1041">
        <f>INDEX(Operational[Waste (tons)],MATCH(Emission8[[#This Row],[Facility ID]],Operational[Facility ID],0))</f>
        <v>68.53</v>
      </c>
    </row>
    <row r="1042" spans="1:9" x14ac:dyDescent="0.3">
      <c r="A1042" t="s">
        <v>45</v>
      </c>
      <c r="B1042" t="s">
        <v>7</v>
      </c>
      <c r="C1042" t="s">
        <v>34</v>
      </c>
      <c r="D1042" t="s">
        <v>9</v>
      </c>
      <c r="E1042" t="s">
        <v>24</v>
      </c>
      <c r="F1042">
        <v>1968.52</v>
      </c>
      <c r="G1042">
        <f>INDEX(Operational[Production Volume (units)],MATCH(Emission8[[#This Row],[Facility ID]],Operational[Facility ID],0))</f>
        <v>49924</v>
      </c>
      <c r="H1042">
        <f>INDEX(Operational[Energy Consumption (MWh)],MATCH(Emission8[[#This Row],[Facility ID]],Operational[Facility ID],0))</f>
        <v>2199.16</v>
      </c>
      <c r="I1042">
        <f>INDEX(Operational[Waste (tons)],MATCH(Emission8[[#This Row],[Facility ID]],Operational[Facility ID],0))</f>
        <v>75.48</v>
      </c>
    </row>
    <row r="1043" spans="1:9" x14ac:dyDescent="0.3">
      <c r="A1043" t="s">
        <v>179</v>
      </c>
      <c r="B1043" t="s">
        <v>7</v>
      </c>
      <c r="C1043" t="s">
        <v>23</v>
      </c>
      <c r="D1043" t="s">
        <v>14</v>
      </c>
      <c r="E1043" t="s">
        <v>10</v>
      </c>
      <c r="F1043">
        <v>70.83</v>
      </c>
      <c r="G1043">
        <f>INDEX(Operational[Production Volume (units)],MATCH(Emission8[[#This Row],[Facility ID]],Operational[Facility ID],0))</f>
        <v>94393</v>
      </c>
      <c r="H1043">
        <f>INDEX(Operational[Energy Consumption (MWh)],MATCH(Emission8[[#This Row],[Facility ID]],Operational[Facility ID],0))</f>
        <v>6691.7</v>
      </c>
      <c r="I1043">
        <f>INDEX(Operational[Waste (tons)],MATCH(Emission8[[#This Row],[Facility ID]],Operational[Facility ID],0))</f>
        <v>74.790000000000006</v>
      </c>
    </row>
    <row r="1044" spans="1:9" x14ac:dyDescent="0.3">
      <c r="A1044" t="s">
        <v>179</v>
      </c>
      <c r="B1044" t="s">
        <v>7</v>
      </c>
      <c r="C1044" t="s">
        <v>13</v>
      </c>
      <c r="D1044" t="s">
        <v>14</v>
      </c>
      <c r="E1044" t="s">
        <v>15</v>
      </c>
      <c r="F1044">
        <v>1698.04</v>
      </c>
      <c r="G1044">
        <f>INDEX(Operational[Production Volume (units)],MATCH(Emission8[[#This Row],[Facility ID]],Operational[Facility ID],0))</f>
        <v>94393</v>
      </c>
      <c r="H1044">
        <f>INDEX(Operational[Energy Consumption (MWh)],MATCH(Emission8[[#This Row],[Facility ID]],Operational[Facility ID],0))</f>
        <v>6691.7</v>
      </c>
      <c r="I1044">
        <f>INDEX(Operational[Waste (tons)],MATCH(Emission8[[#This Row],[Facility ID]],Operational[Facility ID],0))</f>
        <v>74.790000000000006</v>
      </c>
    </row>
    <row r="1045" spans="1:9" x14ac:dyDescent="0.3">
      <c r="A1045" t="s">
        <v>173</v>
      </c>
      <c r="B1045" t="s">
        <v>30</v>
      </c>
      <c r="C1045" t="s">
        <v>23</v>
      </c>
      <c r="D1045" t="s">
        <v>28</v>
      </c>
      <c r="E1045" t="s">
        <v>10</v>
      </c>
      <c r="F1045">
        <v>4151.2</v>
      </c>
      <c r="G1045">
        <f>INDEX(Operational[Production Volume (units)],MATCH(Emission8[[#This Row],[Facility ID]],Operational[Facility ID],0))</f>
        <v>49620</v>
      </c>
      <c r="H1045">
        <f>INDEX(Operational[Energy Consumption (MWh)],MATCH(Emission8[[#This Row],[Facility ID]],Operational[Facility ID],0))</f>
        <v>2424.31</v>
      </c>
      <c r="I1045">
        <f>INDEX(Operational[Waste (tons)],MATCH(Emission8[[#This Row],[Facility ID]],Operational[Facility ID],0))</f>
        <v>62.09</v>
      </c>
    </row>
    <row r="1046" spans="1:9" x14ac:dyDescent="0.3">
      <c r="A1046" t="s">
        <v>122</v>
      </c>
      <c r="B1046" t="s">
        <v>19</v>
      </c>
      <c r="C1046" t="s">
        <v>34</v>
      </c>
      <c r="D1046" t="s">
        <v>28</v>
      </c>
      <c r="E1046" t="s">
        <v>15</v>
      </c>
      <c r="F1046">
        <v>4411.01</v>
      </c>
      <c r="G1046">
        <f>INDEX(Operational[Production Volume (units)],MATCH(Emission8[[#This Row],[Facility ID]],Operational[Facility ID],0))</f>
        <v>95962</v>
      </c>
      <c r="H1046">
        <f>INDEX(Operational[Energy Consumption (MWh)],MATCH(Emission8[[#This Row],[Facility ID]],Operational[Facility ID],0))</f>
        <v>524.72</v>
      </c>
      <c r="I1046">
        <f>INDEX(Operational[Waste (tons)],MATCH(Emission8[[#This Row],[Facility ID]],Operational[Facility ID],0))</f>
        <v>49.55</v>
      </c>
    </row>
    <row r="1047" spans="1:9" x14ac:dyDescent="0.3">
      <c r="A1047" t="s">
        <v>155</v>
      </c>
      <c r="B1047" t="s">
        <v>7</v>
      </c>
      <c r="C1047" t="s">
        <v>13</v>
      </c>
      <c r="D1047" t="s">
        <v>28</v>
      </c>
      <c r="E1047" t="s">
        <v>15</v>
      </c>
      <c r="F1047">
        <v>284.04000000000002</v>
      </c>
      <c r="G1047">
        <f>INDEX(Operational[Production Volume (units)],MATCH(Emission8[[#This Row],[Facility ID]],Operational[Facility ID],0))</f>
        <v>72224</v>
      </c>
      <c r="H1047">
        <f>INDEX(Operational[Energy Consumption (MWh)],MATCH(Emission8[[#This Row],[Facility ID]],Operational[Facility ID],0))</f>
        <v>1613.32</v>
      </c>
      <c r="I1047">
        <f>INDEX(Operational[Waste (tons)],MATCH(Emission8[[#This Row],[Facility ID]],Operational[Facility ID],0))</f>
        <v>39.21</v>
      </c>
    </row>
    <row r="1048" spans="1:9" x14ac:dyDescent="0.3">
      <c r="A1048" t="s">
        <v>200</v>
      </c>
      <c r="B1048" t="s">
        <v>30</v>
      </c>
      <c r="C1048" t="s">
        <v>8</v>
      </c>
      <c r="D1048" t="s">
        <v>9</v>
      </c>
      <c r="E1048" t="s">
        <v>24</v>
      </c>
      <c r="F1048">
        <v>3725.85</v>
      </c>
      <c r="G1048">
        <f>INDEX(Operational[Production Volume (units)],MATCH(Emission8[[#This Row],[Facility ID]],Operational[Facility ID],0))</f>
        <v>46863</v>
      </c>
      <c r="H1048">
        <f>INDEX(Operational[Energy Consumption (MWh)],MATCH(Emission8[[#This Row],[Facility ID]],Operational[Facility ID],0))</f>
        <v>6762.98</v>
      </c>
      <c r="I1048">
        <f>INDEX(Operational[Waste (tons)],MATCH(Emission8[[#This Row],[Facility ID]],Operational[Facility ID],0))</f>
        <v>23.45</v>
      </c>
    </row>
    <row r="1049" spans="1:9" x14ac:dyDescent="0.3">
      <c r="A1049" t="s">
        <v>191</v>
      </c>
      <c r="B1049" t="s">
        <v>12</v>
      </c>
      <c r="C1049" t="s">
        <v>13</v>
      </c>
      <c r="D1049" t="s">
        <v>28</v>
      </c>
      <c r="E1049" t="s">
        <v>24</v>
      </c>
      <c r="F1049">
        <v>324.83999999999997</v>
      </c>
      <c r="G1049">
        <f>INDEX(Operational[Production Volume (units)],MATCH(Emission8[[#This Row],[Facility ID]],Operational[Facility ID],0))</f>
        <v>43346</v>
      </c>
      <c r="H1049">
        <f>INDEX(Operational[Energy Consumption (MWh)],MATCH(Emission8[[#This Row],[Facility ID]],Operational[Facility ID],0))</f>
        <v>5559.12</v>
      </c>
      <c r="I1049">
        <f>INDEX(Operational[Waste (tons)],MATCH(Emission8[[#This Row],[Facility ID]],Operational[Facility ID],0))</f>
        <v>39.4</v>
      </c>
    </row>
    <row r="1050" spans="1:9" x14ac:dyDescent="0.3">
      <c r="A1050" t="s">
        <v>51</v>
      </c>
      <c r="B1050" t="s">
        <v>30</v>
      </c>
      <c r="C1050" t="s">
        <v>13</v>
      </c>
      <c r="D1050" t="s">
        <v>28</v>
      </c>
      <c r="E1050" t="s">
        <v>24</v>
      </c>
      <c r="F1050">
        <v>574.69000000000005</v>
      </c>
      <c r="G1050">
        <f>INDEX(Operational[Production Volume (units)],MATCH(Emission8[[#This Row],[Facility ID]],Operational[Facility ID],0))</f>
        <v>44164</v>
      </c>
      <c r="H1050">
        <f>INDEX(Operational[Energy Consumption (MWh)],MATCH(Emission8[[#This Row],[Facility ID]],Operational[Facility ID],0))</f>
        <v>3869.32</v>
      </c>
      <c r="I1050">
        <f>INDEX(Operational[Waste (tons)],MATCH(Emission8[[#This Row],[Facility ID]],Operational[Facility ID],0))</f>
        <v>13.81</v>
      </c>
    </row>
    <row r="1051" spans="1:9" x14ac:dyDescent="0.3">
      <c r="A1051" t="s">
        <v>198</v>
      </c>
      <c r="B1051" t="s">
        <v>12</v>
      </c>
      <c r="C1051" t="s">
        <v>34</v>
      </c>
      <c r="D1051" t="s">
        <v>9</v>
      </c>
      <c r="E1051" t="s">
        <v>24</v>
      </c>
      <c r="F1051">
        <v>3034.33</v>
      </c>
      <c r="G1051">
        <f>INDEX(Operational[Production Volume (units)],MATCH(Emission8[[#This Row],[Facility ID]],Operational[Facility ID],0))</f>
        <v>58113</v>
      </c>
      <c r="H1051">
        <f>INDEX(Operational[Energy Consumption (MWh)],MATCH(Emission8[[#This Row],[Facility ID]],Operational[Facility ID],0))</f>
        <v>6382.12</v>
      </c>
      <c r="I1051">
        <f>INDEX(Operational[Waste (tons)],MATCH(Emission8[[#This Row],[Facility ID]],Operational[Facility ID],0))</f>
        <v>56.66</v>
      </c>
    </row>
    <row r="1052" spans="1:9" x14ac:dyDescent="0.3">
      <c r="A1052" t="s">
        <v>116</v>
      </c>
      <c r="B1052" t="s">
        <v>17</v>
      </c>
      <c r="C1052" t="s">
        <v>34</v>
      </c>
      <c r="D1052" t="s">
        <v>28</v>
      </c>
      <c r="E1052" t="s">
        <v>24</v>
      </c>
      <c r="F1052">
        <v>169.73</v>
      </c>
      <c r="G1052">
        <f>INDEX(Operational[Production Volume (units)],MATCH(Emission8[[#This Row],[Facility ID]],Operational[Facility ID],0))</f>
        <v>68216</v>
      </c>
      <c r="H1052">
        <f>INDEX(Operational[Energy Consumption (MWh)],MATCH(Emission8[[#This Row],[Facility ID]],Operational[Facility ID],0))</f>
        <v>9562.33</v>
      </c>
      <c r="I1052">
        <f>INDEX(Operational[Waste (tons)],MATCH(Emission8[[#This Row],[Facility ID]],Operational[Facility ID],0))</f>
        <v>63.59</v>
      </c>
    </row>
    <row r="1053" spans="1:9" x14ac:dyDescent="0.3">
      <c r="A1053" t="s">
        <v>142</v>
      </c>
      <c r="B1053" t="s">
        <v>17</v>
      </c>
      <c r="C1053" t="s">
        <v>13</v>
      </c>
      <c r="D1053" t="s">
        <v>14</v>
      </c>
      <c r="E1053" t="s">
        <v>24</v>
      </c>
      <c r="F1053">
        <v>1309.6199999999999</v>
      </c>
      <c r="G1053">
        <f>INDEX(Operational[Production Volume (units)],MATCH(Emission8[[#This Row],[Facility ID]],Operational[Facility ID],0))</f>
        <v>75736</v>
      </c>
      <c r="H1053">
        <f>INDEX(Operational[Energy Consumption (MWh)],MATCH(Emission8[[#This Row],[Facility ID]],Operational[Facility ID],0))</f>
        <v>6287.07</v>
      </c>
      <c r="I1053">
        <f>INDEX(Operational[Waste (tons)],MATCH(Emission8[[#This Row],[Facility ID]],Operational[Facility ID],0))</f>
        <v>63.11</v>
      </c>
    </row>
    <row r="1054" spans="1:9" x14ac:dyDescent="0.3">
      <c r="A1054" t="s">
        <v>149</v>
      </c>
      <c r="B1054" t="s">
        <v>17</v>
      </c>
      <c r="C1054" t="s">
        <v>8</v>
      </c>
      <c r="D1054" t="s">
        <v>28</v>
      </c>
      <c r="E1054" t="s">
        <v>24</v>
      </c>
      <c r="F1054">
        <v>2624.96</v>
      </c>
      <c r="G1054">
        <f>INDEX(Operational[Production Volume (units)],MATCH(Emission8[[#This Row],[Facility ID]],Operational[Facility ID],0))</f>
        <v>49885</v>
      </c>
      <c r="H1054">
        <f>INDEX(Operational[Energy Consumption (MWh)],MATCH(Emission8[[#This Row],[Facility ID]],Operational[Facility ID],0))</f>
        <v>6845.46</v>
      </c>
      <c r="I1054">
        <f>INDEX(Operational[Waste (tons)],MATCH(Emission8[[#This Row],[Facility ID]],Operational[Facility ID],0))</f>
        <v>58.4</v>
      </c>
    </row>
    <row r="1055" spans="1:9" x14ac:dyDescent="0.3">
      <c r="A1055" t="s">
        <v>113</v>
      </c>
      <c r="B1055" t="s">
        <v>30</v>
      </c>
      <c r="C1055" t="s">
        <v>8</v>
      </c>
      <c r="D1055" t="s">
        <v>14</v>
      </c>
      <c r="E1055" t="s">
        <v>15</v>
      </c>
      <c r="F1055">
        <v>1753.99</v>
      </c>
      <c r="G1055">
        <f>INDEX(Operational[Production Volume (units)],MATCH(Emission8[[#This Row],[Facility ID]],Operational[Facility ID],0))</f>
        <v>90679</v>
      </c>
      <c r="H1055">
        <f>INDEX(Operational[Energy Consumption (MWh)],MATCH(Emission8[[#This Row],[Facility ID]],Operational[Facility ID],0))</f>
        <v>7266.82</v>
      </c>
      <c r="I1055">
        <f>INDEX(Operational[Waste (tons)],MATCH(Emission8[[#This Row],[Facility ID]],Operational[Facility ID],0))</f>
        <v>23.3</v>
      </c>
    </row>
    <row r="1056" spans="1:9" x14ac:dyDescent="0.3">
      <c r="A1056" t="s">
        <v>94</v>
      </c>
      <c r="B1056" t="s">
        <v>7</v>
      </c>
      <c r="C1056" t="s">
        <v>13</v>
      </c>
      <c r="D1056" t="s">
        <v>9</v>
      </c>
      <c r="E1056" t="s">
        <v>10</v>
      </c>
      <c r="F1056">
        <v>4506.3500000000004</v>
      </c>
      <c r="G1056">
        <f>INDEX(Operational[Production Volume (units)],MATCH(Emission8[[#This Row],[Facility ID]],Operational[Facility ID],0))</f>
        <v>26338</v>
      </c>
      <c r="H1056">
        <f>INDEX(Operational[Energy Consumption (MWh)],MATCH(Emission8[[#This Row],[Facility ID]],Operational[Facility ID],0))</f>
        <v>578.73</v>
      </c>
      <c r="I1056">
        <f>INDEX(Operational[Waste (tons)],MATCH(Emission8[[#This Row],[Facility ID]],Operational[Facility ID],0))</f>
        <v>72.52</v>
      </c>
    </row>
    <row r="1057" spans="1:9" x14ac:dyDescent="0.3">
      <c r="A1057" t="s">
        <v>154</v>
      </c>
      <c r="B1057" t="s">
        <v>12</v>
      </c>
      <c r="C1057" t="s">
        <v>13</v>
      </c>
      <c r="D1057" t="s">
        <v>9</v>
      </c>
      <c r="E1057" t="s">
        <v>24</v>
      </c>
      <c r="F1057">
        <v>1399.94</v>
      </c>
      <c r="G1057">
        <f>INDEX(Operational[Production Volume (units)],MATCH(Emission8[[#This Row],[Facility ID]],Operational[Facility ID],0))</f>
        <v>87012</v>
      </c>
      <c r="H1057">
        <f>INDEX(Operational[Energy Consumption (MWh)],MATCH(Emission8[[#This Row],[Facility ID]],Operational[Facility ID],0))</f>
        <v>7478.13</v>
      </c>
      <c r="I1057">
        <f>INDEX(Operational[Waste (tons)],MATCH(Emission8[[#This Row],[Facility ID]],Operational[Facility ID],0))</f>
        <v>27.22</v>
      </c>
    </row>
    <row r="1058" spans="1:9" x14ac:dyDescent="0.3">
      <c r="A1058" t="s">
        <v>103</v>
      </c>
      <c r="B1058" t="s">
        <v>19</v>
      </c>
      <c r="C1058" t="s">
        <v>23</v>
      </c>
      <c r="D1058" t="s">
        <v>9</v>
      </c>
      <c r="E1058" t="s">
        <v>15</v>
      </c>
      <c r="F1058">
        <v>3722.06</v>
      </c>
      <c r="G1058">
        <f>INDEX(Operational[Production Volume (units)],MATCH(Emission8[[#This Row],[Facility ID]],Operational[Facility ID],0))</f>
        <v>38869</v>
      </c>
      <c r="H1058">
        <f>INDEX(Operational[Energy Consumption (MWh)],MATCH(Emission8[[#This Row],[Facility ID]],Operational[Facility ID],0))</f>
        <v>5109.76</v>
      </c>
      <c r="I1058">
        <f>INDEX(Operational[Waste (tons)],MATCH(Emission8[[#This Row],[Facility ID]],Operational[Facility ID],0))</f>
        <v>35.270000000000003</v>
      </c>
    </row>
    <row r="1059" spans="1:9" x14ac:dyDescent="0.3">
      <c r="A1059" t="s">
        <v>66</v>
      </c>
      <c r="B1059" t="s">
        <v>30</v>
      </c>
      <c r="C1059" t="s">
        <v>23</v>
      </c>
      <c r="D1059" t="s">
        <v>9</v>
      </c>
      <c r="E1059" t="s">
        <v>24</v>
      </c>
      <c r="F1059">
        <v>4854.66</v>
      </c>
      <c r="G1059">
        <f>INDEX(Operational[Production Volume (units)],MATCH(Emission8[[#This Row],[Facility ID]],Operational[Facility ID],0))</f>
        <v>98396</v>
      </c>
      <c r="H1059">
        <f>INDEX(Operational[Energy Consumption (MWh)],MATCH(Emission8[[#This Row],[Facility ID]],Operational[Facility ID],0))</f>
        <v>5174.07</v>
      </c>
      <c r="I1059">
        <f>INDEX(Operational[Waste (tons)],MATCH(Emission8[[#This Row],[Facility ID]],Operational[Facility ID],0))</f>
        <v>63.38</v>
      </c>
    </row>
    <row r="1060" spans="1:9" x14ac:dyDescent="0.3">
      <c r="A1060" t="s">
        <v>168</v>
      </c>
      <c r="B1060" t="s">
        <v>17</v>
      </c>
      <c r="C1060" t="s">
        <v>13</v>
      </c>
      <c r="D1060" t="s">
        <v>9</v>
      </c>
      <c r="E1060" t="s">
        <v>24</v>
      </c>
      <c r="F1060">
        <v>3995.71</v>
      </c>
      <c r="G1060">
        <f>INDEX(Operational[Production Volume (units)],MATCH(Emission8[[#This Row],[Facility ID]],Operational[Facility ID],0))</f>
        <v>41050</v>
      </c>
      <c r="H1060">
        <f>INDEX(Operational[Energy Consumption (MWh)],MATCH(Emission8[[#This Row],[Facility ID]],Operational[Facility ID],0))</f>
        <v>6025.84</v>
      </c>
      <c r="I1060">
        <f>INDEX(Operational[Waste (tons)],MATCH(Emission8[[#This Row],[Facility ID]],Operational[Facility ID],0))</f>
        <v>53.53</v>
      </c>
    </row>
    <row r="1061" spans="1:9" x14ac:dyDescent="0.3">
      <c r="A1061" t="s">
        <v>183</v>
      </c>
      <c r="B1061" t="s">
        <v>7</v>
      </c>
      <c r="C1061" t="s">
        <v>23</v>
      </c>
      <c r="D1061" t="s">
        <v>9</v>
      </c>
      <c r="E1061" t="s">
        <v>10</v>
      </c>
      <c r="F1061">
        <v>1233.93</v>
      </c>
      <c r="G1061">
        <f>INDEX(Operational[Production Volume (units)],MATCH(Emission8[[#This Row],[Facility ID]],Operational[Facility ID],0))</f>
        <v>14009</v>
      </c>
      <c r="H1061">
        <f>INDEX(Operational[Energy Consumption (MWh)],MATCH(Emission8[[#This Row],[Facility ID]],Operational[Facility ID],0))</f>
        <v>7528.98</v>
      </c>
      <c r="I1061">
        <f>INDEX(Operational[Waste (tons)],MATCH(Emission8[[#This Row],[Facility ID]],Operational[Facility ID],0))</f>
        <v>77.62</v>
      </c>
    </row>
    <row r="1062" spans="1:9" x14ac:dyDescent="0.3">
      <c r="A1062" t="s">
        <v>159</v>
      </c>
      <c r="B1062" t="s">
        <v>7</v>
      </c>
      <c r="C1062" t="s">
        <v>23</v>
      </c>
      <c r="D1062" t="s">
        <v>14</v>
      </c>
      <c r="E1062" t="s">
        <v>15</v>
      </c>
      <c r="F1062">
        <v>2802.78</v>
      </c>
      <c r="G1062">
        <f>INDEX(Operational[Production Volume (units)],MATCH(Emission8[[#This Row],[Facility ID]],Operational[Facility ID],0))</f>
        <v>47727</v>
      </c>
      <c r="H1062">
        <f>INDEX(Operational[Energy Consumption (MWh)],MATCH(Emission8[[#This Row],[Facility ID]],Operational[Facility ID],0))</f>
        <v>8907.33</v>
      </c>
      <c r="I1062">
        <f>INDEX(Operational[Waste (tons)],MATCH(Emission8[[#This Row],[Facility ID]],Operational[Facility ID],0))</f>
        <v>47.4</v>
      </c>
    </row>
    <row r="1063" spans="1:9" x14ac:dyDescent="0.3">
      <c r="A1063" t="s">
        <v>211</v>
      </c>
      <c r="B1063" t="s">
        <v>7</v>
      </c>
      <c r="C1063" t="s">
        <v>8</v>
      </c>
      <c r="D1063" t="s">
        <v>14</v>
      </c>
      <c r="E1063" t="s">
        <v>15</v>
      </c>
      <c r="F1063">
        <v>2330.0300000000002</v>
      </c>
      <c r="G1063">
        <f>INDEX(Operational[Production Volume (units)],MATCH(Emission8[[#This Row],[Facility ID]],Operational[Facility ID],0))</f>
        <v>27028</v>
      </c>
      <c r="H1063">
        <f>INDEX(Operational[Energy Consumption (MWh)],MATCH(Emission8[[#This Row],[Facility ID]],Operational[Facility ID],0))</f>
        <v>4617.92</v>
      </c>
      <c r="I1063">
        <f>INDEX(Operational[Waste (tons)],MATCH(Emission8[[#This Row],[Facility ID]],Operational[Facility ID],0))</f>
        <v>57.62</v>
      </c>
    </row>
    <row r="1064" spans="1:9" x14ac:dyDescent="0.3">
      <c r="A1064" t="s">
        <v>214</v>
      </c>
      <c r="B1064" t="s">
        <v>30</v>
      </c>
      <c r="C1064" t="s">
        <v>8</v>
      </c>
      <c r="D1064" t="s">
        <v>28</v>
      </c>
      <c r="E1064" t="s">
        <v>24</v>
      </c>
      <c r="F1064">
        <v>4895.2700000000004</v>
      </c>
      <c r="G1064">
        <f>INDEX(Operational[Production Volume (units)],MATCH(Emission8[[#This Row],[Facility ID]],Operational[Facility ID],0))</f>
        <v>79330</v>
      </c>
      <c r="H1064">
        <f>INDEX(Operational[Energy Consumption (MWh)],MATCH(Emission8[[#This Row],[Facility ID]],Operational[Facility ID],0))</f>
        <v>6075.23</v>
      </c>
      <c r="I1064">
        <f>INDEX(Operational[Waste (tons)],MATCH(Emission8[[#This Row],[Facility ID]],Operational[Facility ID],0))</f>
        <v>83.97</v>
      </c>
    </row>
    <row r="1065" spans="1:9" x14ac:dyDescent="0.3">
      <c r="A1065" t="s">
        <v>52</v>
      </c>
      <c r="B1065" t="s">
        <v>19</v>
      </c>
      <c r="C1065" t="s">
        <v>13</v>
      </c>
      <c r="D1065" t="s">
        <v>14</v>
      </c>
      <c r="E1065" t="s">
        <v>24</v>
      </c>
      <c r="F1065">
        <v>804.58</v>
      </c>
      <c r="G1065">
        <f>INDEX(Operational[Production Volume (units)],MATCH(Emission8[[#This Row],[Facility ID]],Operational[Facility ID],0))</f>
        <v>94949</v>
      </c>
      <c r="H1065">
        <f>INDEX(Operational[Energy Consumption (MWh)],MATCH(Emission8[[#This Row],[Facility ID]],Operational[Facility ID],0))</f>
        <v>9714.76</v>
      </c>
      <c r="I1065">
        <f>INDEX(Operational[Waste (tons)],MATCH(Emission8[[#This Row],[Facility ID]],Operational[Facility ID],0))</f>
        <v>64.900000000000006</v>
      </c>
    </row>
    <row r="1066" spans="1:9" x14ac:dyDescent="0.3">
      <c r="A1066" t="s">
        <v>61</v>
      </c>
      <c r="B1066" t="s">
        <v>30</v>
      </c>
      <c r="C1066" t="s">
        <v>13</v>
      </c>
      <c r="D1066" t="s">
        <v>9</v>
      </c>
      <c r="E1066" t="s">
        <v>10</v>
      </c>
      <c r="F1066">
        <v>5233.95</v>
      </c>
      <c r="G1066">
        <f>INDEX(Operational[Production Volume (units)],MATCH(Emission8[[#This Row],[Facility ID]],Operational[Facility ID],0))</f>
        <v>95718</v>
      </c>
      <c r="H1066">
        <f>INDEX(Operational[Energy Consumption (MWh)],MATCH(Emission8[[#This Row],[Facility ID]],Operational[Facility ID],0))</f>
        <v>2443.12</v>
      </c>
      <c r="I1066">
        <f>INDEX(Operational[Waste (tons)],MATCH(Emission8[[#This Row],[Facility ID]],Operational[Facility ID],0))</f>
        <v>35.49</v>
      </c>
    </row>
    <row r="1067" spans="1:9" x14ac:dyDescent="0.3">
      <c r="A1067" t="s">
        <v>182</v>
      </c>
      <c r="B1067" t="s">
        <v>12</v>
      </c>
      <c r="C1067" t="s">
        <v>23</v>
      </c>
      <c r="D1067" t="s">
        <v>14</v>
      </c>
      <c r="E1067" t="s">
        <v>10</v>
      </c>
      <c r="F1067">
        <v>2997.09</v>
      </c>
      <c r="G1067">
        <f>INDEX(Operational[Production Volume (units)],MATCH(Emission8[[#This Row],[Facility ID]],Operational[Facility ID],0))</f>
        <v>21081</v>
      </c>
      <c r="H1067">
        <f>INDEX(Operational[Energy Consumption (MWh)],MATCH(Emission8[[#This Row],[Facility ID]],Operational[Facility ID],0))</f>
        <v>9001.77</v>
      </c>
      <c r="I1067">
        <f>INDEX(Operational[Waste (tons)],MATCH(Emission8[[#This Row],[Facility ID]],Operational[Facility ID],0))</f>
        <v>49.27</v>
      </c>
    </row>
    <row r="1068" spans="1:9" x14ac:dyDescent="0.3">
      <c r="A1068" t="s">
        <v>161</v>
      </c>
      <c r="B1068" t="s">
        <v>7</v>
      </c>
      <c r="C1068" t="s">
        <v>8</v>
      </c>
      <c r="D1068" t="s">
        <v>9</v>
      </c>
      <c r="E1068" t="s">
        <v>10</v>
      </c>
      <c r="F1068">
        <v>964.92</v>
      </c>
      <c r="G1068">
        <f>INDEX(Operational[Production Volume (units)],MATCH(Emission8[[#This Row],[Facility ID]],Operational[Facility ID],0))</f>
        <v>15788</v>
      </c>
      <c r="H1068">
        <f>INDEX(Operational[Energy Consumption (MWh)],MATCH(Emission8[[#This Row],[Facility ID]],Operational[Facility ID],0))</f>
        <v>1824.14</v>
      </c>
      <c r="I1068">
        <f>INDEX(Operational[Waste (tons)],MATCH(Emission8[[#This Row],[Facility ID]],Operational[Facility ID],0))</f>
        <v>52.78</v>
      </c>
    </row>
    <row r="1069" spans="1:9" x14ac:dyDescent="0.3">
      <c r="A1069" t="s">
        <v>180</v>
      </c>
      <c r="B1069" t="s">
        <v>30</v>
      </c>
      <c r="C1069" t="s">
        <v>8</v>
      </c>
      <c r="D1069" t="s">
        <v>9</v>
      </c>
      <c r="E1069" t="s">
        <v>24</v>
      </c>
      <c r="F1069">
        <v>3145.31</v>
      </c>
      <c r="G1069">
        <f>INDEX(Operational[Production Volume (units)],MATCH(Emission8[[#This Row],[Facility ID]],Operational[Facility ID],0))</f>
        <v>72846</v>
      </c>
      <c r="H1069">
        <f>INDEX(Operational[Energy Consumption (MWh)],MATCH(Emission8[[#This Row],[Facility ID]],Operational[Facility ID],0))</f>
        <v>5169.53</v>
      </c>
      <c r="I1069">
        <f>INDEX(Operational[Waste (tons)],MATCH(Emission8[[#This Row],[Facility ID]],Operational[Facility ID],0))</f>
        <v>76.709999999999994</v>
      </c>
    </row>
    <row r="1070" spans="1:9" x14ac:dyDescent="0.3">
      <c r="A1070" t="s">
        <v>38</v>
      </c>
      <c r="B1070" t="s">
        <v>30</v>
      </c>
      <c r="C1070" t="s">
        <v>13</v>
      </c>
      <c r="D1070" t="s">
        <v>28</v>
      </c>
      <c r="E1070" t="s">
        <v>15</v>
      </c>
      <c r="F1070">
        <v>2135.2800000000002</v>
      </c>
      <c r="G1070">
        <f>INDEX(Operational[Production Volume (units)],MATCH(Emission8[[#This Row],[Facility ID]],Operational[Facility ID],0))</f>
        <v>57215</v>
      </c>
      <c r="H1070">
        <f>INDEX(Operational[Energy Consumption (MWh)],MATCH(Emission8[[#This Row],[Facility ID]],Operational[Facility ID],0))</f>
        <v>3227.1</v>
      </c>
      <c r="I1070">
        <f>INDEX(Operational[Waste (tons)],MATCH(Emission8[[#This Row],[Facility ID]],Operational[Facility ID],0))</f>
        <v>32.909999999999997</v>
      </c>
    </row>
    <row r="1071" spans="1:9" x14ac:dyDescent="0.3">
      <c r="A1071" t="s">
        <v>128</v>
      </c>
      <c r="B1071" t="s">
        <v>12</v>
      </c>
      <c r="C1071" t="s">
        <v>34</v>
      </c>
      <c r="D1071" t="s">
        <v>9</v>
      </c>
      <c r="E1071" t="s">
        <v>24</v>
      </c>
      <c r="F1071">
        <v>4359.51</v>
      </c>
      <c r="G1071">
        <f>INDEX(Operational[Production Volume (units)],MATCH(Emission8[[#This Row],[Facility ID]],Operational[Facility ID],0))</f>
        <v>29406</v>
      </c>
      <c r="H1071">
        <f>INDEX(Operational[Energy Consumption (MWh)],MATCH(Emission8[[#This Row],[Facility ID]],Operational[Facility ID],0))</f>
        <v>5281.69</v>
      </c>
      <c r="I1071">
        <f>INDEX(Operational[Waste (tons)],MATCH(Emission8[[#This Row],[Facility ID]],Operational[Facility ID],0))</f>
        <v>27.01</v>
      </c>
    </row>
    <row r="1072" spans="1:9" x14ac:dyDescent="0.3">
      <c r="A1072" t="s">
        <v>99</v>
      </c>
      <c r="B1072" t="s">
        <v>19</v>
      </c>
      <c r="C1072" t="s">
        <v>23</v>
      </c>
      <c r="D1072" t="s">
        <v>14</v>
      </c>
      <c r="E1072" t="s">
        <v>15</v>
      </c>
      <c r="F1072">
        <v>4094.25</v>
      </c>
      <c r="G1072">
        <f>INDEX(Operational[Production Volume (units)],MATCH(Emission8[[#This Row],[Facility ID]],Operational[Facility ID],0))</f>
        <v>77400</v>
      </c>
      <c r="H1072">
        <f>INDEX(Operational[Energy Consumption (MWh)],MATCH(Emission8[[#This Row],[Facility ID]],Operational[Facility ID],0))</f>
        <v>7504.8</v>
      </c>
      <c r="I1072">
        <f>INDEX(Operational[Waste (tons)],MATCH(Emission8[[#This Row],[Facility ID]],Operational[Facility ID],0))</f>
        <v>68.819999999999993</v>
      </c>
    </row>
    <row r="1073" spans="1:9" x14ac:dyDescent="0.3">
      <c r="A1073" t="s">
        <v>183</v>
      </c>
      <c r="B1073" t="s">
        <v>7</v>
      </c>
      <c r="C1073" t="s">
        <v>34</v>
      </c>
      <c r="D1073" t="s">
        <v>9</v>
      </c>
      <c r="E1073" t="s">
        <v>15</v>
      </c>
      <c r="F1073">
        <v>1200.6199999999999</v>
      </c>
      <c r="G1073">
        <f>INDEX(Operational[Production Volume (units)],MATCH(Emission8[[#This Row],[Facility ID]],Operational[Facility ID],0))</f>
        <v>14009</v>
      </c>
      <c r="H1073">
        <f>INDEX(Operational[Energy Consumption (MWh)],MATCH(Emission8[[#This Row],[Facility ID]],Operational[Facility ID],0))</f>
        <v>7528.98</v>
      </c>
      <c r="I1073">
        <f>INDEX(Operational[Waste (tons)],MATCH(Emission8[[#This Row],[Facility ID]],Operational[Facility ID],0))</f>
        <v>77.62</v>
      </c>
    </row>
    <row r="1074" spans="1:9" x14ac:dyDescent="0.3">
      <c r="A1074" t="s">
        <v>205</v>
      </c>
      <c r="B1074" t="s">
        <v>17</v>
      </c>
      <c r="C1074" t="s">
        <v>23</v>
      </c>
      <c r="D1074" t="s">
        <v>9</v>
      </c>
      <c r="E1074" t="s">
        <v>24</v>
      </c>
      <c r="F1074">
        <v>2599.94</v>
      </c>
      <c r="G1074">
        <f>INDEX(Operational[Production Volume (units)],MATCH(Emission8[[#This Row],[Facility ID]],Operational[Facility ID],0))</f>
        <v>52594</v>
      </c>
      <c r="H1074">
        <f>INDEX(Operational[Energy Consumption (MWh)],MATCH(Emission8[[#This Row],[Facility ID]],Operational[Facility ID],0))</f>
        <v>8715.0400000000009</v>
      </c>
      <c r="I1074">
        <f>INDEX(Operational[Waste (tons)],MATCH(Emission8[[#This Row],[Facility ID]],Operational[Facility ID],0))</f>
        <v>90.54</v>
      </c>
    </row>
    <row r="1075" spans="1:9" x14ac:dyDescent="0.3">
      <c r="A1075" t="s">
        <v>199</v>
      </c>
      <c r="B1075" t="s">
        <v>17</v>
      </c>
      <c r="C1075" t="s">
        <v>34</v>
      </c>
      <c r="D1075" t="s">
        <v>14</v>
      </c>
      <c r="E1075" t="s">
        <v>10</v>
      </c>
      <c r="F1075">
        <v>3672.52</v>
      </c>
      <c r="G1075">
        <f>INDEX(Operational[Production Volume (units)],MATCH(Emission8[[#This Row],[Facility ID]],Operational[Facility ID],0))</f>
        <v>77317</v>
      </c>
      <c r="H1075">
        <f>INDEX(Operational[Energy Consumption (MWh)],MATCH(Emission8[[#This Row],[Facility ID]],Operational[Facility ID],0))</f>
        <v>4862.95</v>
      </c>
      <c r="I1075">
        <f>INDEX(Operational[Waste (tons)],MATCH(Emission8[[#This Row],[Facility ID]],Operational[Facility ID],0))</f>
        <v>89.78</v>
      </c>
    </row>
    <row r="1076" spans="1:9" x14ac:dyDescent="0.3">
      <c r="A1076" t="s">
        <v>196</v>
      </c>
      <c r="B1076" t="s">
        <v>30</v>
      </c>
      <c r="C1076" t="s">
        <v>23</v>
      </c>
      <c r="D1076" t="s">
        <v>28</v>
      </c>
      <c r="E1076" t="s">
        <v>24</v>
      </c>
      <c r="F1076">
        <v>787.76</v>
      </c>
      <c r="G1076">
        <f>INDEX(Operational[Production Volume (units)],MATCH(Emission8[[#This Row],[Facility ID]],Operational[Facility ID],0))</f>
        <v>12262</v>
      </c>
      <c r="H1076">
        <f>INDEX(Operational[Energy Consumption (MWh)],MATCH(Emission8[[#This Row],[Facility ID]],Operational[Facility ID],0))</f>
        <v>7106.18</v>
      </c>
      <c r="I1076">
        <f>INDEX(Operational[Waste (tons)],MATCH(Emission8[[#This Row],[Facility ID]],Operational[Facility ID],0))</f>
        <v>45.69</v>
      </c>
    </row>
    <row r="1077" spans="1:9" x14ac:dyDescent="0.3">
      <c r="A1077" t="s">
        <v>154</v>
      </c>
      <c r="B1077" t="s">
        <v>12</v>
      </c>
      <c r="C1077" t="s">
        <v>8</v>
      </c>
      <c r="D1077" t="s">
        <v>14</v>
      </c>
      <c r="E1077" t="s">
        <v>10</v>
      </c>
      <c r="F1077">
        <v>4418.3</v>
      </c>
      <c r="G1077">
        <f>INDEX(Operational[Production Volume (units)],MATCH(Emission8[[#This Row],[Facility ID]],Operational[Facility ID],0))</f>
        <v>87012</v>
      </c>
      <c r="H1077">
        <f>INDEX(Operational[Energy Consumption (MWh)],MATCH(Emission8[[#This Row],[Facility ID]],Operational[Facility ID],0))</f>
        <v>7478.13</v>
      </c>
      <c r="I1077">
        <f>INDEX(Operational[Waste (tons)],MATCH(Emission8[[#This Row],[Facility ID]],Operational[Facility ID],0))</f>
        <v>27.22</v>
      </c>
    </row>
    <row r="1078" spans="1:9" x14ac:dyDescent="0.3">
      <c r="A1078" t="s">
        <v>145</v>
      </c>
      <c r="B1078" t="s">
        <v>7</v>
      </c>
      <c r="C1078" t="s">
        <v>23</v>
      </c>
      <c r="D1078" t="s">
        <v>28</v>
      </c>
      <c r="E1078" t="s">
        <v>24</v>
      </c>
      <c r="F1078">
        <v>1918.45</v>
      </c>
      <c r="G1078">
        <f>INDEX(Operational[Production Volume (units)],MATCH(Emission8[[#This Row],[Facility ID]],Operational[Facility ID],0))</f>
        <v>60710</v>
      </c>
      <c r="H1078">
        <f>INDEX(Operational[Energy Consumption (MWh)],MATCH(Emission8[[#This Row],[Facility ID]],Operational[Facility ID],0))</f>
        <v>2726.26</v>
      </c>
      <c r="I1078">
        <f>INDEX(Operational[Waste (tons)],MATCH(Emission8[[#This Row],[Facility ID]],Operational[Facility ID],0))</f>
        <v>83.02</v>
      </c>
    </row>
    <row r="1079" spans="1:9" x14ac:dyDescent="0.3">
      <c r="A1079" t="s">
        <v>208</v>
      </c>
      <c r="B1079" t="s">
        <v>19</v>
      </c>
      <c r="C1079" t="s">
        <v>23</v>
      </c>
      <c r="D1079" t="s">
        <v>28</v>
      </c>
      <c r="E1079" t="s">
        <v>10</v>
      </c>
      <c r="F1079">
        <v>4411.78</v>
      </c>
      <c r="G1079">
        <f>INDEX(Operational[Production Volume (units)],MATCH(Emission8[[#This Row],[Facility ID]],Operational[Facility ID],0))</f>
        <v>40553</v>
      </c>
      <c r="H1079">
        <f>INDEX(Operational[Energy Consumption (MWh)],MATCH(Emission8[[#This Row],[Facility ID]],Operational[Facility ID],0))</f>
        <v>4875.2299999999996</v>
      </c>
      <c r="I1079">
        <f>INDEX(Operational[Waste (tons)],MATCH(Emission8[[#This Row],[Facility ID]],Operational[Facility ID],0))</f>
        <v>23.33</v>
      </c>
    </row>
    <row r="1080" spans="1:9" x14ac:dyDescent="0.3">
      <c r="A1080" t="s">
        <v>177</v>
      </c>
      <c r="B1080" t="s">
        <v>7</v>
      </c>
      <c r="C1080" t="s">
        <v>23</v>
      </c>
      <c r="D1080" t="s">
        <v>9</v>
      </c>
      <c r="E1080" t="s">
        <v>10</v>
      </c>
      <c r="F1080">
        <v>755.84</v>
      </c>
      <c r="G1080">
        <f>INDEX(Operational[Production Volume (units)],MATCH(Emission8[[#This Row],[Facility ID]],Operational[Facility ID],0))</f>
        <v>17097</v>
      </c>
      <c r="H1080">
        <f>INDEX(Operational[Energy Consumption (MWh)],MATCH(Emission8[[#This Row],[Facility ID]],Operational[Facility ID],0))</f>
        <v>9061.7800000000007</v>
      </c>
      <c r="I1080">
        <f>INDEX(Operational[Waste (tons)],MATCH(Emission8[[#This Row],[Facility ID]],Operational[Facility ID],0))</f>
        <v>95.92</v>
      </c>
    </row>
    <row r="1081" spans="1:9" x14ac:dyDescent="0.3">
      <c r="A1081" t="s">
        <v>166</v>
      </c>
      <c r="B1081" t="s">
        <v>7</v>
      </c>
      <c r="C1081" t="s">
        <v>13</v>
      </c>
      <c r="D1081" t="s">
        <v>9</v>
      </c>
      <c r="E1081" t="s">
        <v>10</v>
      </c>
      <c r="F1081">
        <v>868.51</v>
      </c>
      <c r="G1081">
        <f>INDEX(Operational[Production Volume (units)],MATCH(Emission8[[#This Row],[Facility ID]],Operational[Facility ID],0))</f>
        <v>34318</v>
      </c>
      <c r="H1081">
        <f>INDEX(Operational[Energy Consumption (MWh)],MATCH(Emission8[[#This Row],[Facility ID]],Operational[Facility ID],0))</f>
        <v>675.67</v>
      </c>
      <c r="I1081">
        <f>INDEX(Operational[Waste (tons)],MATCH(Emission8[[#This Row],[Facility ID]],Operational[Facility ID],0))</f>
        <v>41.05</v>
      </c>
    </row>
    <row r="1082" spans="1:9" x14ac:dyDescent="0.3">
      <c r="A1082" t="s">
        <v>26</v>
      </c>
      <c r="B1082" t="s">
        <v>17</v>
      </c>
      <c r="C1082" t="s">
        <v>34</v>
      </c>
      <c r="D1082" t="s">
        <v>14</v>
      </c>
      <c r="E1082" t="s">
        <v>10</v>
      </c>
      <c r="F1082">
        <v>3296.99</v>
      </c>
      <c r="G1082">
        <f>INDEX(Operational[Production Volume (units)],MATCH(Emission8[[#This Row],[Facility ID]],Operational[Facility ID],0))</f>
        <v>17311</v>
      </c>
      <c r="H1082">
        <f>INDEX(Operational[Energy Consumption (MWh)],MATCH(Emission8[[#This Row],[Facility ID]],Operational[Facility ID],0))</f>
        <v>2257.38</v>
      </c>
      <c r="I1082">
        <f>INDEX(Operational[Waste (tons)],MATCH(Emission8[[#This Row],[Facility ID]],Operational[Facility ID],0))</f>
        <v>91.07</v>
      </c>
    </row>
    <row r="1083" spans="1:9" x14ac:dyDescent="0.3">
      <c r="A1083" t="s">
        <v>101</v>
      </c>
      <c r="B1083" t="s">
        <v>19</v>
      </c>
      <c r="C1083" t="s">
        <v>34</v>
      </c>
      <c r="D1083" t="s">
        <v>28</v>
      </c>
      <c r="E1083" t="s">
        <v>24</v>
      </c>
      <c r="F1083">
        <v>4240.42</v>
      </c>
      <c r="G1083">
        <f>INDEX(Operational[Production Volume (units)],MATCH(Emission8[[#This Row],[Facility ID]],Operational[Facility ID],0))</f>
        <v>39050</v>
      </c>
      <c r="H1083">
        <f>INDEX(Operational[Energy Consumption (MWh)],MATCH(Emission8[[#This Row],[Facility ID]],Operational[Facility ID],0))</f>
        <v>5885.73</v>
      </c>
      <c r="I1083">
        <f>INDEX(Operational[Waste (tons)],MATCH(Emission8[[#This Row],[Facility ID]],Operational[Facility ID],0))</f>
        <v>93.04</v>
      </c>
    </row>
    <row r="1084" spans="1:9" x14ac:dyDescent="0.3">
      <c r="A1084" t="s">
        <v>194</v>
      </c>
      <c r="B1084" t="s">
        <v>17</v>
      </c>
      <c r="C1084" t="s">
        <v>13</v>
      </c>
      <c r="D1084" t="s">
        <v>9</v>
      </c>
      <c r="E1084" t="s">
        <v>10</v>
      </c>
      <c r="F1084">
        <v>1409.82</v>
      </c>
      <c r="G1084">
        <f>INDEX(Operational[Production Volume (units)],MATCH(Emission8[[#This Row],[Facility ID]],Operational[Facility ID],0))</f>
        <v>95165</v>
      </c>
      <c r="H1084">
        <f>INDEX(Operational[Energy Consumption (MWh)],MATCH(Emission8[[#This Row],[Facility ID]],Operational[Facility ID],0))</f>
        <v>8562.76</v>
      </c>
      <c r="I1084">
        <f>INDEX(Operational[Waste (tons)],MATCH(Emission8[[#This Row],[Facility ID]],Operational[Facility ID],0))</f>
        <v>37.54</v>
      </c>
    </row>
    <row r="1085" spans="1:9" x14ac:dyDescent="0.3">
      <c r="A1085" t="s">
        <v>122</v>
      </c>
      <c r="B1085" t="s">
        <v>19</v>
      </c>
      <c r="C1085" t="s">
        <v>34</v>
      </c>
      <c r="D1085" t="s">
        <v>14</v>
      </c>
      <c r="E1085" t="s">
        <v>10</v>
      </c>
      <c r="F1085">
        <v>3970.76</v>
      </c>
      <c r="G1085">
        <f>INDEX(Operational[Production Volume (units)],MATCH(Emission8[[#This Row],[Facility ID]],Operational[Facility ID],0))</f>
        <v>95962</v>
      </c>
      <c r="H1085">
        <f>INDEX(Operational[Energy Consumption (MWh)],MATCH(Emission8[[#This Row],[Facility ID]],Operational[Facility ID],0))</f>
        <v>524.72</v>
      </c>
      <c r="I1085">
        <f>INDEX(Operational[Waste (tons)],MATCH(Emission8[[#This Row],[Facility ID]],Operational[Facility ID],0))</f>
        <v>49.55</v>
      </c>
    </row>
    <row r="1086" spans="1:9" x14ac:dyDescent="0.3">
      <c r="A1086" t="s">
        <v>102</v>
      </c>
      <c r="B1086" t="s">
        <v>19</v>
      </c>
      <c r="C1086" t="s">
        <v>8</v>
      </c>
      <c r="D1086" t="s">
        <v>28</v>
      </c>
      <c r="E1086" t="s">
        <v>15</v>
      </c>
      <c r="F1086">
        <v>549.77</v>
      </c>
      <c r="G1086">
        <f>INDEX(Operational[Production Volume (units)],MATCH(Emission8[[#This Row],[Facility ID]],Operational[Facility ID],0))</f>
        <v>86263</v>
      </c>
      <c r="H1086">
        <f>INDEX(Operational[Energy Consumption (MWh)],MATCH(Emission8[[#This Row],[Facility ID]],Operational[Facility ID],0))</f>
        <v>3213.71</v>
      </c>
      <c r="I1086">
        <f>INDEX(Operational[Waste (tons)],MATCH(Emission8[[#This Row],[Facility ID]],Operational[Facility ID],0))</f>
        <v>98.39</v>
      </c>
    </row>
    <row r="1087" spans="1:9" x14ac:dyDescent="0.3">
      <c r="A1087" t="s">
        <v>69</v>
      </c>
      <c r="B1087" t="s">
        <v>7</v>
      </c>
      <c r="C1087" t="s">
        <v>13</v>
      </c>
      <c r="D1087" t="s">
        <v>14</v>
      </c>
      <c r="E1087" t="s">
        <v>10</v>
      </c>
      <c r="F1087">
        <v>104.29</v>
      </c>
      <c r="G1087">
        <f>INDEX(Operational[Production Volume (units)],MATCH(Emission8[[#This Row],[Facility ID]],Operational[Facility ID],0))</f>
        <v>34725</v>
      </c>
      <c r="H1087">
        <f>INDEX(Operational[Energy Consumption (MWh)],MATCH(Emission8[[#This Row],[Facility ID]],Operational[Facility ID],0))</f>
        <v>3269.89</v>
      </c>
      <c r="I1087">
        <f>INDEX(Operational[Waste (tons)],MATCH(Emission8[[#This Row],[Facility ID]],Operational[Facility ID],0))</f>
        <v>78.86</v>
      </c>
    </row>
    <row r="1088" spans="1:9" x14ac:dyDescent="0.3">
      <c r="A1088" t="s">
        <v>212</v>
      </c>
      <c r="B1088" t="s">
        <v>7</v>
      </c>
      <c r="C1088" t="s">
        <v>13</v>
      </c>
      <c r="D1088" t="s">
        <v>14</v>
      </c>
      <c r="E1088" t="s">
        <v>10</v>
      </c>
      <c r="F1088">
        <v>1468.86</v>
      </c>
      <c r="G1088">
        <f>INDEX(Operational[Production Volume (units)],MATCH(Emission8[[#This Row],[Facility ID]],Operational[Facility ID],0))</f>
        <v>67820</v>
      </c>
      <c r="H1088">
        <f>INDEX(Operational[Energy Consumption (MWh)],MATCH(Emission8[[#This Row],[Facility ID]],Operational[Facility ID],0))</f>
        <v>8177.95</v>
      </c>
      <c r="I1088">
        <f>INDEX(Operational[Waste (tons)],MATCH(Emission8[[#This Row],[Facility ID]],Operational[Facility ID],0))</f>
        <v>40.69</v>
      </c>
    </row>
    <row r="1089" spans="1:9" x14ac:dyDescent="0.3">
      <c r="A1089" t="s">
        <v>163</v>
      </c>
      <c r="B1089" t="s">
        <v>19</v>
      </c>
      <c r="C1089" t="s">
        <v>13</v>
      </c>
      <c r="D1089" t="s">
        <v>14</v>
      </c>
      <c r="E1089" t="s">
        <v>15</v>
      </c>
      <c r="F1089">
        <v>2876.13</v>
      </c>
      <c r="G1089">
        <f>INDEX(Operational[Production Volume (units)],MATCH(Emission8[[#This Row],[Facility ID]],Operational[Facility ID],0))</f>
        <v>87482</v>
      </c>
      <c r="H1089">
        <f>INDEX(Operational[Energy Consumption (MWh)],MATCH(Emission8[[#This Row],[Facility ID]],Operational[Facility ID],0))</f>
        <v>2231.7399999999998</v>
      </c>
      <c r="I1089">
        <f>INDEX(Operational[Waste (tons)],MATCH(Emission8[[#This Row],[Facility ID]],Operational[Facility ID],0))</f>
        <v>45.43</v>
      </c>
    </row>
    <row r="1090" spans="1:9" x14ac:dyDescent="0.3">
      <c r="A1090" t="s">
        <v>154</v>
      </c>
      <c r="B1090" t="s">
        <v>12</v>
      </c>
      <c r="C1090" t="s">
        <v>13</v>
      </c>
      <c r="D1090" t="s">
        <v>28</v>
      </c>
      <c r="E1090" t="s">
        <v>24</v>
      </c>
      <c r="F1090">
        <v>1825.34</v>
      </c>
      <c r="G1090">
        <f>INDEX(Operational[Production Volume (units)],MATCH(Emission8[[#This Row],[Facility ID]],Operational[Facility ID],0))</f>
        <v>87012</v>
      </c>
      <c r="H1090">
        <f>INDEX(Operational[Energy Consumption (MWh)],MATCH(Emission8[[#This Row],[Facility ID]],Operational[Facility ID],0))</f>
        <v>7478.13</v>
      </c>
      <c r="I1090">
        <f>INDEX(Operational[Waste (tons)],MATCH(Emission8[[#This Row],[Facility ID]],Operational[Facility ID],0))</f>
        <v>27.22</v>
      </c>
    </row>
    <row r="1091" spans="1:9" x14ac:dyDescent="0.3">
      <c r="A1091" t="s">
        <v>124</v>
      </c>
      <c r="B1091" t="s">
        <v>12</v>
      </c>
      <c r="C1091" t="s">
        <v>23</v>
      </c>
      <c r="D1091" t="s">
        <v>14</v>
      </c>
      <c r="E1091" t="s">
        <v>15</v>
      </c>
      <c r="F1091">
        <v>3246.39</v>
      </c>
      <c r="G1091">
        <f>INDEX(Operational[Production Volume (units)],MATCH(Emission8[[#This Row],[Facility ID]],Operational[Facility ID],0))</f>
        <v>47491</v>
      </c>
      <c r="H1091">
        <f>INDEX(Operational[Energy Consumption (MWh)],MATCH(Emission8[[#This Row],[Facility ID]],Operational[Facility ID],0))</f>
        <v>5781.05</v>
      </c>
      <c r="I1091">
        <f>INDEX(Operational[Waste (tons)],MATCH(Emission8[[#This Row],[Facility ID]],Operational[Facility ID],0))</f>
        <v>92.18</v>
      </c>
    </row>
    <row r="1092" spans="1:9" x14ac:dyDescent="0.3">
      <c r="A1092" t="s">
        <v>42</v>
      </c>
      <c r="B1092" t="s">
        <v>30</v>
      </c>
      <c r="C1092" t="s">
        <v>8</v>
      </c>
      <c r="D1092" t="s">
        <v>28</v>
      </c>
      <c r="E1092" t="s">
        <v>10</v>
      </c>
      <c r="F1092">
        <v>1846.98</v>
      </c>
      <c r="G1092">
        <f>INDEX(Operational[Production Volume (units)],MATCH(Emission8[[#This Row],[Facility ID]],Operational[Facility ID],0))</f>
        <v>41539</v>
      </c>
      <c r="H1092">
        <f>INDEX(Operational[Energy Consumption (MWh)],MATCH(Emission8[[#This Row],[Facility ID]],Operational[Facility ID],0))</f>
        <v>982.8</v>
      </c>
      <c r="I1092">
        <f>INDEX(Operational[Waste (tons)],MATCH(Emission8[[#This Row],[Facility ID]],Operational[Facility ID],0))</f>
        <v>79.7</v>
      </c>
    </row>
    <row r="1093" spans="1:9" x14ac:dyDescent="0.3">
      <c r="A1093" t="s">
        <v>134</v>
      </c>
      <c r="B1093" t="s">
        <v>7</v>
      </c>
      <c r="C1093" t="s">
        <v>23</v>
      </c>
      <c r="D1093" t="s">
        <v>14</v>
      </c>
      <c r="E1093" t="s">
        <v>24</v>
      </c>
      <c r="F1093">
        <v>4193.53</v>
      </c>
      <c r="G1093">
        <f>INDEX(Operational[Production Volume (units)],MATCH(Emission8[[#This Row],[Facility ID]],Operational[Facility ID],0))</f>
        <v>39568</v>
      </c>
      <c r="H1093">
        <f>INDEX(Operational[Energy Consumption (MWh)],MATCH(Emission8[[#This Row],[Facility ID]],Operational[Facility ID],0))</f>
        <v>3580.54</v>
      </c>
      <c r="I1093">
        <f>INDEX(Operational[Waste (tons)],MATCH(Emission8[[#This Row],[Facility ID]],Operational[Facility ID],0))</f>
        <v>78.08</v>
      </c>
    </row>
    <row r="1094" spans="1:9" x14ac:dyDescent="0.3">
      <c r="A1094" t="s">
        <v>135</v>
      </c>
      <c r="B1094" t="s">
        <v>12</v>
      </c>
      <c r="C1094" t="s">
        <v>34</v>
      </c>
      <c r="D1094" t="s">
        <v>28</v>
      </c>
      <c r="E1094" t="s">
        <v>10</v>
      </c>
      <c r="F1094">
        <v>1402.57</v>
      </c>
      <c r="G1094">
        <f>INDEX(Operational[Production Volume (units)],MATCH(Emission8[[#This Row],[Facility ID]],Operational[Facility ID],0))</f>
        <v>39560</v>
      </c>
      <c r="H1094">
        <f>INDEX(Operational[Energy Consumption (MWh)],MATCH(Emission8[[#This Row],[Facility ID]],Operational[Facility ID],0))</f>
        <v>8380.77</v>
      </c>
      <c r="I1094">
        <f>INDEX(Operational[Waste (tons)],MATCH(Emission8[[#This Row],[Facility ID]],Operational[Facility ID],0))</f>
        <v>94.01</v>
      </c>
    </row>
    <row r="1095" spans="1:9" x14ac:dyDescent="0.3">
      <c r="A1095" t="s">
        <v>80</v>
      </c>
      <c r="B1095" t="s">
        <v>17</v>
      </c>
      <c r="C1095" t="s">
        <v>8</v>
      </c>
      <c r="D1095" t="s">
        <v>9</v>
      </c>
      <c r="E1095" t="s">
        <v>10</v>
      </c>
      <c r="F1095">
        <v>2860.15</v>
      </c>
      <c r="G1095">
        <f>INDEX(Operational[Production Volume (units)],MATCH(Emission8[[#This Row],[Facility ID]],Operational[Facility ID],0))</f>
        <v>75508</v>
      </c>
      <c r="H1095">
        <f>INDEX(Operational[Energy Consumption (MWh)],MATCH(Emission8[[#This Row],[Facility ID]],Operational[Facility ID],0))</f>
        <v>6856.22</v>
      </c>
      <c r="I1095">
        <f>INDEX(Operational[Waste (tons)],MATCH(Emission8[[#This Row],[Facility ID]],Operational[Facility ID],0))</f>
        <v>18.2</v>
      </c>
    </row>
    <row r="1096" spans="1:9" x14ac:dyDescent="0.3">
      <c r="A1096" t="s">
        <v>62</v>
      </c>
      <c r="B1096" t="s">
        <v>30</v>
      </c>
      <c r="C1096" t="s">
        <v>13</v>
      </c>
      <c r="D1096" t="s">
        <v>28</v>
      </c>
      <c r="E1096" t="s">
        <v>15</v>
      </c>
      <c r="F1096">
        <v>1019.13</v>
      </c>
      <c r="G1096">
        <f>INDEX(Operational[Production Volume (units)],MATCH(Emission8[[#This Row],[Facility ID]],Operational[Facility ID],0))</f>
        <v>22309</v>
      </c>
      <c r="H1096">
        <f>INDEX(Operational[Energy Consumption (MWh)],MATCH(Emission8[[#This Row],[Facility ID]],Operational[Facility ID],0))</f>
        <v>3656.29</v>
      </c>
      <c r="I1096">
        <f>INDEX(Operational[Waste (tons)],MATCH(Emission8[[#This Row],[Facility ID]],Operational[Facility ID],0))</f>
        <v>75.25</v>
      </c>
    </row>
    <row r="1097" spans="1:9" x14ac:dyDescent="0.3">
      <c r="A1097" t="s">
        <v>188</v>
      </c>
      <c r="B1097" t="s">
        <v>19</v>
      </c>
      <c r="C1097" t="s">
        <v>8</v>
      </c>
      <c r="D1097" t="s">
        <v>28</v>
      </c>
      <c r="E1097" t="s">
        <v>15</v>
      </c>
      <c r="F1097">
        <v>3886.16</v>
      </c>
      <c r="G1097">
        <f>INDEX(Operational[Production Volume (units)],MATCH(Emission8[[#This Row],[Facility ID]],Operational[Facility ID],0))</f>
        <v>60513</v>
      </c>
      <c r="H1097">
        <f>INDEX(Operational[Energy Consumption (MWh)],MATCH(Emission8[[#This Row],[Facility ID]],Operational[Facility ID],0))</f>
        <v>4578.16</v>
      </c>
      <c r="I1097">
        <f>INDEX(Operational[Waste (tons)],MATCH(Emission8[[#This Row],[Facility ID]],Operational[Facility ID],0))</f>
        <v>65.53</v>
      </c>
    </row>
    <row r="1098" spans="1:9" x14ac:dyDescent="0.3">
      <c r="A1098" t="s">
        <v>125</v>
      </c>
      <c r="B1098" t="s">
        <v>7</v>
      </c>
      <c r="C1098" t="s">
        <v>34</v>
      </c>
      <c r="D1098" t="s">
        <v>9</v>
      </c>
      <c r="E1098" t="s">
        <v>15</v>
      </c>
      <c r="F1098">
        <v>2913.93</v>
      </c>
      <c r="G1098">
        <f>INDEX(Operational[Production Volume (units)],MATCH(Emission8[[#This Row],[Facility ID]],Operational[Facility ID],0))</f>
        <v>56392</v>
      </c>
      <c r="H1098">
        <f>INDEX(Operational[Energy Consumption (MWh)],MATCH(Emission8[[#This Row],[Facility ID]],Operational[Facility ID],0))</f>
        <v>5703.76</v>
      </c>
      <c r="I1098">
        <f>INDEX(Operational[Waste (tons)],MATCH(Emission8[[#This Row],[Facility ID]],Operational[Facility ID],0))</f>
        <v>23.04</v>
      </c>
    </row>
    <row r="1099" spans="1:9" x14ac:dyDescent="0.3">
      <c r="A1099" t="s">
        <v>35</v>
      </c>
      <c r="B1099" t="s">
        <v>19</v>
      </c>
      <c r="C1099" t="s">
        <v>8</v>
      </c>
      <c r="D1099" t="s">
        <v>14</v>
      </c>
      <c r="E1099" t="s">
        <v>10</v>
      </c>
      <c r="F1099">
        <v>4929.24</v>
      </c>
      <c r="G1099">
        <f>INDEX(Operational[Production Volume (units)],MATCH(Emission8[[#This Row],[Facility ID]],Operational[Facility ID],0))</f>
        <v>42382</v>
      </c>
      <c r="H1099">
        <f>INDEX(Operational[Energy Consumption (MWh)],MATCH(Emission8[[#This Row],[Facility ID]],Operational[Facility ID],0))</f>
        <v>5116.6899999999996</v>
      </c>
      <c r="I1099">
        <f>INDEX(Operational[Waste (tons)],MATCH(Emission8[[#This Row],[Facility ID]],Operational[Facility ID],0))</f>
        <v>80.42</v>
      </c>
    </row>
    <row r="1100" spans="1:9" x14ac:dyDescent="0.3">
      <c r="A1100" t="s">
        <v>48</v>
      </c>
      <c r="B1100" t="s">
        <v>19</v>
      </c>
      <c r="C1100" t="s">
        <v>13</v>
      </c>
      <c r="D1100" t="s">
        <v>14</v>
      </c>
      <c r="E1100" t="s">
        <v>10</v>
      </c>
      <c r="F1100">
        <v>197.22</v>
      </c>
      <c r="G1100">
        <f>INDEX(Operational[Production Volume (units)],MATCH(Emission8[[#This Row],[Facility ID]],Operational[Facility ID],0))</f>
        <v>11952</v>
      </c>
      <c r="H1100">
        <f>INDEX(Operational[Energy Consumption (MWh)],MATCH(Emission8[[#This Row],[Facility ID]],Operational[Facility ID],0))</f>
        <v>4637.74</v>
      </c>
      <c r="I1100">
        <f>INDEX(Operational[Waste (tons)],MATCH(Emission8[[#This Row],[Facility ID]],Operational[Facility ID],0))</f>
        <v>63.78</v>
      </c>
    </row>
    <row r="1101" spans="1:9" x14ac:dyDescent="0.3">
      <c r="A1101" t="s">
        <v>205</v>
      </c>
      <c r="B1101" t="s">
        <v>17</v>
      </c>
      <c r="C1101" t="s">
        <v>34</v>
      </c>
      <c r="D1101" t="s">
        <v>28</v>
      </c>
      <c r="E1101" t="s">
        <v>10</v>
      </c>
      <c r="F1101">
        <v>3407.21</v>
      </c>
      <c r="G1101">
        <f>INDEX(Operational[Production Volume (units)],MATCH(Emission8[[#This Row],[Facility ID]],Operational[Facility ID],0))</f>
        <v>52594</v>
      </c>
      <c r="H1101">
        <f>INDEX(Operational[Energy Consumption (MWh)],MATCH(Emission8[[#This Row],[Facility ID]],Operational[Facility ID],0))</f>
        <v>8715.0400000000009</v>
      </c>
      <c r="I1101">
        <f>INDEX(Operational[Waste (tons)],MATCH(Emission8[[#This Row],[Facility ID]],Operational[Facility ID],0))</f>
        <v>90.54</v>
      </c>
    </row>
    <row r="1102" spans="1:9" x14ac:dyDescent="0.3">
      <c r="A1102" t="s">
        <v>145</v>
      </c>
      <c r="B1102" t="s">
        <v>7</v>
      </c>
      <c r="C1102" t="s">
        <v>13</v>
      </c>
      <c r="D1102" t="s">
        <v>28</v>
      </c>
      <c r="E1102" t="s">
        <v>24</v>
      </c>
      <c r="F1102">
        <v>538.5</v>
      </c>
      <c r="G1102">
        <f>INDEX(Operational[Production Volume (units)],MATCH(Emission8[[#This Row],[Facility ID]],Operational[Facility ID],0))</f>
        <v>60710</v>
      </c>
      <c r="H1102">
        <f>INDEX(Operational[Energy Consumption (MWh)],MATCH(Emission8[[#This Row],[Facility ID]],Operational[Facility ID],0))</f>
        <v>2726.26</v>
      </c>
      <c r="I1102">
        <f>INDEX(Operational[Waste (tons)],MATCH(Emission8[[#This Row],[Facility ID]],Operational[Facility ID],0))</f>
        <v>83.02</v>
      </c>
    </row>
    <row r="1103" spans="1:9" x14ac:dyDescent="0.3">
      <c r="A1103" t="s">
        <v>105</v>
      </c>
      <c r="B1103" t="s">
        <v>30</v>
      </c>
      <c r="C1103" t="s">
        <v>13</v>
      </c>
      <c r="D1103" t="s">
        <v>28</v>
      </c>
      <c r="E1103" t="s">
        <v>10</v>
      </c>
      <c r="F1103">
        <v>4976.37</v>
      </c>
      <c r="G1103">
        <f>INDEX(Operational[Production Volume (units)],MATCH(Emission8[[#This Row],[Facility ID]],Operational[Facility ID],0))</f>
        <v>87337</v>
      </c>
      <c r="H1103">
        <f>INDEX(Operational[Energy Consumption (MWh)],MATCH(Emission8[[#This Row],[Facility ID]],Operational[Facility ID],0))</f>
        <v>3603.06</v>
      </c>
      <c r="I1103">
        <f>INDEX(Operational[Waste (tons)],MATCH(Emission8[[#This Row],[Facility ID]],Operational[Facility ID],0))</f>
        <v>67.13</v>
      </c>
    </row>
    <row r="1104" spans="1:9" x14ac:dyDescent="0.3">
      <c r="A1104" t="s">
        <v>131</v>
      </c>
      <c r="B1104" t="s">
        <v>17</v>
      </c>
      <c r="C1104" t="s">
        <v>8</v>
      </c>
      <c r="D1104" t="s">
        <v>14</v>
      </c>
      <c r="E1104" t="s">
        <v>24</v>
      </c>
      <c r="F1104">
        <v>1334.36</v>
      </c>
      <c r="G1104">
        <f>INDEX(Operational[Production Volume (units)],MATCH(Emission8[[#This Row],[Facility ID]],Operational[Facility ID],0))</f>
        <v>94128</v>
      </c>
      <c r="H1104">
        <f>INDEX(Operational[Energy Consumption (MWh)],MATCH(Emission8[[#This Row],[Facility ID]],Operational[Facility ID],0))</f>
        <v>8117.82</v>
      </c>
      <c r="I1104">
        <f>INDEX(Operational[Waste (tons)],MATCH(Emission8[[#This Row],[Facility ID]],Operational[Facility ID],0))</f>
        <v>73.83</v>
      </c>
    </row>
    <row r="1105" spans="1:9" x14ac:dyDescent="0.3">
      <c r="A1105" t="s">
        <v>172</v>
      </c>
      <c r="B1105" t="s">
        <v>7</v>
      </c>
      <c r="C1105" t="s">
        <v>23</v>
      </c>
      <c r="D1105" t="s">
        <v>14</v>
      </c>
      <c r="E1105" t="s">
        <v>10</v>
      </c>
      <c r="F1105">
        <v>2641.31</v>
      </c>
      <c r="G1105">
        <f>INDEX(Operational[Production Volume (units)],MATCH(Emission8[[#This Row],[Facility ID]],Operational[Facility ID],0))</f>
        <v>68820</v>
      </c>
      <c r="H1105">
        <f>INDEX(Operational[Energy Consumption (MWh)],MATCH(Emission8[[#This Row],[Facility ID]],Operational[Facility ID],0))</f>
        <v>9612.25</v>
      </c>
      <c r="I1105">
        <f>INDEX(Operational[Waste (tons)],MATCH(Emission8[[#This Row],[Facility ID]],Operational[Facility ID],0))</f>
        <v>83.51</v>
      </c>
    </row>
    <row r="1106" spans="1:9" x14ac:dyDescent="0.3">
      <c r="A1106" t="s">
        <v>196</v>
      </c>
      <c r="B1106" t="s">
        <v>30</v>
      </c>
      <c r="C1106" t="s">
        <v>13</v>
      </c>
      <c r="D1106" t="s">
        <v>9</v>
      </c>
      <c r="E1106" t="s">
        <v>24</v>
      </c>
      <c r="F1106">
        <v>3466.63</v>
      </c>
      <c r="G1106">
        <f>INDEX(Operational[Production Volume (units)],MATCH(Emission8[[#This Row],[Facility ID]],Operational[Facility ID],0))</f>
        <v>12262</v>
      </c>
      <c r="H1106">
        <f>INDEX(Operational[Energy Consumption (MWh)],MATCH(Emission8[[#This Row],[Facility ID]],Operational[Facility ID],0))</f>
        <v>7106.18</v>
      </c>
      <c r="I1106">
        <f>INDEX(Operational[Waste (tons)],MATCH(Emission8[[#This Row],[Facility ID]],Operational[Facility ID],0))</f>
        <v>45.69</v>
      </c>
    </row>
    <row r="1107" spans="1:9" x14ac:dyDescent="0.3">
      <c r="A1107" t="s">
        <v>152</v>
      </c>
      <c r="B1107" t="s">
        <v>30</v>
      </c>
      <c r="C1107" t="s">
        <v>8</v>
      </c>
      <c r="D1107" t="s">
        <v>14</v>
      </c>
      <c r="E1107" t="s">
        <v>24</v>
      </c>
      <c r="F1107">
        <v>4682.5600000000004</v>
      </c>
      <c r="G1107">
        <f>INDEX(Operational[Production Volume (units)],MATCH(Emission8[[#This Row],[Facility ID]],Operational[Facility ID],0))</f>
        <v>21914</v>
      </c>
      <c r="H1107">
        <f>INDEX(Operational[Energy Consumption (MWh)],MATCH(Emission8[[#This Row],[Facility ID]],Operational[Facility ID],0))</f>
        <v>5897.27</v>
      </c>
      <c r="I1107">
        <f>INDEX(Operational[Waste (tons)],MATCH(Emission8[[#This Row],[Facility ID]],Operational[Facility ID],0))</f>
        <v>49.41</v>
      </c>
    </row>
    <row r="1108" spans="1:9" x14ac:dyDescent="0.3">
      <c r="A1108" t="s">
        <v>202</v>
      </c>
      <c r="B1108" t="s">
        <v>12</v>
      </c>
      <c r="C1108" t="s">
        <v>13</v>
      </c>
      <c r="D1108" t="s">
        <v>14</v>
      </c>
      <c r="E1108" t="s">
        <v>24</v>
      </c>
      <c r="F1108">
        <v>272.64</v>
      </c>
      <c r="G1108">
        <f>INDEX(Operational[Production Volume (units)],MATCH(Emission8[[#This Row],[Facility ID]],Operational[Facility ID],0))</f>
        <v>28400</v>
      </c>
      <c r="H1108">
        <f>INDEX(Operational[Energy Consumption (MWh)],MATCH(Emission8[[#This Row],[Facility ID]],Operational[Facility ID],0))</f>
        <v>3056.67</v>
      </c>
      <c r="I1108">
        <f>INDEX(Operational[Waste (tons)],MATCH(Emission8[[#This Row],[Facility ID]],Operational[Facility ID],0))</f>
        <v>52.68</v>
      </c>
    </row>
    <row r="1109" spans="1:9" x14ac:dyDescent="0.3">
      <c r="A1109" t="s">
        <v>116</v>
      </c>
      <c r="B1109" t="s">
        <v>17</v>
      </c>
      <c r="C1109" t="s">
        <v>23</v>
      </c>
      <c r="D1109" t="s">
        <v>14</v>
      </c>
      <c r="E1109" t="s">
        <v>24</v>
      </c>
      <c r="F1109">
        <v>4584.96</v>
      </c>
      <c r="G1109">
        <f>INDEX(Operational[Production Volume (units)],MATCH(Emission8[[#This Row],[Facility ID]],Operational[Facility ID],0))</f>
        <v>68216</v>
      </c>
      <c r="H1109">
        <f>INDEX(Operational[Energy Consumption (MWh)],MATCH(Emission8[[#This Row],[Facility ID]],Operational[Facility ID],0))</f>
        <v>9562.33</v>
      </c>
      <c r="I1109">
        <f>INDEX(Operational[Waste (tons)],MATCH(Emission8[[#This Row],[Facility ID]],Operational[Facility ID],0))</f>
        <v>63.59</v>
      </c>
    </row>
    <row r="1110" spans="1:9" x14ac:dyDescent="0.3">
      <c r="A1110" t="s">
        <v>175</v>
      </c>
      <c r="B1110" t="s">
        <v>7</v>
      </c>
      <c r="C1110" t="s">
        <v>23</v>
      </c>
      <c r="D1110" t="s">
        <v>14</v>
      </c>
      <c r="E1110" t="s">
        <v>15</v>
      </c>
      <c r="F1110">
        <v>3965.06</v>
      </c>
      <c r="G1110">
        <f>INDEX(Operational[Production Volume (units)],MATCH(Emission8[[#This Row],[Facility ID]],Operational[Facility ID],0))</f>
        <v>83923</v>
      </c>
      <c r="H1110">
        <f>INDEX(Operational[Energy Consumption (MWh)],MATCH(Emission8[[#This Row],[Facility ID]],Operational[Facility ID],0))</f>
        <v>8768.7999999999993</v>
      </c>
      <c r="I1110">
        <f>INDEX(Operational[Waste (tons)],MATCH(Emission8[[#This Row],[Facility ID]],Operational[Facility ID],0))</f>
        <v>65.290000000000006</v>
      </c>
    </row>
    <row r="1111" spans="1:9" x14ac:dyDescent="0.3">
      <c r="A1111" t="s">
        <v>68</v>
      </c>
      <c r="B1111" t="s">
        <v>12</v>
      </c>
      <c r="C1111" t="s">
        <v>8</v>
      </c>
      <c r="D1111" t="s">
        <v>9</v>
      </c>
      <c r="E1111" t="s">
        <v>24</v>
      </c>
      <c r="F1111">
        <v>1855</v>
      </c>
      <c r="G1111">
        <f>INDEX(Operational[Production Volume (units)],MATCH(Emission8[[#This Row],[Facility ID]],Operational[Facility ID],0))</f>
        <v>69100</v>
      </c>
      <c r="H1111">
        <f>INDEX(Operational[Energy Consumption (MWh)],MATCH(Emission8[[#This Row],[Facility ID]],Operational[Facility ID],0))</f>
        <v>9356.02</v>
      </c>
      <c r="I1111">
        <f>INDEX(Operational[Waste (tons)],MATCH(Emission8[[#This Row],[Facility ID]],Operational[Facility ID],0))</f>
        <v>16.5</v>
      </c>
    </row>
    <row r="1112" spans="1:9" x14ac:dyDescent="0.3">
      <c r="A1112" t="s">
        <v>58</v>
      </c>
      <c r="B1112" t="s">
        <v>17</v>
      </c>
      <c r="C1112" t="s">
        <v>34</v>
      </c>
      <c r="D1112" t="s">
        <v>9</v>
      </c>
      <c r="E1112" t="s">
        <v>10</v>
      </c>
      <c r="F1112">
        <v>1170.49</v>
      </c>
      <c r="G1112">
        <f>INDEX(Operational[Production Volume (units)],MATCH(Emission8[[#This Row],[Facility ID]],Operational[Facility ID],0))</f>
        <v>32246</v>
      </c>
      <c r="H1112">
        <f>INDEX(Operational[Energy Consumption (MWh)],MATCH(Emission8[[#This Row],[Facility ID]],Operational[Facility ID],0))</f>
        <v>7903.93</v>
      </c>
      <c r="I1112">
        <f>INDEX(Operational[Waste (tons)],MATCH(Emission8[[#This Row],[Facility ID]],Operational[Facility ID],0))</f>
        <v>42.12</v>
      </c>
    </row>
    <row r="1113" spans="1:9" x14ac:dyDescent="0.3">
      <c r="A1113" t="s">
        <v>90</v>
      </c>
      <c r="B1113" t="s">
        <v>19</v>
      </c>
      <c r="C1113" t="s">
        <v>23</v>
      </c>
      <c r="D1113" t="s">
        <v>14</v>
      </c>
      <c r="E1113" t="s">
        <v>10</v>
      </c>
      <c r="F1113">
        <v>2881.56</v>
      </c>
      <c r="G1113">
        <f>INDEX(Operational[Production Volume (units)],MATCH(Emission8[[#This Row],[Facility ID]],Operational[Facility ID],0))</f>
        <v>97337</v>
      </c>
      <c r="H1113">
        <f>INDEX(Operational[Energy Consumption (MWh)],MATCH(Emission8[[#This Row],[Facility ID]],Operational[Facility ID],0))</f>
        <v>3362.06</v>
      </c>
      <c r="I1113">
        <f>INDEX(Operational[Waste (tons)],MATCH(Emission8[[#This Row],[Facility ID]],Operational[Facility ID],0))</f>
        <v>55.46</v>
      </c>
    </row>
    <row r="1114" spans="1:9" x14ac:dyDescent="0.3">
      <c r="A1114" t="s">
        <v>73</v>
      </c>
      <c r="B1114" t="s">
        <v>30</v>
      </c>
      <c r="C1114" t="s">
        <v>34</v>
      </c>
      <c r="D1114" t="s">
        <v>14</v>
      </c>
      <c r="E1114" t="s">
        <v>24</v>
      </c>
      <c r="F1114">
        <v>4820.21</v>
      </c>
      <c r="G1114">
        <f>INDEX(Operational[Production Volume (units)],MATCH(Emission8[[#This Row],[Facility ID]],Operational[Facility ID],0))</f>
        <v>55974</v>
      </c>
      <c r="H1114">
        <f>INDEX(Operational[Energy Consumption (MWh)],MATCH(Emission8[[#This Row],[Facility ID]],Operational[Facility ID],0))</f>
        <v>7542.28</v>
      </c>
      <c r="I1114">
        <f>INDEX(Operational[Waste (tons)],MATCH(Emission8[[#This Row],[Facility ID]],Operational[Facility ID],0))</f>
        <v>72.430000000000007</v>
      </c>
    </row>
    <row r="1115" spans="1:9" x14ac:dyDescent="0.3">
      <c r="A1115" t="s">
        <v>122</v>
      </c>
      <c r="B1115" t="s">
        <v>19</v>
      </c>
      <c r="C1115" t="s">
        <v>8</v>
      </c>
      <c r="D1115" t="s">
        <v>14</v>
      </c>
      <c r="E1115" t="s">
        <v>15</v>
      </c>
      <c r="F1115">
        <v>2635.84</v>
      </c>
      <c r="G1115">
        <f>INDEX(Operational[Production Volume (units)],MATCH(Emission8[[#This Row],[Facility ID]],Operational[Facility ID],0))</f>
        <v>95962</v>
      </c>
      <c r="H1115">
        <f>INDEX(Operational[Energy Consumption (MWh)],MATCH(Emission8[[#This Row],[Facility ID]],Operational[Facility ID],0))</f>
        <v>524.72</v>
      </c>
      <c r="I1115">
        <f>INDEX(Operational[Waste (tons)],MATCH(Emission8[[#This Row],[Facility ID]],Operational[Facility ID],0))</f>
        <v>49.55</v>
      </c>
    </row>
    <row r="1116" spans="1:9" x14ac:dyDescent="0.3">
      <c r="A1116" t="s">
        <v>25</v>
      </c>
      <c r="B1116" t="s">
        <v>19</v>
      </c>
      <c r="C1116" t="s">
        <v>34</v>
      </c>
      <c r="D1116" t="s">
        <v>28</v>
      </c>
      <c r="E1116" t="s">
        <v>15</v>
      </c>
      <c r="F1116">
        <v>3933.16</v>
      </c>
      <c r="G1116">
        <f>INDEX(Operational[Production Volume (units)],MATCH(Emission8[[#This Row],[Facility ID]],Operational[Facility ID],0))</f>
        <v>95306</v>
      </c>
      <c r="H1116">
        <f>INDEX(Operational[Energy Consumption (MWh)],MATCH(Emission8[[#This Row],[Facility ID]],Operational[Facility ID],0))</f>
        <v>9037.76</v>
      </c>
      <c r="I1116">
        <f>INDEX(Operational[Waste (tons)],MATCH(Emission8[[#This Row],[Facility ID]],Operational[Facility ID],0))</f>
        <v>13.35</v>
      </c>
    </row>
    <row r="1117" spans="1:9" x14ac:dyDescent="0.3">
      <c r="A1117" t="s">
        <v>33</v>
      </c>
      <c r="B1117" t="s">
        <v>19</v>
      </c>
      <c r="C1117" t="s">
        <v>23</v>
      </c>
      <c r="D1117" t="s">
        <v>14</v>
      </c>
      <c r="E1117" t="s">
        <v>24</v>
      </c>
      <c r="F1117">
        <v>425.14</v>
      </c>
      <c r="G1117">
        <f>INDEX(Operational[Production Volume (units)],MATCH(Emission8[[#This Row],[Facility ID]],Operational[Facility ID],0))</f>
        <v>65719</v>
      </c>
      <c r="H1117">
        <f>INDEX(Operational[Energy Consumption (MWh)],MATCH(Emission8[[#This Row],[Facility ID]],Operational[Facility ID],0))</f>
        <v>9362.41</v>
      </c>
      <c r="I1117">
        <f>INDEX(Operational[Waste (tons)],MATCH(Emission8[[#This Row],[Facility ID]],Operational[Facility ID],0))</f>
        <v>86.55</v>
      </c>
    </row>
    <row r="1118" spans="1:9" x14ac:dyDescent="0.3">
      <c r="A1118" t="s">
        <v>136</v>
      </c>
      <c r="B1118" t="s">
        <v>17</v>
      </c>
      <c r="C1118" t="s">
        <v>23</v>
      </c>
      <c r="D1118" t="s">
        <v>28</v>
      </c>
      <c r="E1118" t="s">
        <v>24</v>
      </c>
      <c r="F1118">
        <v>3494.61</v>
      </c>
      <c r="G1118">
        <f>INDEX(Operational[Production Volume (units)],MATCH(Emission8[[#This Row],[Facility ID]],Operational[Facility ID],0))</f>
        <v>15128</v>
      </c>
      <c r="H1118">
        <f>INDEX(Operational[Energy Consumption (MWh)],MATCH(Emission8[[#This Row],[Facility ID]],Operational[Facility ID],0))</f>
        <v>8847.09</v>
      </c>
      <c r="I1118">
        <f>INDEX(Operational[Waste (tons)],MATCH(Emission8[[#This Row],[Facility ID]],Operational[Facility ID],0))</f>
        <v>5.25</v>
      </c>
    </row>
    <row r="1119" spans="1:9" x14ac:dyDescent="0.3">
      <c r="A1119" t="s">
        <v>204</v>
      </c>
      <c r="B1119" t="s">
        <v>30</v>
      </c>
      <c r="C1119" t="s">
        <v>23</v>
      </c>
      <c r="D1119" t="s">
        <v>9</v>
      </c>
      <c r="E1119" t="s">
        <v>10</v>
      </c>
      <c r="F1119">
        <v>3199.76</v>
      </c>
      <c r="G1119">
        <f>INDEX(Operational[Production Volume (units)],MATCH(Emission8[[#This Row],[Facility ID]],Operational[Facility ID],0))</f>
        <v>36423</v>
      </c>
      <c r="H1119">
        <f>INDEX(Operational[Energy Consumption (MWh)],MATCH(Emission8[[#This Row],[Facility ID]],Operational[Facility ID],0))</f>
        <v>589.96</v>
      </c>
      <c r="I1119">
        <f>INDEX(Operational[Waste (tons)],MATCH(Emission8[[#This Row],[Facility ID]],Operational[Facility ID],0))</f>
        <v>30.9</v>
      </c>
    </row>
    <row r="1120" spans="1:9" x14ac:dyDescent="0.3">
      <c r="A1120" t="s">
        <v>183</v>
      </c>
      <c r="B1120" t="s">
        <v>7</v>
      </c>
      <c r="C1120" t="s">
        <v>8</v>
      </c>
      <c r="D1120" t="s">
        <v>14</v>
      </c>
      <c r="E1120" t="s">
        <v>15</v>
      </c>
      <c r="F1120">
        <v>290.08999999999997</v>
      </c>
      <c r="G1120">
        <f>INDEX(Operational[Production Volume (units)],MATCH(Emission8[[#This Row],[Facility ID]],Operational[Facility ID],0))</f>
        <v>14009</v>
      </c>
      <c r="H1120">
        <f>INDEX(Operational[Energy Consumption (MWh)],MATCH(Emission8[[#This Row],[Facility ID]],Operational[Facility ID],0))</f>
        <v>7528.98</v>
      </c>
      <c r="I1120">
        <f>INDEX(Operational[Waste (tons)],MATCH(Emission8[[#This Row],[Facility ID]],Operational[Facility ID],0))</f>
        <v>77.62</v>
      </c>
    </row>
    <row r="1121" spans="1:9" x14ac:dyDescent="0.3">
      <c r="A1121" t="s">
        <v>166</v>
      </c>
      <c r="B1121" t="s">
        <v>7</v>
      </c>
      <c r="C1121" t="s">
        <v>23</v>
      </c>
      <c r="D1121" t="s">
        <v>28</v>
      </c>
      <c r="E1121" t="s">
        <v>15</v>
      </c>
      <c r="F1121">
        <v>1123.56</v>
      </c>
      <c r="G1121">
        <f>INDEX(Operational[Production Volume (units)],MATCH(Emission8[[#This Row],[Facility ID]],Operational[Facility ID],0))</f>
        <v>34318</v>
      </c>
      <c r="H1121">
        <f>INDEX(Operational[Energy Consumption (MWh)],MATCH(Emission8[[#This Row],[Facility ID]],Operational[Facility ID],0))</f>
        <v>675.67</v>
      </c>
      <c r="I1121">
        <f>INDEX(Operational[Waste (tons)],MATCH(Emission8[[#This Row],[Facility ID]],Operational[Facility ID],0))</f>
        <v>41.05</v>
      </c>
    </row>
    <row r="1122" spans="1:9" x14ac:dyDescent="0.3">
      <c r="A1122" t="s">
        <v>206</v>
      </c>
      <c r="B1122" t="s">
        <v>19</v>
      </c>
      <c r="C1122" t="s">
        <v>8</v>
      </c>
      <c r="D1122" t="s">
        <v>28</v>
      </c>
      <c r="E1122" t="s">
        <v>10</v>
      </c>
      <c r="F1122">
        <v>1109.47</v>
      </c>
      <c r="G1122">
        <f>INDEX(Operational[Production Volume (units)],MATCH(Emission8[[#This Row],[Facility ID]],Operational[Facility ID],0))</f>
        <v>10250</v>
      </c>
      <c r="H1122">
        <f>INDEX(Operational[Energy Consumption (MWh)],MATCH(Emission8[[#This Row],[Facility ID]],Operational[Facility ID],0))</f>
        <v>4717</v>
      </c>
      <c r="I1122">
        <f>INDEX(Operational[Waste (tons)],MATCH(Emission8[[#This Row],[Facility ID]],Operational[Facility ID],0))</f>
        <v>16.600000000000001</v>
      </c>
    </row>
    <row r="1123" spans="1:9" x14ac:dyDescent="0.3">
      <c r="A1123" t="s">
        <v>47</v>
      </c>
      <c r="B1123" t="s">
        <v>30</v>
      </c>
      <c r="C1123" t="s">
        <v>34</v>
      </c>
      <c r="D1123" t="s">
        <v>9</v>
      </c>
      <c r="E1123" t="s">
        <v>10</v>
      </c>
      <c r="F1123">
        <v>1044.92</v>
      </c>
      <c r="G1123">
        <f>INDEX(Operational[Production Volume (units)],MATCH(Emission8[[#This Row],[Facility ID]],Operational[Facility ID],0))</f>
        <v>53661</v>
      </c>
      <c r="H1123">
        <f>INDEX(Operational[Energy Consumption (MWh)],MATCH(Emission8[[#This Row],[Facility ID]],Operational[Facility ID],0))</f>
        <v>6965.81</v>
      </c>
      <c r="I1123">
        <f>INDEX(Operational[Waste (tons)],MATCH(Emission8[[#This Row],[Facility ID]],Operational[Facility ID],0))</f>
        <v>69.400000000000006</v>
      </c>
    </row>
    <row r="1124" spans="1:9" x14ac:dyDescent="0.3">
      <c r="A1124" t="s">
        <v>50</v>
      </c>
      <c r="B1124" t="s">
        <v>19</v>
      </c>
      <c r="C1124" t="s">
        <v>13</v>
      </c>
      <c r="D1124" t="s">
        <v>9</v>
      </c>
      <c r="E1124" t="s">
        <v>15</v>
      </c>
      <c r="F1124">
        <v>5387.67</v>
      </c>
      <c r="G1124">
        <f>INDEX(Operational[Production Volume (units)],MATCH(Emission8[[#This Row],[Facility ID]],Operational[Facility ID],0))</f>
        <v>40577</v>
      </c>
      <c r="H1124">
        <f>INDEX(Operational[Energy Consumption (MWh)],MATCH(Emission8[[#This Row],[Facility ID]],Operational[Facility ID],0))</f>
        <v>4280.82</v>
      </c>
      <c r="I1124">
        <f>INDEX(Operational[Waste (tons)],MATCH(Emission8[[#This Row],[Facility ID]],Operational[Facility ID],0))</f>
        <v>79.88</v>
      </c>
    </row>
    <row r="1125" spans="1:9" x14ac:dyDescent="0.3">
      <c r="A1125" t="s">
        <v>130</v>
      </c>
      <c r="B1125" t="s">
        <v>12</v>
      </c>
      <c r="C1125" t="s">
        <v>13</v>
      </c>
      <c r="D1125" t="s">
        <v>9</v>
      </c>
      <c r="E1125" t="s">
        <v>10</v>
      </c>
      <c r="F1125">
        <v>3244.17</v>
      </c>
      <c r="G1125">
        <f>INDEX(Operational[Production Volume (units)],MATCH(Emission8[[#This Row],[Facility ID]],Operational[Facility ID],0))</f>
        <v>82332</v>
      </c>
      <c r="H1125">
        <f>INDEX(Operational[Energy Consumption (MWh)],MATCH(Emission8[[#This Row],[Facility ID]],Operational[Facility ID],0))</f>
        <v>7134.86</v>
      </c>
      <c r="I1125">
        <f>INDEX(Operational[Waste (tons)],MATCH(Emission8[[#This Row],[Facility ID]],Operational[Facility ID],0))</f>
        <v>22.44</v>
      </c>
    </row>
    <row r="1126" spans="1:9" x14ac:dyDescent="0.3">
      <c r="A1126" t="s">
        <v>125</v>
      </c>
      <c r="B1126" t="s">
        <v>7</v>
      </c>
      <c r="C1126" t="s">
        <v>34</v>
      </c>
      <c r="D1126" t="s">
        <v>14</v>
      </c>
      <c r="E1126" t="s">
        <v>15</v>
      </c>
      <c r="F1126">
        <v>3954.01</v>
      </c>
      <c r="G1126">
        <f>INDEX(Operational[Production Volume (units)],MATCH(Emission8[[#This Row],[Facility ID]],Operational[Facility ID],0))</f>
        <v>56392</v>
      </c>
      <c r="H1126">
        <f>INDEX(Operational[Energy Consumption (MWh)],MATCH(Emission8[[#This Row],[Facility ID]],Operational[Facility ID],0))</f>
        <v>5703.76</v>
      </c>
      <c r="I1126">
        <f>INDEX(Operational[Waste (tons)],MATCH(Emission8[[#This Row],[Facility ID]],Operational[Facility ID],0))</f>
        <v>23.04</v>
      </c>
    </row>
    <row r="1127" spans="1:9" x14ac:dyDescent="0.3">
      <c r="A1127" t="s">
        <v>147</v>
      </c>
      <c r="B1127" t="s">
        <v>17</v>
      </c>
      <c r="C1127" t="s">
        <v>34</v>
      </c>
      <c r="D1127" t="s">
        <v>14</v>
      </c>
      <c r="E1127" t="s">
        <v>24</v>
      </c>
      <c r="F1127">
        <v>1475.99</v>
      </c>
      <c r="G1127">
        <f>INDEX(Operational[Production Volume (units)],MATCH(Emission8[[#This Row],[Facility ID]],Operational[Facility ID],0))</f>
        <v>24095</v>
      </c>
      <c r="H1127">
        <f>INDEX(Operational[Energy Consumption (MWh)],MATCH(Emission8[[#This Row],[Facility ID]],Operational[Facility ID],0))</f>
        <v>3167.52</v>
      </c>
      <c r="I1127">
        <f>INDEX(Operational[Waste (tons)],MATCH(Emission8[[#This Row],[Facility ID]],Operational[Facility ID],0))</f>
        <v>31.02</v>
      </c>
    </row>
    <row r="1128" spans="1:9" x14ac:dyDescent="0.3">
      <c r="A1128" t="s">
        <v>120</v>
      </c>
      <c r="B1128" t="s">
        <v>30</v>
      </c>
      <c r="C1128" t="s">
        <v>34</v>
      </c>
      <c r="D1128" t="s">
        <v>9</v>
      </c>
      <c r="E1128" t="s">
        <v>24</v>
      </c>
      <c r="F1128">
        <v>4669.9799999999996</v>
      </c>
      <c r="G1128">
        <f>INDEX(Operational[Production Volume (units)],MATCH(Emission8[[#This Row],[Facility ID]],Operational[Facility ID],0))</f>
        <v>79495</v>
      </c>
      <c r="H1128">
        <f>INDEX(Operational[Energy Consumption (MWh)],MATCH(Emission8[[#This Row],[Facility ID]],Operational[Facility ID],0))</f>
        <v>7157.48</v>
      </c>
      <c r="I1128">
        <f>INDEX(Operational[Waste (tons)],MATCH(Emission8[[#This Row],[Facility ID]],Operational[Facility ID],0))</f>
        <v>26.84</v>
      </c>
    </row>
    <row r="1129" spans="1:9" x14ac:dyDescent="0.3">
      <c r="A1129" t="s">
        <v>138</v>
      </c>
      <c r="B1129" t="s">
        <v>12</v>
      </c>
      <c r="C1129" t="s">
        <v>13</v>
      </c>
      <c r="D1129" t="s">
        <v>9</v>
      </c>
      <c r="E1129" t="s">
        <v>15</v>
      </c>
      <c r="F1129">
        <v>502.57</v>
      </c>
      <c r="G1129">
        <f>INDEX(Operational[Production Volume (units)],MATCH(Emission8[[#This Row],[Facility ID]],Operational[Facility ID],0))</f>
        <v>57353</v>
      </c>
      <c r="H1129">
        <f>INDEX(Operational[Energy Consumption (MWh)],MATCH(Emission8[[#This Row],[Facility ID]],Operational[Facility ID],0))</f>
        <v>2274.71</v>
      </c>
      <c r="I1129">
        <f>INDEX(Operational[Waste (tons)],MATCH(Emission8[[#This Row],[Facility ID]],Operational[Facility ID],0))</f>
        <v>65.34</v>
      </c>
    </row>
    <row r="1130" spans="1:9" x14ac:dyDescent="0.3">
      <c r="A1130" t="s">
        <v>166</v>
      </c>
      <c r="B1130" t="s">
        <v>7</v>
      </c>
      <c r="C1130" t="s">
        <v>8</v>
      </c>
      <c r="D1130" t="s">
        <v>14</v>
      </c>
      <c r="E1130" t="s">
        <v>10</v>
      </c>
      <c r="F1130">
        <v>2663.13</v>
      </c>
      <c r="G1130">
        <f>INDEX(Operational[Production Volume (units)],MATCH(Emission8[[#This Row],[Facility ID]],Operational[Facility ID],0))</f>
        <v>34318</v>
      </c>
      <c r="H1130">
        <f>INDEX(Operational[Energy Consumption (MWh)],MATCH(Emission8[[#This Row],[Facility ID]],Operational[Facility ID],0))</f>
        <v>675.67</v>
      </c>
      <c r="I1130">
        <f>INDEX(Operational[Waste (tons)],MATCH(Emission8[[#This Row],[Facility ID]],Operational[Facility ID],0))</f>
        <v>41.05</v>
      </c>
    </row>
    <row r="1131" spans="1:9" x14ac:dyDescent="0.3">
      <c r="A1131" t="s">
        <v>188</v>
      </c>
      <c r="B1131" t="s">
        <v>19</v>
      </c>
      <c r="C1131" t="s">
        <v>13</v>
      </c>
      <c r="D1131" t="s">
        <v>14</v>
      </c>
      <c r="E1131" t="s">
        <v>15</v>
      </c>
      <c r="F1131">
        <v>3327.22</v>
      </c>
      <c r="G1131">
        <f>INDEX(Operational[Production Volume (units)],MATCH(Emission8[[#This Row],[Facility ID]],Operational[Facility ID],0))</f>
        <v>60513</v>
      </c>
      <c r="H1131">
        <f>INDEX(Operational[Energy Consumption (MWh)],MATCH(Emission8[[#This Row],[Facility ID]],Operational[Facility ID],0))</f>
        <v>4578.16</v>
      </c>
      <c r="I1131">
        <f>INDEX(Operational[Waste (tons)],MATCH(Emission8[[#This Row],[Facility ID]],Operational[Facility ID],0))</f>
        <v>65.53</v>
      </c>
    </row>
    <row r="1132" spans="1:9" x14ac:dyDescent="0.3">
      <c r="A1132" t="s">
        <v>198</v>
      </c>
      <c r="B1132" t="s">
        <v>12</v>
      </c>
      <c r="C1132" t="s">
        <v>23</v>
      </c>
      <c r="D1132" t="s">
        <v>14</v>
      </c>
      <c r="E1132" t="s">
        <v>10</v>
      </c>
      <c r="F1132">
        <v>441.04</v>
      </c>
      <c r="G1132">
        <f>INDEX(Operational[Production Volume (units)],MATCH(Emission8[[#This Row],[Facility ID]],Operational[Facility ID],0))</f>
        <v>58113</v>
      </c>
      <c r="H1132">
        <f>INDEX(Operational[Energy Consumption (MWh)],MATCH(Emission8[[#This Row],[Facility ID]],Operational[Facility ID],0))</f>
        <v>6382.12</v>
      </c>
      <c r="I1132">
        <f>INDEX(Operational[Waste (tons)],MATCH(Emission8[[#This Row],[Facility ID]],Operational[Facility ID],0))</f>
        <v>56.66</v>
      </c>
    </row>
    <row r="1133" spans="1:9" x14ac:dyDescent="0.3">
      <c r="A1133" t="s">
        <v>31</v>
      </c>
      <c r="B1133" t="s">
        <v>30</v>
      </c>
      <c r="C1133" t="s">
        <v>13</v>
      </c>
      <c r="D1133" t="s">
        <v>9</v>
      </c>
      <c r="E1133" t="s">
        <v>10</v>
      </c>
      <c r="F1133">
        <v>1466.47</v>
      </c>
      <c r="G1133">
        <f>INDEX(Operational[Production Volume (units)],MATCH(Emission8[[#This Row],[Facility ID]],Operational[Facility ID],0))</f>
        <v>84851</v>
      </c>
      <c r="H1133">
        <f>INDEX(Operational[Energy Consumption (MWh)],MATCH(Emission8[[#This Row],[Facility ID]],Operational[Facility ID],0))</f>
        <v>560.75</v>
      </c>
      <c r="I1133">
        <f>INDEX(Operational[Waste (tons)],MATCH(Emission8[[#This Row],[Facility ID]],Operational[Facility ID],0))</f>
        <v>80.23</v>
      </c>
    </row>
    <row r="1134" spans="1:9" x14ac:dyDescent="0.3">
      <c r="A1134" t="s">
        <v>95</v>
      </c>
      <c r="B1134" t="s">
        <v>30</v>
      </c>
      <c r="C1134" t="s">
        <v>34</v>
      </c>
      <c r="D1134" t="s">
        <v>9</v>
      </c>
      <c r="E1134" t="s">
        <v>10</v>
      </c>
      <c r="F1134">
        <v>5076.01</v>
      </c>
      <c r="G1134">
        <f>INDEX(Operational[Production Volume (units)],MATCH(Emission8[[#This Row],[Facility ID]],Operational[Facility ID],0))</f>
        <v>51800</v>
      </c>
      <c r="H1134">
        <f>INDEX(Operational[Energy Consumption (MWh)],MATCH(Emission8[[#This Row],[Facility ID]],Operational[Facility ID],0))</f>
        <v>3042.95</v>
      </c>
      <c r="I1134">
        <f>INDEX(Operational[Waste (tons)],MATCH(Emission8[[#This Row],[Facility ID]],Operational[Facility ID],0))</f>
        <v>71.87</v>
      </c>
    </row>
    <row r="1135" spans="1:9" x14ac:dyDescent="0.3">
      <c r="A1135" t="s">
        <v>41</v>
      </c>
      <c r="B1135" t="s">
        <v>30</v>
      </c>
      <c r="C1135" t="s">
        <v>34</v>
      </c>
      <c r="D1135" t="s">
        <v>28</v>
      </c>
      <c r="E1135" t="s">
        <v>10</v>
      </c>
      <c r="F1135">
        <v>3971.86</v>
      </c>
      <c r="G1135">
        <f>INDEX(Operational[Production Volume (units)],MATCH(Emission8[[#This Row],[Facility ID]],Operational[Facility ID],0))</f>
        <v>61743</v>
      </c>
      <c r="H1135">
        <f>INDEX(Operational[Energy Consumption (MWh)],MATCH(Emission8[[#This Row],[Facility ID]],Operational[Facility ID],0))</f>
        <v>7426.75</v>
      </c>
      <c r="I1135">
        <f>INDEX(Operational[Waste (tons)],MATCH(Emission8[[#This Row],[Facility ID]],Operational[Facility ID],0))</f>
        <v>26.39</v>
      </c>
    </row>
    <row r="1136" spans="1:9" x14ac:dyDescent="0.3">
      <c r="A1136" t="s">
        <v>189</v>
      </c>
      <c r="B1136" t="s">
        <v>19</v>
      </c>
      <c r="C1136" t="s">
        <v>23</v>
      </c>
      <c r="D1136" t="s">
        <v>28</v>
      </c>
      <c r="E1136" t="s">
        <v>10</v>
      </c>
      <c r="F1136">
        <v>3120.88</v>
      </c>
      <c r="G1136">
        <f>INDEX(Operational[Production Volume (units)],MATCH(Emission8[[#This Row],[Facility ID]],Operational[Facility ID],0))</f>
        <v>27681</v>
      </c>
      <c r="H1136">
        <f>INDEX(Operational[Energy Consumption (MWh)],MATCH(Emission8[[#This Row],[Facility ID]],Operational[Facility ID],0))</f>
        <v>928.26</v>
      </c>
      <c r="I1136">
        <f>INDEX(Operational[Waste (tons)],MATCH(Emission8[[#This Row],[Facility ID]],Operational[Facility ID],0))</f>
        <v>44.97</v>
      </c>
    </row>
    <row r="1137" spans="1:9" x14ac:dyDescent="0.3">
      <c r="A1137" t="s">
        <v>25</v>
      </c>
      <c r="B1137" t="s">
        <v>19</v>
      </c>
      <c r="C1137" t="s">
        <v>23</v>
      </c>
      <c r="D1137" t="s">
        <v>14</v>
      </c>
      <c r="E1137" t="s">
        <v>15</v>
      </c>
      <c r="F1137">
        <v>3407.69</v>
      </c>
      <c r="G1137">
        <f>INDEX(Operational[Production Volume (units)],MATCH(Emission8[[#This Row],[Facility ID]],Operational[Facility ID],0))</f>
        <v>95306</v>
      </c>
      <c r="H1137">
        <f>INDEX(Operational[Energy Consumption (MWh)],MATCH(Emission8[[#This Row],[Facility ID]],Operational[Facility ID],0))</f>
        <v>9037.76</v>
      </c>
      <c r="I1137">
        <f>INDEX(Operational[Waste (tons)],MATCH(Emission8[[#This Row],[Facility ID]],Operational[Facility ID],0))</f>
        <v>13.35</v>
      </c>
    </row>
    <row r="1138" spans="1:9" x14ac:dyDescent="0.3">
      <c r="A1138" t="s">
        <v>103</v>
      </c>
      <c r="B1138" t="s">
        <v>19</v>
      </c>
      <c r="C1138" t="s">
        <v>8</v>
      </c>
      <c r="D1138" t="s">
        <v>9</v>
      </c>
      <c r="E1138" t="s">
        <v>10</v>
      </c>
      <c r="F1138">
        <v>4867.8900000000003</v>
      </c>
      <c r="G1138">
        <f>INDEX(Operational[Production Volume (units)],MATCH(Emission8[[#This Row],[Facility ID]],Operational[Facility ID],0))</f>
        <v>38869</v>
      </c>
      <c r="H1138">
        <f>INDEX(Operational[Energy Consumption (MWh)],MATCH(Emission8[[#This Row],[Facility ID]],Operational[Facility ID],0))</f>
        <v>5109.76</v>
      </c>
      <c r="I1138">
        <f>INDEX(Operational[Waste (tons)],MATCH(Emission8[[#This Row],[Facility ID]],Operational[Facility ID],0))</f>
        <v>35.270000000000003</v>
      </c>
    </row>
    <row r="1139" spans="1:9" x14ac:dyDescent="0.3">
      <c r="A1139" t="s">
        <v>56</v>
      </c>
      <c r="B1139" t="s">
        <v>19</v>
      </c>
      <c r="C1139" t="s">
        <v>13</v>
      </c>
      <c r="D1139" t="s">
        <v>14</v>
      </c>
      <c r="E1139" t="s">
        <v>15</v>
      </c>
      <c r="F1139">
        <v>1080.8399999999999</v>
      </c>
      <c r="G1139">
        <f>INDEX(Operational[Production Volume (units)],MATCH(Emission8[[#This Row],[Facility ID]],Operational[Facility ID],0))</f>
        <v>43747</v>
      </c>
      <c r="H1139">
        <f>INDEX(Operational[Energy Consumption (MWh)],MATCH(Emission8[[#This Row],[Facility ID]],Operational[Facility ID],0))</f>
        <v>3453.48</v>
      </c>
      <c r="I1139">
        <f>INDEX(Operational[Waste (tons)],MATCH(Emission8[[#This Row],[Facility ID]],Operational[Facility ID],0))</f>
        <v>98.78</v>
      </c>
    </row>
    <row r="1140" spans="1:9" x14ac:dyDescent="0.3">
      <c r="A1140" t="s">
        <v>171</v>
      </c>
      <c r="B1140" t="s">
        <v>17</v>
      </c>
      <c r="C1140" t="s">
        <v>23</v>
      </c>
      <c r="D1140" t="s">
        <v>9</v>
      </c>
      <c r="E1140" t="s">
        <v>24</v>
      </c>
      <c r="F1140">
        <v>1196.42</v>
      </c>
      <c r="G1140">
        <f>INDEX(Operational[Production Volume (units)],MATCH(Emission8[[#This Row],[Facility ID]],Operational[Facility ID],0))</f>
        <v>24502</v>
      </c>
      <c r="H1140">
        <f>INDEX(Operational[Energy Consumption (MWh)],MATCH(Emission8[[#This Row],[Facility ID]],Operational[Facility ID],0))</f>
        <v>7466.86</v>
      </c>
      <c r="I1140">
        <f>INDEX(Operational[Waste (tons)],MATCH(Emission8[[#This Row],[Facility ID]],Operational[Facility ID],0))</f>
        <v>88.83</v>
      </c>
    </row>
    <row r="1141" spans="1:9" x14ac:dyDescent="0.3">
      <c r="A1141" t="s">
        <v>176</v>
      </c>
      <c r="B1141" t="s">
        <v>19</v>
      </c>
      <c r="C1141" t="s">
        <v>34</v>
      </c>
      <c r="D1141" t="s">
        <v>14</v>
      </c>
      <c r="E1141" t="s">
        <v>15</v>
      </c>
      <c r="F1141">
        <v>2634.83</v>
      </c>
      <c r="G1141">
        <f>INDEX(Operational[Production Volume (units)],MATCH(Emission8[[#This Row],[Facility ID]],Operational[Facility ID],0))</f>
        <v>10907</v>
      </c>
      <c r="H1141">
        <f>INDEX(Operational[Energy Consumption (MWh)],MATCH(Emission8[[#This Row],[Facility ID]],Operational[Facility ID],0))</f>
        <v>4748.66</v>
      </c>
      <c r="I1141">
        <f>INDEX(Operational[Waste (tons)],MATCH(Emission8[[#This Row],[Facility ID]],Operational[Facility ID],0))</f>
        <v>39.36</v>
      </c>
    </row>
    <row r="1142" spans="1:9" x14ac:dyDescent="0.3">
      <c r="A1142" t="s">
        <v>181</v>
      </c>
      <c r="B1142" t="s">
        <v>30</v>
      </c>
      <c r="C1142" t="s">
        <v>23</v>
      </c>
      <c r="D1142" t="s">
        <v>9</v>
      </c>
      <c r="E1142" t="s">
        <v>10</v>
      </c>
      <c r="F1142">
        <v>3396.58</v>
      </c>
      <c r="G1142">
        <f>INDEX(Operational[Production Volume (units)],MATCH(Emission8[[#This Row],[Facility ID]],Operational[Facility ID],0))</f>
        <v>28704</v>
      </c>
      <c r="H1142">
        <f>INDEX(Operational[Energy Consumption (MWh)],MATCH(Emission8[[#This Row],[Facility ID]],Operational[Facility ID],0))</f>
        <v>6009.24</v>
      </c>
      <c r="I1142">
        <f>INDEX(Operational[Waste (tons)],MATCH(Emission8[[#This Row],[Facility ID]],Operational[Facility ID],0))</f>
        <v>39.31</v>
      </c>
    </row>
    <row r="1143" spans="1:9" x14ac:dyDescent="0.3">
      <c r="A1143" t="s">
        <v>186</v>
      </c>
      <c r="B1143" t="s">
        <v>30</v>
      </c>
      <c r="C1143" t="s">
        <v>13</v>
      </c>
      <c r="D1143" t="s">
        <v>14</v>
      </c>
      <c r="E1143" t="s">
        <v>15</v>
      </c>
      <c r="F1143">
        <v>4067.32</v>
      </c>
      <c r="G1143">
        <f>INDEX(Operational[Production Volume (units)],MATCH(Emission8[[#This Row],[Facility ID]],Operational[Facility ID],0))</f>
        <v>85868</v>
      </c>
      <c r="H1143">
        <f>INDEX(Operational[Energy Consumption (MWh)],MATCH(Emission8[[#This Row],[Facility ID]],Operational[Facility ID],0))</f>
        <v>907.72</v>
      </c>
      <c r="I1143">
        <f>INDEX(Operational[Waste (tons)],MATCH(Emission8[[#This Row],[Facility ID]],Operational[Facility ID],0))</f>
        <v>90.36</v>
      </c>
    </row>
    <row r="1144" spans="1:9" x14ac:dyDescent="0.3">
      <c r="A1144" t="s">
        <v>183</v>
      </c>
      <c r="B1144" t="s">
        <v>7</v>
      </c>
      <c r="C1144" t="s">
        <v>13</v>
      </c>
      <c r="D1144" t="s">
        <v>9</v>
      </c>
      <c r="E1144" t="s">
        <v>10</v>
      </c>
      <c r="F1144">
        <v>1241.4100000000001</v>
      </c>
      <c r="G1144">
        <f>INDEX(Operational[Production Volume (units)],MATCH(Emission8[[#This Row],[Facility ID]],Operational[Facility ID],0))</f>
        <v>14009</v>
      </c>
      <c r="H1144">
        <f>INDEX(Operational[Energy Consumption (MWh)],MATCH(Emission8[[#This Row],[Facility ID]],Operational[Facility ID],0))</f>
        <v>7528.98</v>
      </c>
      <c r="I1144">
        <f>INDEX(Operational[Waste (tons)],MATCH(Emission8[[#This Row],[Facility ID]],Operational[Facility ID],0))</f>
        <v>77.62</v>
      </c>
    </row>
    <row r="1145" spans="1:9" x14ac:dyDescent="0.3">
      <c r="A1145" t="s">
        <v>52</v>
      </c>
      <c r="B1145" t="s">
        <v>19</v>
      </c>
      <c r="C1145" t="s">
        <v>23</v>
      </c>
      <c r="D1145" t="s">
        <v>14</v>
      </c>
      <c r="E1145" t="s">
        <v>24</v>
      </c>
      <c r="F1145">
        <v>3737.92</v>
      </c>
      <c r="G1145">
        <f>INDEX(Operational[Production Volume (units)],MATCH(Emission8[[#This Row],[Facility ID]],Operational[Facility ID],0))</f>
        <v>94949</v>
      </c>
      <c r="H1145">
        <f>INDEX(Operational[Energy Consumption (MWh)],MATCH(Emission8[[#This Row],[Facility ID]],Operational[Facility ID],0))</f>
        <v>9714.76</v>
      </c>
      <c r="I1145">
        <f>INDEX(Operational[Waste (tons)],MATCH(Emission8[[#This Row],[Facility ID]],Operational[Facility ID],0))</f>
        <v>64.900000000000006</v>
      </c>
    </row>
    <row r="1146" spans="1:9" x14ac:dyDescent="0.3">
      <c r="A1146" t="s">
        <v>70</v>
      </c>
      <c r="B1146" t="s">
        <v>19</v>
      </c>
      <c r="C1146" t="s">
        <v>34</v>
      </c>
      <c r="D1146" t="s">
        <v>9</v>
      </c>
      <c r="E1146" t="s">
        <v>24</v>
      </c>
      <c r="F1146">
        <v>443.27</v>
      </c>
      <c r="G1146">
        <f>INDEX(Operational[Production Volume (units)],MATCH(Emission8[[#This Row],[Facility ID]],Operational[Facility ID],0))</f>
        <v>42485</v>
      </c>
      <c r="H1146">
        <f>INDEX(Operational[Energy Consumption (MWh)],MATCH(Emission8[[#This Row],[Facility ID]],Operational[Facility ID],0))</f>
        <v>4755.75</v>
      </c>
      <c r="I1146">
        <f>INDEX(Operational[Waste (tons)],MATCH(Emission8[[#This Row],[Facility ID]],Operational[Facility ID],0))</f>
        <v>10.19</v>
      </c>
    </row>
    <row r="1147" spans="1:9" x14ac:dyDescent="0.3">
      <c r="A1147" t="s">
        <v>175</v>
      </c>
      <c r="B1147" t="s">
        <v>7</v>
      </c>
      <c r="C1147" t="s">
        <v>13</v>
      </c>
      <c r="D1147" t="s">
        <v>14</v>
      </c>
      <c r="E1147" t="s">
        <v>24</v>
      </c>
      <c r="F1147">
        <v>179.8</v>
      </c>
      <c r="G1147">
        <f>INDEX(Operational[Production Volume (units)],MATCH(Emission8[[#This Row],[Facility ID]],Operational[Facility ID],0))</f>
        <v>83923</v>
      </c>
      <c r="H1147">
        <f>INDEX(Operational[Energy Consumption (MWh)],MATCH(Emission8[[#This Row],[Facility ID]],Operational[Facility ID],0))</f>
        <v>8768.7999999999993</v>
      </c>
      <c r="I1147">
        <f>INDEX(Operational[Waste (tons)],MATCH(Emission8[[#This Row],[Facility ID]],Operational[Facility ID],0))</f>
        <v>65.290000000000006</v>
      </c>
    </row>
    <row r="1148" spans="1:9" x14ac:dyDescent="0.3">
      <c r="A1148" t="s">
        <v>79</v>
      </c>
      <c r="B1148" t="s">
        <v>17</v>
      </c>
      <c r="C1148" t="s">
        <v>13</v>
      </c>
      <c r="D1148" t="s">
        <v>9</v>
      </c>
      <c r="E1148" t="s">
        <v>15</v>
      </c>
      <c r="F1148">
        <v>253.08</v>
      </c>
      <c r="G1148">
        <f>INDEX(Operational[Production Volume (units)],MATCH(Emission8[[#This Row],[Facility ID]],Operational[Facility ID],0))</f>
        <v>40503</v>
      </c>
      <c r="H1148">
        <f>INDEX(Operational[Energy Consumption (MWh)],MATCH(Emission8[[#This Row],[Facility ID]],Operational[Facility ID],0))</f>
        <v>7447.46</v>
      </c>
      <c r="I1148">
        <f>INDEX(Operational[Waste (tons)],MATCH(Emission8[[#This Row],[Facility ID]],Operational[Facility ID],0))</f>
        <v>98.27</v>
      </c>
    </row>
    <row r="1149" spans="1:9" x14ac:dyDescent="0.3">
      <c r="A1149" t="s">
        <v>60</v>
      </c>
      <c r="B1149" t="s">
        <v>12</v>
      </c>
      <c r="C1149" t="s">
        <v>8</v>
      </c>
      <c r="D1149" t="s">
        <v>28</v>
      </c>
      <c r="E1149" t="s">
        <v>24</v>
      </c>
      <c r="F1149">
        <v>584.44000000000005</v>
      </c>
      <c r="G1149">
        <f>INDEX(Operational[Production Volume (units)],MATCH(Emission8[[#This Row],[Facility ID]],Operational[Facility ID],0))</f>
        <v>25148</v>
      </c>
      <c r="H1149">
        <f>INDEX(Operational[Energy Consumption (MWh)],MATCH(Emission8[[#This Row],[Facility ID]],Operational[Facility ID],0))</f>
        <v>9604.5499999999993</v>
      </c>
      <c r="I1149">
        <f>INDEX(Operational[Waste (tons)],MATCH(Emission8[[#This Row],[Facility ID]],Operational[Facility ID],0))</f>
        <v>63.47</v>
      </c>
    </row>
    <row r="1150" spans="1:9" x14ac:dyDescent="0.3">
      <c r="A1150" t="s">
        <v>85</v>
      </c>
      <c r="B1150" t="s">
        <v>30</v>
      </c>
      <c r="C1150" t="s">
        <v>8</v>
      </c>
      <c r="D1150" t="s">
        <v>9</v>
      </c>
      <c r="E1150" t="s">
        <v>10</v>
      </c>
      <c r="F1150">
        <v>858.27</v>
      </c>
      <c r="G1150">
        <f>INDEX(Operational[Production Volume (units)],MATCH(Emission8[[#This Row],[Facility ID]],Operational[Facility ID],0))</f>
        <v>45519</v>
      </c>
      <c r="H1150">
        <f>INDEX(Operational[Energy Consumption (MWh)],MATCH(Emission8[[#This Row],[Facility ID]],Operational[Facility ID],0))</f>
        <v>7987.69</v>
      </c>
      <c r="I1150">
        <f>INDEX(Operational[Waste (tons)],MATCH(Emission8[[#This Row],[Facility ID]],Operational[Facility ID],0))</f>
        <v>10.86</v>
      </c>
    </row>
    <row r="1151" spans="1:9" x14ac:dyDescent="0.3">
      <c r="A1151" t="s">
        <v>31</v>
      </c>
      <c r="B1151" t="s">
        <v>30</v>
      </c>
      <c r="C1151" t="s">
        <v>13</v>
      </c>
      <c r="D1151" t="s">
        <v>28</v>
      </c>
      <c r="E1151" t="s">
        <v>15</v>
      </c>
      <c r="F1151">
        <v>220.63</v>
      </c>
      <c r="G1151">
        <f>INDEX(Operational[Production Volume (units)],MATCH(Emission8[[#This Row],[Facility ID]],Operational[Facility ID],0))</f>
        <v>84851</v>
      </c>
      <c r="H1151">
        <f>INDEX(Operational[Energy Consumption (MWh)],MATCH(Emission8[[#This Row],[Facility ID]],Operational[Facility ID],0))</f>
        <v>560.75</v>
      </c>
      <c r="I1151">
        <f>INDEX(Operational[Waste (tons)],MATCH(Emission8[[#This Row],[Facility ID]],Operational[Facility ID],0))</f>
        <v>80.23</v>
      </c>
    </row>
    <row r="1152" spans="1:9" x14ac:dyDescent="0.3">
      <c r="A1152" t="s">
        <v>71</v>
      </c>
      <c r="B1152" t="s">
        <v>7</v>
      </c>
      <c r="C1152" t="s">
        <v>13</v>
      </c>
      <c r="D1152" t="s">
        <v>14</v>
      </c>
      <c r="E1152" t="s">
        <v>24</v>
      </c>
      <c r="F1152">
        <v>4665.38</v>
      </c>
      <c r="G1152">
        <f>INDEX(Operational[Production Volume (units)],MATCH(Emission8[[#This Row],[Facility ID]],Operational[Facility ID],0))</f>
        <v>68018</v>
      </c>
      <c r="H1152">
        <f>INDEX(Operational[Energy Consumption (MWh)],MATCH(Emission8[[#This Row],[Facility ID]],Operational[Facility ID],0))</f>
        <v>3523.4</v>
      </c>
      <c r="I1152">
        <f>INDEX(Operational[Waste (tons)],MATCH(Emission8[[#This Row],[Facility ID]],Operational[Facility ID],0))</f>
        <v>92.26</v>
      </c>
    </row>
    <row r="1153" spans="1:9" x14ac:dyDescent="0.3">
      <c r="A1153" t="s">
        <v>212</v>
      </c>
      <c r="B1153" t="s">
        <v>7</v>
      </c>
      <c r="C1153" t="s">
        <v>13</v>
      </c>
      <c r="D1153" t="s">
        <v>14</v>
      </c>
      <c r="E1153" t="s">
        <v>15</v>
      </c>
      <c r="F1153">
        <v>3677.45</v>
      </c>
      <c r="G1153">
        <f>INDEX(Operational[Production Volume (units)],MATCH(Emission8[[#This Row],[Facility ID]],Operational[Facility ID],0))</f>
        <v>67820</v>
      </c>
      <c r="H1153">
        <f>INDEX(Operational[Energy Consumption (MWh)],MATCH(Emission8[[#This Row],[Facility ID]],Operational[Facility ID],0))</f>
        <v>8177.95</v>
      </c>
      <c r="I1153">
        <f>INDEX(Operational[Waste (tons)],MATCH(Emission8[[#This Row],[Facility ID]],Operational[Facility ID],0))</f>
        <v>40.69</v>
      </c>
    </row>
    <row r="1154" spans="1:9" x14ac:dyDescent="0.3">
      <c r="A1154" t="s">
        <v>16</v>
      </c>
      <c r="B1154" t="s">
        <v>17</v>
      </c>
      <c r="C1154" t="s">
        <v>13</v>
      </c>
      <c r="D1154" t="s">
        <v>28</v>
      </c>
      <c r="E1154" t="s">
        <v>10</v>
      </c>
      <c r="F1154">
        <v>3434.59</v>
      </c>
      <c r="G1154">
        <f>INDEX(Operational[Production Volume (units)],MATCH(Emission8[[#This Row],[Facility ID]],Operational[Facility ID],0))</f>
        <v>43512</v>
      </c>
      <c r="H1154">
        <f>INDEX(Operational[Energy Consumption (MWh)],MATCH(Emission8[[#This Row],[Facility ID]],Operational[Facility ID],0))</f>
        <v>5352.18</v>
      </c>
      <c r="I1154">
        <f>INDEX(Operational[Waste (tons)],MATCH(Emission8[[#This Row],[Facility ID]],Operational[Facility ID],0))</f>
        <v>6.17</v>
      </c>
    </row>
    <row r="1155" spans="1:9" x14ac:dyDescent="0.3">
      <c r="A1155" t="s">
        <v>40</v>
      </c>
      <c r="B1155" t="s">
        <v>19</v>
      </c>
      <c r="C1155" t="s">
        <v>34</v>
      </c>
      <c r="D1155" t="s">
        <v>9</v>
      </c>
      <c r="E1155" t="s">
        <v>24</v>
      </c>
      <c r="F1155">
        <v>1175.5899999999999</v>
      </c>
      <c r="G1155">
        <f>INDEX(Operational[Production Volume (units)],MATCH(Emission8[[#This Row],[Facility ID]],Operational[Facility ID],0))</f>
        <v>96474</v>
      </c>
      <c r="H1155">
        <f>INDEX(Operational[Energy Consumption (MWh)],MATCH(Emission8[[#This Row],[Facility ID]],Operational[Facility ID],0))</f>
        <v>7574.39</v>
      </c>
      <c r="I1155">
        <f>INDEX(Operational[Waste (tons)],MATCH(Emission8[[#This Row],[Facility ID]],Operational[Facility ID],0))</f>
        <v>95.54</v>
      </c>
    </row>
    <row r="1156" spans="1:9" x14ac:dyDescent="0.3">
      <c r="A1156" t="s">
        <v>208</v>
      </c>
      <c r="B1156" t="s">
        <v>19</v>
      </c>
      <c r="C1156" t="s">
        <v>34</v>
      </c>
      <c r="D1156" t="s">
        <v>9</v>
      </c>
      <c r="E1156" t="s">
        <v>15</v>
      </c>
      <c r="F1156">
        <v>5155.3999999999996</v>
      </c>
      <c r="G1156">
        <f>INDEX(Operational[Production Volume (units)],MATCH(Emission8[[#This Row],[Facility ID]],Operational[Facility ID],0))</f>
        <v>40553</v>
      </c>
      <c r="H1156">
        <f>INDEX(Operational[Energy Consumption (MWh)],MATCH(Emission8[[#This Row],[Facility ID]],Operational[Facility ID],0))</f>
        <v>4875.2299999999996</v>
      </c>
      <c r="I1156">
        <f>INDEX(Operational[Waste (tons)],MATCH(Emission8[[#This Row],[Facility ID]],Operational[Facility ID],0))</f>
        <v>23.33</v>
      </c>
    </row>
    <row r="1157" spans="1:9" x14ac:dyDescent="0.3">
      <c r="A1157" t="s">
        <v>148</v>
      </c>
      <c r="B1157" t="s">
        <v>17</v>
      </c>
      <c r="C1157" t="s">
        <v>34</v>
      </c>
      <c r="D1157" t="s">
        <v>14</v>
      </c>
      <c r="E1157" t="s">
        <v>10</v>
      </c>
      <c r="F1157">
        <v>4426.07</v>
      </c>
      <c r="G1157">
        <f>INDEX(Operational[Production Volume (units)],MATCH(Emission8[[#This Row],[Facility ID]],Operational[Facility ID],0))</f>
        <v>44994</v>
      </c>
      <c r="H1157">
        <f>INDEX(Operational[Energy Consumption (MWh)],MATCH(Emission8[[#This Row],[Facility ID]],Operational[Facility ID],0))</f>
        <v>7305.59</v>
      </c>
      <c r="I1157">
        <f>INDEX(Operational[Waste (tons)],MATCH(Emission8[[#This Row],[Facility ID]],Operational[Facility ID],0))</f>
        <v>91.53</v>
      </c>
    </row>
    <row r="1158" spans="1:9" x14ac:dyDescent="0.3">
      <c r="A1158" t="s">
        <v>20</v>
      </c>
      <c r="B1158" t="s">
        <v>17</v>
      </c>
      <c r="C1158" t="s">
        <v>8</v>
      </c>
      <c r="D1158" t="s">
        <v>14</v>
      </c>
      <c r="E1158" t="s">
        <v>24</v>
      </c>
      <c r="F1158">
        <v>4487.54</v>
      </c>
      <c r="G1158">
        <f>INDEX(Operational[Production Volume (units)],MATCH(Emission8[[#This Row],[Facility ID]],Operational[Facility ID],0))</f>
        <v>29895</v>
      </c>
      <c r="H1158">
        <f>INDEX(Operational[Energy Consumption (MWh)],MATCH(Emission8[[#This Row],[Facility ID]],Operational[Facility ID],0))</f>
        <v>1631.08</v>
      </c>
      <c r="I1158">
        <f>INDEX(Operational[Waste (tons)],MATCH(Emission8[[#This Row],[Facility ID]],Operational[Facility ID],0))</f>
        <v>39.93</v>
      </c>
    </row>
    <row r="1159" spans="1:9" x14ac:dyDescent="0.3">
      <c r="A1159" t="s">
        <v>209</v>
      </c>
      <c r="B1159" t="s">
        <v>7</v>
      </c>
      <c r="C1159" t="s">
        <v>13</v>
      </c>
      <c r="D1159" t="s">
        <v>28</v>
      </c>
      <c r="E1159" t="s">
        <v>15</v>
      </c>
      <c r="F1159">
        <v>844.07</v>
      </c>
      <c r="G1159">
        <f>INDEX(Operational[Production Volume (units)],MATCH(Emission8[[#This Row],[Facility ID]],Operational[Facility ID],0))</f>
        <v>52357</v>
      </c>
      <c r="H1159">
        <f>INDEX(Operational[Energy Consumption (MWh)],MATCH(Emission8[[#This Row],[Facility ID]],Operational[Facility ID],0))</f>
        <v>5643.16</v>
      </c>
      <c r="I1159">
        <f>INDEX(Operational[Waste (tons)],MATCH(Emission8[[#This Row],[Facility ID]],Operational[Facility ID],0))</f>
        <v>37.130000000000003</v>
      </c>
    </row>
    <row r="1160" spans="1:9" x14ac:dyDescent="0.3">
      <c r="A1160" t="s">
        <v>157</v>
      </c>
      <c r="B1160" t="s">
        <v>30</v>
      </c>
      <c r="C1160" t="s">
        <v>34</v>
      </c>
      <c r="D1160" t="s">
        <v>28</v>
      </c>
      <c r="E1160" t="s">
        <v>24</v>
      </c>
      <c r="F1160">
        <v>808.96</v>
      </c>
      <c r="G1160">
        <f>INDEX(Operational[Production Volume (units)],MATCH(Emission8[[#This Row],[Facility ID]],Operational[Facility ID],0))</f>
        <v>76544</v>
      </c>
      <c r="H1160">
        <f>INDEX(Operational[Energy Consumption (MWh)],MATCH(Emission8[[#This Row],[Facility ID]],Operational[Facility ID],0))</f>
        <v>8632.77</v>
      </c>
      <c r="I1160">
        <f>INDEX(Operational[Waste (tons)],MATCH(Emission8[[#This Row],[Facility ID]],Operational[Facility ID],0))</f>
        <v>12.87</v>
      </c>
    </row>
    <row r="1161" spans="1:9" x14ac:dyDescent="0.3">
      <c r="A1161" t="s">
        <v>54</v>
      </c>
      <c r="B1161" t="s">
        <v>12</v>
      </c>
      <c r="C1161" t="s">
        <v>23</v>
      </c>
      <c r="D1161" t="s">
        <v>9</v>
      </c>
      <c r="E1161" t="s">
        <v>10</v>
      </c>
      <c r="F1161">
        <v>4896.92</v>
      </c>
      <c r="G1161">
        <f>INDEX(Operational[Production Volume (units)],MATCH(Emission8[[#This Row],[Facility ID]],Operational[Facility ID],0))</f>
        <v>58111</v>
      </c>
      <c r="H1161">
        <f>INDEX(Operational[Energy Consumption (MWh)],MATCH(Emission8[[#This Row],[Facility ID]],Operational[Facility ID],0))</f>
        <v>4610.8999999999996</v>
      </c>
      <c r="I1161">
        <f>INDEX(Operational[Waste (tons)],MATCH(Emission8[[#This Row],[Facility ID]],Operational[Facility ID],0))</f>
        <v>21.53</v>
      </c>
    </row>
    <row r="1162" spans="1:9" x14ac:dyDescent="0.3">
      <c r="A1162" t="s">
        <v>151</v>
      </c>
      <c r="B1162" t="s">
        <v>12</v>
      </c>
      <c r="C1162" t="s">
        <v>8</v>
      </c>
      <c r="D1162" t="s">
        <v>9</v>
      </c>
      <c r="E1162" t="s">
        <v>10</v>
      </c>
      <c r="F1162">
        <v>191.17</v>
      </c>
      <c r="G1162">
        <f>INDEX(Operational[Production Volume (units)],MATCH(Emission8[[#This Row],[Facility ID]],Operational[Facility ID],0))</f>
        <v>61207</v>
      </c>
      <c r="H1162">
        <f>INDEX(Operational[Energy Consumption (MWh)],MATCH(Emission8[[#This Row],[Facility ID]],Operational[Facility ID],0))</f>
        <v>6922.33</v>
      </c>
      <c r="I1162">
        <f>INDEX(Operational[Waste (tons)],MATCH(Emission8[[#This Row],[Facility ID]],Operational[Facility ID],0))</f>
        <v>9.1999999999999993</v>
      </c>
    </row>
    <row r="1163" spans="1:9" x14ac:dyDescent="0.3">
      <c r="A1163" t="s">
        <v>137</v>
      </c>
      <c r="B1163" t="s">
        <v>17</v>
      </c>
      <c r="C1163" t="s">
        <v>34</v>
      </c>
      <c r="D1163" t="s">
        <v>14</v>
      </c>
      <c r="E1163" t="s">
        <v>10</v>
      </c>
      <c r="F1163">
        <v>1697.2</v>
      </c>
      <c r="G1163">
        <f>INDEX(Operational[Production Volume (units)],MATCH(Emission8[[#This Row],[Facility ID]],Operational[Facility ID],0))</f>
        <v>19265</v>
      </c>
      <c r="H1163">
        <f>INDEX(Operational[Energy Consumption (MWh)],MATCH(Emission8[[#This Row],[Facility ID]],Operational[Facility ID],0))</f>
        <v>776.6</v>
      </c>
      <c r="I1163">
        <f>INDEX(Operational[Waste (tons)],MATCH(Emission8[[#This Row],[Facility ID]],Operational[Facility ID],0))</f>
        <v>39.75</v>
      </c>
    </row>
    <row r="1164" spans="1:9" x14ac:dyDescent="0.3">
      <c r="A1164" t="s">
        <v>57</v>
      </c>
      <c r="B1164" t="s">
        <v>19</v>
      </c>
      <c r="C1164" t="s">
        <v>8</v>
      </c>
      <c r="D1164" t="s">
        <v>9</v>
      </c>
      <c r="E1164" t="s">
        <v>24</v>
      </c>
      <c r="F1164">
        <v>4105.01</v>
      </c>
      <c r="G1164">
        <f>INDEX(Operational[Production Volume (units)],MATCH(Emission8[[#This Row],[Facility ID]],Operational[Facility ID],0))</f>
        <v>41027</v>
      </c>
      <c r="H1164">
        <f>INDEX(Operational[Energy Consumption (MWh)],MATCH(Emission8[[#This Row],[Facility ID]],Operational[Facility ID],0))</f>
        <v>7285.85</v>
      </c>
      <c r="I1164">
        <f>INDEX(Operational[Waste (tons)],MATCH(Emission8[[#This Row],[Facility ID]],Operational[Facility ID],0))</f>
        <v>59.87</v>
      </c>
    </row>
    <row r="1165" spans="1:9" x14ac:dyDescent="0.3">
      <c r="A1165" t="s">
        <v>80</v>
      </c>
      <c r="B1165" t="s">
        <v>17</v>
      </c>
      <c r="C1165" t="s">
        <v>13</v>
      </c>
      <c r="D1165" t="s">
        <v>28</v>
      </c>
      <c r="E1165" t="s">
        <v>10</v>
      </c>
      <c r="F1165">
        <v>4095.94</v>
      </c>
      <c r="G1165">
        <f>INDEX(Operational[Production Volume (units)],MATCH(Emission8[[#This Row],[Facility ID]],Operational[Facility ID],0))</f>
        <v>75508</v>
      </c>
      <c r="H1165">
        <f>INDEX(Operational[Energy Consumption (MWh)],MATCH(Emission8[[#This Row],[Facility ID]],Operational[Facility ID],0))</f>
        <v>6856.22</v>
      </c>
      <c r="I1165">
        <f>INDEX(Operational[Waste (tons)],MATCH(Emission8[[#This Row],[Facility ID]],Operational[Facility ID],0))</f>
        <v>18.2</v>
      </c>
    </row>
    <row r="1166" spans="1:9" x14ac:dyDescent="0.3">
      <c r="A1166" t="s">
        <v>99</v>
      </c>
      <c r="B1166" t="s">
        <v>19</v>
      </c>
      <c r="C1166" t="s">
        <v>8</v>
      </c>
      <c r="D1166" t="s">
        <v>14</v>
      </c>
      <c r="E1166" t="s">
        <v>24</v>
      </c>
      <c r="F1166">
        <v>1094.42</v>
      </c>
      <c r="G1166">
        <f>INDEX(Operational[Production Volume (units)],MATCH(Emission8[[#This Row],[Facility ID]],Operational[Facility ID],0))</f>
        <v>77400</v>
      </c>
      <c r="H1166">
        <f>INDEX(Operational[Energy Consumption (MWh)],MATCH(Emission8[[#This Row],[Facility ID]],Operational[Facility ID],0))</f>
        <v>7504.8</v>
      </c>
      <c r="I1166">
        <f>INDEX(Operational[Waste (tons)],MATCH(Emission8[[#This Row],[Facility ID]],Operational[Facility ID],0))</f>
        <v>68.819999999999993</v>
      </c>
    </row>
    <row r="1167" spans="1:9" x14ac:dyDescent="0.3">
      <c r="A1167" t="s">
        <v>178</v>
      </c>
      <c r="B1167" t="s">
        <v>30</v>
      </c>
      <c r="C1167" t="s">
        <v>34</v>
      </c>
      <c r="D1167" t="s">
        <v>9</v>
      </c>
      <c r="E1167" t="s">
        <v>15</v>
      </c>
      <c r="F1167">
        <v>2501.4699999999998</v>
      </c>
      <c r="G1167">
        <f>INDEX(Operational[Production Volume (units)],MATCH(Emission8[[#This Row],[Facility ID]],Operational[Facility ID],0))</f>
        <v>88188</v>
      </c>
      <c r="H1167">
        <f>INDEX(Operational[Energy Consumption (MWh)],MATCH(Emission8[[#This Row],[Facility ID]],Operational[Facility ID],0))</f>
        <v>815.86</v>
      </c>
      <c r="I1167">
        <f>INDEX(Operational[Waste (tons)],MATCH(Emission8[[#This Row],[Facility ID]],Operational[Facility ID],0))</f>
        <v>57.53</v>
      </c>
    </row>
    <row r="1168" spans="1:9" x14ac:dyDescent="0.3">
      <c r="A1168" t="s">
        <v>138</v>
      </c>
      <c r="B1168" t="s">
        <v>12</v>
      </c>
      <c r="C1168" t="s">
        <v>34</v>
      </c>
      <c r="D1168" t="s">
        <v>14</v>
      </c>
      <c r="E1168" t="s">
        <v>24</v>
      </c>
      <c r="F1168">
        <v>1137.71</v>
      </c>
      <c r="G1168">
        <f>INDEX(Operational[Production Volume (units)],MATCH(Emission8[[#This Row],[Facility ID]],Operational[Facility ID],0))</f>
        <v>57353</v>
      </c>
      <c r="H1168">
        <f>INDEX(Operational[Energy Consumption (MWh)],MATCH(Emission8[[#This Row],[Facility ID]],Operational[Facility ID],0))</f>
        <v>2274.71</v>
      </c>
      <c r="I1168">
        <f>INDEX(Operational[Waste (tons)],MATCH(Emission8[[#This Row],[Facility ID]],Operational[Facility ID],0))</f>
        <v>65.34</v>
      </c>
    </row>
    <row r="1169" spans="1:9" x14ac:dyDescent="0.3">
      <c r="A1169" t="s">
        <v>113</v>
      </c>
      <c r="B1169" t="s">
        <v>30</v>
      </c>
      <c r="C1169" t="s">
        <v>23</v>
      </c>
      <c r="D1169" t="s">
        <v>28</v>
      </c>
      <c r="E1169" t="s">
        <v>15</v>
      </c>
      <c r="F1169">
        <v>2685.34</v>
      </c>
      <c r="G1169">
        <f>INDEX(Operational[Production Volume (units)],MATCH(Emission8[[#This Row],[Facility ID]],Operational[Facility ID],0))</f>
        <v>90679</v>
      </c>
      <c r="H1169">
        <f>INDEX(Operational[Energy Consumption (MWh)],MATCH(Emission8[[#This Row],[Facility ID]],Operational[Facility ID],0))</f>
        <v>7266.82</v>
      </c>
      <c r="I1169">
        <f>INDEX(Operational[Waste (tons)],MATCH(Emission8[[#This Row],[Facility ID]],Operational[Facility ID],0))</f>
        <v>23.3</v>
      </c>
    </row>
    <row r="1170" spans="1:9" x14ac:dyDescent="0.3">
      <c r="A1170" t="s">
        <v>184</v>
      </c>
      <c r="B1170" t="s">
        <v>30</v>
      </c>
      <c r="C1170" t="s">
        <v>13</v>
      </c>
      <c r="D1170" t="s">
        <v>14</v>
      </c>
      <c r="E1170" t="s">
        <v>24</v>
      </c>
      <c r="F1170">
        <v>3561.14</v>
      </c>
      <c r="G1170">
        <f>INDEX(Operational[Production Volume (units)],MATCH(Emission8[[#This Row],[Facility ID]],Operational[Facility ID],0))</f>
        <v>13543</v>
      </c>
      <c r="H1170">
        <f>INDEX(Operational[Energy Consumption (MWh)],MATCH(Emission8[[#This Row],[Facility ID]],Operational[Facility ID],0))</f>
        <v>7854.96</v>
      </c>
      <c r="I1170">
        <f>INDEX(Operational[Waste (tons)],MATCH(Emission8[[#This Row],[Facility ID]],Operational[Facility ID],0))</f>
        <v>85.57</v>
      </c>
    </row>
    <row r="1171" spans="1:9" x14ac:dyDescent="0.3">
      <c r="A1171" t="s">
        <v>55</v>
      </c>
      <c r="B1171" t="s">
        <v>12</v>
      </c>
      <c r="C1171" t="s">
        <v>23</v>
      </c>
      <c r="D1171" t="s">
        <v>9</v>
      </c>
      <c r="E1171" t="s">
        <v>10</v>
      </c>
      <c r="F1171">
        <v>135.57</v>
      </c>
      <c r="G1171">
        <f>INDEX(Operational[Production Volume (units)],MATCH(Emission8[[#This Row],[Facility ID]],Operational[Facility ID],0))</f>
        <v>38181</v>
      </c>
      <c r="H1171">
        <f>INDEX(Operational[Energy Consumption (MWh)],MATCH(Emission8[[#This Row],[Facility ID]],Operational[Facility ID],0))</f>
        <v>691.84</v>
      </c>
      <c r="I1171">
        <f>INDEX(Operational[Waste (tons)],MATCH(Emission8[[#This Row],[Facility ID]],Operational[Facility ID],0))</f>
        <v>33.53</v>
      </c>
    </row>
    <row r="1172" spans="1:9" x14ac:dyDescent="0.3">
      <c r="A1172" t="s">
        <v>201</v>
      </c>
      <c r="B1172" t="s">
        <v>12</v>
      </c>
      <c r="C1172" t="s">
        <v>8</v>
      </c>
      <c r="D1172" t="s">
        <v>28</v>
      </c>
      <c r="E1172" t="s">
        <v>15</v>
      </c>
      <c r="F1172">
        <v>651.62</v>
      </c>
      <c r="G1172">
        <f>INDEX(Operational[Production Volume (units)],MATCH(Emission8[[#This Row],[Facility ID]],Operational[Facility ID],0))</f>
        <v>58439</v>
      </c>
      <c r="H1172">
        <f>INDEX(Operational[Energy Consumption (MWh)],MATCH(Emission8[[#This Row],[Facility ID]],Operational[Facility ID],0))</f>
        <v>5817.93</v>
      </c>
      <c r="I1172">
        <f>INDEX(Operational[Waste (tons)],MATCH(Emission8[[#This Row],[Facility ID]],Operational[Facility ID],0))</f>
        <v>63.77</v>
      </c>
    </row>
    <row r="1173" spans="1:9" x14ac:dyDescent="0.3">
      <c r="A1173" t="s">
        <v>189</v>
      </c>
      <c r="B1173" t="s">
        <v>19</v>
      </c>
      <c r="C1173" t="s">
        <v>34</v>
      </c>
      <c r="D1173" t="s">
        <v>9</v>
      </c>
      <c r="E1173" t="s">
        <v>10</v>
      </c>
      <c r="F1173">
        <v>243.88</v>
      </c>
      <c r="G1173">
        <f>INDEX(Operational[Production Volume (units)],MATCH(Emission8[[#This Row],[Facility ID]],Operational[Facility ID],0))</f>
        <v>27681</v>
      </c>
      <c r="H1173">
        <f>INDEX(Operational[Energy Consumption (MWh)],MATCH(Emission8[[#This Row],[Facility ID]],Operational[Facility ID],0))</f>
        <v>928.26</v>
      </c>
      <c r="I1173">
        <f>INDEX(Operational[Waste (tons)],MATCH(Emission8[[#This Row],[Facility ID]],Operational[Facility ID],0))</f>
        <v>44.97</v>
      </c>
    </row>
    <row r="1174" spans="1:9" x14ac:dyDescent="0.3">
      <c r="A1174" t="s">
        <v>215</v>
      </c>
      <c r="B1174" t="s">
        <v>17</v>
      </c>
      <c r="C1174" t="s">
        <v>34</v>
      </c>
      <c r="D1174" t="s">
        <v>28</v>
      </c>
      <c r="E1174" t="s">
        <v>24</v>
      </c>
      <c r="F1174">
        <v>2204.12</v>
      </c>
      <c r="G1174">
        <f>INDEX(Operational[Production Volume (units)],MATCH(Emission8[[#This Row],[Facility ID]],Operational[Facility ID],0))</f>
        <v>72813</v>
      </c>
      <c r="H1174">
        <f>INDEX(Operational[Energy Consumption (MWh)],MATCH(Emission8[[#This Row],[Facility ID]],Operational[Facility ID],0))</f>
        <v>8818.16</v>
      </c>
      <c r="I1174">
        <f>INDEX(Operational[Waste (tons)],MATCH(Emission8[[#This Row],[Facility ID]],Operational[Facility ID],0))</f>
        <v>54.12</v>
      </c>
    </row>
    <row r="1175" spans="1:9" x14ac:dyDescent="0.3">
      <c r="A1175" t="s">
        <v>77</v>
      </c>
      <c r="B1175" t="s">
        <v>30</v>
      </c>
      <c r="C1175" t="s">
        <v>34</v>
      </c>
      <c r="D1175" t="s">
        <v>9</v>
      </c>
      <c r="E1175" t="s">
        <v>24</v>
      </c>
      <c r="F1175">
        <v>4031.31</v>
      </c>
      <c r="G1175">
        <f>INDEX(Operational[Production Volume (units)],MATCH(Emission8[[#This Row],[Facility ID]],Operational[Facility ID],0))</f>
        <v>61942</v>
      </c>
      <c r="H1175">
        <f>INDEX(Operational[Energy Consumption (MWh)],MATCH(Emission8[[#This Row],[Facility ID]],Operational[Facility ID],0))</f>
        <v>4891.32</v>
      </c>
      <c r="I1175">
        <f>INDEX(Operational[Waste (tons)],MATCH(Emission8[[#This Row],[Facility ID]],Operational[Facility ID],0))</f>
        <v>91.59</v>
      </c>
    </row>
    <row r="1176" spans="1:9" x14ac:dyDescent="0.3">
      <c r="A1176" t="s">
        <v>37</v>
      </c>
      <c r="B1176" t="s">
        <v>17</v>
      </c>
      <c r="C1176" t="s">
        <v>8</v>
      </c>
      <c r="D1176" t="s">
        <v>14</v>
      </c>
      <c r="E1176" t="s">
        <v>24</v>
      </c>
      <c r="F1176">
        <v>1311.25</v>
      </c>
      <c r="G1176">
        <f>INDEX(Operational[Production Volume (units)],MATCH(Emission8[[#This Row],[Facility ID]],Operational[Facility ID],0))</f>
        <v>71747</v>
      </c>
      <c r="H1176">
        <f>INDEX(Operational[Energy Consumption (MWh)],MATCH(Emission8[[#This Row],[Facility ID]],Operational[Facility ID],0))</f>
        <v>9838.66</v>
      </c>
      <c r="I1176">
        <f>INDEX(Operational[Waste (tons)],MATCH(Emission8[[#This Row],[Facility ID]],Operational[Facility ID],0))</f>
        <v>7.25</v>
      </c>
    </row>
    <row r="1177" spans="1:9" x14ac:dyDescent="0.3">
      <c r="A1177" t="s">
        <v>96</v>
      </c>
      <c r="B1177" t="s">
        <v>19</v>
      </c>
      <c r="C1177" t="s">
        <v>8</v>
      </c>
      <c r="D1177" t="s">
        <v>9</v>
      </c>
      <c r="E1177" t="s">
        <v>10</v>
      </c>
      <c r="F1177">
        <v>496</v>
      </c>
      <c r="G1177">
        <f>INDEX(Operational[Production Volume (units)],MATCH(Emission8[[#This Row],[Facility ID]],Operational[Facility ID],0))</f>
        <v>53942</v>
      </c>
      <c r="H1177">
        <f>INDEX(Operational[Energy Consumption (MWh)],MATCH(Emission8[[#This Row],[Facility ID]],Operational[Facility ID],0))</f>
        <v>5904.31</v>
      </c>
      <c r="I1177">
        <f>INDEX(Operational[Waste (tons)],MATCH(Emission8[[#This Row],[Facility ID]],Operational[Facility ID],0))</f>
        <v>32.78</v>
      </c>
    </row>
    <row r="1178" spans="1:9" x14ac:dyDescent="0.3">
      <c r="A1178" t="s">
        <v>136</v>
      </c>
      <c r="B1178" t="s">
        <v>17</v>
      </c>
      <c r="C1178" t="s">
        <v>8</v>
      </c>
      <c r="D1178" t="s">
        <v>14</v>
      </c>
      <c r="E1178" t="s">
        <v>10</v>
      </c>
      <c r="F1178">
        <v>3182.6</v>
      </c>
      <c r="G1178">
        <f>INDEX(Operational[Production Volume (units)],MATCH(Emission8[[#This Row],[Facility ID]],Operational[Facility ID],0))</f>
        <v>15128</v>
      </c>
      <c r="H1178">
        <f>INDEX(Operational[Energy Consumption (MWh)],MATCH(Emission8[[#This Row],[Facility ID]],Operational[Facility ID],0))</f>
        <v>8847.09</v>
      </c>
      <c r="I1178">
        <f>INDEX(Operational[Waste (tons)],MATCH(Emission8[[#This Row],[Facility ID]],Operational[Facility ID],0))</f>
        <v>5.25</v>
      </c>
    </row>
    <row r="1179" spans="1:9" x14ac:dyDescent="0.3">
      <c r="A1179" t="s">
        <v>182</v>
      </c>
      <c r="B1179" t="s">
        <v>12</v>
      </c>
      <c r="C1179" t="s">
        <v>23</v>
      </c>
      <c r="D1179" t="s">
        <v>14</v>
      </c>
      <c r="E1179" t="s">
        <v>15</v>
      </c>
      <c r="F1179">
        <v>1935.31</v>
      </c>
      <c r="G1179">
        <f>INDEX(Operational[Production Volume (units)],MATCH(Emission8[[#This Row],[Facility ID]],Operational[Facility ID],0))</f>
        <v>21081</v>
      </c>
      <c r="H1179">
        <f>INDEX(Operational[Energy Consumption (MWh)],MATCH(Emission8[[#This Row],[Facility ID]],Operational[Facility ID],0))</f>
        <v>9001.77</v>
      </c>
      <c r="I1179">
        <f>INDEX(Operational[Waste (tons)],MATCH(Emission8[[#This Row],[Facility ID]],Operational[Facility ID],0))</f>
        <v>49.27</v>
      </c>
    </row>
    <row r="1180" spans="1:9" x14ac:dyDescent="0.3">
      <c r="A1180" t="s">
        <v>103</v>
      </c>
      <c r="B1180" t="s">
        <v>19</v>
      </c>
      <c r="C1180" t="s">
        <v>34</v>
      </c>
      <c r="D1180" t="s">
        <v>9</v>
      </c>
      <c r="E1180" t="s">
        <v>10</v>
      </c>
      <c r="F1180">
        <v>4354.08</v>
      </c>
      <c r="G1180">
        <f>INDEX(Operational[Production Volume (units)],MATCH(Emission8[[#This Row],[Facility ID]],Operational[Facility ID],0))</f>
        <v>38869</v>
      </c>
      <c r="H1180">
        <f>INDEX(Operational[Energy Consumption (MWh)],MATCH(Emission8[[#This Row],[Facility ID]],Operational[Facility ID],0))</f>
        <v>5109.76</v>
      </c>
      <c r="I1180">
        <f>INDEX(Operational[Waste (tons)],MATCH(Emission8[[#This Row],[Facility ID]],Operational[Facility ID],0))</f>
        <v>35.270000000000003</v>
      </c>
    </row>
    <row r="1181" spans="1:9" x14ac:dyDescent="0.3">
      <c r="A1181" t="s">
        <v>144</v>
      </c>
      <c r="B1181" t="s">
        <v>30</v>
      </c>
      <c r="C1181" t="s">
        <v>13</v>
      </c>
      <c r="D1181" t="s">
        <v>28</v>
      </c>
      <c r="E1181" t="s">
        <v>15</v>
      </c>
      <c r="F1181">
        <v>4545.6899999999996</v>
      </c>
      <c r="G1181">
        <f>INDEX(Operational[Production Volume (units)],MATCH(Emission8[[#This Row],[Facility ID]],Operational[Facility ID],0))</f>
        <v>11426</v>
      </c>
      <c r="H1181">
        <f>INDEX(Operational[Energy Consumption (MWh)],MATCH(Emission8[[#This Row],[Facility ID]],Operational[Facility ID],0))</f>
        <v>4439.5600000000004</v>
      </c>
      <c r="I1181">
        <f>INDEX(Operational[Waste (tons)],MATCH(Emission8[[#This Row],[Facility ID]],Operational[Facility ID],0))</f>
        <v>52.71</v>
      </c>
    </row>
    <row r="1182" spans="1:9" x14ac:dyDescent="0.3">
      <c r="A1182" t="s">
        <v>126</v>
      </c>
      <c r="B1182" t="s">
        <v>30</v>
      </c>
      <c r="C1182" t="s">
        <v>13</v>
      </c>
      <c r="D1182" t="s">
        <v>28</v>
      </c>
      <c r="E1182" t="s">
        <v>10</v>
      </c>
      <c r="F1182">
        <v>1019.91</v>
      </c>
      <c r="G1182">
        <f>INDEX(Operational[Production Volume (units)],MATCH(Emission8[[#This Row],[Facility ID]],Operational[Facility ID],0))</f>
        <v>35506</v>
      </c>
      <c r="H1182">
        <f>INDEX(Operational[Energy Consumption (MWh)],MATCH(Emission8[[#This Row],[Facility ID]],Operational[Facility ID],0))</f>
        <v>1892.04</v>
      </c>
      <c r="I1182">
        <f>INDEX(Operational[Waste (tons)],MATCH(Emission8[[#This Row],[Facility ID]],Operational[Facility ID],0))</f>
        <v>61.53</v>
      </c>
    </row>
    <row r="1183" spans="1:9" x14ac:dyDescent="0.3">
      <c r="A1183" t="s">
        <v>205</v>
      </c>
      <c r="B1183" t="s">
        <v>17</v>
      </c>
      <c r="C1183" t="s">
        <v>34</v>
      </c>
      <c r="D1183" t="s">
        <v>9</v>
      </c>
      <c r="E1183" t="s">
        <v>24</v>
      </c>
      <c r="F1183">
        <v>3313.08</v>
      </c>
      <c r="G1183">
        <f>INDEX(Operational[Production Volume (units)],MATCH(Emission8[[#This Row],[Facility ID]],Operational[Facility ID],0))</f>
        <v>52594</v>
      </c>
      <c r="H1183">
        <f>INDEX(Operational[Energy Consumption (MWh)],MATCH(Emission8[[#This Row],[Facility ID]],Operational[Facility ID],0))</f>
        <v>8715.0400000000009</v>
      </c>
      <c r="I1183">
        <f>INDEX(Operational[Waste (tons)],MATCH(Emission8[[#This Row],[Facility ID]],Operational[Facility ID],0))</f>
        <v>90.54</v>
      </c>
    </row>
    <row r="1184" spans="1:9" x14ac:dyDescent="0.3">
      <c r="A1184" t="s">
        <v>72</v>
      </c>
      <c r="B1184" t="s">
        <v>19</v>
      </c>
      <c r="C1184" t="s">
        <v>34</v>
      </c>
      <c r="D1184" t="s">
        <v>28</v>
      </c>
      <c r="E1184" t="s">
        <v>24</v>
      </c>
      <c r="F1184">
        <v>2988.27</v>
      </c>
      <c r="G1184">
        <f>INDEX(Operational[Production Volume (units)],MATCH(Emission8[[#This Row],[Facility ID]],Operational[Facility ID],0))</f>
        <v>29318</v>
      </c>
      <c r="H1184">
        <f>INDEX(Operational[Energy Consumption (MWh)],MATCH(Emission8[[#This Row],[Facility ID]],Operational[Facility ID],0))</f>
        <v>9860.6200000000008</v>
      </c>
      <c r="I1184">
        <f>INDEX(Operational[Waste (tons)],MATCH(Emission8[[#This Row],[Facility ID]],Operational[Facility ID],0))</f>
        <v>14.58</v>
      </c>
    </row>
    <row r="1185" spans="1:9" x14ac:dyDescent="0.3">
      <c r="A1185" t="s">
        <v>146</v>
      </c>
      <c r="B1185" t="s">
        <v>7</v>
      </c>
      <c r="C1185" t="s">
        <v>34</v>
      </c>
      <c r="D1185" t="s">
        <v>9</v>
      </c>
      <c r="E1185" t="s">
        <v>24</v>
      </c>
      <c r="F1185">
        <v>4688.47</v>
      </c>
      <c r="G1185">
        <f>INDEX(Operational[Production Volume (units)],MATCH(Emission8[[#This Row],[Facility ID]],Operational[Facility ID],0))</f>
        <v>14170</v>
      </c>
      <c r="H1185">
        <f>INDEX(Operational[Energy Consumption (MWh)],MATCH(Emission8[[#This Row],[Facility ID]],Operational[Facility ID],0))</f>
        <v>5455.23</v>
      </c>
      <c r="I1185">
        <f>INDEX(Operational[Waste (tons)],MATCH(Emission8[[#This Row],[Facility ID]],Operational[Facility ID],0))</f>
        <v>25.46</v>
      </c>
    </row>
    <row r="1186" spans="1:9" x14ac:dyDescent="0.3">
      <c r="A1186" t="s">
        <v>76</v>
      </c>
      <c r="B1186" t="s">
        <v>17</v>
      </c>
      <c r="C1186" t="s">
        <v>34</v>
      </c>
      <c r="D1186" t="s">
        <v>9</v>
      </c>
      <c r="E1186" t="s">
        <v>24</v>
      </c>
      <c r="F1186">
        <v>4159.3599999999997</v>
      </c>
      <c r="G1186">
        <f>INDEX(Operational[Production Volume (units)],MATCH(Emission8[[#This Row],[Facility ID]],Operational[Facility ID],0))</f>
        <v>59617</v>
      </c>
      <c r="H1186">
        <f>INDEX(Operational[Energy Consumption (MWh)],MATCH(Emission8[[#This Row],[Facility ID]],Operational[Facility ID],0))</f>
        <v>5000.95</v>
      </c>
      <c r="I1186">
        <f>INDEX(Operational[Waste (tons)],MATCH(Emission8[[#This Row],[Facility ID]],Operational[Facility ID],0))</f>
        <v>80.36</v>
      </c>
    </row>
    <row r="1187" spans="1:9" x14ac:dyDescent="0.3">
      <c r="A1187" t="s">
        <v>146</v>
      </c>
      <c r="B1187" t="s">
        <v>7</v>
      </c>
      <c r="C1187" t="s">
        <v>13</v>
      </c>
      <c r="D1187" t="s">
        <v>14</v>
      </c>
      <c r="E1187" t="s">
        <v>24</v>
      </c>
      <c r="F1187">
        <v>3142.22</v>
      </c>
      <c r="G1187">
        <f>INDEX(Operational[Production Volume (units)],MATCH(Emission8[[#This Row],[Facility ID]],Operational[Facility ID],0))</f>
        <v>14170</v>
      </c>
      <c r="H1187">
        <f>INDEX(Operational[Energy Consumption (MWh)],MATCH(Emission8[[#This Row],[Facility ID]],Operational[Facility ID],0))</f>
        <v>5455.23</v>
      </c>
      <c r="I1187">
        <f>INDEX(Operational[Waste (tons)],MATCH(Emission8[[#This Row],[Facility ID]],Operational[Facility ID],0))</f>
        <v>25.46</v>
      </c>
    </row>
    <row r="1188" spans="1:9" x14ac:dyDescent="0.3">
      <c r="A1188" t="s">
        <v>193</v>
      </c>
      <c r="B1188" t="s">
        <v>12</v>
      </c>
      <c r="C1188" t="s">
        <v>34</v>
      </c>
      <c r="D1188" t="s">
        <v>9</v>
      </c>
      <c r="E1188" t="s">
        <v>15</v>
      </c>
      <c r="F1188">
        <v>4654.5600000000004</v>
      </c>
      <c r="G1188">
        <f>INDEX(Operational[Production Volume (units)],MATCH(Emission8[[#This Row],[Facility ID]],Operational[Facility ID],0))</f>
        <v>13333</v>
      </c>
      <c r="H1188">
        <f>INDEX(Operational[Energy Consumption (MWh)],MATCH(Emission8[[#This Row],[Facility ID]],Operational[Facility ID],0))</f>
        <v>6102.15</v>
      </c>
      <c r="I1188">
        <f>INDEX(Operational[Waste (tons)],MATCH(Emission8[[#This Row],[Facility ID]],Operational[Facility ID],0))</f>
        <v>17.670000000000002</v>
      </c>
    </row>
    <row r="1189" spans="1:9" x14ac:dyDescent="0.3">
      <c r="A1189" t="s">
        <v>76</v>
      </c>
      <c r="B1189" t="s">
        <v>17</v>
      </c>
      <c r="C1189" t="s">
        <v>13</v>
      </c>
      <c r="D1189" t="s">
        <v>9</v>
      </c>
      <c r="E1189" t="s">
        <v>15</v>
      </c>
      <c r="F1189">
        <v>348.73</v>
      </c>
      <c r="G1189">
        <f>INDEX(Operational[Production Volume (units)],MATCH(Emission8[[#This Row],[Facility ID]],Operational[Facility ID],0))</f>
        <v>59617</v>
      </c>
      <c r="H1189">
        <f>INDEX(Operational[Energy Consumption (MWh)],MATCH(Emission8[[#This Row],[Facility ID]],Operational[Facility ID],0))</f>
        <v>5000.95</v>
      </c>
      <c r="I1189">
        <f>INDEX(Operational[Waste (tons)],MATCH(Emission8[[#This Row],[Facility ID]],Operational[Facility ID],0))</f>
        <v>80.36</v>
      </c>
    </row>
    <row r="1190" spans="1:9" x14ac:dyDescent="0.3">
      <c r="A1190" t="s">
        <v>109</v>
      </c>
      <c r="B1190" t="s">
        <v>12</v>
      </c>
      <c r="C1190" t="s">
        <v>23</v>
      </c>
      <c r="D1190" t="s">
        <v>14</v>
      </c>
      <c r="E1190" t="s">
        <v>15</v>
      </c>
      <c r="F1190">
        <v>4243.12</v>
      </c>
      <c r="G1190">
        <f>INDEX(Operational[Production Volume (units)],MATCH(Emission8[[#This Row],[Facility ID]],Operational[Facility ID],0))</f>
        <v>84721</v>
      </c>
      <c r="H1190">
        <f>INDEX(Operational[Energy Consumption (MWh)],MATCH(Emission8[[#This Row],[Facility ID]],Operational[Facility ID],0))</f>
        <v>2278.9699999999998</v>
      </c>
      <c r="I1190">
        <f>INDEX(Operational[Waste (tons)],MATCH(Emission8[[#This Row],[Facility ID]],Operational[Facility ID],0))</f>
        <v>68.53</v>
      </c>
    </row>
    <row r="1191" spans="1:9" x14ac:dyDescent="0.3">
      <c r="A1191" t="s">
        <v>52</v>
      </c>
      <c r="B1191" t="s">
        <v>19</v>
      </c>
      <c r="C1191" t="s">
        <v>8</v>
      </c>
      <c r="D1191" t="s">
        <v>14</v>
      </c>
      <c r="E1191" t="s">
        <v>24</v>
      </c>
      <c r="F1191">
        <v>4673.26</v>
      </c>
      <c r="G1191">
        <f>INDEX(Operational[Production Volume (units)],MATCH(Emission8[[#This Row],[Facility ID]],Operational[Facility ID],0))</f>
        <v>94949</v>
      </c>
      <c r="H1191">
        <f>INDEX(Operational[Energy Consumption (MWh)],MATCH(Emission8[[#This Row],[Facility ID]],Operational[Facility ID],0))</f>
        <v>9714.76</v>
      </c>
      <c r="I1191">
        <f>INDEX(Operational[Waste (tons)],MATCH(Emission8[[#This Row],[Facility ID]],Operational[Facility ID],0))</f>
        <v>64.900000000000006</v>
      </c>
    </row>
    <row r="1192" spans="1:9" x14ac:dyDescent="0.3">
      <c r="A1192" t="s">
        <v>85</v>
      </c>
      <c r="B1192" t="s">
        <v>30</v>
      </c>
      <c r="C1192" t="s">
        <v>8</v>
      </c>
      <c r="D1192" t="s">
        <v>28</v>
      </c>
      <c r="E1192" t="s">
        <v>10</v>
      </c>
      <c r="F1192">
        <v>1127.24</v>
      </c>
      <c r="G1192">
        <f>INDEX(Operational[Production Volume (units)],MATCH(Emission8[[#This Row],[Facility ID]],Operational[Facility ID],0))</f>
        <v>45519</v>
      </c>
      <c r="H1192">
        <f>INDEX(Operational[Energy Consumption (MWh)],MATCH(Emission8[[#This Row],[Facility ID]],Operational[Facility ID],0))</f>
        <v>7987.69</v>
      </c>
      <c r="I1192">
        <f>INDEX(Operational[Waste (tons)],MATCH(Emission8[[#This Row],[Facility ID]],Operational[Facility ID],0))</f>
        <v>10.86</v>
      </c>
    </row>
    <row r="1193" spans="1:9" x14ac:dyDescent="0.3">
      <c r="A1193" t="s">
        <v>185</v>
      </c>
      <c r="B1193" t="s">
        <v>30</v>
      </c>
      <c r="C1193" t="s">
        <v>34</v>
      </c>
      <c r="D1193" t="s">
        <v>9</v>
      </c>
      <c r="E1193" t="s">
        <v>24</v>
      </c>
      <c r="F1193">
        <v>884.52</v>
      </c>
      <c r="G1193">
        <f>INDEX(Operational[Production Volume (units)],MATCH(Emission8[[#This Row],[Facility ID]],Operational[Facility ID],0))</f>
        <v>24913</v>
      </c>
      <c r="H1193">
        <f>INDEX(Operational[Energy Consumption (MWh)],MATCH(Emission8[[#This Row],[Facility ID]],Operational[Facility ID],0))</f>
        <v>5727.27</v>
      </c>
      <c r="I1193">
        <f>INDEX(Operational[Waste (tons)],MATCH(Emission8[[#This Row],[Facility ID]],Operational[Facility ID],0))</f>
        <v>78.849999999999994</v>
      </c>
    </row>
    <row r="1194" spans="1:9" x14ac:dyDescent="0.3">
      <c r="A1194" t="s">
        <v>131</v>
      </c>
      <c r="B1194" t="s">
        <v>17</v>
      </c>
      <c r="C1194" t="s">
        <v>34</v>
      </c>
      <c r="D1194" t="s">
        <v>9</v>
      </c>
      <c r="E1194" t="s">
        <v>24</v>
      </c>
      <c r="F1194">
        <v>692.69</v>
      </c>
      <c r="G1194">
        <f>INDEX(Operational[Production Volume (units)],MATCH(Emission8[[#This Row],[Facility ID]],Operational[Facility ID],0))</f>
        <v>94128</v>
      </c>
      <c r="H1194">
        <f>INDEX(Operational[Energy Consumption (MWh)],MATCH(Emission8[[#This Row],[Facility ID]],Operational[Facility ID],0))</f>
        <v>8117.82</v>
      </c>
      <c r="I1194">
        <f>INDEX(Operational[Waste (tons)],MATCH(Emission8[[#This Row],[Facility ID]],Operational[Facility ID],0))</f>
        <v>73.83</v>
      </c>
    </row>
    <row r="1195" spans="1:9" x14ac:dyDescent="0.3">
      <c r="A1195" t="s">
        <v>149</v>
      </c>
      <c r="B1195" t="s">
        <v>17</v>
      </c>
      <c r="C1195" t="s">
        <v>8</v>
      </c>
      <c r="D1195" t="s">
        <v>9</v>
      </c>
      <c r="E1195" t="s">
        <v>15</v>
      </c>
      <c r="F1195">
        <v>1097.77</v>
      </c>
      <c r="G1195">
        <f>INDEX(Operational[Production Volume (units)],MATCH(Emission8[[#This Row],[Facility ID]],Operational[Facility ID],0))</f>
        <v>49885</v>
      </c>
      <c r="H1195">
        <f>INDEX(Operational[Energy Consumption (MWh)],MATCH(Emission8[[#This Row],[Facility ID]],Operational[Facility ID],0))</f>
        <v>6845.46</v>
      </c>
      <c r="I1195">
        <f>INDEX(Operational[Waste (tons)],MATCH(Emission8[[#This Row],[Facility ID]],Operational[Facility ID],0))</f>
        <v>58.4</v>
      </c>
    </row>
    <row r="1196" spans="1:9" x14ac:dyDescent="0.3">
      <c r="A1196" t="s">
        <v>41</v>
      </c>
      <c r="B1196" t="s">
        <v>30</v>
      </c>
      <c r="C1196" t="s">
        <v>8</v>
      </c>
      <c r="D1196" t="s">
        <v>9</v>
      </c>
      <c r="E1196" t="s">
        <v>15</v>
      </c>
      <c r="F1196">
        <v>3601.71</v>
      </c>
      <c r="G1196">
        <f>INDEX(Operational[Production Volume (units)],MATCH(Emission8[[#This Row],[Facility ID]],Operational[Facility ID],0))</f>
        <v>61743</v>
      </c>
      <c r="H1196">
        <f>INDEX(Operational[Energy Consumption (MWh)],MATCH(Emission8[[#This Row],[Facility ID]],Operational[Facility ID],0))</f>
        <v>7426.75</v>
      </c>
      <c r="I1196">
        <f>INDEX(Operational[Waste (tons)],MATCH(Emission8[[#This Row],[Facility ID]],Operational[Facility ID],0))</f>
        <v>26.39</v>
      </c>
    </row>
    <row r="1197" spans="1:9" x14ac:dyDescent="0.3">
      <c r="A1197" t="s">
        <v>130</v>
      </c>
      <c r="B1197" t="s">
        <v>12</v>
      </c>
      <c r="C1197" t="s">
        <v>23</v>
      </c>
      <c r="D1197" t="s">
        <v>14</v>
      </c>
      <c r="E1197" t="s">
        <v>15</v>
      </c>
      <c r="F1197">
        <v>4661.5</v>
      </c>
      <c r="G1197">
        <f>INDEX(Operational[Production Volume (units)],MATCH(Emission8[[#This Row],[Facility ID]],Operational[Facility ID],0))</f>
        <v>82332</v>
      </c>
      <c r="H1197">
        <f>INDEX(Operational[Energy Consumption (MWh)],MATCH(Emission8[[#This Row],[Facility ID]],Operational[Facility ID],0))</f>
        <v>7134.86</v>
      </c>
      <c r="I1197">
        <f>INDEX(Operational[Waste (tons)],MATCH(Emission8[[#This Row],[Facility ID]],Operational[Facility ID],0))</f>
        <v>22.44</v>
      </c>
    </row>
    <row r="1198" spans="1:9" x14ac:dyDescent="0.3">
      <c r="A1198" t="s">
        <v>25</v>
      </c>
      <c r="B1198" t="s">
        <v>19</v>
      </c>
      <c r="C1198" t="s">
        <v>23</v>
      </c>
      <c r="D1198" t="s">
        <v>14</v>
      </c>
      <c r="E1198" t="s">
        <v>10</v>
      </c>
      <c r="F1198">
        <v>4163.95</v>
      </c>
      <c r="G1198">
        <f>INDEX(Operational[Production Volume (units)],MATCH(Emission8[[#This Row],[Facility ID]],Operational[Facility ID],0))</f>
        <v>95306</v>
      </c>
      <c r="H1198">
        <f>INDEX(Operational[Energy Consumption (MWh)],MATCH(Emission8[[#This Row],[Facility ID]],Operational[Facility ID],0))</f>
        <v>9037.76</v>
      </c>
      <c r="I1198">
        <f>INDEX(Operational[Waste (tons)],MATCH(Emission8[[#This Row],[Facility ID]],Operational[Facility ID],0))</f>
        <v>13.35</v>
      </c>
    </row>
    <row r="1199" spans="1:9" x14ac:dyDescent="0.3">
      <c r="A1199" t="s">
        <v>40</v>
      </c>
      <c r="B1199" t="s">
        <v>19</v>
      </c>
      <c r="C1199" t="s">
        <v>23</v>
      </c>
      <c r="D1199" t="s">
        <v>14</v>
      </c>
      <c r="E1199" t="s">
        <v>15</v>
      </c>
      <c r="F1199">
        <v>2018.59</v>
      </c>
      <c r="G1199">
        <f>INDEX(Operational[Production Volume (units)],MATCH(Emission8[[#This Row],[Facility ID]],Operational[Facility ID],0))</f>
        <v>96474</v>
      </c>
      <c r="H1199">
        <f>INDEX(Operational[Energy Consumption (MWh)],MATCH(Emission8[[#This Row],[Facility ID]],Operational[Facility ID],0))</f>
        <v>7574.39</v>
      </c>
      <c r="I1199">
        <f>INDEX(Operational[Waste (tons)],MATCH(Emission8[[#This Row],[Facility ID]],Operational[Facility ID],0))</f>
        <v>95.54</v>
      </c>
    </row>
    <row r="1200" spans="1:9" x14ac:dyDescent="0.3">
      <c r="A1200" t="s">
        <v>118</v>
      </c>
      <c r="B1200" t="s">
        <v>30</v>
      </c>
      <c r="C1200" t="s">
        <v>13</v>
      </c>
      <c r="D1200" t="s">
        <v>28</v>
      </c>
      <c r="E1200" t="s">
        <v>10</v>
      </c>
      <c r="F1200">
        <v>1373.09</v>
      </c>
      <c r="G1200">
        <f>INDEX(Operational[Production Volume (units)],MATCH(Emission8[[#This Row],[Facility ID]],Operational[Facility ID],0))</f>
        <v>68492</v>
      </c>
      <c r="H1200">
        <f>INDEX(Operational[Energy Consumption (MWh)],MATCH(Emission8[[#This Row],[Facility ID]],Operational[Facility ID],0))</f>
        <v>3533.88</v>
      </c>
      <c r="I1200">
        <f>INDEX(Operational[Waste (tons)],MATCH(Emission8[[#This Row],[Facility ID]],Operational[Facility ID],0))</f>
        <v>52.99</v>
      </c>
    </row>
    <row r="1201" spans="1:9" x14ac:dyDescent="0.3">
      <c r="A1201" t="s">
        <v>65</v>
      </c>
      <c r="B1201" t="s">
        <v>30</v>
      </c>
      <c r="C1201" t="s">
        <v>13</v>
      </c>
      <c r="D1201" t="s">
        <v>14</v>
      </c>
      <c r="E1201" t="s">
        <v>10</v>
      </c>
      <c r="F1201">
        <v>1419.59</v>
      </c>
      <c r="G1201">
        <f>INDEX(Operational[Production Volume (units)],MATCH(Emission8[[#This Row],[Facility ID]],Operational[Facility ID],0))</f>
        <v>99026</v>
      </c>
      <c r="H1201">
        <f>INDEX(Operational[Energy Consumption (MWh)],MATCH(Emission8[[#This Row],[Facility ID]],Operational[Facility ID],0))</f>
        <v>5453.2</v>
      </c>
      <c r="I1201">
        <f>INDEX(Operational[Waste (tons)],MATCH(Emission8[[#This Row],[Facility ID]],Operational[Facility ID],0))</f>
        <v>57.49</v>
      </c>
    </row>
    <row r="1202" spans="1:9" x14ac:dyDescent="0.3">
      <c r="A1202" t="s">
        <v>47</v>
      </c>
      <c r="B1202" t="s">
        <v>30</v>
      </c>
      <c r="C1202" t="s">
        <v>34</v>
      </c>
      <c r="D1202" t="s">
        <v>14</v>
      </c>
      <c r="E1202" t="s">
        <v>24</v>
      </c>
      <c r="F1202">
        <v>3946.93</v>
      </c>
      <c r="G1202">
        <f>INDEX(Operational[Production Volume (units)],MATCH(Emission8[[#This Row],[Facility ID]],Operational[Facility ID],0))</f>
        <v>53661</v>
      </c>
      <c r="H1202">
        <f>INDEX(Operational[Energy Consumption (MWh)],MATCH(Emission8[[#This Row],[Facility ID]],Operational[Facility ID],0))</f>
        <v>6965.81</v>
      </c>
      <c r="I1202">
        <f>INDEX(Operational[Waste (tons)],MATCH(Emission8[[#This Row],[Facility ID]],Operational[Facility ID],0))</f>
        <v>69.400000000000006</v>
      </c>
    </row>
    <row r="1203" spans="1:9" x14ac:dyDescent="0.3">
      <c r="A1203" t="s">
        <v>32</v>
      </c>
      <c r="B1203" t="s">
        <v>7</v>
      </c>
      <c r="C1203" t="s">
        <v>34</v>
      </c>
      <c r="D1203" t="s">
        <v>14</v>
      </c>
      <c r="E1203" t="s">
        <v>24</v>
      </c>
      <c r="F1203">
        <v>685.73</v>
      </c>
      <c r="G1203">
        <f>INDEX(Operational[Production Volume (units)],MATCH(Emission8[[#This Row],[Facility ID]],Operational[Facility ID],0))</f>
        <v>10933</v>
      </c>
      <c r="H1203">
        <f>INDEX(Operational[Energy Consumption (MWh)],MATCH(Emission8[[#This Row],[Facility ID]],Operational[Facility ID],0))</f>
        <v>9004.3700000000008</v>
      </c>
      <c r="I1203">
        <f>INDEX(Operational[Waste (tons)],MATCH(Emission8[[#This Row],[Facility ID]],Operational[Facility ID],0))</f>
        <v>26.84</v>
      </c>
    </row>
    <row r="1204" spans="1:9" x14ac:dyDescent="0.3">
      <c r="A1204" t="s">
        <v>108</v>
      </c>
      <c r="B1204" t="s">
        <v>7</v>
      </c>
      <c r="C1204" t="s">
        <v>8</v>
      </c>
      <c r="D1204" t="s">
        <v>14</v>
      </c>
      <c r="E1204" t="s">
        <v>10</v>
      </c>
      <c r="F1204">
        <v>4879.25</v>
      </c>
      <c r="G1204">
        <f>INDEX(Operational[Production Volume (units)],MATCH(Emission8[[#This Row],[Facility ID]],Operational[Facility ID],0))</f>
        <v>22201</v>
      </c>
      <c r="H1204">
        <f>INDEX(Operational[Energy Consumption (MWh)],MATCH(Emission8[[#This Row],[Facility ID]],Operational[Facility ID],0))</f>
        <v>2853.66</v>
      </c>
      <c r="I1204">
        <f>INDEX(Operational[Waste (tons)],MATCH(Emission8[[#This Row],[Facility ID]],Operational[Facility ID],0))</f>
        <v>71.94</v>
      </c>
    </row>
    <row r="1205" spans="1:9" x14ac:dyDescent="0.3">
      <c r="A1205" t="s">
        <v>64</v>
      </c>
      <c r="B1205" t="s">
        <v>30</v>
      </c>
      <c r="C1205" t="s">
        <v>8</v>
      </c>
      <c r="D1205" t="s">
        <v>9</v>
      </c>
      <c r="E1205" t="s">
        <v>10</v>
      </c>
      <c r="F1205">
        <v>3667.49</v>
      </c>
      <c r="G1205">
        <f>INDEX(Operational[Production Volume (units)],MATCH(Emission8[[#This Row],[Facility ID]],Operational[Facility ID],0))</f>
        <v>52836</v>
      </c>
      <c r="H1205">
        <f>INDEX(Operational[Energy Consumption (MWh)],MATCH(Emission8[[#This Row],[Facility ID]],Operational[Facility ID],0))</f>
        <v>9330.2999999999993</v>
      </c>
      <c r="I1205">
        <f>INDEX(Operational[Waste (tons)],MATCH(Emission8[[#This Row],[Facility ID]],Operational[Facility ID],0))</f>
        <v>87.27</v>
      </c>
    </row>
    <row r="1206" spans="1:9" x14ac:dyDescent="0.3">
      <c r="A1206" t="s">
        <v>150</v>
      </c>
      <c r="B1206" t="s">
        <v>30</v>
      </c>
      <c r="C1206" t="s">
        <v>13</v>
      </c>
      <c r="D1206" t="s">
        <v>28</v>
      </c>
      <c r="E1206" t="s">
        <v>15</v>
      </c>
      <c r="F1206">
        <v>1085.32</v>
      </c>
      <c r="G1206">
        <f>INDEX(Operational[Production Volume (units)],MATCH(Emission8[[#This Row],[Facility ID]],Operational[Facility ID],0))</f>
        <v>98356</v>
      </c>
      <c r="H1206">
        <f>INDEX(Operational[Energy Consumption (MWh)],MATCH(Emission8[[#This Row],[Facility ID]],Operational[Facility ID],0))</f>
        <v>6968.69</v>
      </c>
      <c r="I1206">
        <f>INDEX(Operational[Waste (tons)],MATCH(Emission8[[#This Row],[Facility ID]],Operational[Facility ID],0))</f>
        <v>81.72</v>
      </c>
    </row>
    <row r="1207" spans="1:9" x14ac:dyDescent="0.3">
      <c r="A1207" t="s">
        <v>175</v>
      </c>
      <c r="B1207" t="s">
        <v>7</v>
      </c>
      <c r="C1207" t="s">
        <v>23</v>
      </c>
      <c r="D1207" t="s">
        <v>14</v>
      </c>
      <c r="E1207" t="s">
        <v>10</v>
      </c>
      <c r="F1207">
        <v>4510.42</v>
      </c>
      <c r="G1207">
        <f>INDEX(Operational[Production Volume (units)],MATCH(Emission8[[#This Row],[Facility ID]],Operational[Facility ID],0))</f>
        <v>83923</v>
      </c>
      <c r="H1207">
        <f>INDEX(Operational[Energy Consumption (MWh)],MATCH(Emission8[[#This Row],[Facility ID]],Operational[Facility ID],0))</f>
        <v>8768.7999999999993</v>
      </c>
      <c r="I1207">
        <f>INDEX(Operational[Waste (tons)],MATCH(Emission8[[#This Row],[Facility ID]],Operational[Facility ID],0))</f>
        <v>65.290000000000006</v>
      </c>
    </row>
    <row r="1208" spans="1:9" x14ac:dyDescent="0.3">
      <c r="A1208" t="s">
        <v>84</v>
      </c>
      <c r="B1208" t="s">
        <v>30</v>
      </c>
      <c r="C1208" t="s">
        <v>34</v>
      </c>
      <c r="D1208" t="s">
        <v>14</v>
      </c>
      <c r="E1208" t="s">
        <v>24</v>
      </c>
      <c r="F1208">
        <v>499.33</v>
      </c>
      <c r="G1208">
        <f>INDEX(Operational[Production Volume (units)],MATCH(Emission8[[#This Row],[Facility ID]],Operational[Facility ID],0))</f>
        <v>85444</v>
      </c>
      <c r="H1208">
        <f>INDEX(Operational[Energy Consumption (MWh)],MATCH(Emission8[[#This Row],[Facility ID]],Operational[Facility ID],0))</f>
        <v>852.57</v>
      </c>
      <c r="I1208">
        <f>INDEX(Operational[Waste (tons)],MATCH(Emission8[[#This Row],[Facility ID]],Operational[Facility ID],0))</f>
        <v>72.650000000000006</v>
      </c>
    </row>
    <row r="1209" spans="1:9" x14ac:dyDescent="0.3">
      <c r="A1209" t="s">
        <v>153</v>
      </c>
      <c r="B1209" t="s">
        <v>7</v>
      </c>
      <c r="C1209" t="s">
        <v>8</v>
      </c>
      <c r="D1209" t="s">
        <v>9</v>
      </c>
      <c r="E1209" t="s">
        <v>15</v>
      </c>
      <c r="F1209">
        <v>1951.92</v>
      </c>
      <c r="G1209">
        <f>INDEX(Operational[Production Volume (units)],MATCH(Emission8[[#This Row],[Facility ID]],Operational[Facility ID],0))</f>
        <v>21388</v>
      </c>
      <c r="H1209">
        <f>INDEX(Operational[Energy Consumption (MWh)],MATCH(Emission8[[#This Row],[Facility ID]],Operational[Facility ID],0))</f>
        <v>5249.39</v>
      </c>
      <c r="I1209">
        <f>INDEX(Operational[Waste (tons)],MATCH(Emission8[[#This Row],[Facility ID]],Operational[Facility ID],0))</f>
        <v>64.2</v>
      </c>
    </row>
    <row r="1210" spans="1:9" x14ac:dyDescent="0.3">
      <c r="A1210" t="s">
        <v>93</v>
      </c>
      <c r="B1210" t="s">
        <v>30</v>
      </c>
      <c r="C1210" t="s">
        <v>23</v>
      </c>
      <c r="D1210" t="s">
        <v>9</v>
      </c>
      <c r="E1210" t="s">
        <v>15</v>
      </c>
      <c r="F1210">
        <v>1473.59</v>
      </c>
      <c r="G1210">
        <f>INDEX(Operational[Production Volume (units)],MATCH(Emission8[[#This Row],[Facility ID]],Operational[Facility ID],0))</f>
        <v>26378</v>
      </c>
      <c r="H1210">
        <f>INDEX(Operational[Energy Consumption (MWh)],MATCH(Emission8[[#This Row],[Facility ID]],Operational[Facility ID],0))</f>
        <v>2915.44</v>
      </c>
      <c r="I1210">
        <f>INDEX(Operational[Waste (tons)],MATCH(Emission8[[#This Row],[Facility ID]],Operational[Facility ID],0))</f>
        <v>29.84</v>
      </c>
    </row>
    <row r="1211" spans="1:9" x14ac:dyDescent="0.3">
      <c r="A1211" t="s">
        <v>97</v>
      </c>
      <c r="B1211" t="s">
        <v>7</v>
      </c>
      <c r="C1211" t="s">
        <v>13</v>
      </c>
      <c r="D1211" t="s">
        <v>14</v>
      </c>
      <c r="E1211" t="s">
        <v>15</v>
      </c>
      <c r="F1211">
        <v>3545.05</v>
      </c>
      <c r="G1211">
        <f>INDEX(Operational[Production Volume (units)],MATCH(Emission8[[#This Row],[Facility ID]],Operational[Facility ID],0))</f>
        <v>78624</v>
      </c>
      <c r="H1211">
        <f>INDEX(Operational[Energy Consumption (MWh)],MATCH(Emission8[[#This Row],[Facility ID]],Operational[Facility ID],0))</f>
        <v>2373.27</v>
      </c>
      <c r="I1211">
        <f>INDEX(Operational[Waste (tons)],MATCH(Emission8[[#This Row],[Facility ID]],Operational[Facility ID],0))</f>
        <v>25.07</v>
      </c>
    </row>
    <row r="1212" spans="1:9" x14ac:dyDescent="0.3">
      <c r="A1212" t="s">
        <v>115</v>
      </c>
      <c r="B1212" t="s">
        <v>19</v>
      </c>
      <c r="C1212" t="s">
        <v>34</v>
      </c>
      <c r="D1212" t="s">
        <v>28</v>
      </c>
      <c r="E1212" t="s">
        <v>24</v>
      </c>
      <c r="F1212">
        <v>84.78</v>
      </c>
      <c r="G1212">
        <f>INDEX(Operational[Production Volume (units)],MATCH(Emission8[[#This Row],[Facility ID]],Operational[Facility ID],0))</f>
        <v>17162</v>
      </c>
      <c r="H1212">
        <f>INDEX(Operational[Energy Consumption (MWh)],MATCH(Emission8[[#This Row],[Facility ID]],Operational[Facility ID],0))</f>
        <v>5079.95</v>
      </c>
      <c r="I1212">
        <f>INDEX(Operational[Waste (tons)],MATCH(Emission8[[#This Row],[Facility ID]],Operational[Facility ID],0))</f>
        <v>19.239999999999998</v>
      </c>
    </row>
    <row r="1213" spans="1:9" x14ac:dyDescent="0.3">
      <c r="A1213" t="s">
        <v>102</v>
      </c>
      <c r="B1213" t="s">
        <v>19</v>
      </c>
      <c r="C1213" t="s">
        <v>23</v>
      </c>
      <c r="D1213" t="s">
        <v>28</v>
      </c>
      <c r="E1213" t="s">
        <v>10</v>
      </c>
      <c r="F1213">
        <v>1941.65</v>
      </c>
      <c r="G1213">
        <f>INDEX(Operational[Production Volume (units)],MATCH(Emission8[[#This Row],[Facility ID]],Operational[Facility ID],0))</f>
        <v>86263</v>
      </c>
      <c r="H1213">
        <f>INDEX(Operational[Energy Consumption (MWh)],MATCH(Emission8[[#This Row],[Facility ID]],Operational[Facility ID],0))</f>
        <v>3213.71</v>
      </c>
      <c r="I1213">
        <f>INDEX(Operational[Waste (tons)],MATCH(Emission8[[#This Row],[Facility ID]],Operational[Facility ID],0))</f>
        <v>98.39</v>
      </c>
    </row>
    <row r="1214" spans="1:9" x14ac:dyDescent="0.3">
      <c r="A1214" t="s">
        <v>191</v>
      </c>
      <c r="B1214" t="s">
        <v>12</v>
      </c>
      <c r="C1214" t="s">
        <v>34</v>
      </c>
      <c r="D1214" t="s">
        <v>14</v>
      </c>
      <c r="E1214" t="s">
        <v>10</v>
      </c>
      <c r="F1214">
        <v>2646.36</v>
      </c>
      <c r="G1214">
        <f>INDEX(Operational[Production Volume (units)],MATCH(Emission8[[#This Row],[Facility ID]],Operational[Facility ID],0))</f>
        <v>43346</v>
      </c>
      <c r="H1214">
        <f>INDEX(Operational[Energy Consumption (MWh)],MATCH(Emission8[[#This Row],[Facility ID]],Operational[Facility ID],0))</f>
        <v>5559.12</v>
      </c>
      <c r="I1214">
        <f>INDEX(Operational[Waste (tons)],MATCH(Emission8[[#This Row],[Facility ID]],Operational[Facility ID],0))</f>
        <v>39.4</v>
      </c>
    </row>
    <row r="1215" spans="1:9" x14ac:dyDescent="0.3">
      <c r="A1215" t="s">
        <v>101</v>
      </c>
      <c r="B1215" t="s">
        <v>19</v>
      </c>
      <c r="C1215" t="s">
        <v>23</v>
      </c>
      <c r="D1215" t="s">
        <v>9</v>
      </c>
      <c r="E1215" t="s">
        <v>24</v>
      </c>
      <c r="F1215">
        <v>1257.08</v>
      </c>
      <c r="G1215">
        <f>INDEX(Operational[Production Volume (units)],MATCH(Emission8[[#This Row],[Facility ID]],Operational[Facility ID],0))</f>
        <v>39050</v>
      </c>
      <c r="H1215">
        <f>INDEX(Operational[Energy Consumption (MWh)],MATCH(Emission8[[#This Row],[Facility ID]],Operational[Facility ID],0))</f>
        <v>5885.73</v>
      </c>
      <c r="I1215">
        <f>INDEX(Operational[Waste (tons)],MATCH(Emission8[[#This Row],[Facility ID]],Operational[Facility ID],0))</f>
        <v>93.04</v>
      </c>
    </row>
    <row r="1216" spans="1:9" x14ac:dyDescent="0.3">
      <c r="A1216" t="s">
        <v>49</v>
      </c>
      <c r="B1216" t="s">
        <v>19</v>
      </c>
      <c r="C1216" t="s">
        <v>13</v>
      </c>
      <c r="D1216" t="s">
        <v>14</v>
      </c>
      <c r="E1216" t="s">
        <v>10</v>
      </c>
      <c r="F1216">
        <v>4445.1499999999996</v>
      </c>
      <c r="G1216">
        <f>INDEX(Operational[Production Volume (units)],MATCH(Emission8[[#This Row],[Facility ID]],Operational[Facility ID],0))</f>
        <v>50306</v>
      </c>
      <c r="H1216">
        <f>INDEX(Operational[Energy Consumption (MWh)],MATCH(Emission8[[#This Row],[Facility ID]],Operational[Facility ID],0))</f>
        <v>7031.37</v>
      </c>
      <c r="I1216">
        <f>INDEX(Operational[Waste (tons)],MATCH(Emission8[[#This Row],[Facility ID]],Operational[Facility ID],0))</f>
        <v>13.27</v>
      </c>
    </row>
    <row r="1217" spans="1:9" x14ac:dyDescent="0.3">
      <c r="A1217" t="s">
        <v>84</v>
      </c>
      <c r="B1217" t="s">
        <v>30</v>
      </c>
      <c r="C1217" t="s">
        <v>13</v>
      </c>
      <c r="D1217" t="s">
        <v>28</v>
      </c>
      <c r="E1217" t="s">
        <v>15</v>
      </c>
      <c r="F1217">
        <v>3717.99</v>
      </c>
      <c r="G1217">
        <f>INDEX(Operational[Production Volume (units)],MATCH(Emission8[[#This Row],[Facility ID]],Operational[Facility ID],0))</f>
        <v>85444</v>
      </c>
      <c r="H1217">
        <f>INDEX(Operational[Energy Consumption (MWh)],MATCH(Emission8[[#This Row],[Facility ID]],Operational[Facility ID],0))</f>
        <v>852.57</v>
      </c>
      <c r="I1217">
        <f>INDEX(Operational[Waste (tons)],MATCH(Emission8[[#This Row],[Facility ID]],Operational[Facility ID],0))</f>
        <v>72.650000000000006</v>
      </c>
    </row>
    <row r="1218" spans="1:9" x14ac:dyDescent="0.3">
      <c r="A1218" t="s">
        <v>196</v>
      </c>
      <c r="B1218" t="s">
        <v>30</v>
      </c>
      <c r="C1218" t="s">
        <v>23</v>
      </c>
      <c r="D1218" t="s">
        <v>9</v>
      </c>
      <c r="E1218" t="s">
        <v>24</v>
      </c>
      <c r="F1218">
        <v>4588.6400000000003</v>
      </c>
      <c r="G1218">
        <f>INDEX(Operational[Production Volume (units)],MATCH(Emission8[[#This Row],[Facility ID]],Operational[Facility ID],0))</f>
        <v>12262</v>
      </c>
      <c r="H1218">
        <f>INDEX(Operational[Energy Consumption (MWh)],MATCH(Emission8[[#This Row],[Facility ID]],Operational[Facility ID],0))</f>
        <v>7106.18</v>
      </c>
      <c r="I1218">
        <f>INDEX(Operational[Waste (tons)],MATCH(Emission8[[#This Row],[Facility ID]],Operational[Facility ID],0))</f>
        <v>45.69</v>
      </c>
    </row>
    <row r="1219" spans="1:9" x14ac:dyDescent="0.3">
      <c r="A1219" t="s">
        <v>161</v>
      </c>
      <c r="B1219" t="s">
        <v>7</v>
      </c>
      <c r="C1219" t="s">
        <v>8</v>
      </c>
      <c r="D1219" t="s">
        <v>9</v>
      </c>
      <c r="E1219" t="s">
        <v>10</v>
      </c>
      <c r="F1219">
        <v>1806.88</v>
      </c>
      <c r="G1219">
        <f>INDEX(Operational[Production Volume (units)],MATCH(Emission8[[#This Row],[Facility ID]],Operational[Facility ID],0))</f>
        <v>15788</v>
      </c>
      <c r="H1219">
        <f>INDEX(Operational[Energy Consumption (MWh)],MATCH(Emission8[[#This Row],[Facility ID]],Operational[Facility ID],0))</f>
        <v>1824.14</v>
      </c>
      <c r="I1219">
        <f>INDEX(Operational[Waste (tons)],MATCH(Emission8[[#This Row],[Facility ID]],Operational[Facility ID],0))</f>
        <v>52.78</v>
      </c>
    </row>
    <row r="1220" spans="1:9" x14ac:dyDescent="0.3">
      <c r="A1220" t="s">
        <v>83</v>
      </c>
      <c r="B1220" t="s">
        <v>17</v>
      </c>
      <c r="C1220" t="s">
        <v>8</v>
      </c>
      <c r="D1220" t="s">
        <v>9</v>
      </c>
      <c r="E1220" t="s">
        <v>15</v>
      </c>
      <c r="F1220">
        <v>1893.45</v>
      </c>
      <c r="G1220">
        <f>INDEX(Operational[Production Volume (units)],MATCH(Emission8[[#This Row],[Facility ID]],Operational[Facility ID],0))</f>
        <v>30934</v>
      </c>
      <c r="H1220">
        <f>INDEX(Operational[Energy Consumption (MWh)],MATCH(Emission8[[#This Row],[Facility ID]],Operational[Facility ID],0))</f>
        <v>4175.6499999999996</v>
      </c>
      <c r="I1220">
        <f>INDEX(Operational[Waste (tons)],MATCH(Emission8[[#This Row],[Facility ID]],Operational[Facility ID],0))</f>
        <v>77.290000000000006</v>
      </c>
    </row>
    <row r="1221" spans="1:9" x14ac:dyDescent="0.3">
      <c r="A1221" t="s">
        <v>87</v>
      </c>
      <c r="B1221" t="s">
        <v>12</v>
      </c>
      <c r="C1221" t="s">
        <v>23</v>
      </c>
      <c r="D1221" t="s">
        <v>28</v>
      </c>
      <c r="E1221" t="s">
        <v>15</v>
      </c>
      <c r="F1221">
        <v>2906.15</v>
      </c>
      <c r="G1221">
        <f>INDEX(Operational[Production Volume (units)],MATCH(Emission8[[#This Row],[Facility ID]],Operational[Facility ID],0))</f>
        <v>15333</v>
      </c>
      <c r="H1221">
        <f>INDEX(Operational[Energy Consumption (MWh)],MATCH(Emission8[[#This Row],[Facility ID]],Operational[Facility ID],0))</f>
        <v>2570.54</v>
      </c>
      <c r="I1221">
        <f>INDEX(Operational[Waste (tons)],MATCH(Emission8[[#This Row],[Facility ID]],Operational[Facility ID],0))</f>
        <v>41.07</v>
      </c>
    </row>
    <row r="1222" spans="1:9" x14ac:dyDescent="0.3">
      <c r="A1222" t="s">
        <v>205</v>
      </c>
      <c r="B1222" t="s">
        <v>17</v>
      </c>
      <c r="C1222" t="s">
        <v>23</v>
      </c>
      <c r="D1222" t="s">
        <v>9</v>
      </c>
      <c r="E1222" t="s">
        <v>10</v>
      </c>
      <c r="F1222">
        <v>4352.62</v>
      </c>
      <c r="G1222">
        <f>INDEX(Operational[Production Volume (units)],MATCH(Emission8[[#This Row],[Facility ID]],Operational[Facility ID],0))</f>
        <v>52594</v>
      </c>
      <c r="H1222">
        <f>INDEX(Operational[Energy Consumption (MWh)],MATCH(Emission8[[#This Row],[Facility ID]],Operational[Facility ID],0))</f>
        <v>8715.0400000000009</v>
      </c>
      <c r="I1222">
        <f>INDEX(Operational[Waste (tons)],MATCH(Emission8[[#This Row],[Facility ID]],Operational[Facility ID],0))</f>
        <v>90.54</v>
      </c>
    </row>
    <row r="1223" spans="1:9" x14ac:dyDescent="0.3">
      <c r="A1223" t="s">
        <v>40</v>
      </c>
      <c r="B1223" t="s">
        <v>19</v>
      </c>
      <c r="C1223" t="s">
        <v>8</v>
      </c>
      <c r="D1223" t="s">
        <v>14</v>
      </c>
      <c r="E1223" t="s">
        <v>10</v>
      </c>
      <c r="F1223">
        <v>750.01</v>
      </c>
      <c r="G1223">
        <f>INDEX(Operational[Production Volume (units)],MATCH(Emission8[[#This Row],[Facility ID]],Operational[Facility ID],0))</f>
        <v>96474</v>
      </c>
      <c r="H1223">
        <f>INDEX(Operational[Energy Consumption (MWh)],MATCH(Emission8[[#This Row],[Facility ID]],Operational[Facility ID],0))</f>
        <v>7574.39</v>
      </c>
      <c r="I1223">
        <f>INDEX(Operational[Waste (tons)],MATCH(Emission8[[#This Row],[Facility ID]],Operational[Facility ID],0))</f>
        <v>95.54</v>
      </c>
    </row>
    <row r="1224" spans="1:9" x14ac:dyDescent="0.3">
      <c r="A1224" t="s">
        <v>78</v>
      </c>
      <c r="B1224" t="s">
        <v>7</v>
      </c>
      <c r="C1224" t="s">
        <v>13</v>
      </c>
      <c r="D1224" t="s">
        <v>28</v>
      </c>
      <c r="E1224" t="s">
        <v>15</v>
      </c>
      <c r="F1224">
        <v>1435.13</v>
      </c>
      <c r="G1224">
        <f>INDEX(Operational[Production Volume (units)],MATCH(Emission8[[#This Row],[Facility ID]],Operational[Facility ID],0))</f>
        <v>86557</v>
      </c>
      <c r="H1224">
        <f>INDEX(Operational[Energy Consumption (MWh)],MATCH(Emission8[[#This Row],[Facility ID]],Operational[Facility ID],0))</f>
        <v>8631.2800000000007</v>
      </c>
      <c r="I1224">
        <f>INDEX(Operational[Waste (tons)],MATCH(Emission8[[#This Row],[Facility ID]],Operational[Facility ID],0))</f>
        <v>69.53</v>
      </c>
    </row>
    <row r="1225" spans="1:9" x14ac:dyDescent="0.3">
      <c r="A1225" t="s">
        <v>181</v>
      </c>
      <c r="B1225" t="s">
        <v>30</v>
      </c>
      <c r="C1225" t="s">
        <v>13</v>
      </c>
      <c r="D1225" t="s">
        <v>14</v>
      </c>
      <c r="E1225" t="s">
        <v>24</v>
      </c>
      <c r="F1225">
        <v>3346.28</v>
      </c>
      <c r="G1225">
        <f>INDEX(Operational[Production Volume (units)],MATCH(Emission8[[#This Row],[Facility ID]],Operational[Facility ID],0))</f>
        <v>28704</v>
      </c>
      <c r="H1225">
        <f>INDEX(Operational[Energy Consumption (MWh)],MATCH(Emission8[[#This Row],[Facility ID]],Operational[Facility ID],0))</f>
        <v>6009.24</v>
      </c>
      <c r="I1225">
        <f>INDEX(Operational[Waste (tons)],MATCH(Emission8[[#This Row],[Facility ID]],Operational[Facility ID],0))</f>
        <v>39.31</v>
      </c>
    </row>
    <row r="1226" spans="1:9" x14ac:dyDescent="0.3">
      <c r="A1226" t="s">
        <v>74</v>
      </c>
      <c r="B1226" t="s">
        <v>19</v>
      </c>
      <c r="C1226" t="s">
        <v>8</v>
      </c>
      <c r="D1226" t="s">
        <v>9</v>
      </c>
      <c r="E1226" t="s">
        <v>15</v>
      </c>
      <c r="F1226">
        <v>3975.69</v>
      </c>
      <c r="G1226">
        <f>INDEX(Operational[Production Volume (units)],MATCH(Emission8[[#This Row],[Facility ID]],Operational[Facility ID],0))</f>
        <v>18175</v>
      </c>
      <c r="H1226">
        <f>INDEX(Operational[Energy Consumption (MWh)],MATCH(Emission8[[#This Row],[Facility ID]],Operational[Facility ID],0))</f>
        <v>8349.49</v>
      </c>
      <c r="I1226">
        <f>INDEX(Operational[Waste (tons)],MATCH(Emission8[[#This Row],[Facility ID]],Operational[Facility ID],0))</f>
        <v>39.97</v>
      </c>
    </row>
    <row r="1227" spans="1:9" x14ac:dyDescent="0.3">
      <c r="A1227" t="s">
        <v>88</v>
      </c>
      <c r="B1227" t="s">
        <v>7</v>
      </c>
      <c r="C1227" t="s">
        <v>23</v>
      </c>
      <c r="D1227" t="s">
        <v>14</v>
      </c>
      <c r="E1227" t="s">
        <v>24</v>
      </c>
      <c r="F1227">
        <v>3453.13</v>
      </c>
      <c r="G1227">
        <f>INDEX(Operational[Production Volume (units)],MATCH(Emission8[[#This Row],[Facility ID]],Operational[Facility ID],0))</f>
        <v>44825</v>
      </c>
      <c r="H1227">
        <f>INDEX(Operational[Energy Consumption (MWh)],MATCH(Emission8[[#This Row],[Facility ID]],Operational[Facility ID],0))</f>
        <v>6023.03</v>
      </c>
      <c r="I1227">
        <f>INDEX(Operational[Waste (tons)],MATCH(Emission8[[#This Row],[Facility ID]],Operational[Facility ID],0))</f>
        <v>27.2</v>
      </c>
    </row>
    <row r="1228" spans="1:9" x14ac:dyDescent="0.3">
      <c r="A1228" t="s">
        <v>151</v>
      </c>
      <c r="B1228" t="s">
        <v>12</v>
      </c>
      <c r="C1228" t="s">
        <v>34</v>
      </c>
      <c r="D1228" t="s">
        <v>9</v>
      </c>
      <c r="E1228" t="s">
        <v>24</v>
      </c>
      <c r="F1228">
        <v>626.03</v>
      </c>
      <c r="G1228">
        <f>INDEX(Operational[Production Volume (units)],MATCH(Emission8[[#This Row],[Facility ID]],Operational[Facility ID],0))</f>
        <v>61207</v>
      </c>
      <c r="H1228">
        <f>INDEX(Operational[Energy Consumption (MWh)],MATCH(Emission8[[#This Row],[Facility ID]],Operational[Facility ID],0))</f>
        <v>6922.33</v>
      </c>
      <c r="I1228">
        <f>INDEX(Operational[Waste (tons)],MATCH(Emission8[[#This Row],[Facility ID]],Operational[Facility ID],0))</f>
        <v>9.1999999999999993</v>
      </c>
    </row>
    <row r="1229" spans="1:9" x14ac:dyDescent="0.3">
      <c r="A1229" t="s">
        <v>123</v>
      </c>
      <c r="B1229" t="s">
        <v>30</v>
      </c>
      <c r="C1229" t="s">
        <v>13</v>
      </c>
      <c r="D1229" t="s">
        <v>14</v>
      </c>
      <c r="E1229" t="s">
        <v>15</v>
      </c>
      <c r="F1229">
        <v>3255.93</v>
      </c>
      <c r="G1229">
        <f>INDEX(Operational[Production Volume (units)],MATCH(Emission8[[#This Row],[Facility ID]],Operational[Facility ID],0))</f>
        <v>73977</v>
      </c>
      <c r="H1229">
        <f>INDEX(Operational[Energy Consumption (MWh)],MATCH(Emission8[[#This Row],[Facility ID]],Operational[Facility ID],0))</f>
        <v>1646.75</v>
      </c>
      <c r="I1229">
        <f>INDEX(Operational[Waste (tons)],MATCH(Emission8[[#This Row],[Facility ID]],Operational[Facility ID],0))</f>
        <v>43.77</v>
      </c>
    </row>
    <row r="1230" spans="1:9" x14ac:dyDescent="0.3">
      <c r="A1230" t="s">
        <v>219</v>
      </c>
      <c r="B1230" t="s">
        <v>12</v>
      </c>
      <c r="C1230" t="s">
        <v>8</v>
      </c>
      <c r="D1230" t="s">
        <v>28</v>
      </c>
      <c r="E1230" t="s">
        <v>24</v>
      </c>
      <c r="F1230">
        <v>4437.74</v>
      </c>
      <c r="G1230">
        <f>INDEX(Operational[Production Volume (units)],MATCH(Emission8[[#This Row],[Facility ID]],Operational[Facility ID],0))</f>
        <v>84524</v>
      </c>
      <c r="H1230">
        <f>INDEX(Operational[Energy Consumption (MWh)],MATCH(Emission8[[#This Row],[Facility ID]],Operational[Facility ID],0))</f>
        <v>9350.11</v>
      </c>
      <c r="I1230">
        <f>INDEX(Operational[Waste (tons)],MATCH(Emission8[[#This Row],[Facility ID]],Operational[Facility ID],0))</f>
        <v>27.53</v>
      </c>
    </row>
    <row r="1231" spans="1:9" x14ac:dyDescent="0.3">
      <c r="A1231" t="s">
        <v>62</v>
      </c>
      <c r="B1231" t="s">
        <v>30</v>
      </c>
      <c r="C1231" t="s">
        <v>23</v>
      </c>
      <c r="D1231" t="s">
        <v>28</v>
      </c>
      <c r="E1231" t="s">
        <v>10</v>
      </c>
      <c r="F1231">
        <v>1531</v>
      </c>
      <c r="G1231">
        <f>INDEX(Operational[Production Volume (units)],MATCH(Emission8[[#This Row],[Facility ID]],Operational[Facility ID],0))</f>
        <v>22309</v>
      </c>
      <c r="H1231">
        <f>INDEX(Operational[Energy Consumption (MWh)],MATCH(Emission8[[#This Row],[Facility ID]],Operational[Facility ID],0))</f>
        <v>3656.29</v>
      </c>
      <c r="I1231">
        <f>INDEX(Operational[Waste (tons)],MATCH(Emission8[[#This Row],[Facility ID]],Operational[Facility ID],0))</f>
        <v>75.25</v>
      </c>
    </row>
    <row r="1232" spans="1:9" x14ac:dyDescent="0.3">
      <c r="A1232" t="s">
        <v>142</v>
      </c>
      <c r="B1232" t="s">
        <v>17</v>
      </c>
      <c r="C1232" t="s">
        <v>8</v>
      </c>
      <c r="D1232" t="s">
        <v>28</v>
      </c>
      <c r="E1232" t="s">
        <v>24</v>
      </c>
      <c r="F1232">
        <v>3938.07</v>
      </c>
      <c r="G1232">
        <f>INDEX(Operational[Production Volume (units)],MATCH(Emission8[[#This Row],[Facility ID]],Operational[Facility ID],0))</f>
        <v>75736</v>
      </c>
      <c r="H1232">
        <f>INDEX(Operational[Energy Consumption (MWh)],MATCH(Emission8[[#This Row],[Facility ID]],Operational[Facility ID],0))</f>
        <v>6287.07</v>
      </c>
      <c r="I1232">
        <f>INDEX(Operational[Waste (tons)],MATCH(Emission8[[#This Row],[Facility ID]],Operational[Facility ID],0))</f>
        <v>63.11</v>
      </c>
    </row>
    <row r="1233" spans="1:9" x14ac:dyDescent="0.3">
      <c r="A1233" t="s">
        <v>141</v>
      </c>
      <c r="B1233" t="s">
        <v>7</v>
      </c>
      <c r="C1233" t="s">
        <v>13</v>
      </c>
      <c r="D1233" t="s">
        <v>14</v>
      </c>
      <c r="E1233" t="s">
        <v>10</v>
      </c>
      <c r="F1233">
        <v>1999.93</v>
      </c>
      <c r="G1233">
        <f>INDEX(Operational[Production Volume (units)],MATCH(Emission8[[#This Row],[Facility ID]],Operational[Facility ID],0))</f>
        <v>45644</v>
      </c>
      <c r="H1233">
        <f>INDEX(Operational[Energy Consumption (MWh)],MATCH(Emission8[[#This Row],[Facility ID]],Operational[Facility ID],0))</f>
        <v>7724.73</v>
      </c>
      <c r="I1233">
        <f>INDEX(Operational[Waste (tons)],MATCH(Emission8[[#This Row],[Facility ID]],Operational[Facility ID],0))</f>
        <v>31</v>
      </c>
    </row>
    <row r="1234" spans="1:9" x14ac:dyDescent="0.3">
      <c r="A1234" t="s">
        <v>214</v>
      </c>
      <c r="B1234" t="s">
        <v>30</v>
      </c>
      <c r="C1234" t="s">
        <v>13</v>
      </c>
      <c r="D1234" t="s">
        <v>9</v>
      </c>
      <c r="E1234" t="s">
        <v>15</v>
      </c>
      <c r="F1234">
        <v>379.85</v>
      </c>
      <c r="G1234">
        <f>INDEX(Operational[Production Volume (units)],MATCH(Emission8[[#This Row],[Facility ID]],Operational[Facility ID],0))</f>
        <v>79330</v>
      </c>
      <c r="H1234">
        <f>INDEX(Operational[Energy Consumption (MWh)],MATCH(Emission8[[#This Row],[Facility ID]],Operational[Facility ID],0))</f>
        <v>6075.23</v>
      </c>
      <c r="I1234">
        <f>INDEX(Operational[Waste (tons)],MATCH(Emission8[[#This Row],[Facility ID]],Operational[Facility ID],0))</f>
        <v>83.97</v>
      </c>
    </row>
    <row r="1235" spans="1:9" x14ac:dyDescent="0.3">
      <c r="A1235" t="s">
        <v>55</v>
      </c>
      <c r="B1235" t="s">
        <v>12</v>
      </c>
      <c r="C1235" t="s">
        <v>13</v>
      </c>
      <c r="D1235" t="s">
        <v>9</v>
      </c>
      <c r="E1235" t="s">
        <v>24</v>
      </c>
      <c r="F1235">
        <v>4069.54</v>
      </c>
      <c r="G1235">
        <f>INDEX(Operational[Production Volume (units)],MATCH(Emission8[[#This Row],[Facility ID]],Operational[Facility ID],0))</f>
        <v>38181</v>
      </c>
      <c r="H1235">
        <f>INDEX(Operational[Energy Consumption (MWh)],MATCH(Emission8[[#This Row],[Facility ID]],Operational[Facility ID],0))</f>
        <v>691.84</v>
      </c>
      <c r="I1235">
        <f>INDEX(Operational[Waste (tons)],MATCH(Emission8[[#This Row],[Facility ID]],Operational[Facility ID],0))</f>
        <v>33.53</v>
      </c>
    </row>
    <row r="1236" spans="1:9" x14ac:dyDescent="0.3">
      <c r="A1236" t="s">
        <v>171</v>
      </c>
      <c r="B1236" t="s">
        <v>17</v>
      </c>
      <c r="C1236" t="s">
        <v>34</v>
      </c>
      <c r="D1236" t="s">
        <v>28</v>
      </c>
      <c r="E1236" t="s">
        <v>15</v>
      </c>
      <c r="F1236">
        <v>2664.95</v>
      </c>
      <c r="G1236">
        <f>INDEX(Operational[Production Volume (units)],MATCH(Emission8[[#This Row],[Facility ID]],Operational[Facility ID],0))</f>
        <v>24502</v>
      </c>
      <c r="H1236">
        <f>INDEX(Operational[Energy Consumption (MWh)],MATCH(Emission8[[#This Row],[Facility ID]],Operational[Facility ID],0))</f>
        <v>7466.86</v>
      </c>
      <c r="I1236">
        <f>INDEX(Operational[Waste (tons)],MATCH(Emission8[[#This Row],[Facility ID]],Operational[Facility ID],0))</f>
        <v>88.83</v>
      </c>
    </row>
    <row r="1237" spans="1:9" x14ac:dyDescent="0.3">
      <c r="A1237" t="s">
        <v>160</v>
      </c>
      <c r="B1237" t="s">
        <v>30</v>
      </c>
      <c r="C1237" t="s">
        <v>34</v>
      </c>
      <c r="D1237" t="s">
        <v>9</v>
      </c>
      <c r="E1237" t="s">
        <v>15</v>
      </c>
      <c r="F1237">
        <v>1975.28</v>
      </c>
      <c r="G1237">
        <f>INDEX(Operational[Production Volume (units)],MATCH(Emission8[[#This Row],[Facility ID]],Operational[Facility ID],0))</f>
        <v>18341</v>
      </c>
      <c r="H1237">
        <f>INDEX(Operational[Energy Consumption (MWh)],MATCH(Emission8[[#This Row],[Facility ID]],Operational[Facility ID],0))</f>
        <v>8465.57</v>
      </c>
      <c r="I1237">
        <f>INDEX(Operational[Waste (tons)],MATCH(Emission8[[#This Row],[Facility ID]],Operational[Facility ID],0))</f>
        <v>38.39</v>
      </c>
    </row>
    <row r="1238" spans="1:9" x14ac:dyDescent="0.3">
      <c r="A1238" t="s">
        <v>215</v>
      </c>
      <c r="B1238" t="s">
        <v>17</v>
      </c>
      <c r="C1238" t="s">
        <v>8</v>
      </c>
      <c r="D1238" t="s">
        <v>14</v>
      </c>
      <c r="E1238" t="s">
        <v>24</v>
      </c>
      <c r="F1238">
        <v>4697.13</v>
      </c>
      <c r="G1238">
        <f>INDEX(Operational[Production Volume (units)],MATCH(Emission8[[#This Row],[Facility ID]],Operational[Facility ID],0))</f>
        <v>72813</v>
      </c>
      <c r="H1238">
        <f>INDEX(Operational[Energy Consumption (MWh)],MATCH(Emission8[[#This Row],[Facility ID]],Operational[Facility ID],0))</f>
        <v>8818.16</v>
      </c>
      <c r="I1238">
        <f>INDEX(Operational[Waste (tons)],MATCH(Emission8[[#This Row],[Facility ID]],Operational[Facility ID],0))</f>
        <v>54.12</v>
      </c>
    </row>
    <row r="1239" spans="1:9" x14ac:dyDescent="0.3">
      <c r="A1239" t="s">
        <v>204</v>
      </c>
      <c r="B1239" t="s">
        <v>30</v>
      </c>
      <c r="C1239" t="s">
        <v>13</v>
      </c>
      <c r="D1239" t="s">
        <v>14</v>
      </c>
      <c r="E1239" t="s">
        <v>15</v>
      </c>
      <c r="F1239">
        <v>2932.94</v>
      </c>
      <c r="G1239">
        <f>INDEX(Operational[Production Volume (units)],MATCH(Emission8[[#This Row],[Facility ID]],Operational[Facility ID],0))</f>
        <v>36423</v>
      </c>
      <c r="H1239">
        <f>INDEX(Operational[Energy Consumption (MWh)],MATCH(Emission8[[#This Row],[Facility ID]],Operational[Facility ID],0))</f>
        <v>589.96</v>
      </c>
      <c r="I1239">
        <f>INDEX(Operational[Waste (tons)],MATCH(Emission8[[#This Row],[Facility ID]],Operational[Facility ID],0))</f>
        <v>30.9</v>
      </c>
    </row>
    <row r="1240" spans="1:9" x14ac:dyDescent="0.3">
      <c r="A1240" t="s">
        <v>190</v>
      </c>
      <c r="B1240" t="s">
        <v>17</v>
      </c>
      <c r="C1240" t="s">
        <v>8</v>
      </c>
      <c r="D1240" t="s">
        <v>28</v>
      </c>
      <c r="E1240" t="s">
        <v>15</v>
      </c>
      <c r="F1240">
        <v>1869.13</v>
      </c>
      <c r="G1240">
        <f>INDEX(Operational[Production Volume (units)],MATCH(Emission8[[#This Row],[Facility ID]],Operational[Facility ID],0))</f>
        <v>41953</v>
      </c>
      <c r="H1240">
        <f>INDEX(Operational[Energy Consumption (MWh)],MATCH(Emission8[[#This Row],[Facility ID]],Operational[Facility ID],0))</f>
        <v>2379.14</v>
      </c>
      <c r="I1240">
        <f>INDEX(Operational[Waste (tons)],MATCH(Emission8[[#This Row],[Facility ID]],Operational[Facility ID],0))</f>
        <v>65.67</v>
      </c>
    </row>
    <row r="1241" spans="1:9" x14ac:dyDescent="0.3">
      <c r="A1241" t="s">
        <v>87</v>
      </c>
      <c r="B1241" t="s">
        <v>12</v>
      </c>
      <c r="C1241" t="s">
        <v>8</v>
      </c>
      <c r="D1241" t="s">
        <v>14</v>
      </c>
      <c r="E1241" t="s">
        <v>15</v>
      </c>
      <c r="F1241">
        <v>3433.46</v>
      </c>
      <c r="G1241">
        <f>INDEX(Operational[Production Volume (units)],MATCH(Emission8[[#This Row],[Facility ID]],Operational[Facility ID],0))</f>
        <v>15333</v>
      </c>
      <c r="H1241">
        <f>INDEX(Operational[Energy Consumption (MWh)],MATCH(Emission8[[#This Row],[Facility ID]],Operational[Facility ID],0))</f>
        <v>2570.54</v>
      </c>
      <c r="I1241">
        <f>INDEX(Operational[Waste (tons)],MATCH(Emission8[[#This Row],[Facility ID]],Operational[Facility ID],0))</f>
        <v>41.07</v>
      </c>
    </row>
    <row r="1242" spans="1:9" x14ac:dyDescent="0.3">
      <c r="A1242" t="s">
        <v>218</v>
      </c>
      <c r="B1242" t="s">
        <v>17</v>
      </c>
      <c r="C1242" t="s">
        <v>23</v>
      </c>
      <c r="D1242" t="s">
        <v>14</v>
      </c>
      <c r="E1242" t="s">
        <v>10</v>
      </c>
      <c r="F1242">
        <v>3234.84</v>
      </c>
      <c r="G1242">
        <f>INDEX(Operational[Production Volume (units)],MATCH(Emission8[[#This Row],[Facility ID]],Operational[Facility ID],0))</f>
        <v>22525</v>
      </c>
      <c r="H1242">
        <f>INDEX(Operational[Energy Consumption (MWh)],MATCH(Emission8[[#This Row],[Facility ID]],Operational[Facility ID],0))</f>
        <v>9465.65</v>
      </c>
      <c r="I1242">
        <f>INDEX(Operational[Waste (tons)],MATCH(Emission8[[#This Row],[Facility ID]],Operational[Facility ID],0))</f>
        <v>37.79</v>
      </c>
    </row>
    <row r="1243" spans="1:9" x14ac:dyDescent="0.3">
      <c r="A1243" t="s">
        <v>31</v>
      </c>
      <c r="B1243" t="s">
        <v>30</v>
      </c>
      <c r="C1243" t="s">
        <v>8</v>
      </c>
      <c r="D1243" t="s">
        <v>14</v>
      </c>
      <c r="E1243" t="s">
        <v>24</v>
      </c>
      <c r="F1243">
        <v>2947.36</v>
      </c>
      <c r="G1243">
        <f>INDEX(Operational[Production Volume (units)],MATCH(Emission8[[#This Row],[Facility ID]],Operational[Facility ID],0))</f>
        <v>84851</v>
      </c>
      <c r="H1243">
        <f>INDEX(Operational[Energy Consumption (MWh)],MATCH(Emission8[[#This Row],[Facility ID]],Operational[Facility ID],0))</f>
        <v>560.75</v>
      </c>
      <c r="I1243">
        <f>INDEX(Operational[Waste (tons)],MATCH(Emission8[[#This Row],[Facility ID]],Operational[Facility ID],0))</f>
        <v>80.23</v>
      </c>
    </row>
    <row r="1244" spans="1:9" x14ac:dyDescent="0.3">
      <c r="A1244" t="s">
        <v>204</v>
      </c>
      <c r="B1244" t="s">
        <v>30</v>
      </c>
      <c r="C1244" t="s">
        <v>34</v>
      </c>
      <c r="D1244" t="s">
        <v>9</v>
      </c>
      <c r="E1244" t="s">
        <v>24</v>
      </c>
      <c r="F1244">
        <v>4189.46</v>
      </c>
      <c r="G1244">
        <f>INDEX(Operational[Production Volume (units)],MATCH(Emission8[[#This Row],[Facility ID]],Operational[Facility ID],0))</f>
        <v>36423</v>
      </c>
      <c r="H1244">
        <f>INDEX(Operational[Energy Consumption (MWh)],MATCH(Emission8[[#This Row],[Facility ID]],Operational[Facility ID],0))</f>
        <v>589.96</v>
      </c>
      <c r="I1244">
        <f>INDEX(Operational[Waste (tons)],MATCH(Emission8[[#This Row],[Facility ID]],Operational[Facility ID],0))</f>
        <v>30.9</v>
      </c>
    </row>
    <row r="1245" spans="1:9" x14ac:dyDescent="0.3">
      <c r="A1245" t="s">
        <v>31</v>
      </c>
      <c r="B1245" t="s">
        <v>30</v>
      </c>
      <c r="C1245" t="s">
        <v>8</v>
      </c>
      <c r="D1245" t="s">
        <v>14</v>
      </c>
      <c r="E1245" t="s">
        <v>15</v>
      </c>
      <c r="F1245">
        <v>4346.51</v>
      </c>
      <c r="G1245">
        <f>INDEX(Operational[Production Volume (units)],MATCH(Emission8[[#This Row],[Facility ID]],Operational[Facility ID],0))</f>
        <v>84851</v>
      </c>
      <c r="H1245">
        <f>INDEX(Operational[Energy Consumption (MWh)],MATCH(Emission8[[#This Row],[Facility ID]],Operational[Facility ID],0))</f>
        <v>560.75</v>
      </c>
      <c r="I1245">
        <f>INDEX(Operational[Waste (tons)],MATCH(Emission8[[#This Row],[Facility ID]],Operational[Facility ID],0))</f>
        <v>80.23</v>
      </c>
    </row>
    <row r="1246" spans="1:9" x14ac:dyDescent="0.3">
      <c r="A1246" t="s">
        <v>124</v>
      </c>
      <c r="B1246" t="s">
        <v>12</v>
      </c>
      <c r="C1246" t="s">
        <v>34</v>
      </c>
      <c r="D1246" t="s">
        <v>14</v>
      </c>
      <c r="E1246" t="s">
        <v>15</v>
      </c>
      <c r="F1246">
        <v>1356.94</v>
      </c>
      <c r="G1246">
        <f>INDEX(Operational[Production Volume (units)],MATCH(Emission8[[#This Row],[Facility ID]],Operational[Facility ID],0))</f>
        <v>47491</v>
      </c>
      <c r="H1246">
        <f>INDEX(Operational[Energy Consumption (MWh)],MATCH(Emission8[[#This Row],[Facility ID]],Operational[Facility ID],0))</f>
        <v>5781.05</v>
      </c>
      <c r="I1246">
        <f>INDEX(Operational[Waste (tons)],MATCH(Emission8[[#This Row],[Facility ID]],Operational[Facility ID],0))</f>
        <v>92.18</v>
      </c>
    </row>
    <row r="1247" spans="1:9" x14ac:dyDescent="0.3">
      <c r="A1247" t="s">
        <v>197</v>
      </c>
      <c r="B1247" t="s">
        <v>30</v>
      </c>
      <c r="C1247" t="s">
        <v>8</v>
      </c>
      <c r="D1247" t="s">
        <v>28</v>
      </c>
      <c r="E1247" t="s">
        <v>10</v>
      </c>
      <c r="F1247">
        <v>50.06</v>
      </c>
      <c r="G1247">
        <f>INDEX(Operational[Production Volume (units)],MATCH(Emission8[[#This Row],[Facility ID]],Operational[Facility ID],0))</f>
        <v>56752</v>
      </c>
      <c r="H1247">
        <f>INDEX(Operational[Energy Consumption (MWh)],MATCH(Emission8[[#This Row],[Facility ID]],Operational[Facility ID],0))</f>
        <v>4177.68</v>
      </c>
      <c r="I1247">
        <f>INDEX(Operational[Waste (tons)],MATCH(Emission8[[#This Row],[Facility ID]],Operational[Facility ID],0))</f>
        <v>10.96</v>
      </c>
    </row>
    <row r="1248" spans="1:9" x14ac:dyDescent="0.3">
      <c r="A1248" t="s">
        <v>202</v>
      </c>
      <c r="B1248" t="s">
        <v>12</v>
      </c>
      <c r="C1248" t="s">
        <v>13</v>
      </c>
      <c r="D1248" t="s">
        <v>28</v>
      </c>
      <c r="E1248" t="s">
        <v>15</v>
      </c>
      <c r="F1248">
        <v>3795.55</v>
      </c>
      <c r="G1248">
        <f>INDEX(Operational[Production Volume (units)],MATCH(Emission8[[#This Row],[Facility ID]],Operational[Facility ID],0))</f>
        <v>28400</v>
      </c>
      <c r="H1248">
        <f>INDEX(Operational[Energy Consumption (MWh)],MATCH(Emission8[[#This Row],[Facility ID]],Operational[Facility ID],0))</f>
        <v>3056.67</v>
      </c>
      <c r="I1248">
        <f>INDEX(Operational[Waste (tons)],MATCH(Emission8[[#This Row],[Facility ID]],Operational[Facility ID],0))</f>
        <v>52.68</v>
      </c>
    </row>
    <row r="1249" spans="1:9" x14ac:dyDescent="0.3">
      <c r="A1249" t="s">
        <v>60</v>
      </c>
      <c r="B1249" t="s">
        <v>12</v>
      </c>
      <c r="C1249" t="s">
        <v>34</v>
      </c>
      <c r="D1249" t="s">
        <v>9</v>
      </c>
      <c r="E1249" t="s">
        <v>10</v>
      </c>
      <c r="F1249">
        <v>4134.21</v>
      </c>
      <c r="G1249">
        <f>INDEX(Operational[Production Volume (units)],MATCH(Emission8[[#This Row],[Facility ID]],Operational[Facility ID],0))</f>
        <v>25148</v>
      </c>
      <c r="H1249">
        <f>INDEX(Operational[Energy Consumption (MWh)],MATCH(Emission8[[#This Row],[Facility ID]],Operational[Facility ID],0))</f>
        <v>9604.5499999999993</v>
      </c>
      <c r="I1249">
        <f>INDEX(Operational[Waste (tons)],MATCH(Emission8[[#This Row],[Facility ID]],Operational[Facility ID],0))</f>
        <v>63.47</v>
      </c>
    </row>
    <row r="1250" spans="1:9" x14ac:dyDescent="0.3">
      <c r="A1250" t="s">
        <v>214</v>
      </c>
      <c r="B1250" t="s">
        <v>30</v>
      </c>
      <c r="C1250" t="s">
        <v>34</v>
      </c>
      <c r="D1250" t="s">
        <v>9</v>
      </c>
      <c r="E1250" t="s">
        <v>24</v>
      </c>
      <c r="F1250">
        <v>2597.36</v>
      </c>
      <c r="G1250">
        <f>INDEX(Operational[Production Volume (units)],MATCH(Emission8[[#This Row],[Facility ID]],Operational[Facility ID],0))</f>
        <v>79330</v>
      </c>
      <c r="H1250">
        <f>INDEX(Operational[Energy Consumption (MWh)],MATCH(Emission8[[#This Row],[Facility ID]],Operational[Facility ID],0))</f>
        <v>6075.23</v>
      </c>
      <c r="I1250">
        <f>INDEX(Operational[Waste (tons)],MATCH(Emission8[[#This Row],[Facility ID]],Operational[Facility ID],0))</f>
        <v>83.97</v>
      </c>
    </row>
    <row r="1251" spans="1:9" x14ac:dyDescent="0.3">
      <c r="A1251" t="s">
        <v>219</v>
      </c>
      <c r="B1251" t="s">
        <v>12</v>
      </c>
      <c r="C1251" t="s">
        <v>8</v>
      </c>
      <c r="D1251" t="s">
        <v>14</v>
      </c>
      <c r="E1251" t="s">
        <v>24</v>
      </c>
      <c r="F1251">
        <v>2151.91</v>
      </c>
      <c r="G1251">
        <f>INDEX(Operational[Production Volume (units)],MATCH(Emission8[[#This Row],[Facility ID]],Operational[Facility ID],0))</f>
        <v>84524</v>
      </c>
      <c r="H1251">
        <f>INDEX(Operational[Energy Consumption (MWh)],MATCH(Emission8[[#This Row],[Facility ID]],Operational[Facility ID],0))</f>
        <v>9350.11</v>
      </c>
      <c r="I1251">
        <f>INDEX(Operational[Waste (tons)],MATCH(Emission8[[#This Row],[Facility ID]],Operational[Facility ID],0))</f>
        <v>27.53</v>
      </c>
    </row>
    <row r="1252" spans="1:9" x14ac:dyDescent="0.3">
      <c r="A1252" t="s">
        <v>164</v>
      </c>
      <c r="B1252" t="s">
        <v>19</v>
      </c>
      <c r="C1252" t="s">
        <v>34</v>
      </c>
      <c r="D1252" t="s">
        <v>14</v>
      </c>
      <c r="E1252" t="s">
        <v>10</v>
      </c>
      <c r="F1252">
        <v>3338.56</v>
      </c>
      <c r="G1252">
        <f>INDEX(Operational[Production Volume (units)],MATCH(Emission8[[#This Row],[Facility ID]],Operational[Facility ID],0))</f>
        <v>69636</v>
      </c>
      <c r="H1252">
        <f>INDEX(Operational[Energy Consumption (MWh)],MATCH(Emission8[[#This Row],[Facility ID]],Operational[Facility ID],0))</f>
        <v>4246.55</v>
      </c>
      <c r="I1252">
        <f>INDEX(Operational[Waste (tons)],MATCH(Emission8[[#This Row],[Facility ID]],Operational[Facility ID],0))</f>
        <v>69.290000000000006</v>
      </c>
    </row>
    <row r="1253" spans="1:9" x14ac:dyDescent="0.3">
      <c r="A1253" t="s">
        <v>123</v>
      </c>
      <c r="B1253" t="s">
        <v>30</v>
      </c>
      <c r="C1253" t="s">
        <v>23</v>
      </c>
      <c r="D1253" t="s">
        <v>9</v>
      </c>
      <c r="E1253" t="s">
        <v>15</v>
      </c>
      <c r="F1253">
        <v>284.86</v>
      </c>
      <c r="G1253">
        <f>INDEX(Operational[Production Volume (units)],MATCH(Emission8[[#This Row],[Facility ID]],Operational[Facility ID],0))</f>
        <v>73977</v>
      </c>
      <c r="H1253">
        <f>INDEX(Operational[Energy Consumption (MWh)],MATCH(Emission8[[#This Row],[Facility ID]],Operational[Facility ID],0))</f>
        <v>1646.75</v>
      </c>
      <c r="I1253">
        <f>INDEX(Operational[Waste (tons)],MATCH(Emission8[[#This Row],[Facility ID]],Operational[Facility ID],0))</f>
        <v>43.77</v>
      </c>
    </row>
    <row r="1254" spans="1:9" x14ac:dyDescent="0.3">
      <c r="A1254" t="s">
        <v>149</v>
      </c>
      <c r="B1254" t="s">
        <v>17</v>
      </c>
      <c r="C1254" t="s">
        <v>34</v>
      </c>
      <c r="D1254" t="s">
        <v>14</v>
      </c>
      <c r="E1254" t="s">
        <v>15</v>
      </c>
      <c r="F1254">
        <v>4418.62</v>
      </c>
      <c r="G1254">
        <f>INDEX(Operational[Production Volume (units)],MATCH(Emission8[[#This Row],[Facility ID]],Operational[Facility ID],0))</f>
        <v>49885</v>
      </c>
      <c r="H1254">
        <f>INDEX(Operational[Energy Consumption (MWh)],MATCH(Emission8[[#This Row],[Facility ID]],Operational[Facility ID],0))</f>
        <v>6845.46</v>
      </c>
      <c r="I1254">
        <f>INDEX(Operational[Waste (tons)],MATCH(Emission8[[#This Row],[Facility ID]],Operational[Facility ID],0))</f>
        <v>58.4</v>
      </c>
    </row>
    <row r="1255" spans="1:9" x14ac:dyDescent="0.3">
      <c r="A1255" t="s">
        <v>194</v>
      </c>
      <c r="B1255" t="s">
        <v>17</v>
      </c>
      <c r="C1255" t="s">
        <v>23</v>
      </c>
      <c r="D1255" t="s">
        <v>14</v>
      </c>
      <c r="E1255" t="s">
        <v>24</v>
      </c>
      <c r="F1255">
        <v>1452.21</v>
      </c>
      <c r="G1255">
        <f>INDEX(Operational[Production Volume (units)],MATCH(Emission8[[#This Row],[Facility ID]],Operational[Facility ID],0))</f>
        <v>95165</v>
      </c>
      <c r="H1255">
        <f>INDEX(Operational[Energy Consumption (MWh)],MATCH(Emission8[[#This Row],[Facility ID]],Operational[Facility ID],0))</f>
        <v>8562.76</v>
      </c>
      <c r="I1255">
        <f>INDEX(Operational[Waste (tons)],MATCH(Emission8[[#This Row],[Facility ID]],Operational[Facility ID],0))</f>
        <v>37.54</v>
      </c>
    </row>
    <row r="1256" spans="1:9" x14ac:dyDescent="0.3">
      <c r="A1256" t="s">
        <v>35</v>
      </c>
      <c r="B1256" t="s">
        <v>19</v>
      </c>
      <c r="C1256" t="s">
        <v>23</v>
      </c>
      <c r="D1256" t="s">
        <v>28</v>
      </c>
      <c r="E1256" t="s">
        <v>15</v>
      </c>
      <c r="F1256">
        <v>1001.43</v>
      </c>
      <c r="G1256">
        <f>INDEX(Operational[Production Volume (units)],MATCH(Emission8[[#This Row],[Facility ID]],Operational[Facility ID],0))</f>
        <v>42382</v>
      </c>
      <c r="H1256">
        <f>INDEX(Operational[Energy Consumption (MWh)],MATCH(Emission8[[#This Row],[Facility ID]],Operational[Facility ID],0))</f>
        <v>5116.6899999999996</v>
      </c>
      <c r="I1256">
        <f>INDEX(Operational[Waste (tons)],MATCH(Emission8[[#This Row],[Facility ID]],Operational[Facility ID],0))</f>
        <v>80.42</v>
      </c>
    </row>
    <row r="1257" spans="1:9" x14ac:dyDescent="0.3">
      <c r="A1257" t="s">
        <v>123</v>
      </c>
      <c r="B1257" t="s">
        <v>30</v>
      </c>
      <c r="C1257" t="s">
        <v>8</v>
      </c>
      <c r="D1257" t="s">
        <v>28</v>
      </c>
      <c r="E1257" t="s">
        <v>15</v>
      </c>
      <c r="F1257">
        <v>3280.78</v>
      </c>
      <c r="G1257">
        <f>INDEX(Operational[Production Volume (units)],MATCH(Emission8[[#This Row],[Facility ID]],Operational[Facility ID],0))</f>
        <v>73977</v>
      </c>
      <c r="H1257">
        <f>INDEX(Operational[Energy Consumption (MWh)],MATCH(Emission8[[#This Row],[Facility ID]],Operational[Facility ID],0))</f>
        <v>1646.75</v>
      </c>
      <c r="I1257">
        <f>INDEX(Operational[Waste (tons)],MATCH(Emission8[[#This Row],[Facility ID]],Operational[Facility ID],0))</f>
        <v>43.77</v>
      </c>
    </row>
    <row r="1258" spans="1:9" x14ac:dyDescent="0.3">
      <c r="A1258" t="s">
        <v>209</v>
      </c>
      <c r="B1258" t="s">
        <v>7</v>
      </c>
      <c r="C1258" t="s">
        <v>8</v>
      </c>
      <c r="D1258" t="s">
        <v>14</v>
      </c>
      <c r="E1258" t="s">
        <v>24</v>
      </c>
      <c r="F1258">
        <v>2429.6</v>
      </c>
      <c r="G1258">
        <f>INDEX(Operational[Production Volume (units)],MATCH(Emission8[[#This Row],[Facility ID]],Operational[Facility ID],0))</f>
        <v>52357</v>
      </c>
      <c r="H1258">
        <f>INDEX(Operational[Energy Consumption (MWh)],MATCH(Emission8[[#This Row],[Facility ID]],Operational[Facility ID],0))</f>
        <v>5643.16</v>
      </c>
      <c r="I1258">
        <f>INDEX(Operational[Waste (tons)],MATCH(Emission8[[#This Row],[Facility ID]],Operational[Facility ID],0))</f>
        <v>37.130000000000003</v>
      </c>
    </row>
    <row r="1259" spans="1:9" x14ac:dyDescent="0.3">
      <c r="A1259" t="s">
        <v>103</v>
      </c>
      <c r="B1259" t="s">
        <v>19</v>
      </c>
      <c r="C1259" t="s">
        <v>13</v>
      </c>
      <c r="D1259" t="s">
        <v>9</v>
      </c>
      <c r="E1259" t="s">
        <v>10</v>
      </c>
      <c r="F1259">
        <v>4025.99</v>
      </c>
      <c r="G1259">
        <f>INDEX(Operational[Production Volume (units)],MATCH(Emission8[[#This Row],[Facility ID]],Operational[Facility ID],0))</f>
        <v>38869</v>
      </c>
      <c r="H1259">
        <f>INDEX(Operational[Energy Consumption (MWh)],MATCH(Emission8[[#This Row],[Facility ID]],Operational[Facility ID],0))</f>
        <v>5109.76</v>
      </c>
      <c r="I1259">
        <f>INDEX(Operational[Waste (tons)],MATCH(Emission8[[#This Row],[Facility ID]],Operational[Facility ID],0))</f>
        <v>35.270000000000003</v>
      </c>
    </row>
    <row r="1260" spans="1:9" x14ac:dyDescent="0.3">
      <c r="A1260" t="s">
        <v>209</v>
      </c>
      <c r="B1260" t="s">
        <v>7</v>
      </c>
      <c r="C1260" t="s">
        <v>13</v>
      </c>
      <c r="D1260" t="s">
        <v>14</v>
      </c>
      <c r="E1260" t="s">
        <v>15</v>
      </c>
      <c r="F1260">
        <v>1880.25</v>
      </c>
      <c r="G1260">
        <f>INDEX(Operational[Production Volume (units)],MATCH(Emission8[[#This Row],[Facility ID]],Operational[Facility ID],0))</f>
        <v>52357</v>
      </c>
      <c r="H1260">
        <f>INDEX(Operational[Energy Consumption (MWh)],MATCH(Emission8[[#This Row],[Facility ID]],Operational[Facility ID],0))</f>
        <v>5643.16</v>
      </c>
      <c r="I1260">
        <f>INDEX(Operational[Waste (tons)],MATCH(Emission8[[#This Row],[Facility ID]],Operational[Facility ID],0))</f>
        <v>37.130000000000003</v>
      </c>
    </row>
    <row r="1261" spans="1:9" x14ac:dyDescent="0.3">
      <c r="A1261" t="s">
        <v>132</v>
      </c>
      <c r="B1261" t="s">
        <v>19</v>
      </c>
      <c r="C1261" t="s">
        <v>23</v>
      </c>
      <c r="D1261" t="s">
        <v>28</v>
      </c>
      <c r="E1261" t="s">
        <v>15</v>
      </c>
      <c r="F1261">
        <v>3107.51</v>
      </c>
      <c r="G1261">
        <f>INDEX(Operational[Production Volume (units)],MATCH(Emission8[[#This Row],[Facility ID]],Operational[Facility ID],0))</f>
        <v>29860</v>
      </c>
      <c r="H1261">
        <f>INDEX(Operational[Energy Consumption (MWh)],MATCH(Emission8[[#This Row],[Facility ID]],Operational[Facility ID],0))</f>
        <v>3956.23</v>
      </c>
      <c r="I1261">
        <f>INDEX(Operational[Waste (tons)],MATCH(Emission8[[#This Row],[Facility ID]],Operational[Facility ID],0))</f>
        <v>57.5</v>
      </c>
    </row>
    <row r="1262" spans="1:9" x14ac:dyDescent="0.3">
      <c r="A1262" t="s">
        <v>107</v>
      </c>
      <c r="B1262" t="s">
        <v>30</v>
      </c>
      <c r="C1262" t="s">
        <v>23</v>
      </c>
      <c r="D1262" t="s">
        <v>9</v>
      </c>
      <c r="E1262" t="s">
        <v>15</v>
      </c>
      <c r="F1262">
        <v>1430.94</v>
      </c>
      <c r="G1262">
        <f>INDEX(Operational[Production Volume (units)],MATCH(Emission8[[#This Row],[Facility ID]],Operational[Facility ID],0))</f>
        <v>69305</v>
      </c>
      <c r="H1262">
        <f>INDEX(Operational[Energy Consumption (MWh)],MATCH(Emission8[[#This Row],[Facility ID]],Operational[Facility ID],0))</f>
        <v>3203.67</v>
      </c>
      <c r="I1262">
        <f>INDEX(Operational[Waste (tons)],MATCH(Emission8[[#This Row],[Facility ID]],Operational[Facility ID],0))</f>
        <v>83.65</v>
      </c>
    </row>
    <row r="1263" spans="1:9" x14ac:dyDescent="0.3">
      <c r="A1263" t="s">
        <v>169</v>
      </c>
      <c r="B1263" t="s">
        <v>12</v>
      </c>
      <c r="C1263" t="s">
        <v>34</v>
      </c>
      <c r="D1263" t="s">
        <v>28</v>
      </c>
      <c r="E1263" t="s">
        <v>15</v>
      </c>
      <c r="F1263">
        <v>4735.9399999999996</v>
      </c>
      <c r="G1263">
        <f>INDEX(Operational[Production Volume (units)],MATCH(Emission8[[#This Row],[Facility ID]],Operational[Facility ID],0))</f>
        <v>82377</v>
      </c>
      <c r="H1263">
        <f>INDEX(Operational[Energy Consumption (MWh)],MATCH(Emission8[[#This Row],[Facility ID]],Operational[Facility ID],0))</f>
        <v>7974.74</v>
      </c>
      <c r="I1263">
        <f>INDEX(Operational[Waste (tons)],MATCH(Emission8[[#This Row],[Facility ID]],Operational[Facility ID],0))</f>
        <v>9.17</v>
      </c>
    </row>
    <row r="1264" spans="1:9" x14ac:dyDescent="0.3">
      <c r="A1264" t="s">
        <v>177</v>
      </c>
      <c r="B1264" t="s">
        <v>7</v>
      </c>
      <c r="C1264" t="s">
        <v>8</v>
      </c>
      <c r="D1264" t="s">
        <v>28</v>
      </c>
      <c r="E1264" t="s">
        <v>15</v>
      </c>
      <c r="F1264">
        <v>419.21</v>
      </c>
      <c r="G1264">
        <f>INDEX(Operational[Production Volume (units)],MATCH(Emission8[[#This Row],[Facility ID]],Operational[Facility ID],0))</f>
        <v>17097</v>
      </c>
      <c r="H1264">
        <f>INDEX(Operational[Energy Consumption (MWh)],MATCH(Emission8[[#This Row],[Facility ID]],Operational[Facility ID],0))</f>
        <v>9061.7800000000007</v>
      </c>
      <c r="I1264">
        <f>INDEX(Operational[Waste (tons)],MATCH(Emission8[[#This Row],[Facility ID]],Operational[Facility ID],0))</f>
        <v>95.92</v>
      </c>
    </row>
    <row r="1265" spans="1:9" x14ac:dyDescent="0.3">
      <c r="A1265" t="s">
        <v>208</v>
      </c>
      <c r="B1265" t="s">
        <v>19</v>
      </c>
      <c r="C1265" t="s">
        <v>34</v>
      </c>
      <c r="D1265" t="s">
        <v>9</v>
      </c>
      <c r="E1265" t="s">
        <v>24</v>
      </c>
      <c r="F1265">
        <v>3952.79</v>
      </c>
      <c r="G1265">
        <f>INDEX(Operational[Production Volume (units)],MATCH(Emission8[[#This Row],[Facility ID]],Operational[Facility ID],0))</f>
        <v>40553</v>
      </c>
      <c r="H1265">
        <f>INDEX(Operational[Energy Consumption (MWh)],MATCH(Emission8[[#This Row],[Facility ID]],Operational[Facility ID],0))</f>
        <v>4875.2299999999996</v>
      </c>
      <c r="I1265">
        <f>INDEX(Operational[Waste (tons)],MATCH(Emission8[[#This Row],[Facility ID]],Operational[Facility ID],0))</f>
        <v>23.33</v>
      </c>
    </row>
    <row r="1266" spans="1:9" x14ac:dyDescent="0.3">
      <c r="A1266" t="s">
        <v>170</v>
      </c>
      <c r="B1266" t="s">
        <v>12</v>
      </c>
      <c r="C1266" t="s">
        <v>8</v>
      </c>
      <c r="D1266" t="s">
        <v>28</v>
      </c>
      <c r="E1266" t="s">
        <v>10</v>
      </c>
      <c r="F1266">
        <v>2905.28</v>
      </c>
      <c r="G1266">
        <f>INDEX(Operational[Production Volume (units)],MATCH(Emission8[[#This Row],[Facility ID]],Operational[Facility ID],0))</f>
        <v>54133</v>
      </c>
      <c r="H1266">
        <f>INDEX(Operational[Energy Consumption (MWh)],MATCH(Emission8[[#This Row],[Facility ID]],Operational[Facility ID],0))</f>
        <v>8543.68</v>
      </c>
      <c r="I1266">
        <f>INDEX(Operational[Waste (tons)],MATCH(Emission8[[#This Row],[Facility ID]],Operational[Facility ID],0))</f>
        <v>24</v>
      </c>
    </row>
    <row r="1267" spans="1:9" x14ac:dyDescent="0.3">
      <c r="A1267" t="s">
        <v>101</v>
      </c>
      <c r="B1267" t="s">
        <v>19</v>
      </c>
      <c r="C1267" t="s">
        <v>13</v>
      </c>
      <c r="D1267" t="s">
        <v>28</v>
      </c>
      <c r="E1267" t="s">
        <v>24</v>
      </c>
      <c r="F1267">
        <v>2595.02</v>
      </c>
      <c r="G1267">
        <f>INDEX(Operational[Production Volume (units)],MATCH(Emission8[[#This Row],[Facility ID]],Operational[Facility ID],0))</f>
        <v>39050</v>
      </c>
      <c r="H1267">
        <f>INDEX(Operational[Energy Consumption (MWh)],MATCH(Emission8[[#This Row],[Facility ID]],Operational[Facility ID],0))</f>
        <v>5885.73</v>
      </c>
      <c r="I1267">
        <f>INDEX(Operational[Waste (tons)],MATCH(Emission8[[#This Row],[Facility ID]],Operational[Facility ID],0))</f>
        <v>93.04</v>
      </c>
    </row>
    <row r="1268" spans="1:9" x14ac:dyDescent="0.3">
      <c r="A1268" t="s">
        <v>93</v>
      </c>
      <c r="B1268" t="s">
        <v>30</v>
      </c>
      <c r="C1268" t="s">
        <v>34</v>
      </c>
      <c r="D1268" t="s">
        <v>9</v>
      </c>
      <c r="E1268" t="s">
        <v>15</v>
      </c>
      <c r="F1268">
        <v>4395.49</v>
      </c>
      <c r="G1268">
        <f>INDEX(Operational[Production Volume (units)],MATCH(Emission8[[#This Row],[Facility ID]],Operational[Facility ID],0))</f>
        <v>26378</v>
      </c>
      <c r="H1268">
        <f>INDEX(Operational[Energy Consumption (MWh)],MATCH(Emission8[[#This Row],[Facility ID]],Operational[Facility ID],0))</f>
        <v>2915.44</v>
      </c>
      <c r="I1268">
        <f>INDEX(Operational[Waste (tons)],MATCH(Emission8[[#This Row],[Facility ID]],Operational[Facility ID],0))</f>
        <v>29.84</v>
      </c>
    </row>
    <row r="1269" spans="1:9" x14ac:dyDescent="0.3">
      <c r="A1269" t="s">
        <v>91</v>
      </c>
      <c r="B1269" t="s">
        <v>30</v>
      </c>
      <c r="C1269" t="s">
        <v>23</v>
      </c>
      <c r="D1269" t="s">
        <v>14</v>
      </c>
      <c r="E1269" t="s">
        <v>24</v>
      </c>
      <c r="F1269">
        <v>969.03</v>
      </c>
      <c r="G1269">
        <f>INDEX(Operational[Production Volume (units)],MATCH(Emission8[[#This Row],[Facility ID]],Operational[Facility ID],0))</f>
        <v>20207</v>
      </c>
      <c r="H1269">
        <f>INDEX(Operational[Energy Consumption (MWh)],MATCH(Emission8[[#This Row],[Facility ID]],Operational[Facility ID],0))</f>
        <v>5369.46</v>
      </c>
      <c r="I1269">
        <f>INDEX(Operational[Waste (tons)],MATCH(Emission8[[#This Row],[Facility ID]],Operational[Facility ID],0))</f>
        <v>57.51</v>
      </c>
    </row>
    <row r="1270" spans="1:9" x14ac:dyDescent="0.3">
      <c r="A1270" t="s">
        <v>218</v>
      </c>
      <c r="B1270" t="s">
        <v>17</v>
      </c>
      <c r="C1270" t="s">
        <v>34</v>
      </c>
      <c r="D1270" t="s">
        <v>14</v>
      </c>
      <c r="E1270" t="s">
        <v>15</v>
      </c>
      <c r="F1270">
        <v>4736.7</v>
      </c>
      <c r="G1270">
        <f>INDEX(Operational[Production Volume (units)],MATCH(Emission8[[#This Row],[Facility ID]],Operational[Facility ID],0))</f>
        <v>22525</v>
      </c>
      <c r="H1270">
        <f>INDEX(Operational[Energy Consumption (MWh)],MATCH(Emission8[[#This Row],[Facility ID]],Operational[Facility ID],0))</f>
        <v>9465.65</v>
      </c>
      <c r="I1270">
        <f>INDEX(Operational[Waste (tons)],MATCH(Emission8[[#This Row],[Facility ID]],Operational[Facility ID],0))</f>
        <v>37.79</v>
      </c>
    </row>
    <row r="1271" spans="1:9" x14ac:dyDescent="0.3">
      <c r="A1271" t="s">
        <v>67</v>
      </c>
      <c r="B1271" t="s">
        <v>7</v>
      </c>
      <c r="C1271" t="s">
        <v>8</v>
      </c>
      <c r="D1271" t="s">
        <v>9</v>
      </c>
      <c r="E1271" t="s">
        <v>15</v>
      </c>
      <c r="F1271">
        <v>3116.27</v>
      </c>
      <c r="G1271">
        <f>INDEX(Operational[Production Volume (units)],MATCH(Emission8[[#This Row],[Facility ID]],Operational[Facility ID],0))</f>
        <v>70582</v>
      </c>
      <c r="H1271">
        <f>INDEX(Operational[Energy Consumption (MWh)],MATCH(Emission8[[#This Row],[Facility ID]],Operational[Facility ID],0))</f>
        <v>7517.59</v>
      </c>
      <c r="I1271">
        <f>INDEX(Operational[Waste (tons)],MATCH(Emission8[[#This Row],[Facility ID]],Operational[Facility ID],0))</f>
        <v>95.71</v>
      </c>
    </row>
    <row r="1272" spans="1:9" x14ac:dyDescent="0.3">
      <c r="A1272" t="s">
        <v>150</v>
      </c>
      <c r="B1272" t="s">
        <v>30</v>
      </c>
      <c r="C1272" t="s">
        <v>34</v>
      </c>
      <c r="D1272" t="s">
        <v>28</v>
      </c>
      <c r="E1272" t="s">
        <v>15</v>
      </c>
      <c r="F1272">
        <v>3048.92</v>
      </c>
      <c r="G1272">
        <f>INDEX(Operational[Production Volume (units)],MATCH(Emission8[[#This Row],[Facility ID]],Operational[Facility ID],0))</f>
        <v>98356</v>
      </c>
      <c r="H1272">
        <f>INDEX(Operational[Energy Consumption (MWh)],MATCH(Emission8[[#This Row],[Facility ID]],Operational[Facility ID],0))</f>
        <v>6968.69</v>
      </c>
      <c r="I1272">
        <f>INDEX(Operational[Waste (tons)],MATCH(Emission8[[#This Row],[Facility ID]],Operational[Facility ID],0))</f>
        <v>81.72</v>
      </c>
    </row>
    <row r="1273" spans="1:9" x14ac:dyDescent="0.3">
      <c r="A1273" t="s">
        <v>75</v>
      </c>
      <c r="B1273" t="s">
        <v>19</v>
      </c>
      <c r="C1273" t="s">
        <v>34</v>
      </c>
      <c r="D1273" t="s">
        <v>9</v>
      </c>
      <c r="E1273" t="s">
        <v>15</v>
      </c>
      <c r="F1273">
        <v>4792.2</v>
      </c>
      <c r="G1273">
        <f>INDEX(Operational[Production Volume (units)],MATCH(Emission8[[#This Row],[Facility ID]],Operational[Facility ID],0))</f>
        <v>54136</v>
      </c>
      <c r="H1273">
        <f>INDEX(Operational[Energy Consumption (MWh)],MATCH(Emission8[[#This Row],[Facility ID]],Operational[Facility ID],0))</f>
        <v>2775.38</v>
      </c>
      <c r="I1273">
        <f>INDEX(Operational[Waste (tons)],MATCH(Emission8[[#This Row],[Facility ID]],Operational[Facility ID],0))</f>
        <v>75.459999999999994</v>
      </c>
    </row>
    <row r="1274" spans="1:9" x14ac:dyDescent="0.3">
      <c r="A1274" t="s">
        <v>205</v>
      </c>
      <c r="B1274" t="s">
        <v>17</v>
      </c>
      <c r="C1274" t="s">
        <v>34</v>
      </c>
      <c r="D1274" t="s">
        <v>14</v>
      </c>
      <c r="E1274" t="s">
        <v>15</v>
      </c>
      <c r="F1274">
        <v>1851.08</v>
      </c>
      <c r="G1274">
        <f>INDEX(Operational[Production Volume (units)],MATCH(Emission8[[#This Row],[Facility ID]],Operational[Facility ID],0))</f>
        <v>52594</v>
      </c>
      <c r="H1274">
        <f>INDEX(Operational[Energy Consumption (MWh)],MATCH(Emission8[[#This Row],[Facility ID]],Operational[Facility ID],0))</f>
        <v>8715.0400000000009</v>
      </c>
      <c r="I1274">
        <f>INDEX(Operational[Waste (tons)],MATCH(Emission8[[#This Row],[Facility ID]],Operational[Facility ID],0))</f>
        <v>90.54</v>
      </c>
    </row>
    <row r="1275" spans="1:9" x14ac:dyDescent="0.3">
      <c r="A1275" t="s">
        <v>79</v>
      </c>
      <c r="B1275" t="s">
        <v>17</v>
      </c>
      <c r="C1275" t="s">
        <v>34</v>
      </c>
      <c r="D1275" t="s">
        <v>14</v>
      </c>
      <c r="E1275" t="s">
        <v>10</v>
      </c>
      <c r="F1275">
        <v>331.53</v>
      </c>
      <c r="G1275">
        <f>INDEX(Operational[Production Volume (units)],MATCH(Emission8[[#This Row],[Facility ID]],Operational[Facility ID],0))</f>
        <v>40503</v>
      </c>
      <c r="H1275">
        <f>INDEX(Operational[Energy Consumption (MWh)],MATCH(Emission8[[#This Row],[Facility ID]],Operational[Facility ID],0))</f>
        <v>7447.46</v>
      </c>
      <c r="I1275">
        <f>INDEX(Operational[Waste (tons)],MATCH(Emission8[[#This Row],[Facility ID]],Operational[Facility ID],0))</f>
        <v>98.27</v>
      </c>
    </row>
    <row r="1276" spans="1:9" x14ac:dyDescent="0.3">
      <c r="A1276" t="s">
        <v>179</v>
      </c>
      <c r="B1276" t="s">
        <v>7</v>
      </c>
      <c r="C1276" t="s">
        <v>13</v>
      </c>
      <c r="D1276" t="s">
        <v>28</v>
      </c>
      <c r="E1276" t="s">
        <v>24</v>
      </c>
      <c r="F1276">
        <v>2756.07</v>
      </c>
      <c r="G1276">
        <f>INDEX(Operational[Production Volume (units)],MATCH(Emission8[[#This Row],[Facility ID]],Operational[Facility ID],0))</f>
        <v>94393</v>
      </c>
      <c r="H1276">
        <f>INDEX(Operational[Energy Consumption (MWh)],MATCH(Emission8[[#This Row],[Facility ID]],Operational[Facility ID],0))</f>
        <v>6691.7</v>
      </c>
      <c r="I1276">
        <f>INDEX(Operational[Waste (tons)],MATCH(Emission8[[#This Row],[Facility ID]],Operational[Facility ID],0))</f>
        <v>74.790000000000006</v>
      </c>
    </row>
    <row r="1277" spans="1:9" x14ac:dyDescent="0.3">
      <c r="A1277" t="s">
        <v>138</v>
      </c>
      <c r="B1277" t="s">
        <v>12</v>
      </c>
      <c r="C1277" t="s">
        <v>13</v>
      </c>
      <c r="D1277" t="s">
        <v>9</v>
      </c>
      <c r="E1277" t="s">
        <v>15</v>
      </c>
      <c r="F1277">
        <v>1185.1400000000001</v>
      </c>
      <c r="G1277">
        <f>INDEX(Operational[Production Volume (units)],MATCH(Emission8[[#This Row],[Facility ID]],Operational[Facility ID],0))</f>
        <v>57353</v>
      </c>
      <c r="H1277">
        <f>INDEX(Operational[Energy Consumption (MWh)],MATCH(Emission8[[#This Row],[Facility ID]],Operational[Facility ID],0))</f>
        <v>2274.71</v>
      </c>
      <c r="I1277">
        <f>INDEX(Operational[Waste (tons)],MATCH(Emission8[[#This Row],[Facility ID]],Operational[Facility ID],0))</f>
        <v>65.34</v>
      </c>
    </row>
    <row r="1278" spans="1:9" x14ac:dyDescent="0.3">
      <c r="A1278" t="s">
        <v>31</v>
      </c>
      <c r="B1278" t="s">
        <v>30</v>
      </c>
      <c r="C1278" t="s">
        <v>13</v>
      </c>
      <c r="D1278" t="s">
        <v>14</v>
      </c>
      <c r="E1278" t="s">
        <v>15</v>
      </c>
      <c r="F1278">
        <v>770.82</v>
      </c>
      <c r="G1278">
        <f>INDEX(Operational[Production Volume (units)],MATCH(Emission8[[#This Row],[Facility ID]],Operational[Facility ID],0))</f>
        <v>84851</v>
      </c>
      <c r="H1278">
        <f>INDEX(Operational[Energy Consumption (MWh)],MATCH(Emission8[[#This Row],[Facility ID]],Operational[Facility ID],0))</f>
        <v>560.75</v>
      </c>
      <c r="I1278">
        <f>INDEX(Operational[Waste (tons)],MATCH(Emission8[[#This Row],[Facility ID]],Operational[Facility ID],0))</f>
        <v>80.23</v>
      </c>
    </row>
    <row r="1279" spans="1:9" x14ac:dyDescent="0.3">
      <c r="A1279" t="s">
        <v>69</v>
      </c>
      <c r="B1279" t="s">
        <v>7</v>
      </c>
      <c r="C1279" t="s">
        <v>8</v>
      </c>
      <c r="D1279" t="s">
        <v>14</v>
      </c>
      <c r="E1279" t="s">
        <v>24</v>
      </c>
      <c r="F1279">
        <v>1735.38</v>
      </c>
      <c r="G1279">
        <f>INDEX(Operational[Production Volume (units)],MATCH(Emission8[[#This Row],[Facility ID]],Operational[Facility ID],0))</f>
        <v>34725</v>
      </c>
      <c r="H1279">
        <f>INDEX(Operational[Energy Consumption (MWh)],MATCH(Emission8[[#This Row],[Facility ID]],Operational[Facility ID],0))</f>
        <v>3269.89</v>
      </c>
      <c r="I1279">
        <f>INDEX(Operational[Waste (tons)],MATCH(Emission8[[#This Row],[Facility ID]],Operational[Facility ID],0))</f>
        <v>78.86</v>
      </c>
    </row>
    <row r="1280" spans="1:9" x14ac:dyDescent="0.3">
      <c r="A1280" t="s">
        <v>211</v>
      </c>
      <c r="B1280" t="s">
        <v>7</v>
      </c>
      <c r="C1280" t="s">
        <v>8</v>
      </c>
      <c r="D1280" t="s">
        <v>9</v>
      </c>
      <c r="E1280" t="s">
        <v>15</v>
      </c>
      <c r="F1280">
        <v>2191.31</v>
      </c>
      <c r="G1280">
        <f>INDEX(Operational[Production Volume (units)],MATCH(Emission8[[#This Row],[Facility ID]],Operational[Facility ID],0))</f>
        <v>27028</v>
      </c>
      <c r="H1280">
        <f>INDEX(Operational[Energy Consumption (MWh)],MATCH(Emission8[[#This Row],[Facility ID]],Operational[Facility ID],0))</f>
        <v>4617.92</v>
      </c>
      <c r="I1280">
        <f>INDEX(Operational[Waste (tons)],MATCH(Emission8[[#This Row],[Facility ID]],Operational[Facility ID],0))</f>
        <v>57.62</v>
      </c>
    </row>
    <row r="1281" spans="1:9" x14ac:dyDescent="0.3">
      <c r="A1281" t="s">
        <v>212</v>
      </c>
      <c r="B1281" t="s">
        <v>7</v>
      </c>
      <c r="C1281" t="s">
        <v>13</v>
      </c>
      <c r="D1281" t="s">
        <v>28</v>
      </c>
      <c r="E1281" t="s">
        <v>15</v>
      </c>
      <c r="F1281">
        <v>759.32</v>
      </c>
      <c r="G1281">
        <f>INDEX(Operational[Production Volume (units)],MATCH(Emission8[[#This Row],[Facility ID]],Operational[Facility ID],0))</f>
        <v>67820</v>
      </c>
      <c r="H1281">
        <f>INDEX(Operational[Energy Consumption (MWh)],MATCH(Emission8[[#This Row],[Facility ID]],Operational[Facility ID],0))</f>
        <v>8177.95</v>
      </c>
      <c r="I1281">
        <f>INDEX(Operational[Waste (tons)],MATCH(Emission8[[#This Row],[Facility ID]],Operational[Facility ID],0))</f>
        <v>40.69</v>
      </c>
    </row>
    <row r="1282" spans="1:9" x14ac:dyDescent="0.3">
      <c r="A1282" t="s">
        <v>207</v>
      </c>
      <c r="B1282" t="s">
        <v>17</v>
      </c>
      <c r="C1282" t="s">
        <v>23</v>
      </c>
      <c r="D1282" t="s">
        <v>14</v>
      </c>
      <c r="E1282" t="s">
        <v>15</v>
      </c>
      <c r="F1282">
        <v>1954.05</v>
      </c>
      <c r="G1282">
        <f>INDEX(Operational[Production Volume (units)],MATCH(Emission8[[#This Row],[Facility ID]],Operational[Facility ID],0))</f>
        <v>99115</v>
      </c>
      <c r="H1282">
        <f>INDEX(Operational[Energy Consumption (MWh)],MATCH(Emission8[[#This Row],[Facility ID]],Operational[Facility ID],0))</f>
        <v>827.26</v>
      </c>
      <c r="I1282">
        <f>INDEX(Operational[Waste (tons)],MATCH(Emission8[[#This Row],[Facility ID]],Operational[Facility ID],0))</f>
        <v>28.88</v>
      </c>
    </row>
    <row r="1283" spans="1:9" x14ac:dyDescent="0.3">
      <c r="A1283" t="s">
        <v>144</v>
      </c>
      <c r="B1283" t="s">
        <v>30</v>
      </c>
      <c r="C1283" t="s">
        <v>34</v>
      </c>
      <c r="D1283" t="s">
        <v>9</v>
      </c>
      <c r="E1283" t="s">
        <v>15</v>
      </c>
      <c r="F1283">
        <v>4153</v>
      </c>
      <c r="G1283">
        <f>INDEX(Operational[Production Volume (units)],MATCH(Emission8[[#This Row],[Facility ID]],Operational[Facility ID],0))</f>
        <v>11426</v>
      </c>
      <c r="H1283">
        <f>INDEX(Operational[Energy Consumption (MWh)],MATCH(Emission8[[#This Row],[Facility ID]],Operational[Facility ID],0))</f>
        <v>4439.5600000000004</v>
      </c>
      <c r="I1283">
        <f>INDEX(Operational[Waste (tons)],MATCH(Emission8[[#This Row],[Facility ID]],Operational[Facility ID],0))</f>
        <v>52.71</v>
      </c>
    </row>
    <row r="1284" spans="1:9" x14ac:dyDescent="0.3">
      <c r="A1284" t="s">
        <v>71</v>
      </c>
      <c r="B1284" t="s">
        <v>7</v>
      </c>
      <c r="C1284" t="s">
        <v>23</v>
      </c>
      <c r="D1284" t="s">
        <v>9</v>
      </c>
      <c r="E1284" t="s">
        <v>15</v>
      </c>
      <c r="F1284">
        <v>3571.76</v>
      </c>
      <c r="G1284">
        <f>INDEX(Operational[Production Volume (units)],MATCH(Emission8[[#This Row],[Facility ID]],Operational[Facility ID],0))</f>
        <v>68018</v>
      </c>
      <c r="H1284">
        <f>INDEX(Operational[Energy Consumption (MWh)],MATCH(Emission8[[#This Row],[Facility ID]],Operational[Facility ID],0))</f>
        <v>3523.4</v>
      </c>
      <c r="I1284">
        <f>INDEX(Operational[Waste (tons)],MATCH(Emission8[[#This Row],[Facility ID]],Operational[Facility ID],0))</f>
        <v>92.26</v>
      </c>
    </row>
    <row r="1285" spans="1:9" x14ac:dyDescent="0.3">
      <c r="A1285" t="s">
        <v>193</v>
      </c>
      <c r="B1285" t="s">
        <v>12</v>
      </c>
      <c r="C1285" t="s">
        <v>8</v>
      </c>
      <c r="D1285" t="s">
        <v>28</v>
      </c>
      <c r="E1285" t="s">
        <v>24</v>
      </c>
      <c r="F1285">
        <v>3705.85</v>
      </c>
      <c r="G1285">
        <f>INDEX(Operational[Production Volume (units)],MATCH(Emission8[[#This Row],[Facility ID]],Operational[Facility ID],0))</f>
        <v>13333</v>
      </c>
      <c r="H1285">
        <f>INDEX(Operational[Energy Consumption (MWh)],MATCH(Emission8[[#This Row],[Facility ID]],Operational[Facility ID],0))</f>
        <v>6102.15</v>
      </c>
      <c r="I1285">
        <f>INDEX(Operational[Waste (tons)],MATCH(Emission8[[#This Row],[Facility ID]],Operational[Facility ID],0))</f>
        <v>17.670000000000002</v>
      </c>
    </row>
    <row r="1286" spans="1:9" x14ac:dyDescent="0.3">
      <c r="A1286" t="s">
        <v>158</v>
      </c>
      <c r="B1286" t="s">
        <v>30</v>
      </c>
      <c r="C1286" t="s">
        <v>13</v>
      </c>
      <c r="D1286" t="s">
        <v>14</v>
      </c>
      <c r="E1286" t="s">
        <v>15</v>
      </c>
      <c r="F1286">
        <v>4393.54</v>
      </c>
      <c r="G1286">
        <f>INDEX(Operational[Production Volume (units)],MATCH(Emission8[[#This Row],[Facility ID]],Operational[Facility ID],0))</f>
        <v>85488</v>
      </c>
      <c r="H1286">
        <f>INDEX(Operational[Energy Consumption (MWh)],MATCH(Emission8[[#This Row],[Facility ID]],Operational[Facility ID],0))</f>
        <v>9691.57</v>
      </c>
      <c r="I1286">
        <f>INDEX(Operational[Waste (tons)],MATCH(Emission8[[#This Row],[Facility ID]],Operational[Facility ID],0))</f>
        <v>96.98</v>
      </c>
    </row>
    <row r="1287" spans="1:9" x14ac:dyDescent="0.3">
      <c r="A1287" t="s">
        <v>121</v>
      </c>
      <c r="B1287" t="s">
        <v>30</v>
      </c>
      <c r="C1287" t="s">
        <v>8</v>
      </c>
      <c r="D1287" t="s">
        <v>9</v>
      </c>
      <c r="E1287" t="s">
        <v>24</v>
      </c>
      <c r="F1287">
        <v>1303.24</v>
      </c>
      <c r="G1287">
        <f>INDEX(Operational[Production Volume (units)],MATCH(Emission8[[#This Row],[Facility ID]],Operational[Facility ID],0))</f>
        <v>58895</v>
      </c>
      <c r="H1287">
        <f>INDEX(Operational[Energy Consumption (MWh)],MATCH(Emission8[[#This Row],[Facility ID]],Operational[Facility ID],0))</f>
        <v>3039.17</v>
      </c>
      <c r="I1287">
        <f>INDEX(Operational[Waste (tons)],MATCH(Emission8[[#This Row],[Facility ID]],Operational[Facility ID],0))</f>
        <v>59.82</v>
      </c>
    </row>
    <row r="1288" spans="1:9" x14ac:dyDescent="0.3">
      <c r="A1288" t="s">
        <v>42</v>
      </c>
      <c r="B1288" t="s">
        <v>30</v>
      </c>
      <c r="C1288" t="s">
        <v>8</v>
      </c>
      <c r="D1288" t="s">
        <v>28</v>
      </c>
      <c r="E1288" t="s">
        <v>15</v>
      </c>
      <c r="F1288">
        <v>1709.14</v>
      </c>
      <c r="G1288">
        <f>INDEX(Operational[Production Volume (units)],MATCH(Emission8[[#This Row],[Facility ID]],Operational[Facility ID],0))</f>
        <v>41539</v>
      </c>
      <c r="H1288">
        <f>INDEX(Operational[Energy Consumption (MWh)],MATCH(Emission8[[#This Row],[Facility ID]],Operational[Facility ID],0))</f>
        <v>982.8</v>
      </c>
      <c r="I1288">
        <f>INDEX(Operational[Waste (tons)],MATCH(Emission8[[#This Row],[Facility ID]],Operational[Facility ID],0))</f>
        <v>79.7</v>
      </c>
    </row>
    <row r="1289" spans="1:9" x14ac:dyDescent="0.3">
      <c r="A1289" t="s">
        <v>144</v>
      </c>
      <c r="B1289" t="s">
        <v>30</v>
      </c>
      <c r="C1289" t="s">
        <v>34</v>
      </c>
      <c r="D1289" t="s">
        <v>9</v>
      </c>
      <c r="E1289" t="s">
        <v>15</v>
      </c>
      <c r="F1289">
        <v>4816.54</v>
      </c>
      <c r="G1289">
        <f>INDEX(Operational[Production Volume (units)],MATCH(Emission8[[#This Row],[Facility ID]],Operational[Facility ID],0))</f>
        <v>11426</v>
      </c>
      <c r="H1289">
        <f>INDEX(Operational[Energy Consumption (MWh)],MATCH(Emission8[[#This Row],[Facility ID]],Operational[Facility ID],0))</f>
        <v>4439.5600000000004</v>
      </c>
      <c r="I1289">
        <f>INDEX(Operational[Waste (tons)],MATCH(Emission8[[#This Row],[Facility ID]],Operational[Facility ID],0))</f>
        <v>52.71</v>
      </c>
    </row>
    <row r="1290" spans="1:9" x14ac:dyDescent="0.3">
      <c r="A1290" t="s">
        <v>157</v>
      </c>
      <c r="B1290" t="s">
        <v>30</v>
      </c>
      <c r="C1290" t="s">
        <v>23</v>
      </c>
      <c r="D1290" t="s">
        <v>9</v>
      </c>
      <c r="E1290" t="s">
        <v>24</v>
      </c>
      <c r="F1290">
        <v>4237.91</v>
      </c>
      <c r="G1290">
        <f>INDEX(Operational[Production Volume (units)],MATCH(Emission8[[#This Row],[Facility ID]],Operational[Facility ID],0))</f>
        <v>76544</v>
      </c>
      <c r="H1290">
        <f>INDEX(Operational[Energy Consumption (MWh)],MATCH(Emission8[[#This Row],[Facility ID]],Operational[Facility ID],0))</f>
        <v>8632.77</v>
      </c>
      <c r="I1290">
        <f>INDEX(Operational[Waste (tons)],MATCH(Emission8[[#This Row],[Facility ID]],Operational[Facility ID],0))</f>
        <v>12.87</v>
      </c>
    </row>
    <row r="1291" spans="1:9" x14ac:dyDescent="0.3">
      <c r="A1291" t="s">
        <v>215</v>
      </c>
      <c r="B1291" t="s">
        <v>17</v>
      </c>
      <c r="C1291" t="s">
        <v>34</v>
      </c>
      <c r="D1291" t="s">
        <v>14</v>
      </c>
      <c r="E1291" t="s">
        <v>24</v>
      </c>
      <c r="F1291">
        <v>2911.32</v>
      </c>
      <c r="G1291">
        <f>INDEX(Operational[Production Volume (units)],MATCH(Emission8[[#This Row],[Facility ID]],Operational[Facility ID],0))</f>
        <v>72813</v>
      </c>
      <c r="H1291">
        <f>INDEX(Operational[Energy Consumption (MWh)],MATCH(Emission8[[#This Row],[Facility ID]],Operational[Facility ID],0))</f>
        <v>8818.16</v>
      </c>
      <c r="I1291">
        <f>INDEX(Operational[Waste (tons)],MATCH(Emission8[[#This Row],[Facility ID]],Operational[Facility ID],0))</f>
        <v>54.12</v>
      </c>
    </row>
    <row r="1292" spans="1:9" x14ac:dyDescent="0.3">
      <c r="A1292" t="s">
        <v>43</v>
      </c>
      <c r="B1292" t="s">
        <v>17</v>
      </c>
      <c r="C1292" t="s">
        <v>13</v>
      </c>
      <c r="D1292" t="s">
        <v>14</v>
      </c>
      <c r="E1292" t="s">
        <v>10</v>
      </c>
      <c r="F1292">
        <v>1512.18</v>
      </c>
      <c r="G1292">
        <f>INDEX(Operational[Production Volume (units)],MATCH(Emission8[[#This Row],[Facility ID]],Operational[Facility ID],0))</f>
        <v>41168</v>
      </c>
      <c r="H1292">
        <f>INDEX(Operational[Energy Consumption (MWh)],MATCH(Emission8[[#This Row],[Facility ID]],Operational[Facility ID],0))</f>
        <v>8226.77</v>
      </c>
      <c r="I1292">
        <f>INDEX(Operational[Waste (tons)],MATCH(Emission8[[#This Row],[Facility ID]],Operational[Facility ID],0))</f>
        <v>42.55</v>
      </c>
    </row>
    <row r="1293" spans="1:9" x14ac:dyDescent="0.3">
      <c r="A1293" t="s">
        <v>21</v>
      </c>
      <c r="B1293" t="s">
        <v>19</v>
      </c>
      <c r="C1293" t="s">
        <v>34</v>
      </c>
      <c r="D1293" t="s">
        <v>28</v>
      </c>
      <c r="E1293" t="s">
        <v>15</v>
      </c>
      <c r="F1293">
        <v>2308.83</v>
      </c>
      <c r="G1293">
        <f>INDEX(Operational[Production Volume (units)],MATCH(Emission8[[#This Row],[Facility ID]],Operational[Facility ID],0))</f>
        <v>61157</v>
      </c>
      <c r="H1293">
        <f>INDEX(Operational[Energy Consumption (MWh)],MATCH(Emission8[[#This Row],[Facility ID]],Operational[Facility ID],0))</f>
        <v>7331.54</v>
      </c>
      <c r="I1293">
        <f>INDEX(Operational[Waste (tons)],MATCH(Emission8[[#This Row],[Facility ID]],Operational[Facility ID],0))</f>
        <v>55.52</v>
      </c>
    </row>
    <row r="1294" spans="1:9" x14ac:dyDescent="0.3">
      <c r="A1294" t="s">
        <v>144</v>
      </c>
      <c r="B1294" t="s">
        <v>30</v>
      </c>
      <c r="C1294" t="s">
        <v>8</v>
      </c>
      <c r="D1294" t="s">
        <v>28</v>
      </c>
      <c r="E1294" t="s">
        <v>15</v>
      </c>
      <c r="F1294">
        <v>4743.8500000000004</v>
      </c>
      <c r="G1294">
        <f>INDEX(Operational[Production Volume (units)],MATCH(Emission8[[#This Row],[Facility ID]],Operational[Facility ID],0))</f>
        <v>11426</v>
      </c>
      <c r="H1294">
        <f>INDEX(Operational[Energy Consumption (MWh)],MATCH(Emission8[[#This Row],[Facility ID]],Operational[Facility ID],0))</f>
        <v>4439.5600000000004</v>
      </c>
      <c r="I1294">
        <f>INDEX(Operational[Waste (tons)],MATCH(Emission8[[#This Row],[Facility ID]],Operational[Facility ID],0))</f>
        <v>52.71</v>
      </c>
    </row>
    <row r="1295" spans="1:9" x14ac:dyDescent="0.3">
      <c r="A1295" t="s">
        <v>123</v>
      </c>
      <c r="B1295" t="s">
        <v>30</v>
      </c>
      <c r="C1295" t="s">
        <v>23</v>
      </c>
      <c r="D1295" t="s">
        <v>9</v>
      </c>
      <c r="E1295" t="s">
        <v>24</v>
      </c>
      <c r="F1295">
        <v>3863.8</v>
      </c>
      <c r="G1295">
        <f>INDEX(Operational[Production Volume (units)],MATCH(Emission8[[#This Row],[Facility ID]],Operational[Facility ID],0))</f>
        <v>73977</v>
      </c>
      <c r="H1295">
        <f>INDEX(Operational[Energy Consumption (MWh)],MATCH(Emission8[[#This Row],[Facility ID]],Operational[Facility ID],0))</f>
        <v>1646.75</v>
      </c>
      <c r="I1295">
        <f>INDEX(Operational[Waste (tons)],MATCH(Emission8[[#This Row],[Facility ID]],Operational[Facility ID],0))</f>
        <v>43.77</v>
      </c>
    </row>
    <row r="1296" spans="1:9" x14ac:dyDescent="0.3">
      <c r="A1296" t="s">
        <v>151</v>
      </c>
      <c r="B1296" t="s">
        <v>12</v>
      </c>
      <c r="C1296" t="s">
        <v>34</v>
      </c>
      <c r="D1296" t="s">
        <v>14</v>
      </c>
      <c r="E1296" t="s">
        <v>10</v>
      </c>
      <c r="F1296">
        <v>1928.39</v>
      </c>
      <c r="G1296">
        <f>INDEX(Operational[Production Volume (units)],MATCH(Emission8[[#This Row],[Facility ID]],Operational[Facility ID],0))</f>
        <v>61207</v>
      </c>
      <c r="H1296">
        <f>INDEX(Operational[Energy Consumption (MWh)],MATCH(Emission8[[#This Row],[Facility ID]],Operational[Facility ID],0))</f>
        <v>6922.33</v>
      </c>
      <c r="I1296">
        <f>INDEX(Operational[Waste (tons)],MATCH(Emission8[[#This Row],[Facility ID]],Operational[Facility ID],0))</f>
        <v>9.1999999999999993</v>
      </c>
    </row>
    <row r="1297" spans="1:9" x14ac:dyDescent="0.3">
      <c r="A1297" t="s">
        <v>116</v>
      </c>
      <c r="B1297" t="s">
        <v>17</v>
      </c>
      <c r="C1297" t="s">
        <v>23</v>
      </c>
      <c r="D1297" t="s">
        <v>28</v>
      </c>
      <c r="E1297" t="s">
        <v>24</v>
      </c>
      <c r="F1297">
        <v>2001.66</v>
      </c>
      <c r="G1297">
        <f>INDEX(Operational[Production Volume (units)],MATCH(Emission8[[#This Row],[Facility ID]],Operational[Facility ID],0))</f>
        <v>68216</v>
      </c>
      <c r="H1297">
        <f>INDEX(Operational[Energy Consumption (MWh)],MATCH(Emission8[[#This Row],[Facility ID]],Operational[Facility ID],0))</f>
        <v>9562.33</v>
      </c>
      <c r="I1297">
        <f>INDEX(Operational[Waste (tons)],MATCH(Emission8[[#This Row],[Facility ID]],Operational[Facility ID],0))</f>
        <v>63.59</v>
      </c>
    </row>
    <row r="1298" spans="1:9" x14ac:dyDescent="0.3">
      <c r="A1298" t="s">
        <v>167</v>
      </c>
      <c r="B1298" t="s">
        <v>30</v>
      </c>
      <c r="C1298" t="s">
        <v>23</v>
      </c>
      <c r="D1298" t="s">
        <v>14</v>
      </c>
      <c r="E1298" t="s">
        <v>10</v>
      </c>
      <c r="F1298">
        <v>1031.08</v>
      </c>
      <c r="G1298">
        <f>INDEX(Operational[Production Volume (units)],MATCH(Emission8[[#This Row],[Facility ID]],Operational[Facility ID],0))</f>
        <v>67213</v>
      </c>
      <c r="H1298">
        <f>INDEX(Operational[Energy Consumption (MWh)],MATCH(Emission8[[#This Row],[Facility ID]],Operational[Facility ID],0))</f>
        <v>5533.81</v>
      </c>
      <c r="I1298">
        <f>INDEX(Operational[Waste (tons)],MATCH(Emission8[[#This Row],[Facility ID]],Operational[Facility ID],0))</f>
        <v>90.88</v>
      </c>
    </row>
    <row r="1299" spans="1:9" x14ac:dyDescent="0.3">
      <c r="A1299" t="s">
        <v>182</v>
      </c>
      <c r="B1299" t="s">
        <v>12</v>
      </c>
      <c r="C1299" t="s">
        <v>34</v>
      </c>
      <c r="D1299" t="s">
        <v>14</v>
      </c>
      <c r="E1299" t="s">
        <v>10</v>
      </c>
      <c r="F1299">
        <v>4637.72</v>
      </c>
      <c r="G1299">
        <f>INDEX(Operational[Production Volume (units)],MATCH(Emission8[[#This Row],[Facility ID]],Operational[Facility ID],0))</f>
        <v>21081</v>
      </c>
      <c r="H1299">
        <f>INDEX(Operational[Energy Consumption (MWh)],MATCH(Emission8[[#This Row],[Facility ID]],Operational[Facility ID],0))</f>
        <v>9001.77</v>
      </c>
      <c r="I1299">
        <f>INDEX(Operational[Waste (tons)],MATCH(Emission8[[#This Row],[Facility ID]],Operational[Facility ID],0))</f>
        <v>49.27</v>
      </c>
    </row>
    <row r="1300" spans="1:9" x14ac:dyDescent="0.3">
      <c r="A1300" t="s">
        <v>25</v>
      </c>
      <c r="B1300" t="s">
        <v>19</v>
      </c>
      <c r="C1300" t="s">
        <v>34</v>
      </c>
      <c r="D1300" t="s">
        <v>14</v>
      </c>
      <c r="E1300" t="s">
        <v>15</v>
      </c>
      <c r="F1300">
        <v>2119.1</v>
      </c>
      <c r="G1300">
        <f>INDEX(Operational[Production Volume (units)],MATCH(Emission8[[#This Row],[Facility ID]],Operational[Facility ID],0))</f>
        <v>95306</v>
      </c>
      <c r="H1300">
        <f>INDEX(Operational[Energy Consumption (MWh)],MATCH(Emission8[[#This Row],[Facility ID]],Operational[Facility ID],0))</f>
        <v>9037.76</v>
      </c>
      <c r="I1300">
        <f>INDEX(Operational[Waste (tons)],MATCH(Emission8[[#This Row],[Facility ID]],Operational[Facility ID],0))</f>
        <v>13.35</v>
      </c>
    </row>
    <row r="1301" spans="1:9" x14ac:dyDescent="0.3">
      <c r="A1301" t="s">
        <v>172</v>
      </c>
      <c r="B1301" t="s">
        <v>7</v>
      </c>
      <c r="C1301" t="s">
        <v>8</v>
      </c>
      <c r="D1301" t="s">
        <v>9</v>
      </c>
      <c r="E1301" t="s">
        <v>10</v>
      </c>
      <c r="F1301">
        <v>672.59</v>
      </c>
      <c r="G1301">
        <f>INDEX(Operational[Production Volume (units)],MATCH(Emission8[[#This Row],[Facility ID]],Operational[Facility ID],0))</f>
        <v>68820</v>
      </c>
      <c r="H1301">
        <f>INDEX(Operational[Energy Consumption (MWh)],MATCH(Emission8[[#This Row],[Facility ID]],Operational[Facility ID],0))</f>
        <v>9612.25</v>
      </c>
      <c r="I1301">
        <f>INDEX(Operational[Waste (tons)],MATCH(Emission8[[#This Row],[Facility ID]],Operational[Facility ID],0))</f>
        <v>83.51</v>
      </c>
    </row>
    <row r="1302" spans="1:9" x14ac:dyDescent="0.3">
      <c r="A1302" t="s">
        <v>120</v>
      </c>
      <c r="B1302" t="s">
        <v>30</v>
      </c>
      <c r="C1302" t="s">
        <v>8</v>
      </c>
      <c r="D1302" t="s">
        <v>9</v>
      </c>
      <c r="E1302" t="s">
        <v>15</v>
      </c>
      <c r="F1302">
        <v>1187.17</v>
      </c>
      <c r="G1302">
        <f>INDEX(Operational[Production Volume (units)],MATCH(Emission8[[#This Row],[Facility ID]],Operational[Facility ID],0))</f>
        <v>79495</v>
      </c>
      <c r="H1302">
        <f>INDEX(Operational[Energy Consumption (MWh)],MATCH(Emission8[[#This Row],[Facility ID]],Operational[Facility ID],0))</f>
        <v>7157.48</v>
      </c>
      <c r="I1302">
        <f>INDEX(Operational[Waste (tons)],MATCH(Emission8[[#This Row],[Facility ID]],Operational[Facility ID],0))</f>
        <v>26.84</v>
      </c>
    </row>
    <row r="1303" spans="1:9" x14ac:dyDescent="0.3">
      <c r="A1303" t="s">
        <v>80</v>
      </c>
      <c r="B1303" t="s">
        <v>17</v>
      </c>
      <c r="C1303" t="s">
        <v>13</v>
      </c>
      <c r="D1303" t="s">
        <v>14</v>
      </c>
      <c r="E1303" t="s">
        <v>15</v>
      </c>
      <c r="F1303">
        <v>3253.86</v>
      </c>
      <c r="G1303">
        <f>INDEX(Operational[Production Volume (units)],MATCH(Emission8[[#This Row],[Facility ID]],Operational[Facility ID],0))</f>
        <v>75508</v>
      </c>
      <c r="H1303">
        <f>INDEX(Operational[Energy Consumption (MWh)],MATCH(Emission8[[#This Row],[Facility ID]],Operational[Facility ID],0))</f>
        <v>6856.22</v>
      </c>
      <c r="I1303">
        <f>INDEX(Operational[Waste (tons)],MATCH(Emission8[[#This Row],[Facility ID]],Operational[Facility ID],0))</f>
        <v>18.2</v>
      </c>
    </row>
    <row r="1304" spans="1:9" x14ac:dyDescent="0.3">
      <c r="A1304" t="s">
        <v>26</v>
      </c>
      <c r="B1304" t="s">
        <v>17</v>
      </c>
      <c r="C1304" t="s">
        <v>23</v>
      </c>
      <c r="D1304" t="s">
        <v>14</v>
      </c>
      <c r="E1304" t="s">
        <v>10</v>
      </c>
      <c r="F1304">
        <v>276.16000000000003</v>
      </c>
      <c r="G1304">
        <f>INDEX(Operational[Production Volume (units)],MATCH(Emission8[[#This Row],[Facility ID]],Operational[Facility ID],0))</f>
        <v>17311</v>
      </c>
      <c r="H1304">
        <f>INDEX(Operational[Energy Consumption (MWh)],MATCH(Emission8[[#This Row],[Facility ID]],Operational[Facility ID],0))</f>
        <v>2257.38</v>
      </c>
      <c r="I1304">
        <f>INDEX(Operational[Waste (tons)],MATCH(Emission8[[#This Row],[Facility ID]],Operational[Facility ID],0))</f>
        <v>91.07</v>
      </c>
    </row>
    <row r="1305" spans="1:9" x14ac:dyDescent="0.3">
      <c r="A1305" t="s">
        <v>51</v>
      </c>
      <c r="B1305" t="s">
        <v>30</v>
      </c>
      <c r="C1305" t="s">
        <v>34</v>
      </c>
      <c r="D1305" t="s">
        <v>9</v>
      </c>
      <c r="E1305" t="s">
        <v>15</v>
      </c>
      <c r="F1305">
        <v>1988.31</v>
      </c>
      <c r="G1305">
        <f>INDEX(Operational[Production Volume (units)],MATCH(Emission8[[#This Row],[Facility ID]],Operational[Facility ID],0))</f>
        <v>44164</v>
      </c>
      <c r="H1305">
        <f>INDEX(Operational[Energy Consumption (MWh)],MATCH(Emission8[[#This Row],[Facility ID]],Operational[Facility ID],0))</f>
        <v>3869.32</v>
      </c>
      <c r="I1305">
        <f>INDEX(Operational[Waste (tons)],MATCH(Emission8[[#This Row],[Facility ID]],Operational[Facility ID],0))</f>
        <v>13.81</v>
      </c>
    </row>
    <row r="1306" spans="1:9" x14ac:dyDescent="0.3">
      <c r="A1306" t="s">
        <v>67</v>
      </c>
      <c r="B1306" t="s">
        <v>7</v>
      </c>
      <c r="C1306" t="s">
        <v>13</v>
      </c>
      <c r="D1306" t="s">
        <v>28</v>
      </c>
      <c r="E1306" t="s">
        <v>10</v>
      </c>
      <c r="F1306">
        <v>1459.49</v>
      </c>
      <c r="G1306">
        <f>INDEX(Operational[Production Volume (units)],MATCH(Emission8[[#This Row],[Facility ID]],Operational[Facility ID],0))</f>
        <v>70582</v>
      </c>
      <c r="H1306">
        <f>INDEX(Operational[Energy Consumption (MWh)],MATCH(Emission8[[#This Row],[Facility ID]],Operational[Facility ID],0))</f>
        <v>7517.59</v>
      </c>
      <c r="I1306">
        <f>INDEX(Operational[Waste (tons)],MATCH(Emission8[[#This Row],[Facility ID]],Operational[Facility ID],0))</f>
        <v>95.71</v>
      </c>
    </row>
    <row r="1307" spans="1:9" x14ac:dyDescent="0.3">
      <c r="A1307" t="s">
        <v>113</v>
      </c>
      <c r="B1307" t="s">
        <v>30</v>
      </c>
      <c r="C1307" t="s">
        <v>13</v>
      </c>
      <c r="D1307" t="s">
        <v>14</v>
      </c>
      <c r="E1307" t="s">
        <v>15</v>
      </c>
      <c r="F1307">
        <v>4054.68</v>
      </c>
      <c r="G1307">
        <f>INDEX(Operational[Production Volume (units)],MATCH(Emission8[[#This Row],[Facility ID]],Operational[Facility ID],0))</f>
        <v>90679</v>
      </c>
      <c r="H1307">
        <f>INDEX(Operational[Energy Consumption (MWh)],MATCH(Emission8[[#This Row],[Facility ID]],Operational[Facility ID],0))</f>
        <v>7266.82</v>
      </c>
      <c r="I1307">
        <f>INDEX(Operational[Waste (tons)],MATCH(Emission8[[#This Row],[Facility ID]],Operational[Facility ID],0))</f>
        <v>23.3</v>
      </c>
    </row>
    <row r="1308" spans="1:9" x14ac:dyDescent="0.3">
      <c r="A1308" t="s">
        <v>47</v>
      </c>
      <c r="B1308" t="s">
        <v>30</v>
      </c>
      <c r="C1308" t="s">
        <v>13</v>
      </c>
      <c r="D1308" t="s">
        <v>14</v>
      </c>
      <c r="E1308" t="s">
        <v>24</v>
      </c>
      <c r="F1308">
        <v>270.88</v>
      </c>
      <c r="G1308">
        <f>INDEX(Operational[Production Volume (units)],MATCH(Emission8[[#This Row],[Facility ID]],Operational[Facility ID],0))</f>
        <v>53661</v>
      </c>
      <c r="H1308">
        <f>INDEX(Operational[Energy Consumption (MWh)],MATCH(Emission8[[#This Row],[Facility ID]],Operational[Facility ID],0))</f>
        <v>6965.81</v>
      </c>
      <c r="I1308">
        <f>INDEX(Operational[Waste (tons)],MATCH(Emission8[[#This Row],[Facility ID]],Operational[Facility ID],0))</f>
        <v>69.400000000000006</v>
      </c>
    </row>
    <row r="1309" spans="1:9" x14ac:dyDescent="0.3">
      <c r="A1309" t="s">
        <v>33</v>
      </c>
      <c r="B1309" t="s">
        <v>19</v>
      </c>
      <c r="C1309" t="s">
        <v>8</v>
      </c>
      <c r="D1309" t="s">
        <v>14</v>
      </c>
      <c r="E1309" t="s">
        <v>10</v>
      </c>
      <c r="F1309">
        <v>1234.77</v>
      </c>
      <c r="G1309">
        <f>INDEX(Operational[Production Volume (units)],MATCH(Emission8[[#This Row],[Facility ID]],Operational[Facility ID],0))</f>
        <v>65719</v>
      </c>
      <c r="H1309">
        <f>INDEX(Operational[Energy Consumption (MWh)],MATCH(Emission8[[#This Row],[Facility ID]],Operational[Facility ID],0))</f>
        <v>9362.41</v>
      </c>
      <c r="I1309">
        <f>INDEX(Operational[Waste (tons)],MATCH(Emission8[[#This Row],[Facility ID]],Operational[Facility ID],0))</f>
        <v>86.55</v>
      </c>
    </row>
    <row r="1310" spans="1:9" x14ac:dyDescent="0.3">
      <c r="A1310" t="s">
        <v>6</v>
      </c>
      <c r="B1310" t="s">
        <v>7</v>
      </c>
      <c r="C1310" t="s">
        <v>23</v>
      </c>
      <c r="D1310" t="s">
        <v>14</v>
      </c>
      <c r="E1310" t="s">
        <v>15</v>
      </c>
      <c r="F1310">
        <v>4028.89</v>
      </c>
      <c r="G1310">
        <f>INDEX(Operational[Production Volume (units)],MATCH(Emission8[[#This Row],[Facility ID]],Operational[Facility ID],0))</f>
        <v>77330</v>
      </c>
      <c r="H1310">
        <f>INDEX(Operational[Energy Consumption (MWh)],MATCH(Emission8[[#This Row],[Facility ID]],Operational[Facility ID],0))</f>
        <v>6936.58</v>
      </c>
      <c r="I1310">
        <f>INDEX(Operational[Waste (tons)],MATCH(Emission8[[#This Row],[Facility ID]],Operational[Facility ID],0))</f>
        <v>82.3</v>
      </c>
    </row>
    <row r="1311" spans="1:9" x14ac:dyDescent="0.3">
      <c r="A1311" t="s">
        <v>101</v>
      </c>
      <c r="B1311" t="s">
        <v>19</v>
      </c>
      <c r="C1311" t="s">
        <v>23</v>
      </c>
      <c r="D1311" t="s">
        <v>9</v>
      </c>
      <c r="E1311" t="s">
        <v>15</v>
      </c>
      <c r="F1311">
        <v>4303.8500000000004</v>
      </c>
      <c r="G1311">
        <f>INDEX(Operational[Production Volume (units)],MATCH(Emission8[[#This Row],[Facility ID]],Operational[Facility ID],0))</f>
        <v>39050</v>
      </c>
      <c r="H1311">
        <f>INDEX(Operational[Energy Consumption (MWh)],MATCH(Emission8[[#This Row],[Facility ID]],Operational[Facility ID],0))</f>
        <v>5885.73</v>
      </c>
      <c r="I1311">
        <f>INDEX(Operational[Waste (tons)],MATCH(Emission8[[#This Row],[Facility ID]],Operational[Facility ID],0))</f>
        <v>93.04</v>
      </c>
    </row>
    <row r="1312" spans="1:9" x14ac:dyDescent="0.3">
      <c r="A1312" t="s">
        <v>173</v>
      </c>
      <c r="B1312" t="s">
        <v>30</v>
      </c>
      <c r="C1312" t="s">
        <v>34</v>
      </c>
      <c r="D1312" t="s">
        <v>14</v>
      </c>
      <c r="E1312" t="s">
        <v>24</v>
      </c>
      <c r="F1312">
        <v>2941.43</v>
      </c>
      <c r="G1312">
        <f>INDEX(Operational[Production Volume (units)],MATCH(Emission8[[#This Row],[Facility ID]],Operational[Facility ID],0))</f>
        <v>49620</v>
      </c>
      <c r="H1312">
        <f>INDEX(Operational[Energy Consumption (MWh)],MATCH(Emission8[[#This Row],[Facility ID]],Operational[Facility ID],0))</f>
        <v>2424.31</v>
      </c>
      <c r="I1312">
        <f>INDEX(Operational[Waste (tons)],MATCH(Emission8[[#This Row],[Facility ID]],Operational[Facility ID],0))</f>
        <v>62.09</v>
      </c>
    </row>
    <row r="1313" spans="1:9" x14ac:dyDescent="0.3">
      <c r="A1313" t="s">
        <v>192</v>
      </c>
      <c r="B1313" t="s">
        <v>19</v>
      </c>
      <c r="C1313" t="s">
        <v>8</v>
      </c>
      <c r="D1313" t="s">
        <v>14</v>
      </c>
      <c r="E1313" t="s">
        <v>24</v>
      </c>
      <c r="F1313">
        <v>125.18</v>
      </c>
      <c r="G1313">
        <f>INDEX(Operational[Production Volume (units)],MATCH(Emission8[[#This Row],[Facility ID]],Operational[Facility ID],0))</f>
        <v>43227</v>
      </c>
      <c r="H1313">
        <f>INDEX(Operational[Energy Consumption (MWh)],MATCH(Emission8[[#This Row],[Facility ID]],Operational[Facility ID],0))</f>
        <v>5199.53</v>
      </c>
      <c r="I1313">
        <f>INDEX(Operational[Waste (tons)],MATCH(Emission8[[#This Row],[Facility ID]],Operational[Facility ID],0))</f>
        <v>44.09</v>
      </c>
    </row>
    <row r="1314" spans="1:9" x14ac:dyDescent="0.3">
      <c r="A1314" t="s">
        <v>150</v>
      </c>
      <c r="B1314" t="s">
        <v>30</v>
      </c>
      <c r="C1314" t="s">
        <v>34</v>
      </c>
      <c r="D1314" t="s">
        <v>14</v>
      </c>
      <c r="E1314" t="s">
        <v>15</v>
      </c>
      <c r="F1314">
        <v>2302.58</v>
      </c>
      <c r="G1314">
        <f>INDEX(Operational[Production Volume (units)],MATCH(Emission8[[#This Row],[Facility ID]],Operational[Facility ID],0))</f>
        <v>98356</v>
      </c>
      <c r="H1314">
        <f>INDEX(Operational[Energy Consumption (MWh)],MATCH(Emission8[[#This Row],[Facility ID]],Operational[Facility ID],0))</f>
        <v>6968.69</v>
      </c>
      <c r="I1314">
        <f>INDEX(Operational[Waste (tons)],MATCH(Emission8[[#This Row],[Facility ID]],Operational[Facility ID],0))</f>
        <v>81.72</v>
      </c>
    </row>
    <row r="1315" spans="1:9" x14ac:dyDescent="0.3">
      <c r="A1315" t="s">
        <v>177</v>
      </c>
      <c r="B1315" t="s">
        <v>7</v>
      </c>
      <c r="C1315" t="s">
        <v>23</v>
      </c>
      <c r="D1315" t="s">
        <v>14</v>
      </c>
      <c r="E1315" t="s">
        <v>10</v>
      </c>
      <c r="F1315">
        <v>365.22</v>
      </c>
      <c r="G1315">
        <f>INDEX(Operational[Production Volume (units)],MATCH(Emission8[[#This Row],[Facility ID]],Operational[Facility ID],0))</f>
        <v>17097</v>
      </c>
      <c r="H1315">
        <f>INDEX(Operational[Energy Consumption (MWh)],MATCH(Emission8[[#This Row],[Facility ID]],Operational[Facility ID],0))</f>
        <v>9061.7800000000007</v>
      </c>
      <c r="I1315">
        <f>INDEX(Operational[Waste (tons)],MATCH(Emission8[[#This Row],[Facility ID]],Operational[Facility ID],0))</f>
        <v>95.92</v>
      </c>
    </row>
    <row r="1316" spans="1:9" x14ac:dyDescent="0.3">
      <c r="A1316" t="s">
        <v>131</v>
      </c>
      <c r="B1316" t="s">
        <v>17</v>
      </c>
      <c r="C1316" t="s">
        <v>34</v>
      </c>
      <c r="D1316" t="s">
        <v>28</v>
      </c>
      <c r="E1316" t="s">
        <v>24</v>
      </c>
      <c r="F1316">
        <v>93.15</v>
      </c>
      <c r="G1316">
        <f>INDEX(Operational[Production Volume (units)],MATCH(Emission8[[#This Row],[Facility ID]],Operational[Facility ID],0))</f>
        <v>94128</v>
      </c>
      <c r="H1316">
        <f>INDEX(Operational[Energy Consumption (MWh)],MATCH(Emission8[[#This Row],[Facility ID]],Operational[Facility ID],0))</f>
        <v>8117.82</v>
      </c>
      <c r="I1316">
        <f>INDEX(Operational[Waste (tons)],MATCH(Emission8[[#This Row],[Facility ID]],Operational[Facility ID],0))</f>
        <v>73.83</v>
      </c>
    </row>
    <row r="1317" spans="1:9" x14ac:dyDescent="0.3">
      <c r="A1317" t="s">
        <v>170</v>
      </c>
      <c r="B1317" t="s">
        <v>12</v>
      </c>
      <c r="C1317" t="s">
        <v>13</v>
      </c>
      <c r="D1317" t="s">
        <v>28</v>
      </c>
      <c r="E1317" t="s">
        <v>15</v>
      </c>
      <c r="F1317">
        <v>807.86</v>
      </c>
      <c r="G1317">
        <f>INDEX(Operational[Production Volume (units)],MATCH(Emission8[[#This Row],[Facility ID]],Operational[Facility ID],0))</f>
        <v>54133</v>
      </c>
      <c r="H1317">
        <f>INDEX(Operational[Energy Consumption (MWh)],MATCH(Emission8[[#This Row],[Facility ID]],Operational[Facility ID],0))</f>
        <v>8543.68</v>
      </c>
      <c r="I1317">
        <f>INDEX(Operational[Waste (tons)],MATCH(Emission8[[#This Row],[Facility ID]],Operational[Facility ID],0))</f>
        <v>24</v>
      </c>
    </row>
    <row r="1318" spans="1:9" x14ac:dyDescent="0.3">
      <c r="A1318" t="s">
        <v>203</v>
      </c>
      <c r="B1318" t="s">
        <v>12</v>
      </c>
      <c r="C1318" t="s">
        <v>8</v>
      </c>
      <c r="D1318" t="s">
        <v>28</v>
      </c>
      <c r="E1318" t="s">
        <v>24</v>
      </c>
      <c r="F1318">
        <v>3779.13</v>
      </c>
      <c r="G1318">
        <f>INDEX(Operational[Production Volume (units)],MATCH(Emission8[[#This Row],[Facility ID]],Operational[Facility ID],0))</f>
        <v>66398</v>
      </c>
      <c r="H1318">
        <f>INDEX(Operational[Energy Consumption (MWh)],MATCH(Emission8[[#This Row],[Facility ID]],Operational[Facility ID],0))</f>
        <v>8713.61</v>
      </c>
      <c r="I1318">
        <f>INDEX(Operational[Waste (tons)],MATCH(Emission8[[#This Row],[Facility ID]],Operational[Facility ID],0))</f>
        <v>83.44</v>
      </c>
    </row>
    <row r="1319" spans="1:9" x14ac:dyDescent="0.3">
      <c r="A1319" t="s">
        <v>206</v>
      </c>
      <c r="B1319" t="s">
        <v>19</v>
      </c>
      <c r="C1319" t="s">
        <v>13</v>
      </c>
      <c r="D1319" t="s">
        <v>9</v>
      </c>
      <c r="E1319" t="s">
        <v>10</v>
      </c>
      <c r="F1319">
        <v>4998.3900000000003</v>
      </c>
      <c r="G1319">
        <f>INDEX(Operational[Production Volume (units)],MATCH(Emission8[[#This Row],[Facility ID]],Operational[Facility ID],0))</f>
        <v>10250</v>
      </c>
      <c r="H1319">
        <f>INDEX(Operational[Energy Consumption (MWh)],MATCH(Emission8[[#This Row],[Facility ID]],Operational[Facility ID],0))</f>
        <v>4717</v>
      </c>
      <c r="I1319">
        <f>INDEX(Operational[Waste (tons)],MATCH(Emission8[[#This Row],[Facility ID]],Operational[Facility ID],0))</f>
        <v>16.600000000000001</v>
      </c>
    </row>
    <row r="1320" spans="1:9" x14ac:dyDescent="0.3">
      <c r="A1320" t="s">
        <v>16</v>
      </c>
      <c r="B1320" t="s">
        <v>17</v>
      </c>
      <c r="C1320" t="s">
        <v>34</v>
      </c>
      <c r="D1320" t="s">
        <v>14</v>
      </c>
      <c r="E1320" t="s">
        <v>24</v>
      </c>
      <c r="F1320">
        <v>2268.11</v>
      </c>
      <c r="G1320">
        <f>INDEX(Operational[Production Volume (units)],MATCH(Emission8[[#This Row],[Facility ID]],Operational[Facility ID],0))</f>
        <v>43512</v>
      </c>
      <c r="H1320">
        <f>INDEX(Operational[Energy Consumption (MWh)],MATCH(Emission8[[#This Row],[Facility ID]],Operational[Facility ID],0))</f>
        <v>5352.18</v>
      </c>
      <c r="I1320">
        <f>INDEX(Operational[Waste (tons)],MATCH(Emission8[[#This Row],[Facility ID]],Operational[Facility ID],0))</f>
        <v>6.17</v>
      </c>
    </row>
    <row r="1321" spans="1:9" x14ac:dyDescent="0.3">
      <c r="A1321" t="s">
        <v>189</v>
      </c>
      <c r="B1321" t="s">
        <v>19</v>
      </c>
      <c r="C1321" t="s">
        <v>8</v>
      </c>
      <c r="D1321" t="s">
        <v>14</v>
      </c>
      <c r="E1321" t="s">
        <v>24</v>
      </c>
      <c r="F1321">
        <v>1247.71</v>
      </c>
      <c r="G1321">
        <f>INDEX(Operational[Production Volume (units)],MATCH(Emission8[[#This Row],[Facility ID]],Operational[Facility ID],0))</f>
        <v>27681</v>
      </c>
      <c r="H1321">
        <f>INDEX(Operational[Energy Consumption (MWh)],MATCH(Emission8[[#This Row],[Facility ID]],Operational[Facility ID],0))</f>
        <v>928.26</v>
      </c>
      <c r="I1321">
        <f>INDEX(Operational[Waste (tons)],MATCH(Emission8[[#This Row],[Facility ID]],Operational[Facility ID],0))</f>
        <v>44.97</v>
      </c>
    </row>
    <row r="1322" spans="1:9" x14ac:dyDescent="0.3">
      <c r="A1322" t="s">
        <v>138</v>
      </c>
      <c r="B1322" t="s">
        <v>12</v>
      </c>
      <c r="C1322" t="s">
        <v>34</v>
      </c>
      <c r="D1322" t="s">
        <v>28</v>
      </c>
      <c r="E1322" t="s">
        <v>24</v>
      </c>
      <c r="F1322">
        <v>2941.25</v>
      </c>
      <c r="G1322">
        <f>INDEX(Operational[Production Volume (units)],MATCH(Emission8[[#This Row],[Facility ID]],Operational[Facility ID],0))</f>
        <v>57353</v>
      </c>
      <c r="H1322">
        <f>INDEX(Operational[Energy Consumption (MWh)],MATCH(Emission8[[#This Row],[Facility ID]],Operational[Facility ID],0))</f>
        <v>2274.71</v>
      </c>
      <c r="I1322">
        <f>INDEX(Operational[Waste (tons)],MATCH(Emission8[[#This Row],[Facility ID]],Operational[Facility ID],0))</f>
        <v>65.34</v>
      </c>
    </row>
    <row r="1323" spans="1:9" x14ac:dyDescent="0.3">
      <c r="A1323" t="s">
        <v>63</v>
      </c>
      <c r="B1323" t="s">
        <v>12</v>
      </c>
      <c r="C1323" t="s">
        <v>13</v>
      </c>
      <c r="D1323" t="s">
        <v>28</v>
      </c>
      <c r="E1323" t="s">
        <v>24</v>
      </c>
      <c r="F1323">
        <v>1210.07</v>
      </c>
      <c r="G1323">
        <f>INDEX(Operational[Production Volume (units)],MATCH(Emission8[[#This Row],[Facility ID]],Operational[Facility ID],0))</f>
        <v>33688</v>
      </c>
      <c r="H1323">
        <f>INDEX(Operational[Energy Consumption (MWh)],MATCH(Emission8[[#This Row],[Facility ID]],Operational[Facility ID],0))</f>
        <v>9495.48</v>
      </c>
      <c r="I1323">
        <f>INDEX(Operational[Waste (tons)],MATCH(Emission8[[#This Row],[Facility ID]],Operational[Facility ID],0))</f>
        <v>55.55</v>
      </c>
    </row>
    <row r="1324" spans="1:9" x14ac:dyDescent="0.3">
      <c r="A1324" t="s">
        <v>25</v>
      </c>
      <c r="B1324" t="s">
        <v>19</v>
      </c>
      <c r="C1324" t="s">
        <v>34</v>
      </c>
      <c r="D1324" t="s">
        <v>28</v>
      </c>
      <c r="E1324" t="s">
        <v>15</v>
      </c>
      <c r="F1324">
        <v>4451</v>
      </c>
      <c r="G1324">
        <f>INDEX(Operational[Production Volume (units)],MATCH(Emission8[[#This Row],[Facility ID]],Operational[Facility ID],0))</f>
        <v>95306</v>
      </c>
      <c r="H1324">
        <f>INDEX(Operational[Energy Consumption (MWh)],MATCH(Emission8[[#This Row],[Facility ID]],Operational[Facility ID],0))</f>
        <v>9037.76</v>
      </c>
      <c r="I1324">
        <f>INDEX(Operational[Waste (tons)],MATCH(Emission8[[#This Row],[Facility ID]],Operational[Facility ID],0))</f>
        <v>13.35</v>
      </c>
    </row>
    <row r="1325" spans="1:9" x14ac:dyDescent="0.3">
      <c r="A1325" t="s">
        <v>20</v>
      </c>
      <c r="B1325" t="s">
        <v>17</v>
      </c>
      <c r="C1325" t="s">
        <v>23</v>
      </c>
      <c r="D1325" t="s">
        <v>28</v>
      </c>
      <c r="E1325" t="s">
        <v>24</v>
      </c>
      <c r="F1325">
        <v>867.35</v>
      </c>
      <c r="G1325">
        <f>INDEX(Operational[Production Volume (units)],MATCH(Emission8[[#This Row],[Facility ID]],Operational[Facility ID],0))</f>
        <v>29895</v>
      </c>
      <c r="H1325">
        <f>INDEX(Operational[Energy Consumption (MWh)],MATCH(Emission8[[#This Row],[Facility ID]],Operational[Facility ID],0))</f>
        <v>1631.08</v>
      </c>
      <c r="I1325">
        <f>INDEX(Operational[Waste (tons)],MATCH(Emission8[[#This Row],[Facility ID]],Operational[Facility ID],0))</f>
        <v>39.93</v>
      </c>
    </row>
    <row r="1326" spans="1:9" x14ac:dyDescent="0.3">
      <c r="A1326" t="s">
        <v>85</v>
      </c>
      <c r="B1326" t="s">
        <v>30</v>
      </c>
      <c r="C1326" t="s">
        <v>23</v>
      </c>
      <c r="D1326" t="s">
        <v>14</v>
      </c>
      <c r="E1326" t="s">
        <v>10</v>
      </c>
      <c r="F1326">
        <v>3856.1</v>
      </c>
      <c r="G1326">
        <f>INDEX(Operational[Production Volume (units)],MATCH(Emission8[[#This Row],[Facility ID]],Operational[Facility ID],0))</f>
        <v>45519</v>
      </c>
      <c r="H1326">
        <f>INDEX(Operational[Energy Consumption (MWh)],MATCH(Emission8[[#This Row],[Facility ID]],Operational[Facility ID],0))</f>
        <v>7987.69</v>
      </c>
      <c r="I1326">
        <f>INDEX(Operational[Waste (tons)],MATCH(Emission8[[#This Row],[Facility ID]],Operational[Facility ID],0))</f>
        <v>10.86</v>
      </c>
    </row>
    <row r="1327" spans="1:9" x14ac:dyDescent="0.3">
      <c r="A1327" t="s">
        <v>29</v>
      </c>
      <c r="B1327" t="s">
        <v>30</v>
      </c>
      <c r="C1327" t="s">
        <v>34</v>
      </c>
      <c r="D1327" t="s">
        <v>28</v>
      </c>
      <c r="E1327" t="s">
        <v>10</v>
      </c>
      <c r="F1327">
        <v>1963.47</v>
      </c>
      <c r="G1327">
        <f>INDEX(Operational[Production Volume (units)],MATCH(Emission8[[#This Row],[Facility ID]],Operational[Facility ID],0))</f>
        <v>32131</v>
      </c>
      <c r="H1327">
        <f>INDEX(Operational[Energy Consumption (MWh)],MATCH(Emission8[[#This Row],[Facility ID]],Operational[Facility ID],0))</f>
        <v>1474.23</v>
      </c>
      <c r="I1327">
        <f>INDEX(Operational[Waste (tons)],MATCH(Emission8[[#This Row],[Facility ID]],Operational[Facility ID],0))</f>
        <v>45.47</v>
      </c>
    </row>
    <row r="1328" spans="1:9" x14ac:dyDescent="0.3">
      <c r="A1328" t="s">
        <v>18</v>
      </c>
      <c r="B1328" t="s">
        <v>19</v>
      </c>
      <c r="C1328" t="s">
        <v>13</v>
      </c>
      <c r="D1328" t="s">
        <v>14</v>
      </c>
      <c r="E1328" t="s">
        <v>10</v>
      </c>
      <c r="F1328">
        <v>4776.8</v>
      </c>
      <c r="G1328">
        <f>INDEX(Operational[Production Volume (units)],MATCH(Emission8[[#This Row],[Facility ID]],Operational[Facility ID],0))</f>
        <v>98682</v>
      </c>
      <c r="H1328">
        <f>INDEX(Operational[Energy Consumption (MWh)],MATCH(Emission8[[#This Row],[Facility ID]],Operational[Facility ID],0))</f>
        <v>6220.56</v>
      </c>
      <c r="I1328">
        <f>INDEX(Operational[Waste (tons)],MATCH(Emission8[[#This Row],[Facility ID]],Operational[Facility ID],0))</f>
        <v>70.099999999999994</v>
      </c>
    </row>
    <row r="1329" spans="1:9" x14ac:dyDescent="0.3">
      <c r="A1329" t="s">
        <v>150</v>
      </c>
      <c r="B1329" t="s">
        <v>30</v>
      </c>
      <c r="C1329" t="s">
        <v>23</v>
      </c>
      <c r="D1329" t="s">
        <v>14</v>
      </c>
      <c r="E1329" t="s">
        <v>24</v>
      </c>
      <c r="F1329">
        <v>1736.71</v>
      </c>
      <c r="G1329">
        <f>INDEX(Operational[Production Volume (units)],MATCH(Emission8[[#This Row],[Facility ID]],Operational[Facility ID],0))</f>
        <v>98356</v>
      </c>
      <c r="H1329">
        <f>INDEX(Operational[Energy Consumption (MWh)],MATCH(Emission8[[#This Row],[Facility ID]],Operational[Facility ID],0))</f>
        <v>6968.69</v>
      </c>
      <c r="I1329">
        <f>INDEX(Operational[Waste (tons)],MATCH(Emission8[[#This Row],[Facility ID]],Operational[Facility ID],0))</f>
        <v>81.72</v>
      </c>
    </row>
    <row r="1330" spans="1:9" x14ac:dyDescent="0.3">
      <c r="A1330" t="s">
        <v>70</v>
      </c>
      <c r="B1330" t="s">
        <v>19</v>
      </c>
      <c r="C1330" t="s">
        <v>8</v>
      </c>
      <c r="D1330" t="s">
        <v>14</v>
      </c>
      <c r="E1330" t="s">
        <v>15</v>
      </c>
      <c r="F1330">
        <v>4367.4799999999996</v>
      </c>
      <c r="G1330">
        <f>INDEX(Operational[Production Volume (units)],MATCH(Emission8[[#This Row],[Facility ID]],Operational[Facility ID],0))</f>
        <v>42485</v>
      </c>
      <c r="H1330">
        <f>INDEX(Operational[Energy Consumption (MWh)],MATCH(Emission8[[#This Row],[Facility ID]],Operational[Facility ID],0))</f>
        <v>4755.75</v>
      </c>
      <c r="I1330">
        <f>INDEX(Operational[Waste (tons)],MATCH(Emission8[[#This Row],[Facility ID]],Operational[Facility ID],0))</f>
        <v>10.19</v>
      </c>
    </row>
    <row r="1331" spans="1:9" x14ac:dyDescent="0.3">
      <c r="A1331" t="s">
        <v>143</v>
      </c>
      <c r="B1331" t="s">
        <v>17</v>
      </c>
      <c r="C1331" t="s">
        <v>23</v>
      </c>
      <c r="D1331" t="s">
        <v>28</v>
      </c>
      <c r="E1331" t="s">
        <v>15</v>
      </c>
      <c r="F1331">
        <v>700.15</v>
      </c>
      <c r="G1331">
        <f>INDEX(Operational[Production Volume (units)],MATCH(Emission8[[#This Row],[Facility ID]],Operational[Facility ID],0))</f>
        <v>94704</v>
      </c>
      <c r="H1331">
        <f>INDEX(Operational[Energy Consumption (MWh)],MATCH(Emission8[[#This Row],[Facility ID]],Operational[Facility ID],0))</f>
        <v>6632.95</v>
      </c>
      <c r="I1331">
        <f>INDEX(Operational[Waste (tons)],MATCH(Emission8[[#This Row],[Facility ID]],Operational[Facility ID],0))</f>
        <v>14.76</v>
      </c>
    </row>
    <row r="1332" spans="1:9" x14ac:dyDescent="0.3">
      <c r="A1332" t="s">
        <v>151</v>
      </c>
      <c r="B1332" t="s">
        <v>12</v>
      </c>
      <c r="C1332" t="s">
        <v>34</v>
      </c>
      <c r="D1332" t="s">
        <v>28</v>
      </c>
      <c r="E1332" t="s">
        <v>15</v>
      </c>
      <c r="F1332">
        <v>4667.1400000000003</v>
      </c>
      <c r="G1332">
        <f>INDEX(Operational[Production Volume (units)],MATCH(Emission8[[#This Row],[Facility ID]],Operational[Facility ID],0))</f>
        <v>61207</v>
      </c>
      <c r="H1332">
        <f>INDEX(Operational[Energy Consumption (MWh)],MATCH(Emission8[[#This Row],[Facility ID]],Operational[Facility ID],0))</f>
        <v>6922.33</v>
      </c>
      <c r="I1332">
        <f>INDEX(Operational[Waste (tons)],MATCH(Emission8[[#This Row],[Facility ID]],Operational[Facility ID],0))</f>
        <v>9.1999999999999993</v>
      </c>
    </row>
    <row r="1333" spans="1:9" x14ac:dyDescent="0.3">
      <c r="A1333" t="s">
        <v>146</v>
      </c>
      <c r="B1333" t="s">
        <v>7</v>
      </c>
      <c r="C1333" t="s">
        <v>34</v>
      </c>
      <c r="D1333" t="s">
        <v>9</v>
      </c>
      <c r="E1333" t="s">
        <v>24</v>
      </c>
      <c r="F1333">
        <v>2262.4299999999998</v>
      </c>
      <c r="G1333">
        <f>INDEX(Operational[Production Volume (units)],MATCH(Emission8[[#This Row],[Facility ID]],Operational[Facility ID],0))</f>
        <v>14170</v>
      </c>
      <c r="H1333">
        <f>INDEX(Operational[Energy Consumption (MWh)],MATCH(Emission8[[#This Row],[Facility ID]],Operational[Facility ID],0))</f>
        <v>5455.23</v>
      </c>
      <c r="I1333">
        <f>INDEX(Operational[Waste (tons)],MATCH(Emission8[[#This Row],[Facility ID]],Operational[Facility ID],0))</f>
        <v>25.46</v>
      </c>
    </row>
    <row r="1334" spans="1:9" x14ac:dyDescent="0.3">
      <c r="A1334" t="s">
        <v>153</v>
      </c>
      <c r="B1334" t="s">
        <v>7</v>
      </c>
      <c r="C1334" t="s">
        <v>13</v>
      </c>
      <c r="D1334" t="s">
        <v>28</v>
      </c>
      <c r="E1334" t="s">
        <v>10</v>
      </c>
      <c r="F1334">
        <v>4898.1499999999996</v>
      </c>
      <c r="G1334">
        <f>INDEX(Operational[Production Volume (units)],MATCH(Emission8[[#This Row],[Facility ID]],Operational[Facility ID],0))</f>
        <v>21388</v>
      </c>
      <c r="H1334">
        <f>INDEX(Operational[Energy Consumption (MWh)],MATCH(Emission8[[#This Row],[Facility ID]],Operational[Facility ID],0))</f>
        <v>5249.39</v>
      </c>
      <c r="I1334">
        <f>INDEX(Operational[Waste (tons)],MATCH(Emission8[[#This Row],[Facility ID]],Operational[Facility ID],0))</f>
        <v>64.2</v>
      </c>
    </row>
    <row r="1335" spans="1:9" x14ac:dyDescent="0.3">
      <c r="A1335" t="s">
        <v>208</v>
      </c>
      <c r="B1335" t="s">
        <v>19</v>
      </c>
      <c r="C1335" t="s">
        <v>13</v>
      </c>
      <c r="D1335" t="s">
        <v>14</v>
      </c>
      <c r="E1335" t="s">
        <v>15</v>
      </c>
      <c r="F1335">
        <v>2735.09</v>
      </c>
      <c r="G1335">
        <f>INDEX(Operational[Production Volume (units)],MATCH(Emission8[[#This Row],[Facility ID]],Operational[Facility ID],0))</f>
        <v>40553</v>
      </c>
      <c r="H1335">
        <f>INDEX(Operational[Energy Consumption (MWh)],MATCH(Emission8[[#This Row],[Facility ID]],Operational[Facility ID],0))</f>
        <v>4875.2299999999996</v>
      </c>
      <c r="I1335">
        <f>INDEX(Operational[Waste (tons)],MATCH(Emission8[[#This Row],[Facility ID]],Operational[Facility ID],0))</f>
        <v>23.33</v>
      </c>
    </row>
    <row r="1336" spans="1:9" x14ac:dyDescent="0.3">
      <c r="A1336" t="s">
        <v>32</v>
      </c>
      <c r="B1336" t="s">
        <v>7</v>
      </c>
      <c r="C1336" t="s">
        <v>13</v>
      </c>
      <c r="D1336" t="s">
        <v>28</v>
      </c>
      <c r="E1336" t="s">
        <v>15</v>
      </c>
      <c r="F1336">
        <v>129.43</v>
      </c>
      <c r="G1336">
        <f>INDEX(Operational[Production Volume (units)],MATCH(Emission8[[#This Row],[Facility ID]],Operational[Facility ID],0))</f>
        <v>10933</v>
      </c>
      <c r="H1336">
        <f>INDEX(Operational[Energy Consumption (MWh)],MATCH(Emission8[[#This Row],[Facility ID]],Operational[Facility ID],0))</f>
        <v>9004.3700000000008</v>
      </c>
      <c r="I1336">
        <f>INDEX(Operational[Waste (tons)],MATCH(Emission8[[#This Row],[Facility ID]],Operational[Facility ID],0))</f>
        <v>26.84</v>
      </c>
    </row>
    <row r="1337" spans="1:9" x14ac:dyDescent="0.3">
      <c r="A1337" t="s">
        <v>203</v>
      </c>
      <c r="B1337" t="s">
        <v>12</v>
      </c>
      <c r="C1337" t="s">
        <v>34</v>
      </c>
      <c r="D1337" t="s">
        <v>28</v>
      </c>
      <c r="E1337" t="s">
        <v>15</v>
      </c>
      <c r="F1337">
        <v>556.38</v>
      </c>
      <c r="G1337">
        <f>INDEX(Operational[Production Volume (units)],MATCH(Emission8[[#This Row],[Facility ID]],Operational[Facility ID],0))</f>
        <v>66398</v>
      </c>
      <c r="H1337">
        <f>INDEX(Operational[Energy Consumption (MWh)],MATCH(Emission8[[#This Row],[Facility ID]],Operational[Facility ID],0))</f>
        <v>8713.61</v>
      </c>
      <c r="I1337">
        <f>INDEX(Operational[Waste (tons)],MATCH(Emission8[[#This Row],[Facility ID]],Operational[Facility ID],0))</f>
        <v>83.44</v>
      </c>
    </row>
    <row r="1338" spans="1:9" x14ac:dyDescent="0.3">
      <c r="A1338" t="s">
        <v>67</v>
      </c>
      <c r="B1338" t="s">
        <v>7</v>
      </c>
      <c r="C1338" t="s">
        <v>23</v>
      </c>
      <c r="D1338" t="s">
        <v>14</v>
      </c>
      <c r="E1338" t="s">
        <v>10</v>
      </c>
      <c r="F1338">
        <v>358.08</v>
      </c>
      <c r="G1338">
        <f>INDEX(Operational[Production Volume (units)],MATCH(Emission8[[#This Row],[Facility ID]],Operational[Facility ID],0))</f>
        <v>70582</v>
      </c>
      <c r="H1338">
        <f>INDEX(Operational[Energy Consumption (MWh)],MATCH(Emission8[[#This Row],[Facility ID]],Operational[Facility ID],0))</f>
        <v>7517.59</v>
      </c>
      <c r="I1338">
        <f>INDEX(Operational[Waste (tons)],MATCH(Emission8[[#This Row],[Facility ID]],Operational[Facility ID],0))</f>
        <v>95.71</v>
      </c>
    </row>
    <row r="1339" spans="1:9" x14ac:dyDescent="0.3">
      <c r="A1339" t="s">
        <v>87</v>
      </c>
      <c r="B1339" t="s">
        <v>12</v>
      </c>
      <c r="C1339" t="s">
        <v>34</v>
      </c>
      <c r="D1339" t="s">
        <v>9</v>
      </c>
      <c r="E1339" t="s">
        <v>24</v>
      </c>
      <c r="F1339">
        <v>5236.84</v>
      </c>
      <c r="G1339">
        <f>INDEX(Operational[Production Volume (units)],MATCH(Emission8[[#This Row],[Facility ID]],Operational[Facility ID],0))</f>
        <v>15333</v>
      </c>
      <c r="H1339">
        <f>INDEX(Operational[Energy Consumption (MWh)],MATCH(Emission8[[#This Row],[Facility ID]],Operational[Facility ID],0))</f>
        <v>2570.54</v>
      </c>
      <c r="I1339">
        <f>INDEX(Operational[Waste (tons)],MATCH(Emission8[[#This Row],[Facility ID]],Operational[Facility ID],0))</f>
        <v>41.07</v>
      </c>
    </row>
    <row r="1340" spans="1:9" x14ac:dyDescent="0.3">
      <c r="A1340" t="s">
        <v>210</v>
      </c>
      <c r="B1340" t="s">
        <v>7</v>
      </c>
      <c r="C1340" t="s">
        <v>34</v>
      </c>
      <c r="D1340" t="s">
        <v>28</v>
      </c>
      <c r="E1340" t="s">
        <v>24</v>
      </c>
      <c r="F1340">
        <v>2820.63</v>
      </c>
      <c r="G1340">
        <f>INDEX(Operational[Production Volume (units)],MATCH(Emission8[[#This Row],[Facility ID]],Operational[Facility ID],0))</f>
        <v>65666</v>
      </c>
      <c r="H1340">
        <f>INDEX(Operational[Energy Consumption (MWh)],MATCH(Emission8[[#This Row],[Facility ID]],Operational[Facility ID],0))</f>
        <v>7269.98</v>
      </c>
      <c r="I1340">
        <f>INDEX(Operational[Waste (tons)],MATCH(Emission8[[#This Row],[Facility ID]],Operational[Facility ID],0))</f>
        <v>75.62</v>
      </c>
    </row>
    <row r="1341" spans="1:9" x14ac:dyDescent="0.3">
      <c r="A1341" t="s">
        <v>35</v>
      </c>
      <c r="B1341" t="s">
        <v>19</v>
      </c>
      <c r="C1341" t="s">
        <v>34</v>
      </c>
      <c r="D1341" t="s">
        <v>9</v>
      </c>
      <c r="E1341" t="s">
        <v>15</v>
      </c>
      <c r="F1341">
        <v>1652.63</v>
      </c>
      <c r="G1341">
        <f>INDEX(Operational[Production Volume (units)],MATCH(Emission8[[#This Row],[Facility ID]],Operational[Facility ID],0))</f>
        <v>42382</v>
      </c>
      <c r="H1341">
        <f>INDEX(Operational[Energy Consumption (MWh)],MATCH(Emission8[[#This Row],[Facility ID]],Operational[Facility ID],0))</f>
        <v>5116.6899999999996</v>
      </c>
      <c r="I1341">
        <f>INDEX(Operational[Waste (tons)],MATCH(Emission8[[#This Row],[Facility ID]],Operational[Facility ID],0))</f>
        <v>80.42</v>
      </c>
    </row>
    <row r="1342" spans="1:9" x14ac:dyDescent="0.3">
      <c r="A1342" t="s">
        <v>206</v>
      </c>
      <c r="B1342" t="s">
        <v>19</v>
      </c>
      <c r="C1342" t="s">
        <v>34</v>
      </c>
      <c r="D1342" t="s">
        <v>9</v>
      </c>
      <c r="E1342" t="s">
        <v>15</v>
      </c>
      <c r="F1342">
        <v>4298.4799999999996</v>
      </c>
      <c r="G1342">
        <f>INDEX(Operational[Production Volume (units)],MATCH(Emission8[[#This Row],[Facility ID]],Operational[Facility ID],0))</f>
        <v>10250</v>
      </c>
      <c r="H1342">
        <f>INDEX(Operational[Energy Consumption (MWh)],MATCH(Emission8[[#This Row],[Facility ID]],Operational[Facility ID],0))</f>
        <v>4717</v>
      </c>
      <c r="I1342">
        <f>INDEX(Operational[Waste (tons)],MATCH(Emission8[[#This Row],[Facility ID]],Operational[Facility ID],0))</f>
        <v>16.600000000000001</v>
      </c>
    </row>
    <row r="1343" spans="1:9" x14ac:dyDescent="0.3">
      <c r="A1343" t="s">
        <v>169</v>
      </c>
      <c r="B1343" t="s">
        <v>12</v>
      </c>
      <c r="C1343" t="s">
        <v>34</v>
      </c>
      <c r="D1343" t="s">
        <v>14</v>
      </c>
      <c r="E1343" t="s">
        <v>10</v>
      </c>
      <c r="F1343">
        <v>2188.52</v>
      </c>
      <c r="G1343">
        <f>INDEX(Operational[Production Volume (units)],MATCH(Emission8[[#This Row],[Facility ID]],Operational[Facility ID],0))</f>
        <v>82377</v>
      </c>
      <c r="H1343">
        <f>INDEX(Operational[Energy Consumption (MWh)],MATCH(Emission8[[#This Row],[Facility ID]],Operational[Facility ID],0))</f>
        <v>7974.74</v>
      </c>
      <c r="I1343">
        <f>INDEX(Operational[Waste (tons)],MATCH(Emission8[[#This Row],[Facility ID]],Operational[Facility ID],0))</f>
        <v>9.17</v>
      </c>
    </row>
    <row r="1344" spans="1:9" x14ac:dyDescent="0.3">
      <c r="A1344" t="s">
        <v>141</v>
      </c>
      <c r="B1344" t="s">
        <v>7</v>
      </c>
      <c r="C1344" t="s">
        <v>8</v>
      </c>
      <c r="D1344" t="s">
        <v>28</v>
      </c>
      <c r="E1344" t="s">
        <v>15</v>
      </c>
      <c r="F1344">
        <v>228.37</v>
      </c>
      <c r="G1344">
        <f>INDEX(Operational[Production Volume (units)],MATCH(Emission8[[#This Row],[Facility ID]],Operational[Facility ID],0))</f>
        <v>45644</v>
      </c>
      <c r="H1344">
        <f>INDEX(Operational[Energy Consumption (MWh)],MATCH(Emission8[[#This Row],[Facility ID]],Operational[Facility ID],0))</f>
        <v>7724.73</v>
      </c>
      <c r="I1344">
        <f>INDEX(Operational[Waste (tons)],MATCH(Emission8[[#This Row],[Facility ID]],Operational[Facility ID],0))</f>
        <v>31</v>
      </c>
    </row>
    <row r="1345" spans="1:9" x14ac:dyDescent="0.3">
      <c r="A1345" t="s">
        <v>169</v>
      </c>
      <c r="B1345" t="s">
        <v>12</v>
      </c>
      <c r="C1345" t="s">
        <v>34</v>
      </c>
      <c r="D1345" t="s">
        <v>9</v>
      </c>
      <c r="E1345" t="s">
        <v>10</v>
      </c>
      <c r="F1345">
        <v>3425.06</v>
      </c>
      <c r="G1345">
        <f>INDEX(Operational[Production Volume (units)],MATCH(Emission8[[#This Row],[Facility ID]],Operational[Facility ID],0))</f>
        <v>82377</v>
      </c>
      <c r="H1345">
        <f>INDEX(Operational[Energy Consumption (MWh)],MATCH(Emission8[[#This Row],[Facility ID]],Operational[Facility ID],0))</f>
        <v>7974.74</v>
      </c>
      <c r="I1345">
        <f>INDEX(Operational[Waste (tons)],MATCH(Emission8[[#This Row],[Facility ID]],Operational[Facility ID],0))</f>
        <v>9.17</v>
      </c>
    </row>
    <row r="1346" spans="1:9" x14ac:dyDescent="0.3">
      <c r="A1346" t="s">
        <v>140</v>
      </c>
      <c r="B1346" t="s">
        <v>17</v>
      </c>
      <c r="C1346" t="s">
        <v>34</v>
      </c>
      <c r="D1346" t="s">
        <v>28</v>
      </c>
      <c r="E1346" t="s">
        <v>24</v>
      </c>
      <c r="F1346">
        <v>3780.56</v>
      </c>
      <c r="G1346">
        <f>INDEX(Operational[Production Volume (units)],MATCH(Emission8[[#This Row],[Facility ID]],Operational[Facility ID],0))</f>
        <v>88308</v>
      </c>
      <c r="H1346">
        <f>INDEX(Operational[Energy Consumption (MWh)],MATCH(Emission8[[#This Row],[Facility ID]],Operational[Facility ID],0))</f>
        <v>7802.07</v>
      </c>
      <c r="I1346">
        <f>INDEX(Operational[Waste (tons)],MATCH(Emission8[[#This Row],[Facility ID]],Operational[Facility ID],0))</f>
        <v>36.130000000000003</v>
      </c>
    </row>
    <row r="1347" spans="1:9" x14ac:dyDescent="0.3">
      <c r="A1347" t="s">
        <v>113</v>
      </c>
      <c r="B1347" t="s">
        <v>30</v>
      </c>
      <c r="C1347" t="s">
        <v>13</v>
      </c>
      <c r="D1347" t="s">
        <v>28</v>
      </c>
      <c r="E1347" t="s">
        <v>24</v>
      </c>
      <c r="F1347">
        <v>1026.45</v>
      </c>
      <c r="G1347">
        <f>INDEX(Operational[Production Volume (units)],MATCH(Emission8[[#This Row],[Facility ID]],Operational[Facility ID],0))</f>
        <v>90679</v>
      </c>
      <c r="H1347">
        <f>INDEX(Operational[Energy Consumption (MWh)],MATCH(Emission8[[#This Row],[Facility ID]],Operational[Facility ID],0))</f>
        <v>7266.82</v>
      </c>
      <c r="I1347">
        <f>INDEX(Operational[Waste (tons)],MATCH(Emission8[[#This Row],[Facility ID]],Operational[Facility ID],0))</f>
        <v>23.3</v>
      </c>
    </row>
    <row r="1348" spans="1:9" x14ac:dyDescent="0.3">
      <c r="A1348" t="s">
        <v>73</v>
      </c>
      <c r="B1348" t="s">
        <v>30</v>
      </c>
      <c r="C1348" t="s">
        <v>8</v>
      </c>
      <c r="D1348" t="s">
        <v>9</v>
      </c>
      <c r="E1348" t="s">
        <v>15</v>
      </c>
      <c r="F1348">
        <v>1973.14</v>
      </c>
      <c r="G1348">
        <f>INDEX(Operational[Production Volume (units)],MATCH(Emission8[[#This Row],[Facility ID]],Operational[Facility ID],0))</f>
        <v>55974</v>
      </c>
      <c r="H1348">
        <f>INDEX(Operational[Energy Consumption (MWh)],MATCH(Emission8[[#This Row],[Facility ID]],Operational[Facility ID],0))</f>
        <v>7542.28</v>
      </c>
      <c r="I1348">
        <f>INDEX(Operational[Waste (tons)],MATCH(Emission8[[#This Row],[Facility ID]],Operational[Facility ID],0))</f>
        <v>72.430000000000007</v>
      </c>
    </row>
    <row r="1349" spans="1:9" x14ac:dyDescent="0.3">
      <c r="A1349" t="s">
        <v>203</v>
      </c>
      <c r="B1349" t="s">
        <v>12</v>
      </c>
      <c r="C1349" t="s">
        <v>13</v>
      </c>
      <c r="D1349" t="s">
        <v>9</v>
      </c>
      <c r="E1349" t="s">
        <v>15</v>
      </c>
      <c r="F1349">
        <v>3828.41</v>
      </c>
      <c r="G1349">
        <f>INDEX(Operational[Production Volume (units)],MATCH(Emission8[[#This Row],[Facility ID]],Operational[Facility ID],0))</f>
        <v>66398</v>
      </c>
      <c r="H1349">
        <f>INDEX(Operational[Energy Consumption (MWh)],MATCH(Emission8[[#This Row],[Facility ID]],Operational[Facility ID],0))</f>
        <v>8713.61</v>
      </c>
      <c r="I1349">
        <f>INDEX(Operational[Waste (tons)],MATCH(Emission8[[#This Row],[Facility ID]],Operational[Facility ID],0))</f>
        <v>83.44</v>
      </c>
    </row>
    <row r="1350" spans="1:9" x14ac:dyDescent="0.3">
      <c r="A1350" t="s">
        <v>63</v>
      </c>
      <c r="B1350" t="s">
        <v>12</v>
      </c>
      <c r="C1350" t="s">
        <v>23</v>
      </c>
      <c r="D1350" t="s">
        <v>28</v>
      </c>
      <c r="E1350" t="s">
        <v>10</v>
      </c>
      <c r="F1350">
        <v>3883.26</v>
      </c>
      <c r="G1350">
        <f>INDEX(Operational[Production Volume (units)],MATCH(Emission8[[#This Row],[Facility ID]],Operational[Facility ID],0))</f>
        <v>33688</v>
      </c>
      <c r="H1350">
        <f>INDEX(Operational[Energy Consumption (MWh)],MATCH(Emission8[[#This Row],[Facility ID]],Operational[Facility ID],0))</f>
        <v>9495.48</v>
      </c>
      <c r="I1350">
        <f>INDEX(Operational[Waste (tons)],MATCH(Emission8[[#This Row],[Facility ID]],Operational[Facility ID],0))</f>
        <v>55.55</v>
      </c>
    </row>
    <row r="1351" spans="1:9" x14ac:dyDescent="0.3">
      <c r="A1351" t="s">
        <v>77</v>
      </c>
      <c r="B1351" t="s">
        <v>30</v>
      </c>
      <c r="C1351" t="s">
        <v>8</v>
      </c>
      <c r="D1351" t="s">
        <v>9</v>
      </c>
      <c r="E1351" t="s">
        <v>15</v>
      </c>
      <c r="F1351">
        <v>4934.97</v>
      </c>
      <c r="G1351">
        <f>INDEX(Operational[Production Volume (units)],MATCH(Emission8[[#This Row],[Facility ID]],Operational[Facility ID],0))</f>
        <v>61942</v>
      </c>
      <c r="H1351">
        <f>INDEX(Operational[Energy Consumption (MWh)],MATCH(Emission8[[#This Row],[Facility ID]],Operational[Facility ID],0))</f>
        <v>4891.32</v>
      </c>
      <c r="I1351">
        <f>INDEX(Operational[Waste (tons)],MATCH(Emission8[[#This Row],[Facility ID]],Operational[Facility ID],0))</f>
        <v>91.59</v>
      </c>
    </row>
    <row r="1352" spans="1:9" x14ac:dyDescent="0.3">
      <c r="A1352" t="s">
        <v>20</v>
      </c>
      <c r="B1352" t="s">
        <v>17</v>
      </c>
      <c r="C1352" t="s">
        <v>13</v>
      </c>
      <c r="D1352" t="s">
        <v>14</v>
      </c>
      <c r="E1352" t="s">
        <v>24</v>
      </c>
      <c r="F1352">
        <v>336.58</v>
      </c>
      <c r="G1352">
        <f>INDEX(Operational[Production Volume (units)],MATCH(Emission8[[#This Row],[Facility ID]],Operational[Facility ID],0))</f>
        <v>29895</v>
      </c>
      <c r="H1352">
        <f>INDEX(Operational[Energy Consumption (MWh)],MATCH(Emission8[[#This Row],[Facility ID]],Operational[Facility ID],0))</f>
        <v>1631.08</v>
      </c>
      <c r="I1352">
        <f>INDEX(Operational[Waste (tons)],MATCH(Emission8[[#This Row],[Facility ID]],Operational[Facility ID],0))</f>
        <v>39.93</v>
      </c>
    </row>
    <row r="1353" spans="1:9" x14ac:dyDescent="0.3">
      <c r="A1353" t="s">
        <v>174</v>
      </c>
      <c r="B1353" t="s">
        <v>19</v>
      </c>
      <c r="C1353" t="s">
        <v>13</v>
      </c>
      <c r="D1353" t="s">
        <v>28</v>
      </c>
      <c r="E1353" t="s">
        <v>10</v>
      </c>
      <c r="F1353">
        <v>3817.85</v>
      </c>
      <c r="G1353">
        <f>INDEX(Operational[Production Volume (units)],MATCH(Emission8[[#This Row],[Facility ID]],Operational[Facility ID],0))</f>
        <v>66163</v>
      </c>
      <c r="H1353">
        <f>INDEX(Operational[Energy Consumption (MWh)],MATCH(Emission8[[#This Row],[Facility ID]],Operational[Facility ID],0))</f>
        <v>1416.57</v>
      </c>
      <c r="I1353">
        <f>INDEX(Operational[Waste (tons)],MATCH(Emission8[[#This Row],[Facility ID]],Operational[Facility ID],0))</f>
        <v>68.73</v>
      </c>
    </row>
    <row r="1354" spans="1:9" x14ac:dyDescent="0.3">
      <c r="A1354" t="s">
        <v>95</v>
      </c>
      <c r="B1354" t="s">
        <v>30</v>
      </c>
      <c r="C1354" t="s">
        <v>13</v>
      </c>
      <c r="D1354" t="s">
        <v>28</v>
      </c>
      <c r="E1354" t="s">
        <v>15</v>
      </c>
      <c r="F1354">
        <v>1089.25</v>
      </c>
      <c r="G1354">
        <f>INDEX(Operational[Production Volume (units)],MATCH(Emission8[[#This Row],[Facility ID]],Operational[Facility ID],0))</f>
        <v>51800</v>
      </c>
      <c r="H1354">
        <f>INDEX(Operational[Energy Consumption (MWh)],MATCH(Emission8[[#This Row],[Facility ID]],Operational[Facility ID],0))</f>
        <v>3042.95</v>
      </c>
      <c r="I1354">
        <f>INDEX(Operational[Waste (tons)],MATCH(Emission8[[#This Row],[Facility ID]],Operational[Facility ID],0))</f>
        <v>71.87</v>
      </c>
    </row>
    <row r="1355" spans="1:9" x14ac:dyDescent="0.3">
      <c r="A1355" t="s">
        <v>68</v>
      </c>
      <c r="B1355" t="s">
        <v>12</v>
      </c>
      <c r="C1355" t="s">
        <v>23</v>
      </c>
      <c r="D1355" t="s">
        <v>9</v>
      </c>
      <c r="E1355" t="s">
        <v>10</v>
      </c>
      <c r="F1355">
        <v>316.08</v>
      </c>
      <c r="G1355">
        <f>INDEX(Operational[Production Volume (units)],MATCH(Emission8[[#This Row],[Facility ID]],Operational[Facility ID],0))</f>
        <v>69100</v>
      </c>
      <c r="H1355">
        <f>INDEX(Operational[Energy Consumption (MWh)],MATCH(Emission8[[#This Row],[Facility ID]],Operational[Facility ID],0))</f>
        <v>9356.02</v>
      </c>
      <c r="I1355">
        <f>INDEX(Operational[Waste (tons)],MATCH(Emission8[[#This Row],[Facility ID]],Operational[Facility ID],0))</f>
        <v>16.5</v>
      </c>
    </row>
    <row r="1356" spans="1:9" x14ac:dyDescent="0.3">
      <c r="A1356" t="s">
        <v>55</v>
      </c>
      <c r="B1356" t="s">
        <v>12</v>
      </c>
      <c r="C1356" t="s">
        <v>13</v>
      </c>
      <c r="D1356" t="s">
        <v>14</v>
      </c>
      <c r="E1356" t="s">
        <v>15</v>
      </c>
      <c r="F1356">
        <v>2112.3200000000002</v>
      </c>
      <c r="G1356">
        <f>INDEX(Operational[Production Volume (units)],MATCH(Emission8[[#This Row],[Facility ID]],Operational[Facility ID],0))</f>
        <v>38181</v>
      </c>
      <c r="H1356">
        <f>INDEX(Operational[Energy Consumption (MWh)],MATCH(Emission8[[#This Row],[Facility ID]],Operational[Facility ID],0))</f>
        <v>691.84</v>
      </c>
      <c r="I1356">
        <f>INDEX(Operational[Waste (tons)],MATCH(Emission8[[#This Row],[Facility ID]],Operational[Facility ID],0))</f>
        <v>33.53</v>
      </c>
    </row>
    <row r="1357" spans="1:9" x14ac:dyDescent="0.3">
      <c r="A1357" t="s">
        <v>59</v>
      </c>
      <c r="B1357" t="s">
        <v>17</v>
      </c>
      <c r="C1357" t="s">
        <v>23</v>
      </c>
      <c r="D1357" t="s">
        <v>9</v>
      </c>
      <c r="E1357" t="s">
        <v>10</v>
      </c>
      <c r="F1357">
        <v>892.44</v>
      </c>
      <c r="G1357">
        <f>INDEX(Operational[Production Volume (units)],MATCH(Emission8[[#This Row],[Facility ID]],Operational[Facility ID],0))</f>
        <v>15553</v>
      </c>
      <c r="H1357">
        <f>INDEX(Operational[Energy Consumption (MWh)],MATCH(Emission8[[#This Row],[Facility ID]],Operational[Facility ID],0))</f>
        <v>3909.51</v>
      </c>
      <c r="I1357">
        <f>INDEX(Operational[Waste (tons)],MATCH(Emission8[[#This Row],[Facility ID]],Operational[Facility ID],0))</f>
        <v>46.44</v>
      </c>
    </row>
    <row r="1358" spans="1:9" x14ac:dyDescent="0.3">
      <c r="A1358" t="s">
        <v>68</v>
      </c>
      <c r="B1358" t="s">
        <v>12</v>
      </c>
      <c r="C1358" t="s">
        <v>13</v>
      </c>
      <c r="D1358" t="s">
        <v>14</v>
      </c>
      <c r="E1358" t="s">
        <v>10</v>
      </c>
      <c r="F1358">
        <v>1569.2</v>
      </c>
      <c r="G1358">
        <f>INDEX(Operational[Production Volume (units)],MATCH(Emission8[[#This Row],[Facility ID]],Operational[Facility ID],0))</f>
        <v>69100</v>
      </c>
      <c r="H1358">
        <f>INDEX(Operational[Energy Consumption (MWh)],MATCH(Emission8[[#This Row],[Facility ID]],Operational[Facility ID],0))</f>
        <v>9356.02</v>
      </c>
      <c r="I1358">
        <f>INDEX(Operational[Waste (tons)],MATCH(Emission8[[#This Row],[Facility ID]],Operational[Facility ID],0))</f>
        <v>16.5</v>
      </c>
    </row>
    <row r="1359" spans="1:9" x14ac:dyDescent="0.3">
      <c r="A1359" t="s">
        <v>139</v>
      </c>
      <c r="B1359" t="s">
        <v>7</v>
      </c>
      <c r="C1359" t="s">
        <v>34</v>
      </c>
      <c r="D1359" t="s">
        <v>9</v>
      </c>
      <c r="E1359" t="s">
        <v>15</v>
      </c>
      <c r="F1359">
        <v>1407.45</v>
      </c>
      <c r="G1359">
        <f>INDEX(Operational[Production Volume (units)],MATCH(Emission8[[#This Row],[Facility ID]],Operational[Facility ID],0))</f>
        <v>10067</v>
      </c>
      <c r="H1359">
        <f>INDEX(Operational[Energy Consumption (MWh)],MATCH(Emission8[[#This Row],[Facility ID]],Operational[Facility ID],0))</f>
        <v>1953.33</v>
      </c>
      <c r="I1359">
        <f>INDEX(Operational[Waste (tons)],MATCH(Emission8[[#This Row],[Facility ID]],Operational[Facility ID],0))</f>
        <v>25.15</v>
      </c>
    </row>
    <row r="1360" spans="1:9" x14ac:dyDescent="0.3">
      <c r="A1360" t="s">
        <v>84</v>
      </c>
      <c r="B1360" t="s">
        <v>30</v>
      </c>
      <c r="C1360" t="s">
        <v>13</v>
      </c>
      <c r="D1360" t="s">
        <v>9</v>
      </c>
      <c r="E1360" t="s">
        <v>24</v>
      </c>
      <c r="F1360">
        <v>4401.59</v>
      </c>
      <c r="G1360">
        <f>INDEX(Operational[Production Volume (units)],MATCH(Emission8[[#This Row],[Facility ID]],Operational[Facility ID],0))</f>
        <v>85444</v>
      </c>
      <c r="H1360">
        <f>INDEX(Operational[Energy Consumption (MWh)],MATCH(Emission8[[#This Row],[Facility ID]],Operational[Facility ID],0))</f>
        <v>852.57</v>
      </c>
      <c r="I1360">
        <f>INDEX(Operational[Waste (tons)],MATCH(Emission8[[#This Row],[Facility ID]],Operational[Facility ID],0))</f>
        <v>72.650000000000006</v>
      </c>
    </row>
    <row r="1361" spans="1:9" x14ac:dyDescent="0.3">
      <c r="A1361" t="s">
        <v>124</v>
      </c>
      <c r="B1361" t="s">
        <v>12</v>
      </c>
      <c r="C1361" t="s">
        <v>34</v>
      </c>
      <c r="D1361" t="s">
        <v>28</v>
      </c>
      <c r="E1361" t="s">
        <v>10</v>
      </c>
      <c r="F1361">
        <v>4331.4399999999996</v>
      </c>
      <c r="G1361">
        <f>INDEX(Operational[Production Volume (units)],MATCH(Emission8[[#This Row],[Facility ID]],Operational[Facility ID],0))</f>
        <v>47491</v>
      </c>
      <c r="H1361">
        <f>INDEX(Operational[Energy Consumption (MWh)],MATCH(Emission8[[#This Row],[Facility ID]],Operational[Facility ID],0))</f>
        <v>5781.05</v>
      </c>
      <c r="I1361">
        <f>INDEX(Operational[Waste (tons)],MATCH(Emission8[[#This Row],[Facility ID]],Operational[Facility ID],0))</f>
        <v>92.18</v>
      </c>
    </row>
    <row r="1362" spans="1:9" x14ac:dyDescent="0.3">
      <c r="A1362" t="s">
        <v>139</v>
      </c>
      <c r="B1362" t="s">
        <v>7</v>
      </c>
      <c r="C1362" t="s">
        <v>23</v>
      </c>
      <c r="D1362" t="s">
        <v>14</v>
      </c>
      <c r="E1362" t="s">
        <v>15</v>
      </c>
      <c r="F1362">
        <v>191.28</v>
      </c>
      <c r="G1362">
        <f>INDEX(Operational[Production Volume (units)],MATCH(Emission8[[#This Row],[Facility ID]],Operational[Facility ID],0))</f>
        <v>10067</v>
      </c>
      <c r="H1362">
        <f>INDEX(Operational[Energy Consumption (MWh)],MATCH(Emission8[[#This Row],[Facility ID]],Operational[Facility ID],0))</f>
        <v>1953.33</v>
      </c>
      <c r="I1362">
        <f>INDEX(Operational[Waste (tons)],MATCH(Emission8[[#This Row],[Facility ID]],Operational[Facility ID],0))</f>
        <v>25.15</v>
      </c>
    </row>
    <row r="1363" spans="1:9" x14ac:dyDescent="0.3">
      <c r="A1363" t="s">
        <v>72</v>
      </c>
      <c r="B1363" t="s">
        <v>19</v>
      </c>
      <c r="C1363" t="s">
        <v>8</v>
      </c>
      <c r="D1363" t="s">
        <v>14</v>
      </c>
      <c r="E1363" t="s">
        <v>10</v>
      </c>
      <c r="F1363">
        <v>3002.77</v>
      </c>
      <c r="G1363">
        <f>INDEX(Operational[Production Volume (units)],MATCH(Emission8[[#This Row],[Facility ID]],Operational[Facility ID],0))</f>
        <v>29318</v>
      </c>
      <c r="H1363">
        <f>INDEX(Operational[Energy Consumption (MWh)],MATCH(Emission8[[#This Row],[Facility ID]],Operational[Facility ID],0))</f>
        <v>9860.6200000000008</v>
      </c>
      <c r="I1363">
        <f>INDEX(Operational[Waste (tons)],MATCH(Emission8[[#This Row],[Facility ID]],Operational[Facility ID],0))</f>
        <v>14.58</v>
      </c>
    </row>
    <row r="1364" spans="1:9" x14ac:dyDescent="0.3">
      <c r="A1364" t="s">
        <v>37</v>
      </c>
      <c r="B1364" t="s">
        <v>17</v>
      </c>
      <c r="C1364" t="s">
        <v>8</v>
      </c>
      <c r="D1364" t="s">
        <v>28</v>
      </c>
      <c r="E1364" t="s">
        <v>24</v>
      </c>
      <c r="F1364">
        <v>2511.59</v>
      </c>
      <c r="G1364">
        <f>INDEX(Operational[Production Volume (units)],MATCH(Emission8[[#This Row],[Facility ID]],Operational[Facility ID],0))</f>
        <v>71747</v>
      </c>
      <c r="H1364">
        <f>INDEX(Operational[Energy Consumption (MWh)],MATCH(Emission8[[#This Row],[Facility ID]],Operational[Facility ID],0))</f>
        <v>9838.66</v>
      </c>
      <c r="I1364">
        <f>INDEX(Operational[Waste (tons)],MATCH(Emission8[[#This Row],[Facility ID]],Operational[Facility ID],0))</f>
        <v>7.25</v>
      </c>
    </row>
    <row r="1365" spans="1:9" x14ac:dyDescent="0.3">
      <c r="A1365" t="s">
        <v>94</v>
      </c>
      <c r="B1365" t="s">
        <v>7</v>
      </c>
      <c r="C1365" t="s">
        <v>23</v>
      </c>
      <c r="D1365" t="s">
        <v>9</v>
      </c>
      <c r="E1365" t="s">
        <v>15</v>
      </c>
      <c r="F1365">
        <v>2282.1799999999998</v>
      </c>
      <c r="G1365">
        <f>INDEX(Operational[Production Volume (units)],MATCH(Emission8[[#This Row],[Facility ID]],Operational[Facility ID],0))</f>
        <v>26338</v>
      </c>
      <c r="H1365">
        <f>INDEX(Operational[Energy Consumption (MWh)],MATCH(Emission8[[#This Row],[Facility ID]],Operational[Facility ID],0))</f>
        <v>578.73</v>
      </c>
      <c r="I1365">
        <f>INDEX(Operational[Waste (tons)],MATCH(Emission8[[#This Row],[Facility ID]],Operational[Facility ID],0))</f>
        <v>72.52</v>
      </c>
    </row>
    <row r="1366" spans="1:9" x14ac:dyDescent="0.3">
      <c r="A1366" t="s">
        <v>218</v>
      </c>
      <c r="B1366" t="s">
        <v>17</v>
      </c>
      <c r="C1366" t="s">
        <v>8</v>
      </c>
      <c r="D1366" t="s">
        <v>28</v>
      </c>
      <c r="E1366" t="s">
        <v>10</v>
      </c>
      <c r="F1366">
        <v>4726.1099999999997</v>
      </c>
      <c r="G1366">
        <f>INDEX(Operational[Production Volume (units)],MATCH(Emission8[[#This Row],[Facility ID]],Operational[Facility ID],0))</f>
        <v>22525</v>
      </c>
      <c r="H1366">
        <f>INDEX(Operational[Energy Consumption (MWh)],MATCH(Emission8[[#This Row],[Facility ID]],Operational[Facility ID],0))</f>
        <v>9465.65</v>
      </c>
      <c r="I1366">
        <f>INDEX(Operational[Waste (tons)],MATCH(Emission8[[#This Row],[Facility ID]],Operational[Facility ID],0))</f>
        <v>37.79</v>
      </c>
    </row>
    <row r="1367" spans="1:9" x14ac:dyDescent="0.3">
      <c r="A1367" t="s">
        <v>103</v>
      </c>
      <c r="B1367" t="s">
        <v>19</v>
      </c>
      <c r="C1367" t="s">
        <v>13</v>
      </c>
      <c r="D1367" t="s">
        <v>14</v>
      </c>
      <c r="E1367" t="s">
        <v>24</v>
      </c>
      <c r="F1367">
        <v>252.05</v>
      </c>
      <c r="G1367">
        <f>INDEX(Operational[Production Volume (units)],MATCH(Emission8[[#This Row],[Facility ID]],Operational[Facility ID],0))</f>
        <v>38869</v>
      </c>
      <c r="H1367">
        <f>INDEX(Operational[Energy Consumption (MWh)],MATCH(Emission8[[#This Row],[Facility ID]],Operational[Facility ID],0))</f>
        <v>5109.76</v>
      </c>
      <c r="I1367">
        <f>INDEX(Operational[Waste (tons)],MATCH(Emission8[[#This Row],[Facility ID]],Operational[Facility ID],0))</f>
        <v>35.270000000000003</v>
      </c>
    </row>
    <row r="1368" spans="1:9" x14ac:dyDescent="0.3">
      <c r="A1368" t="s">
        <v>95</v>
      </c>
      <c r="B1368" t="s">
        <v>30</v>
      </c>
      <c r="C1368" t="s">
        <v>23</v>
      </c>
      <c r="D1368" t="s">
        <v>28</v>
      </c>
      <c r="E1368" t="s">
        <v>24</v>
      </c>
      <c r="F1368">
        <v>3693.42</v>
      </c>
      <c r="G1368">
        <f>INDEX(Operational[Production Volume (units)],MATCH(Emission8[[#This Row],[Facility ID]],Operational[Facility ID],0))</f>
        <v>51800</v>
      </c>
      <c r="H1368">
        <f>INDEX(Operational[Energy Consumption (MWh)],MATCH(Emission8[[#This Row],[Facility ID]],Operational[Facility ID],0))</f>
        <v>3042.95</v>
      </c>
      <c r="I1368">
        <f>INDEX(Operational[Waste (tons)],MATCH(Emission8[[#This Row],[Facility ID]],Operational[Facility ID],0))</f>
        <v>71.87</v>
      </c>
    </row>
    <row r="1369" spans="1:9" x14ac:dyDescent="0.3">
      <c r="A1369" t="s">
        <v>204</v>
      </c>
      <c r="B1369" t="s">
        <v>30</v>
      </c>
      <c r="C1369" t="s">
        <v>13</v>
      </c>
      <c r="D1369" t="s">
        <v>9</v>
      </c>
      <c r="E1369" t="s">
        <v>10</v>
      </c>
      <c r="F1369">
        <v>2670.53</v>
      </c>
      <c r="G1369">
        <f>INDEX(Operational[Production Volume (units)],MATCH(Emission8[[#This Row],[Facility ID]],Operational[Facility ID],0))</f>
        <v>36423</v>
      </c>
      <c r="H1369">
        <f>INDEX(Operational[Energy Consumption (MWh)],MATCH(Emission8[[#This Row],[Facility ID]],Operational[Facility ID],0))</f>
        <v>589.96</v>
      </c>
      <c r="I1369">
        <f>INDEX(Operational[Waste (tons)],MATCH(Emission8[[#This Row],[Facility ID]],Operational[Facility ID],0))</f>
        <v>30.9</v>
      </c>
    </row>
    <row r="1370" spans="1:9" x14ac:dyDescent="0.3">
      <c r="A1370" t="s">
        <v>169</v>
      </c>
      <c r="B1370" t="s">
        <v>12</v>
      </c>
      <c r="C1370" t="s">
        <v>13</v>
      </c>
      <c r="D1370" t="s">
        <v>28</v>
      </c>
      <c r="E1370" t="s">
        <v>15</v>
      </c>
      <c r="F1370">
        <v>1186.4000000000001</v>
      </c>
      <c r="G1370">
        <f>INDEX(Operational[Production Volume (units)],MATCH(Emission8[[#This Row],[Facility ID]],Operational[Facility ID],0))</f>
        <v>82377</v>
      </c>
      <c r="H1370">
        <f>INDEX(Operational[Energy Consumption (MWh)],MATCH(Emission8[[#This Row],[Facility ID]],Operational[Facility ID],0))</f>
        <v>7974.74</v>
      </c>
      <c r="I1370">
        <f>INDEX(Operational[Waste (tons)],MATCH(Emission8[[#This Row],[Facility ID]],Operational[Facility ID],0))</f>
        <v>9.17</v>
      </c>
    </row>
    <row r="1371" spans="1:9" x14ac:dyDescent="0.3">
      <c r="A1371" t="s">
        <v>52</v>
      </c>
      <c r="B1371" t="s">
        <v>19</v>
      </c>
      <c r="C1371" t="s">
        <v>23</v>
      </c>
      <c r="D1371" t="s">
        <v>9</v>
      </c>
      <c r="E1371" t="s">
        <v>10</v>
      </c>
      <c r="F1371">
        <v>1201.0999999999999</v>
      </c>
      <c r="G1371">
        <f>INDEX(Operational[Production Volume (units)],MATCH(Emission8[[#This Row],[Facility ID]],Operational[Facility ID],0))</f>
        <v>94949</v>
      </c>
      <c r="H1371">
        <f>INDEX(Operational[Energy Consumption (MWh)],MATCH(Emission8[[#This Row],[Facility ID]],Operational[Facility ID],0))</f>
        <v>9714.76</v>
      </c>
      <c r="I1371">
        <f>INDEX(Operational[Waste (tons)],MATCH(Emission8[[#This Row],[Facility ID]],Operational[Facility ID],0))</f>
        <v>64.900000000000006</v>
      </c>
    </row>
    <row r="1372" spans="1:9" x14ac:dyDescent="0.3">
      <c r="A1372" t="s">
        <v>203</v>
      </c>
      <c r="B1372" t="s">
        <v>12</v>
      </c>
      <c r="C1372" t="s">
        <v>8</v>
      </c>
      <c r="D1372" t="s">
        <v>9</v>
      </c>
      <c r="E1372" t="s">
        <v>10</v>
      </c>
      <c r="F1372">
        <v>1093.3900000000001</v>
      </c>
      <c r="G1372">
        <f>INDEX(Operational[Production Volume (units)],MATCH(Emission8[[#This Row],[Facility ID]],Operational[Facility ID],0))</f>
        <v>66398</v>
      </c>
      <c r="H1372">
        <f>INDEX(Operational[Energy Consumption (MWh)],MATCH(Emission8[[#This Row],[Facility ID]],Operational[Facility ID],0))</f>
        <v>8713.61</v>
      </c>
      <c r="I1372">
        <f>INDEX(Operational[Waste (tons)],MATCH(Emission8[[#This Row],[Facility ID]],Operational[Facility ID],0))</f>
        <v>83.44</v>
      </c>
    </row>
    <row r="1373" spans="1:9" x14ac:dyDescent="0.3">
      <c r="A1373" t="s">
        <v>217</v>
      </c>
      <c r="B1373" t="s">
        <v>19</v>
      </c>
      <c r="C1373" t="s">
        <v>13</v>
      </c>
      <c r="D1373" t="s">
        <v>14</v>
      </c>
      <c r="E1373" t="s">
        <v>24</v>
      </c>
      <c r="F1373">
        <v>4636.55</v>
      </c>
      <c r="G1373">
        <f>INDEX(Operational[Production Volume (units)],MATCH(Emission8[[#This Row],[Facility ID]],Operational[Facility ID],0))</f>
        <v>80824</v>
      </c>
      <c r="H1373">
        <f>INDEX(Operational[Energy Consumption (MWh)],MATCH(Emission8[[#This Row],[Facility ID]],Operational[Facility ID],0))</f>
        <v>2858.92</v>
      </c>
      <c r="I1373">
        <f>INDEX(Operational[Waste (tons)],MATCH(Emission8[[#This Row],[Facility ID]],Operational[Facility ID],0))</f>
        <v>13.97</v>
      </c>
    </row>
    <row r="1374" spans="1:9" x14ac:dyDescent="0.3">
      <c r="A1374" t="s">
        <v>157</v>
      </c>
      <c r="B1374" t="s">
        <v>30</v>
      </c>
      <c r="C1374" t="s">
        <v>8</v>
      </c>
      <c r="D1374" t="s">
        <v>9</v>
      </c>
      <c r="E1374" t="s">
        <v>15</v>
      </c>
      <c r="F1374">
        <v>1840.53</v>
      </c>
      <c r="G1374">
        <f>INDEX(Operational[Production Volume (units)],MATCH(Emission8[[#This Row],[Facility ID]],Operational[Facility ID],0))</f>
        <v>76544</v>
      </c>
      <c r="H1374">
        <f>INDEX(Operational[Energy Consumption (MWh)],MATCH(Emission8[[#This Row],[Facility ID]],Operational[Facility ID],0))</f>
        <v>8632.77</v>
      </c>
      <c r="I1374">
        <f>INDEX(Operational[Waste (tons)],MATCH(Emission8[[#This Row],[Facility ID]],Operational[Facility ID],0))</f>
        <v>12.87</v>
      </c>
    </row>
    <row r="1375" spans="1:9" x14ac:dyDescent="0.3">
      <c r="A1375" t="s">
        <v>217</v>
      </c>
      <c r="B1375" t="s">
        <v>19</v>
      </c>
      <c r="C1375" t="s">
        <v>23</v>
      </c>
      <c r="D1375" t="s">
        <v>14</v>
      </c>
      <c r="E1375" t="s">
        <v>15</v>
      </c>
      <c r="F1375">
        <v>1036.07</v>
      </c>
      <c r="G1375">
        <f>INDEX(Operational[Production Volume (units)],MATCH(Emission8[[#This Row],[Facility ID]],Operational[Facility ID],0))</f>
        <v>80824</v>
      </c>
      <c r="H1375">
        <f>INDEX(Operational[Energy Consumption (MWh)],MATCH(Emission8[[#This Row],[Facility ID]],Operational[Facility ID],0))</f>
        <v>2858.92</v>
      </c>
      <c r="I1375">
        <f>INDEX(Operational[Waste (tons)],MATCH(Emission8[[#This Row],[Facility ID]],Operational[Facility ID],0))</f>
        <v>13.97</v>
      </c>
    </row>
    <row r="1376" spans="1:9" x14ac:dyDescent="0.3">
      <c r="A1376" t="s">
        <v>193</v>
      </c>
      <c r="B1376" t="s">
        <v>12</v>
      </c>
      <c r="C1376" t="s">
        <v>13</v>
      </c>
      <c r="D1376" t="s">
        <v>9</v>
      </c>
      <c r="E1376" t="s">
        <v>15</v>
      </c>
      <c r="F1376">
        <v>390.78</v>
      </c>
      <c r="G1376">
        <f>INDEX(Operational[Production Volume (units)],MATCH(Emission8[[#This Row],[Facility ID]],Operational[Facility ID],0))</f>
        <v>13333</v>
      </c>
      <c r="H1376">
        <f>INDEX(Operational[Energy Consumption (MWh)],MATCH(Emission8[[#This Row],[Facility ID]],Operational[Facility ID],0))</f>
        <v>6102.15</v>
      </c>
      <c r="I1376">
        <f>INDEX(Operational[Waste (tons)],MATCH(Emission8[[#This Row],[Facility ID]],Operational[Facility ID],0))</f>
        <v>17.670000000000002</v>
      </c>
    </row>
    <row r="1377" spans="1:9" x14ac:dyDescent="0.3">
      <c r="A1377" t="s">
        <v>177</v>
      </c>
      <c r="B1377" t="s">
        <v>7</v>
      </c>
      <c r="C1377" t="s">
        <v>23</v>
      </c>
      <c r="D1377" t="s">
        <v>28</v>
      </c>
      <c r="E1377" t="s">
        <v>10</v>
      </c>
      <c r="F1377">
        <v>4126.71</v>
      </c>
      <c r="G1377">
        <f>INDEX(Operational[Production Volume (units)],MATCH(Emission8[[#This Row],[Facility ID]],Operational[Facility ID],0))</f>
        <v>17097</v>
      </c>
      <c r="H1377">
        <f>INDEX(Operational[Energy Consumption (MWh)],MATCH(Emission8[[#This Row],[Facility ID]],Operational[Facility ID],0))</f>
        <v>9061.7800000000007</v>
      </c>
      <c r="I1377">
        <f>INDEX(Operational[Waste (tons)],MATCH(Emission8[[#This Row],[Facility ID]],Operational[Facility ID],0))</f>
        <v>95.92</v>
      </c>
    </row>
    <row r="1378" spans="1:9" x14ac:dyDescent="0.3">
      <c r="A1378" t="s">
        <v>96</v>
      </c>
      <c r="B1378" t="s">
        <v>19</v>
      </c>
      <c r="C1378" t="s">
        <v>23</v>
      </c>
      <c r="D1378" t="s">
        <v>28</v>
      </c>
      <c r="E1378" t="s">
        <v>10</v>
      </c>
      <c r="F1378">
        <v>4171.8100000000004</v>
      </c>
      <c r="G1378">
        <f>INDEX(Operational[Production Volume (units)],MATCH(Emission8[[#This Row],[Facility ID]],Operational[Facility ID],0))</f>
        <v>53942</v>
      </c>
      <c r="H1378">
        <f>INDEX(Operational[Energy Consumption (MWh)],MATCH(Emission8[[#This Row],[Facility ID]],Operational[Facility ID],0))</f>
        <v>5904.31</v>
      </c>
      <c r="I1378">
        <f>INDEX(Operational[Waste (tons)],MATCH(Emission8[[#This Row],[Facility ID]],Operational[Facility ID],0))</f>
        <v>32.78</v>
      </c>
    </row>
    <row r="1379" spans="1:9" x14ac:dyDescent="0.3">
      <c r="A1379" t="s">
        <v>145</v>
      </c>
      <c r="B1379" t="s">
        <v>7</v>
      </c>
      <c r="C1379" t="s">
        <v>8</v>
      </c>
      <c r="D1379" t="s">
        <v>14</v>
      </c>
      <c r="E1379" t="s">
        <v>24</v>
      </c>
      <c r="F1379">
        <v>3571.47</v>
      </c>
      <c r="G1379">
        <f>INDEX(Operational[Production Volume (units)],MATCH(Emission8[[#This Row],[Facility ID]],Operational[Facility ID],0))</f>
        <v>60710</v>
      </c>
      <c r="H1379">
        <f>INDEX(Operational[Energy Consumption (MWh)],MATCH(Emission8[[#This Row],[Facility ID]],Operational[Facility ID],0))</f>
        <v>2726.26</v>
      </c>
      <c r="I1379">
        <f>INDEX(Operational[Waste (tons)],MATCH(Emission8[[#This Row],[Facility ID]],Operational[Facility ID],0))</f>
        <v>83.02</v>
      </c>
    </row>
    <row r="1380" spans="1:9" x14ac:dyDescent="0.3">
      <c r="A1380" t="s">
        <v>154</v>
      </c>
      <c r="B1380" t="s">
        <v>12</v>
      </c>
      <c r="C1380" t="s">
        <v>34</v>
      </c>
      <c r="D1380" t="s">
        <v>28</v>
      </c>
      <c r="E1380" t="s">
        <v>10</v>
      </c>
      <c r="F1380">
        <v>1961.65</v>
      </c>
      <c r="G1380">
        <f>INDEX(Operational[Production Volume (units)],MATCH(Emission8[[#This Row],[Facility ID]],Operational[Facility ID],0))</f>
        <v>87012</v>
      </c>
      <c r="H1380">
        <f>INDEX(Operational[Energy Consumption (MWh)],MATCH(Emission8[[#This Row],[Facility ID]],Operational[Facility ID],0))</f>
        <v>7478.13</v>
      </c>
      <c r="I1380">
        <f>INDEX(Operational[Waste (tons)],MATCH(Emission8[[#This Row],[Facility ID]],Operational[Facility ID],0))</f>
        <v>27.22</v>
      </c>
    </row>
    <row r="1381" spans="1:9" x14ac:dyDescent="0.3">
      <c r="A1381" t="s">
        <v>114</v>
      </c>
      <c r="B1381" t="s">
        <v>30</v>
      </c>
      <c r="C1381" t="s">
        <v>34</v>
      </c>
      <c r="D1381" t="s">
        <v>14</v>
      </c>
      <c r="E1381" t="s">
        <v>10</v>
      </c>
      <c r="F1381">
        <v>3905.64</v>
      </c>
      <c r="G1381">
        <f>INDEX(Operational[Production Volume (units)],MATCH(Emission8[[#This Row],[Facility ID]],Operational[Facility ID],0))</f>
        <v>29264</v>
      </c>
      <c r="H1381">
        <f>INDEX(Operational[Energy Consumption (MWh)],MATCH(Emission8[[#This Row],[Facility ID]],Operational[Facility ID],0))</f>
        <v>8362.7199999999993</v>
      </c>
      <c r="I1381">
        <f>INDEX(Operational[Waste (tons)],MATCH(Emission8[[#This Row],[Facility ID]],Operational[Facility ID],0))</f>
        <v>61.93</v>
      </c>
    </row>
    <row r="1382" spans="1:9" x14ac:dyDescent="0.3">
      <c r="A1382" t="s">
        <v>173</v>
      </c>
      <c r="B1382" t="s">
        <v>30</v>
      </c>
      <c r="C1382" t="s">
        <v>13</v>
      </c>
      <c r="D1382" t="s">
        <v>9</v>
      </c>
      <c r="E1382" t="s">
        <v>15</v>
      </c>
      <c r="F1382">
        <v>2192.9699999999998</v>
      </c>
      <c r="G1382">
        <f>INDEX(Operational[Production Volume (units)],MATCH(Emission8[[#This Row],[Facility ID]],Operational[Facility ID],0))</f>
        <v>49620</v>
      </c>
      <c r="H1382">
        <f>INDEX(Operational[Energy Consumption (MWh)],MATCH(Emission8[[#This Row],[Facility ID]],Operational[Facility ID],0))</f>
        <v>2424.31</v>
      </c>
      <c r="I1382">
        <f>INDEX(Operational[Waste (tons)],MATCH(Emission8[[#This Row],[Facility ID]],Operational[Facility ID],0))</f>
        <v>62.09</v>
      </c>
    </row>
    <row r="1383" spans="1:9" x14ac:dyDescent="0.3">
      <c r="A1383" t="s">
        <v>201</v>
      </c>
      <c r="B1383" t="s">
        <v>12</v>
      </c>
      <c r="C1383" t="s">
        <v>23</v>
      </c>
      <c r="D1383" t="s">
        <v>14</v>
      </c>
      <c r="E1383" t="s">
        <v>15</v>
      </c>
      <c r="F1383">
        <v>369.5</v>
      </c>
      <c r="G1383">
        <f>INDEX(Operational[Production Volume (units)],MATCH(Emission8[[#This Row],[Facility ID]],Operational[Facility ID],0))</f>
        <v>58439</v>
      </c>
      <c r="H1383">
        <f>INDEX(Operational[Energy Consumption (MWh)],MATCH(Emission8[[#This Row],[Facility ID]],Operational[Facility ID],0))</f>
        <v>5817.93</v>
      </c>
      <c r="I1383">
        <f>INDEX(Operational[Waste (tons)],MATCH(Emission8[[#This Row],[Facility ID]],Operational[Facility ID],0))</f>
        <v>63.77</v>
      </c>
    </row>
    <row r="1384" spans="1:9" x14ac:dyDescent="0.3">
      <c r="A1384" t="s">
        <v>68</v>
      </c>
      <c r="B1384" t="s">
        <v>12</v>
      </c>
      <c r="C1384" t="s">
        <v>13</v>
      </c>
      <c r="D1384" t="s">
        <v>14</v>
      </c>
      <c r="E1384" t="s">
        <v>15</v>
      </c>
      <c r="F1384">
        <v>2277.1799999999998</v>
      </c>
      <c r="G1384">
        <f>INDEX(Operational[Production Volume (units)],MATCH(Emission8[[#This Row],[Facility ID]],Operational[Facility ID],0))</f>
        <v>69100</v>
      </c>
      <c r="H1384">
        <f>INDEX(Operational[Energy Consumption (MWh)],MATCH(Emission8[[#This Row],[Facility ID]],Operational[Facility ID],0))</f>
        <v>9356.02</v>
      </c>
      <c r="I1384">
        <f>INDEX(Operational[Waste (tons)],MATCH(Emission8[[#This Row],[Facility ID]],Operational[Facility ID],0))</f>
        <v>16.5</v>
      </c>
    </row>
    <row r="1385" spans="1:9" x14ac:dyDescent="0.3">
      <c r="A1385" t="s">
        <v>166</v>
      </c>
      <c r="B1385" t="s">
        <v>7</v>
      </c>
      <c r="C1385" t="s">
        <v>8</v>
      </c>
      <c r="D1385" t="s">
        <v>14</v>
      </c>
      <c r="E1385" t="s">
        <v>10</v>
      </c>
      <c r="F1385">
        <v>4278.8900000000003</v>
      </c>
      <c r="G1385">
        <f>INDEX(Operational[Production Volume (units)],MATCH(Emission8[[#This Row],[Facility ID]],Operational[Facility ID],0))</f>
        <v>34318</v>
      </c>
      <c r="H1385">
        <f>INDEX(Operational[Energy Consumption (MWh)],MATCH(Emission8[[#This Row],[Facility ID]],Operational[Facility ID],0))</f>
        <v>675.67</v>
      </c>
      <c r="I1385">
        <f>INDEX(Operational[Waste (tons)],MATCH(Emission8[[#This Row],[Facility ID]],Operational[Facility ID],0))</f>
        <v>41.05</v>
      </c>
    </row>
    <row r="1386" spans="1:9" x14ac:dyDescent="0.3">
      <c r="A1386" t="s">
        <v>123</v>
      </c>
      <c r="B1386" t="s">
        <v>30</v>
      </c>
      <c r="C1386" t="s">
        <v>13</v>
      </c>
      <c r="D1386" t="s">
        <v>14</v>
      </c>
      <c r="E1386" t="s">
        <v>15</v>
      </c>
      <c r="F1386">
        <v>3665.62</v>
      </c>
      <c r="G1386">
        <f>INDEX(Operational[Production Volume (units)],MATCH(Emission8[[#This Row],[Facility ID]],Operational[Facility ID],0))</f>
        <v>73977</v>
      </c>
      <c r="H1386">
        <f>INDEX(Operational[Energy Consumption (MWh)],MATCH(Emission8[[#This Row],[Facility ID]],Operational[Facility ID],0))</f>
        <v>1646.75</v>
      </c>
      <c r="I1386">
        <f>INDEX(Operational[Waste (tons)],MATCH(Emission8[[#This Row],[Facility ID]],Operational[Facility ID],0))</f>
        <v>43.77</v>
      </c>
    </row>
    <row r="1387" spans="1:9" x14ac:dyDescent="0.3">
      <c r="A1387" t="s">
        <v>192</v>
      </c>
      <c r="B1387" t="s">
        <v>19</v>
      </c>
      <c r="C1387" t="s">
        <v>13</v>
      </c>
      <c r="D1387" t="s">
        <v>9</v>
      </c>
      <c r="E1387" t="s">
        <v>15</v>
      </c>
      <c r="F1387">
        <v>4127.2299999999996</v>
      </c>
      <c r="G1387">
        <f>INDEX(Operational[Production Volume (units)],MATCH(Emission8[[#This Row],[Facility ID]],Operational[Facility ID],0))</f>
        <v>43227</v>
      </c>
      <c r="H1387">
        <f>INDEX(Operational[Energy Consumption (MWh)],MATCH(Emission8[[#This Row],[Facility ID]],Operational[Facility ID],0))</f>
        <v>5199.53</v>
      </c>
      <c r="I1387">
        <f>INDEX(Operational[Waste (tons)],MATCH(Emission8[[#This Row],[Facility ID]],Operational[Facility ID],0))</f>
        <v>44.09</v>
      </c>
    </row>
    <row r="1388" spans="1:9" x14ac:dyDescent="0.3">
      <c r="A1388" t="s">
        <v>55</v>
      </c>
      <c r="B1388" t="s">
        <v>12</v>
      </c>
      <c r="C1388" t="s">
        <v>23</v>
      </c>
      <c r="D1388" t="s">
        <v>14</v>
      </c>
      <c r="E1388" t="s">
        <v>24</v>
      </c>
      <c r="F1388">
        <v>1251.29</v>
      </c>
      <c r="G1388">
        <f>INDEX(Operational[Production Volume (units)],MATCH(Emission8[[#This Row],[Facility ID]],Operational[Facility ID],0))</f>
        <v>38181</v>
      </c>
      <c r="H1388">
        <f>INDEX(Operational[Energy Consumption (MWh)],MATCH(Emission8[[#This Row],[Facility ID]],Operational[Facility ID],0))</f>
        <v>691.84</v>
      </c>
      <c r="I1388">
        <f>INDEX(Operational[Waste (tons)],MATCH(Emission8[[#This Row],[Facility ID]],Operational[Facility ID],0))</f>
        <v>33.53</v>
      </c>
    </row>
    <row r="1389" spans="1:9" x14ac:dyDescent="0.3">
      <c r="A1389" t="s">
        <v>207</v>
      </c>
      <c r="B1389" t="s">
        <v>17</v>
      </c>
      <c r="C1389" t="s">
        <v>13</v>
      </c>
      <c r="D1389" t="s">
        <v>28</v>
      </c>
      <c r="E1389" t="s">
        <v>15</v>
      </c>
      <c r="F1389">
        <v>3935.94</v>
      </c>
      <c r="G1389">
        <f>INDEX(Operational[Production Volume (units)],MATCH(Emission8[[#This Row],[Facility ID]],Operational[Facility ID],0))</f>
        <v>99115</v>
      </c>
      <c r="H1389">
        <f>INDEX(Operational[Energy Consumption (MWh)],MATCH(Emission8[[#This Row],[Facility ID]],Operational[Facility ID],0))</f>
        <v>827.26</v>
      </c>
      <c r="I1389">
        <f>INDEX(Operational[Waste (tons)],MATCH(Emission8[[#This Row],[Facility ID]],Operational[Facility ID],0))</f>
        <v>28.88</v>
      </c>
    </row>
    <row r="1390" spans="1:9" x14ac:dyDescent="0.3">
      <c r="A1390" t="s">
        <v>42</v>
      </c>
      <c r="B1390" t="s">
        <v>30</v>
      </c>
      <c r="C1390" t="s">
        <v>34</v>
      </c>
      <c r="D1390" t="s">
        <v>28</v>
      </c>
      <c r="E1390" t="s">
        <v>15</v>
      </c>
      <c r="F1390">
        <v>1012.81</v>
      </c>
      <c r="G1390">
        <f>INDEX(Operational[Production Volume (units)],MATCH(Emission8[[#This Row],[Facility ID]],Operational[Facility ID],0))</f>
        <v>41539</v>
      </c>
      <c r="H1390">
        <f>INDEX(Operational[Energy Consumption (MWh)],MATCH(Emission8[[#This Row],[Facility ID]],Operational[Facility ID],0))</f>
        <v>982.8</v>
      </c>
      <c r="I1390">
        <f>INDEX(Operational[Waste (tons)],MATCH(Emission8[[#This Row],[Facility ID]],Operational[Facility ID],0))</f>
        <v>79.7</v>
      </c>
    </row>
    <row r="1391" spans="1:9" x14ac:dyDescent="0.3">
      <c r="A1391" t="s">
        <v>205</v>
      </c>
      <c r="B1391" t="s">
        <v>17</v>
      </c>
      <c r="C1391" t="s">
        <v>23</v>
      </c>
      <c r="D1391" t="s">
        <v>28</v>
      </c>
      <c r="E1391" t="s">
        <v>15</v>
      </c>
      <c r="F1391">
        <v>817.03</v>
      </c>
      <c r="G1391">
        <f>INDEX(Operational[Production Volume (units)],MATCH(Emission8[[#This Row],[Facility ID]],Operational[Facility ID],0))</f>
        <v>52594</v>
      </c>
      <c r="H1391">
        <f>INDEX(Operational[Energy Consumption (MWh)],MATCH(Emission8[[#This Row],[Facility ID]],Operational[Facility ID],0))</f>
        <v>8715.0400000000009</v>
      </c>
      <c r="I1391">
        <f>INDEX(Operational[Waste (tons)],MATCH(Emission8[[#This Row],[Facility ID]],Operational[Facility ID],0))</f>
        <v>90.54</v>
      </c>
    </row>
    <row r="1392" spans="1:9" x14ac:dyDescent="0.3">
      <c r="A1392" t="s">
        <v>170</v>
      </c>
      <c r="B1392" t="s">
        <v>12</v>
      </c>
      <c r="C1392" t="s">
        <v>13</v>
      </c>
      <c r="D1392" t="s">
        <v>28</v>
      </c>
      <c r="E1392" t="s">
        <v>15</v>
      </c>
      <c r="F1392">
        <v>4733.58</v>
      </c>
      <c r="G1392">
        <f>INDEX(Operational[Production Volume (units)],MATCH(Emission8[[#This Row],[Facility ID]],Operational[Facility ID],0))</f>
        <v>54133</v>
      </c>
      <c r="H1392">
        <f>INDEX(Operational[Energy Consumption (MWh)],MATCH(Emission8[[#This Row],[Facility ID]],Operational[Facility ID],0))</f>
        <v>8543.68</v>
      </c>
      <c r="I1392">
        <f>INDEX(Operational[Waste (tons)],MATCH(Emission8[[#This Row],[Facility ID]],Operational[Facility ID],0))</f>
        <v>24</v>
      </c>
    </row>
    <row r="1393" spans="1:9" x14ac:dyDescent="0.3">
      <c r="A1393" t="s">
        <v>112</v>
      </c>
      <c r="B1393" t="s">
        <v>30</v>
      </c>
      <c r="C1393" t="s">
        <v>23</v>
      </c>
      <c r="D1393" t="s">
        <v>14</v>
      </c>
      <c r="E1393" t="s">
        <v>10</v>
      </c>
      <c r="F1393">
        <v>4851.63</v>
      </c>
      <c r="G1393">
        <f>INDEX(Operational[Production Volume (units)],MATCH(Emission8[[#This Row],[Facility ID]],Operational[Facility ID],0))</f>
        <v>43294</v>
      </c>
      <c r="H1393">
        <f>INDEX(Operational[Energy Consumption (MWh)],MATCH(Emission8[[#This Row],[Facility ID]],Operational[Facility ID],0))</f>
        <v>3802.13</v>
      </c>
      <c r="I1393">
        <f>INDEX(Operational[Waste (tons)],MATCH(Emission8[[#This Row],[Facility ID]],Operational[Facility ID],0))</f>
        <v>45.84</v>
      </c>
    </row>
    <row r="1394" spans="1:9" x14ac:dyDescent="0.3">
      <c r="A1394" t="s">
        <v>173</v>
      </c>
      <c r="B1394" t="s">
        <v>30</v>
      </c>
      <c r="C1394" t="s">
        <v>34</v>
      </c>
      <c r="D1394" t="s">
        <v>28</v>
      </c>
      <c r="E1394" t="s">
        <v>10</v>
      </c>
      <c r="F1394">
        <v>2889.59</v>
      </c>
      <c r="G1394">
        <f>INDEX(Operational[Production Volume (units)],MATCH(Emission8[[#This Row],[Facility ID]],Operational[Facility ID],0))</f>
        <v>49620</v>
      </c>
      <c r="H1394">
        <f>INDEX(Operational[Energy Consumption (MWh)],MATCH(Emission8[[#This Row],[Facility ID]],Operational[Facility ID],0))</f>
        <v>2424.31</v>
      </c>
      <c r="I1394">
        <f>INDEX(Operational[Waste (tons)],MATCH(Emission8[[#This Row],[Facility ID]],Operational[Facility ID],0))</f>
        <v>62.09</v>
      </c>
    </row>
    <row r="1395" spans="1:9" x14ac:dyDescent="0.3">
      <c r="A1395" t="s">
        <v>126</v>
      </c>
      <c r="B1395" t="s">
        <v>30</v>
      </c>
      <c r="C1395" t="s">
        <v>34</v>
      </c>
      <c r="D1395" t="s">
        <v>14</v>
      </c>
      <c r="E1395" t="s">
        <v>10</v>
      </c>
      <c r="F1395">
        <v>2545.79</v>
      </c>
      <c r="G1395">
        <f>INDEX(Operational[Production Volume (units)],MATCH(Emission8[[#This Row],[Facility ID]],Operational[Facility ID],0))</f>
        <v>35506</v>
      </c>
      <c r="H1395">
        <f>INDEX(Operational[Energy Consumption (MWh)],MATCH(Emission8[[#This Row],[Facility ID]],Operational[Facility ID],0))</f>
        <v>1892.04</v>
      </c>
      <c r="I1395">
        <f>INDEX(Operational[Waste (tons)],MATCH(Emission8[[#This Row],[Facility ID]],Operational[Facility ID],0))</f>
        <v>61.53</v>
      </c>
    </row>
    <row r="1396" spans="1:9" x14ac:dyDescent="0.3">
      <c r="A1396" t="s">
        <v>206</v>
      </c>
      <c r="B1396" t="s">
        <v>19</v>
      </c>
      <c r="C1396" t="s">
        <v>23</v>
      </c>
      <c r="D1396" t="s">
        <v>9</v>
      </c>
      <c r="E1396" t="s">
        <v>24</v>
      </c>
      <c r="F1396">
        <v>3857.37</v>
      </c>
      <c r="G1396">
        <f>INDEX(Operational[Production Volume (units)],MATCH(Emission8[[#This Row],[Facility ID]],Operational[Facility ID],0))</f>
        <v>10250</v>
      </c>
      <c r="H1396">
        <f>INDEX(Operational[Energy Consumption (MWh)],MATCH(Emission8[[#This Row],[Facility ID]],Operational[Facility ID],0))</f>
        <v>4717</v>
      </c>
      <c r="I1396">
        <f>INDEX(Operational[Waste (tons)],MATCH(Emission8[[#This Row],[Facility ID]],Operational[Facility ID],0))</f>
        <v>16.600000000000001</v>
      </c>
    </row>
    <row r="1397" spans="1:9" x14ac:dyDescent="0.3">
      <c r="A1397" t="s">
        <v>29</v>
      </c>
      <c r="B1397" t="s">
        <v>30</v>
      </c>
      <c r="C1397" t="s">
        <v>8</v>
      </c>
      <c r="D1397" t="s">
        <v>9</v>
      </c>
      <c r="E1397" t="s">
        <v>10</v>
      </c>
      <c r="F1397">
        <v>1399.19</v>
      </c>
      <c r="G1397">
        <f>INDEX(Operational[Production Volume (units)],MATCH(Emission8[[#This Row],[Facility ID]],Operational[Facility ID],0))</f>
        <v>32131</v>
      </c>
      <c r="H1397">
        <f>INDEX(Operational[Energy Consumption (MWh)],MATCH(Emission8[[#This Row],[Facility ID]],Operational[Facility ID],0))</f>
        <v>1474.23</v>
      </c>
      <c r="I1397">
        <f>INDEX(Operational[Waste (tons)],MATCH(Emission8[[#This Row],[Facility ID]],Operational[Facility ID],0))</f>
        <v>45.47</v>
      </c>
    </row>
    <row r="1398" spans="1:9" x14ac:dyDescent="0.3">
      <c r="A1398" t="s">
        <v>115</v>
      </c>
      <c r="B1398" t="s">
        <v>19</v>
      </c>
      <c r="C1398" t="s">
        <v>8</v>
      </c>
      <c r="D1398" t="s">
        <v>28</v>
      </c>
      <c r="E1398" t="s">
        <v>10</v>
      </c>
      <c r="F1398">
        <v>1563.76</v>
      </c>
      <c r="G1398">
        <f>INDEX(Operational[Production Volume (units)],MATCH(Emission8[[#This Row],[Facility ID]],Operational[Facility ID],0))</f>
        <v>17162</v>
      </c>
      <c r="H1398">
        <f>INDEX(Operational[Energy Consumption (MWh)],MATCH(Emission8[[#This Row],[Facility ID]],Operational[Facility ID],0))</f>
        <v>5079.95</v>
      </c>
      <c r="I1398">
        <f>INDEX(Operational[Waste (tons)],MATCH(Emission8[[#This Row],[Facility ID]],Operational[Facility ID],0))</f>
        <v>19.239999999999998</v>
      </c>
    </row>
    <row r="1399" spans="1:9" x14ac:dyDescent="0.3">
      <c r="A1399" t="s">
        <v>218</v>
      </c>
      <c r="B1399" t="s">
        <v>17</v>
      </c>
      <c r="C1399" t="s">
        <v>13</v>
      </c>
      <c r="D1399" t="s">
        <v>14</v>
      </c>
      <c r="E1399" t="s">
        <v>10</v>
      </c>
      <c r="F1399">
        <v>2518.31</v>
      </c>
      <c r="G1399">
        <f>INDEX(Operational[Production Volume (units)],MATCH(Emission8[[#This Row],[Facility ID]],Operational[Facility ID],0))</f>
        <v>22525</v>
      </c>
      <c r="H1399">
        <f>INDEX(Operational[Energy Consumption (MWh)],MATCH(Emission8[[#This Row],[Facility ID]],Operational[Facility ID],0))</f>
        <v>9465.65</v>
      </c>
      <c r="I1399">
        <f>INDEX(Operational[Waste (tons)],MATCH(Emission8[[#This Row],[Facility ID]],Operational[Facility ID],0))</f>
        <v>37.79</v>
      </c>
    </row>
    <row r="1400" spans="1:9" x14ac:dyDescent="0.3">
      <c r="A1400" t="s">
        <v>71</v>
      </c>
      <c r="B1400" t="s">
        <v>7</v>
      </c>
      <c r="C1400" t="s">
        <v>23</v>
      </c>
      <c r="D1400" t="s">
        <v>14</v>
      </c>
      <c r="E1400" t="s">
        <v>15</v>
      </c>
      <c r="F1400">
        <v>4134.78</v>
      </c>
      <c r="G1400">
        <f>INDEX(Operational[Production Volume (units)],MATCH(Emission8[[#This Row],[Facility ID]],Operational[Facility ID],0))</f>
        <v>68018</v>
      </c>
      <c r="H1400">
        <f>INDEX(Operational[Energy Consumption (MWh)],MATCH(Emission8[[#This Row],[Facility ID]],Operational[Facility ID],0))</f>
        <v>3523.4</v>
      </c>
      <c r="I1400">
        <f>INDEX(Operational[Waste (tons)],MATCH(Emission8[[#This Row],[Facility ID]],Operational[Facility ID],0))</f>
        <v>92.26</v>
      </c>
    </row>
    <row r="1401" spans="1:9" x14ac:dyDescent="0.3">
      <c r="A1401" t="s">
        <v>178</v>
      </c>
      <c r="B1401" t="s">
        <v>30</v>
      </c>
      <c r="C1401" t="s">
        <v>8</v>
      </c>
      <c r="D1401" t="s">
        <v>28</v>
      </c>
      <c r="E1401" t="s">
        <v>10</v>
      </c>
      <c r="F1401">
        <v>2532.84</v>
      </c>
      <c r="G1401">
        <f>INDEX(Operational[Production Volume (units)],MATCH(Emission8[[#This Row],[Facility ID]],Operational[Facility ID],0))</f>
        <v>88188</v>
      </c>
      <c r="H1401">
        <f>INDEX(Operational[Energy Consumption (MWh)],MATCH(Emission8[[#This Row],[Facility ID]],Operational[Facility ID],0))</f>
        <v>815.86</v>
      </c>
      <c r="I1401">
        <f>INDEX(Operational[Waste (tons)],MATCH(Emission8[[#This Row],[Facility ID]],Operational[Facility ID],0))</f>
        <v>57.53</v>
      </c>
    </row>
    <row r="1402" spans="1:9" x14ac:dyDescent="0.3">
      <c r="A1402" t="s">
        <v>110</v>
      </c>
      <c r="B1402" t="s">
        <v>12</v>
      </c>
      <c r="C1402" t="s">
        <v>8</v>
      </c>
      <c r="D1402" t="s">
        <v>14</v>
      </c>
      <c r="E1402" t="s">
        <v>10</v>
      </c>
      <c r="F1402">
        <v>2192.7800000000002</v>
      </c>
      <c r="G1402">
        <f>INDEX(Operational[Production Volume (units)],MATCH(Emission8[[#This Row],[Facility ID]],Operational[Facility ID],0))</f>
        <v>70481</v>
      </c>
      <c r="H1402">
        <f>INDEX(Operational[Energy Consumption (MWh)],MATCH(Emission8[[#This Row],[Facility ID]],Operational[Facility ID],0))</f>
        <v>4452.83</v>
      </c>
      <c r="I1402">
        <f>INDEX(Operational[Waste (tons)],MATCH(Emission8[[#This Row],[Facility ID]],Operational[Facility ID],0))</f>
        <v>91.26</v>
      </c>
    </row>
    <row r="1403" spans="1:9" x14ac:dyDescent="0.3">
      <c r="A1403" t="s">
        <v>168</v>
      </c>
      <c r="B1403" t="s">
        <v>17</v>
      </c>
      <c r="C1403" t="s">
        <v>23</v>
      </c>
      <c r="D1403" t="s">
        <v>28</v>
      </c>
      <c r="E1403" t="s">
        <v>24</v>
      </c>
      <c r="F1403">
        <v>2433.0700000000002</v>
      </c>
      <c r="G1403">
        <f>INDEX(Operational[Production Volume (units)],MATCH(Emission8[[#This Row],[Facility ID]],Operational[Facility ID],0))</f>
        <v>41050</v>
      </c>
      <c r="H1403">
        <f>INDEX(Operational[Energy Consumption (MWh)],MATCH(Emission8[[#This Row],[Facility ID]],Operational[Facility ID],0))</f>
        <v>6025.84</v>
      </c>
      <c r="I1403">
        <f>INDEX(Operational[Waste (tons)],MATCH(Emission8[[#This Row],[Facility ID]],Operational[Facility ID],0))</f>
        <v>53.53</v>
      </c>
    </row>
    <row r="1404" spans="1:9" x14ac:dyDescent="0.3">
      <c r="A1404" t="s">
        <v>190</v>
      </c>
      <c r="B1404" t="s">
        <v>17</v>
      </c>
      <c r="C1404" t="s">
        <v>8</v>
      </c>
      <c r="D1404" t="s">
        <v>28</v>
      </c>
      <c r="E1404" t="s">
        <v>10</v>
      </c>
      <c r="F1404">
        <v>3760.84</v>
      </c>
      <c r="G1404">
        <f>INDEX(Operational[Production Volume (units)],MATCH(Emission8[[#This Row],[Facility ID]],Operational[Facility ID],0))</f>
        <v>41953</v>
      </c>
      <c r="H1404">
        <f>INDEX(Operational[Energy Consumption (MWh)],MATCH(Emission8[[#This Row],[Facility ID]],Operational[Facility ID],0))</f>
        <v>2379.14</v>
      </c>
      <c r="I1404">
        <f>INDEX(Operational[Waste (tons)],MATCH(Emission8[[#This Row],[Facility ID]],Operational[Facility ID],0))</f>
        <v>65.67</v>
      </c>
    </row>
    <row r="1405" spans="1:9" x14ac:dyDescent="0.3">
      <c r="A1405" t="s">
        <v>64</v>
      </c>
      <c r="B1405" t="s">
        <v>30</v>
      </c>
      <c r="C1405" t="s">
        <v>8</v>
      </c>
      <c r="D1405" t="s">
        <v>9</v>
      </c>
      <c r="E1405" t="s">
        <v>10</v>
      </c>
      <c r="F1405">
        <v>3726.94</v>
      </c>
      <c r="G1405">
        <f>INDEX(Operational[Production Volume (units)],MATCH(Emission8[[#This Row],[Facility ID]],Operational[Facility ID],0))</f>
        <v>52836</v>
      </c>
      <c r="H1405">
        <f>INDEX(Operational[Energy Consumption (MWh)],MATCH(Emission8[[#This Row],[Facility ID]],Operational[Facility ID],0))</f>
        <v>9330.2999999999993</v>
      </c>
      <c r="I1405">
        <f>INDEX(Operational[Waste (tons)],MATCH(Emission8[[#This Row],[Facility ID]],Operational[Facility ID],0))</f>
        <v>87.27</v>
      </c>
    </row>
    <row r="1406" spans="1:9" x14ac:dyDescent="0.3">
      <c r="A1406" t="s">
        <v>186</v>
      </c>
      <c r="B1406" t="s">
        <v>30</v>
      </c>
      <c r="C1406" t="s">
        <v>8</v>
      </c>
      <c r="D1406" t="s">
        <v>14</v>
      </c>
      <c r="E1406" t="s">
        <v>10</v>
      </c>
      <c r="F1406">
        <v>3670.96</v>
      </c>
      <c r="G1406">
        <f>INDEX(Operational[Production Volume (units)],MATCH(Emission8[[#This Row],[Facility ID]],Operational[Facility ID],0))</f>
        <v>85868</v>
      </c>
      <c r="H1406">
        <f>INDEX(Operational[Energy Consumption (MWh)],MATCH(Emission8[[#This Row],[Facility ID]],Operational[Facility ID],0))</f>
        <v>907.72</v>
      </c>
      <c r="I1406">
        <f>INDEX(Operational[Waste (tons)],MATCH(Emission8[[#This Row],[Facility ID]],Operational[Facility ID],0))</f>
        <v>90.36</v>
      </c>
    </row>
    <row r="1407" spans="1:9" x14ac:dyDescent="0.3">
      <c r="A1407" t="s">
        <v>97</v>
      </c>
      <c r="B1407" t="s">
        <v>7</v>
      </c>
      <c r="C1407" t="s">
        <v>13</v>
      </c>
      <c r="D1407" t="s">
        <v>9</v>
      </c>
      <c r="E1407" t="s">
        <v>10</v>
      </c>
      <c r="F1407">
        <v>1821.13</v>
      </c>
      <c r="G1407">
        <f>INDEX(Operational[Production Volume (units)],MATCH(Emission8[[#This Row],[Facility ID]],Operational[Facility ID],0))</f>
        <v>78624</v>
      </c>
      <c r="H1407">
        <f>INDEX(Operational[Energy Consumption (MWh)],MATCH(Emission8[[#This Row],[Facility ID]],Operational[Facility ID],0))</f>
        <v>2373.27</v>
      </c>
      <c r="I1407">
        <f>INDEX(Operational[Waste (tons)],MATCH(Emission8[[#This Row],[Facility ID]],Operational[Facility ID],0))</f>
        <v>25.07</v>
      </c>
    </row>
    <row r="1408" spans="1:9" x14ac:dyDescent="0.3">
      <c r="A1408" t="s">
        <v>163</v>
      </c>
      <c r="B1408" t="s">
        <v>19</v>
      </c>
      <c r="C1408" t="s">
        <v>23</v>
      </c>
      <c r="D1408" t="s">
        <v>28</v>
      </c>
      <c r="E1408" t="s">
        <v>10</v>
      </c>
      <c r="F1408">
        <v>231.16</v>
      </c>
      <c r="G1408">
        <f>INDEX(Operational[Production Volume (units)],MATCH(Emission8[[#This Row],[Facility ID]],Operational[Facility ID],0))</f>
        <v>87482</v>
      </c>
      <c r="H1408">
        <f>INDEX(Operational[Energy Consumption (MWh)],MATCH(Emission8[[#This Row],[Facility ID]],Operational[Facility ID],0))</f>
        <v>2231.7399999999998</v>
      </c>
      <c r="I1408">
        <f>INDEX(Operational[Waste (tons)],MATCH(Emission8[[#This Row],[Facility ID]],Operational[Facility ID],0))</f>
        <v>45.43</v>
      </c>
    </row>
    <row r="1409" spans="1:9" x14ac:dyDescent="0.3">
      <c r="A1409" t="s">
        <v>165</v>
      </c>
      <c r="B1409" t="s">
        <v>7</v>
      </c>
      <c r="C1409" t="s">
        <v>13</v>
      </c>
      <c r="D1409" t="s">
        <v>9</v>
      </c>
      <c r="E1409" t="s">
        <v>15</v>
      </c>
      <c r="F1409">
        <v>1503.89</v>
      </c>
      <c r="G1409">
        <f>INDEX(Operational[Production Volume (units)],MATCH(Emission8[[#This Row],[Facility ID]],Operational[Facility ID],0))</f>
        <v>32991</v>
      </c>
      <c r="H1409">
        <f>INDEX(Operational[Energy Consumption (MWh)],MATCH(Emission8[[#This Row],[Facility ID]],Operational[Facility ID],0))</f>
        <v>8540.14</v>
      </c>
      <c r="I1409">
        <f>INDEX(Operational[Waste (tons)],MATCH(Emission8[[#This Row],[Facility ID]],Operational[Facility ID],0))</f>
        <v>37.75</v>
      </c>
    </row>
    <row r="1410" spans="1:9" x14ac:dyDescent="0.3">
      <c r="A1410" t="s">
        <v>65</v>
      </c>
      <c r="B1410" t="s">
        <v>30</v>
      </c>
      <c r="C1410" t="s">
        <v>23</v>
      </c>
      <c r="D1410" t="s">
        <v>28</v>
      </c>
      <c r="E1410" t="s">
        <v>24</v>
      </c>
      <c r="F1410">
        <v>1448.62</v>
      </c>
      <c r="G1410">
        <f>INDEX(Operational[Production Volume (units)],MATCH(Emission8[[#This Row],[Facility ID]],Operational[Facility ID],0))</f>
        <v>99026</v>
      </c>
      <c r="H1410">
        <f>INDEX(Operational[Energy Consumption (MWh)],MATCH(Emission8[[#This Row],[Facility ID]],Operational[Facility ID],0))</f>
        <v>5453.2</v>
      </c>
      <c r="I1410">
        <f>INDEX(Operational[Waste (tons)],MATCH(Emission8[[#This Row],[Facility ID]],Operational[Facility ID],0))</f>
        <v>57.49</v>
      </c>
    </row>
    <row r="1411" spans="1:9" x14ac:dyDescent="0.3">
      <c r="A1411" t="s">
        <v>95</v>
      </c>
      <c r="B1411" t="s">
        <v>30</v>
      </c>
      <c r="C1411" t="s">
        <v>13</v>
      </c>
      <c r="D1411" t="s">
        <v>14</v>
      </c>
      <c r="E1411" t="s">
        <v>10</v>
      </c>
      <c r="F1411">
        <v>3712.48</v>
      </c>
      <c r="G1411">
        <f>INDEX(Operational[Production Volume (units)],MATCH(Emission8[[#This Row],[Facility ID]],Operational[Facility ID],0))</f>
        <v>51800</v>
      </c>
      <c r="H1411">
        <f>INDEX(Operational[Energy Consumption (MWh)],MATCH(Emission8[[#This Row],[Facility ID]],Operational[Facility ID],0))</f>
        <v>3042.95</v>
      </c>
      <c r="I1411">
        <f>INDEX(Operational[Waste (tons)],MATCH(Emission8[[#This Row],[Facility ID]],Operational[Facility ID],0))</f>
        <v>71.87</v>
      </c>
    </row>
    <row r="1412" spans="1:9" x14ac:dyDescent="0.3">
      <c r="A1412" t="s">
        <v>98</v>
      </c>
      <c r="B1412" t="s">
        <v>19</v>
      </c>
      <c r="C1412" t="s">
        <v>23</v>
      </c>
      <c r="D1412" t="s">
        <v>28</v>
      </c>
      <c r="E1412" t="s">
        <v>10</v>
      </c>
      <c r="F1412">
        <v>4843.3</v>
      </c>
      <c r="G1412">
        <f>INDEX(Operational[Production Volume (units)],MATCH(Emission8[[#This Row],[Facility ID]],Operational[Facility ID],0))</f>
        <v>26170</v>
      </c>
      <c r="H1412">
        <f>INDEX(Operational[Energy Consumption (MWh)],MATCH(Emission8[[#This Row],[Facility ID]],Operational[Facility ID],0))</f>
        <v>8057.54</v>
      </c>
      <c r="I1412">
        <f>INDEX(Operational[Waste (tons)],MATCH(Emission8[[#This Row],[Facility ID]],Operational[Facility ID],0))</f>
        <v>63.71</v>
      </c>
    </row>
    <row r="1413" spans="1:9" x14ac:dyDescent="0.3">
      <c r="A1413" t="s">
        <v>137</v>
      </c>
      <c r="B1413" t="s">
        <v>17</v>
      </c>
      <c r="C1413" t="s">
        <v>23</v>
      </c>
      <c r="D1413" t="s">
        <v>14</v>
      </c>
      <c r="E1413" t="s">
        <v>15</v>
      </c>
      <c r="F1413">
        <v>2038.87</v>
      </c>
      <c r="G1413">
        <f>INDEX(Operational[Production Volume (units)],MATCH(Emission8[[#This Row],[Facility ID]],Operational[Facility ID],0))</f>
        <v>19265</v>
      </c>
      <c r="H1413">
        <f>INDEX(Operational[Energy Consumption (MWh)],MATCH(Emission8[[#This Row],[Facility ID]],Operational[Facility ID],0))</f>
        <v>776.6</v>
      </c>
      <c r="I1413">
        <f>INDEX(Operational[Waste (tons)],MATCH(Emission8[[#This Row],[Facility ID]],Operational[Facility ID],0))</f>
        <v>39.75</v>
      </c>
    </row>
    <row r="1414" spans="1:9" x14ac:dyDescent="0.3">
      <c r="A1414" t="s">
        <v>218</v>
      </c>
      <c r="B1414" t="s">
        <v>17</v>
      </c>
      <c r="C1414" t="s">
        <v>8</v>
      </c>
      <c r="D1414" t="s">
        <v>28</v>
      </c>
      <c r="E1414" t="s">
        <v>24</v>
      </c>
      <c r="F1414">
        <v>501.53</v>
      </c>
      <c r="G1414">
        <f>INDEX(Operational[Production Volume (units)],MATCH(Emission8[[#This Row],[Facility ID]],Operational[Facility ID],0))</f>
        <v>22525</v>
      </c>
      <c r="H1414">
        <f>INDEX(Operational[Energy Consumption (MWh)],MATCH(Emission8[[#This Row],[Facility ID]],Operational[Facility ID],0))</f>
        <v>9465.65</v>
      </c>
      <c r="I1414">
        <f>INDEX(Operational[Waste (tons)],MATCH(Emission8[[#This Row],[Facility ID]],Operational[Facility ID],0))</f>
        <v>37.79</v>
      </c>
    </row>
    <row r="1415" spans="1:9" x14ac:dyDescent="0.3">
      <c r="A1415" t="s">
        <v>141</v>
      </c>
      <c r="B1415" t="s">
        <v>7</v>
      </c>
      <c r="C1415" t="s">
        <v>34</v>
      </c>
      <c r="D1415" t="s">
        <v>14</v>
      </c>
      <c r="E1415" t="s">
        <v>24</v>
      </c>
      <c r="F1415">
        <v>2494.41</v>
      </c>
      <c r="G1415">
        <f>INDEX(Operational[Production Volume (units)],MATCH(Emission8[[#This Row],[Facility ID]],Operational[Facility ID],0))</f>
        <v>45644</v>
      </c>
      <c r="H1415">
        <f>INDEX(Operational[Energy Consumption (MWh)],MATCH(Emission8[[#This Row],[Facility ID]],Operational[Facility ID],0))</f>
        <v>7724.73</v>
      </c>
      <c r="I1415">
        <f>INDEX(Operational[Waste (tons)],MATCH(Emission8[[#This Row],[Facility ID]],Operational[Facility ID],0))</f>
        <v>31</v>
      </c>
    </row>
    <row r="1416" spans="1:9" x14ac:dyDescent="0.3">
      <c r="A1416" t="s">
        <v>79</v>
      </c>
      <c r="B1416" t="s">
        <v>17</v>
      </c>
      <c r="C1416" t="s">
        <v>8</v>
      </c>
      <c r="D1416" t="s">
        <v>14</v>
      </c>
      <c r="E1416" t="s">
        <v>24</v>
      </c>
      <c r="F1416">
        <v>3410.79</v>
      </c>
      <c r="G1416">
        <f>INDEX(Operational[Production Volume (units)],MATCH(Emission8[[#This Row],[Facility ID]],Operational[Facility ID],0))</f>
        <v>40503</v>
      </c>
      <c r="H1416">
        <f>INDEX(Operational[Energy Consumption (MWh)],MATCH(Emission8[[#This Row],[Facility ID]],Operational[Facility ID],0))</f>
        <v>7447.46</v>
      </c>
      <c r="I1416">
        <f>INDEX(Operational[Waste (tons)],MATCH(Emission8[[#This Row],[Facility ID]],Operational[Facility ID],0))</f>
        <v>98.27</v>
      </c>
    </row>
    <row r="1417" spans="1:9" x14ac:dyDescent="0.3">
      <c r="A1417" t="s">
        <v>89</v>
      </c>
      <c r="B1417" t="s">
        <v>17</v>
      </c>
      <c r="C1417" t="s">
        <v>8</v>
      </c>
      <c r="D1417" t="s">
        <v>9</v>
      </c>
      <c r="E1417" t="s">
        <v>15</v>
      </c>
      <c r="F1417">
        <v>4596.05</v>
      </c>
      <c r="G1417">
        <f>INDEX(Operational[Production Volume (units)],MATCH(Emission8[[#This Row],[Facility ID]],Operational[Facility ID],0))</f>
        <v>36171</v>
      </c>
      <c r="H1417">
        <f>INDEX(Operational[Energy Consumption (MWh)],MATCH(Emission8[[#This Row],[Facility ID]],Operational[Facility ID],0))</f>
        <v>6864.38</v>
      </c>
      <c r="I1417">
        <f>INDEX(Operational[Waste (tons)],MATCH(Emission8[[#This Row],[Facility ID]],Operational[Facility ID],0))</f>
        <v>37.03</v>
      </c>
    </row>
    <row r="1418" spans="1:9" x14ac:dyDescent="0.3">
      <c r="A1418" t="s">
        <v>160</v>
      </c>
      <c r="B1418" t="s">
        <v>30</v>
      </c>
      <c r="C1418" t="s">
        <v>8</v>
      </c>
      <c r="D1418" t="s">
        <v>28</v>
      </c>
      <c r="E1418" t="s">
        <v>24</v>
      </c>
      <c r="F1418">
        <v>2175.48</v>
      </c>
      <c r="G1418">
        <f>INDEX(Operational[Production Volume (units)],MATCH(Emission8[[#This Row],[Facility ID]],Operational[Facility ID],0))</f>
        <v>18341</v>
      </c>
      <c r="H1418">
        <f>INDEX(Operational[Energy Consumption (MWh)],MATCH(Emission8[[#This Row],[Facility ID]],Operational[Facility ID],0))</f>
        <v>8465.57</v>
      </c>
      <c r="I1418">
        <f>INDEX(Operational[Waste (tons)],MATCH(Emission8[[#This Row],[Facility ID]],Operational[Facility ID],0))</f>
        <v>38.39</v>
      </c>
    </row>
    <row r="1419" spans="1:9" x14ac:dyDescent="0.3">
      <c r="A1419" t="s">
        <v>173</v>
      </c>
      <c r="B1419" t="s">
        <v>30</v>
      </c>
      <c r="C1419" t="s">
        <v>8</v>
      </c>
      <c r="D1419" t="s">
        <v>28</v>
      </c>
      <c r="E1419" t="s">
        <v>10</v>
      </c>
      <c r="F1419">
        <v>4410.9799999999996</v>
      </c>
      <c r="G1419">
        <f>INDEX(Operational[Production Volume (units)],MATCH(Emission8[[#This Row],[Facility ID]],Operational[Facility ID],0))</f>
        <v>49620</v>
      </c>
      <c r="H1419">
        <f>INDEX(Operational[Energy Consumption (MWh)],MATCH(Emission8[[#This Row],[Facility ID]],Operational[Facility ID],0))</f>
        <v>2424.31</v>
      </c>
      <c r="I1419">
        <f>INDEX(Operational[Waste (tons)],MATCH(Emission8[[#This Row],[Facility ID]],Operational[Facility ID],0))</f>
        <v>62.09</v>
      </c>
    </row>
    <row r="1420" spans="1:9" x14ac:dyDescent="0.3">
      <c r="A1420" t="s">
        <v>67</v>
      </c>
      <c r="B1420" t="s">
        <v>7</v>
      </c>
      <c r="C1420" t="s">
        <v>8</v>
      </c>
      <c r="D1420" t="s">
        <v>9</v>
      </c>
      <c r="E1420" t="s">
        <v>15</v>
      </c>
      <c r="F1420">
        <v>4785.2299999999996</v>
      </c>
      <c r="G1420">
        <f>INDEX(Operational[Production Volume (units)],MATCH(Emission8[[#This Row],[Facility ID]],Operational[Facility ID],0))</f>
        <v>70582</v>
      </c>
      <c r="H1420">
        <f>INDEX(Operational[Energy Consumption (MWh)],MATCH(Emission8[[#This Row],[Facility ID]],Operational[Facility ID],0))</f>
        <v>7517.59</v>
      </c>
      <c r="I1420">
        <f>INDEX(Operational[Waste (tons)],MATCH(Emission8[[#This Row],[Facility ID]],Operational[Facility ID],0))</f>
        <v>95.71</v>
      </c>
    </row>
    <row r="1421" spans="1:9" x14ac:dyDescent="0.3">
      <c r="A1421" t="s">
        <v>45</v>
      </c>
      <c r="B1421" t="s">
        <v>7</v>
      </c>
      <c r="C1421" t="s">
        <v>23</v>
      </c>
      <c r="D1421" t="s">
        <v>28</v>
      </c>
      <c r="E1421" t="s">
        <v>15</v>
      </c>
      <c r="F1421">
        <v>3604.55</v>
      </c>
      <c r="G1421">
        <f>INDEX(Operational[Production Volume (units)],MATCH(Emission8[[#This Row],[Facility ID]],Operational[Facility ID],0))</f>
        <v>49924</v>
      </c>
      <c r="H1421">
        <f>INDEX(Operational[Energy Consumption (MWh)],MATCH(Emission8[[#This Row],[Facility ID]],Operational[Facility ID],0))</f>
        <v>2199.16</v>
      </c>
      <c r="I1421">
        <f>INDEX(Operational[Waste (tons)],MATCH(Emission8[[#This Row],[Facility ID]],Operational[Facility ID],0))</f>
        <v>75.48</v>
      </c>
    </row>
    <row r="1422" spans="1:9" x14ac:dyDescent="0.3">
      <c r="A1422" t="s">
        <v>109</v>
      </c>
      <c r="B1422" t="s">
        <v>12</v>
      </c>
      <c r="C1422" t="s">
        <v>13</v>
      </c>
      <c r="D1422" t="s">
        <v>28</v>
      </c>
      <c r="E1422" t="s">
        <v>15</v>
      </c>
      <c r="F1422">
        <v>3470.96</v>
      </c>
      <c r="G1422">
        <f>INDEX(Operational[Production Volume (units)],MATCH(Emission8[[#This Row],[Facility ID]],Operational[Facility ID],0))</f>
        <v>84721</v>
      </c>
      <c r="H1422">
        <f>INDEX(Operational[Energy Consumption (MWh)],MATCH(Emission8[[#This Row],[Facility ID]],Operational[Facility ID],0))</f>
        <v>2278.9699999999998</v>
      </c>
      <c r="I1422">
        <f>INDEX(Operational[Waste (tons)],MATCH(Emission8[[#This Row],[Facility ID]],Operational[Facility ID],0))</f>
        <v>68.53</v>
      </c>
    </row>
    <row r="1423" spans="1:9" x14ac:dyDescent="0.3">
      <c r="A1423" t="s">
        <v>112</v>
      </c>
      <c r="B1423" t="s">
        <v>30</v>
      </c>
      <c r="C1423" t="s">
        <v>23</v>
      </c>
      <c r="D1423" t="s">
        <v>14</v>
      </c>
      <c r="E1423" t="s">
        <v>10</v>
      </c>
      <c r="F1423">
        <v>3506.46</v>
      </c>
      <c r="G1423">
        <f>INDEX(Operational[Production Volume (units)],MATCH(Emission8[[#This Row],[Facility ID]],Operational[Facility ID],0))</f>
        <v>43294</v>
      </c>
      <c r="H1423">
        <f>INDEX(Operational[Energy Consumption (MWh)],MATCH(Emission8[[#This Row],[Facility ID]],Operational[Facility ID],0))</f>
        <v>3802.13</v>
      </c>
      <c r="I1423">
        <f>INDEX(Operational[Waste (tons)],MATCH(Emission8[[#This Row],[Facility ID]],Operational[Facility ID],0))</f>
        <v>45.84</v>
      </c>
    </row>
    <row r="1424" spans="1:9" x14ac:dyDescent="0.3">
      <c r="A1424" t="s">
        <v>175</v>
      </c>
      <c r="B1424" t="s">
        <v>7</v>
      </c>
      <c r="C1424" t="s">
        <v>13</v>
      </c>
      <c r="D1424" t="s">
        <v>9</v>
      </c>
      <c r="E1424" t="s">
        <v>24</v>
      </c>
      <c r="F1424">
        <v>2058.13</v>
      </c>
      <c r="G1424">
        <f>INDEX(Operational[Production Volume (units)],MATCH(Emission8[[#This Row],[Facility ID]],Operational[Facility ID],0))</f>
        <v>83923</v>
      </c>
      <c r="H1424">
        <f>INDEX(Operational[Energy Consumption (MWh)],MATCH(Emission8[[#This Row],[Facility ID]],Operational[Facility ID],0))</f>
        <v>8768.7999999999993</v>
      </c>
      <c r="I1424">
        <f>INDEX(Operational[Waste (tons)],MATCH(Emission8[[#This Row],[Facility ID]],Operational[Facility ID],0))</f>
        <v>65.290000000000006</v>
      </c>
    </row>
    <row r="1425" spans="1:9" x14ac:dyDescent="0.3">
      <c r="A1425" t="s">
        <v>94</v>
      </c>
      <c r="B1425" t="s">
        <v>7</v>
      </c>
      <c r="C1425" t="s">
        <v>34</v>
      </c>
      <c r="D1425" t="s">
        <v>28</v>
      </c>
      <c r="E1425" t="s">
        <v>24</v>
      </c>
      <c r="F1425">
        <v>1643.92</v>
      </c>
      <c r="G1425">
        <f>INDEX(Operational[Production Volume (units)],MATCH(Emission8[[#This Row],[Facility ID]],Operational[Facility ID],0))</f>
        <v>26338</v>
      </c>
      <c r="H1425">
        <f>INDEX(Operational[Energy Consumption (MWh)],MATCH(Emission8[[#This Row],[Facility ID]],Operational[Facility ID],0))</f>
        <v>578.73</v>
      </c>
      <c r="I1425">
        <f>INDEX(Operational[Waste (tons)],MATCH(Emission8[[#This Row],[Facility ID]],Operational[Facility ID],0))</f>
        <v>72.52</v>
      </c>
    </row>
    <row r="1426" spans="1:9" x14ac:dyDescent="0.3">
      <c r="A1426" t="s">
        <v>217</v>
      </c>
      <c r="B1426" t="s">
        <v>19</v>
      </c>
      <c r="C1426" t="s">
        <v>23</v>
      </c>
      <c r="D1426" t="s">
        <v>28</v>
      </c>
      <c r="E1426" t="s">
        <v>10</v>
      </c>
      <c r="F1426">
        <v>2080.0300000000002</v>
      </c>
      <c r="G1426">
        <f>INDEX(Operational[Production Volume (units)],MATCH(Emission8[[#This Row],[Facility ID]],Operational[Facility ID],0))</f>
        <v>80824</v>
      </c>
      <c r="H1426">
        <f>INDEX(Operational[Energy Consumption (MWh)],MATCH(Emission8[[#This Row],[Facility ID]],Operational[Facility ID],0))</f>
        <v>2858.92</v>
      </c>
      <c r="I1426">
        <f>INDEX(Operational[Waste (tons)],MATCH(Emission8[[#This Row],[Facility ID]],Operational[Facility ID],0))</f>
        <v>13.97</v>
      </c>
    </row>
    <row r="1427" spans="1:9" x14ac:dyDescent="0.3">
      <c r="A1427" t="s">
        <v>211</v>
      </c>
      <c r="B1427" t="s">
        <v>7</v>
      </c>
      <c r="C1427" t="s">
        <v>8</v>
      </c>
      <c r="D1427" t="s">
        <v>14</v>
      </c>
      <c r="E1427" t="s">
        <v>24</v>
      </c>
      <c r="F1427">
        <v>2465.4499999999998</v>
      </c>
      <c r="G1427">
        <f>INDEX(Operational[Production Volume (units)],MATCH(Emission8[[#This Row],[Facility ID]],Operational[Facility ID],0))</f>
        <v>27028</v>
      </c>
      <c r="H1427">
        <f>INDEX(Operational[Energy Consumption (MWh)],MATCH(Emission8[[#This Row],[Facility ID]],Operational[Facility ID],0))</f>
        <v>4617.92</v>
      </c>
      <c r="I1427">
        <f>INDEX(Operational[Waste (tons)],MATCH(Emission8[[#This Row],[Facility ID]],Operational[Facility ID],0))</f>
        <v>57.62</v>
      </c>
    </row>
    <row r="1428" spans="1:9" x14ac:dyDescent="0.3">
      <c r="A1428" t="s">
        <v>80</v>
      </c>
      <c r="B1428" t="s">
        <v>17</v>
      </c>
      <c r="C1428" t="s">
        <v>13</v>
      </c>
      <c r="D1428" t="s">
        <v>14</v>
      </c>
      <c r="E1428" t="s">
        <v>24</v>
      </c>
      <c r="F1428">
        <v>2931.16</v>
      </c>
      <c r="G1428">
        <f>INDEX(Operational[Production Volume (units)],MATCH(Emission8[[#This Row],[Facility ID]],Operational[Facility ID],0))</f>
        <v>75508</v>
      </c>
      <c r="H1428">
        <f>INDEX(Operational[Energy Consumption (MWh)],MATCH(Emission8[[#This Row],[Facility ID]],Operational[Facility ID],0))</f>
        <v>6856.22</v>
      </c>
      <c r="I1428">
        <f>INDEX(Operational[Waste (tons)],MATCH(Emission8[[#This Row],[Facility ID]],Operational[Facility ID],0))</f>
        <v>18.2</v>
      </c>
    </row>
    <row r="1429" spans="1:9" x14ac:dyDescent="0.3">
      <c r="A1429" t="s">
        <v>117</v>
      </c>
      <c r="B1429" t="s">
        <v>7</v>
      </c>
      <c r="C1429" t="s">
        <v>23</v>
      </c>
      <c r="D1429" t="s">
        <v>28</v>
      </c>
      <c r="E1429" t="s">
        <v>24</v>
      </c>
      <c r="F1429">
        <v>1925.79</v>
      </c>
      <c r="G1429">
        <f>INDEX(Operational[Production Volume (units)],MATCH(Emission8[[#This Row],[Facility ID]],Operational[Facility ID],0))</f>
        <v>89321</v>
      </c>
      <c r="H1429">
        <f>INDEX(Operational[Energy Consumption (MWh)],MATCH(Emission8[[#This Row],[Facility ID]],Operational[Facility ID],0))</f>
        <v>9836.34</v>
      </c>
      <c r="I1429">
        <f>INDEX(Operational[Waste (tons)],MATCH(Emission8[[#This Row],[Facility ID]],Operational[Facility ID],0))</f>
        <v>16.989999999999998</v>
      </c>
    </row>
    <row r="1430" spans="1:9" x14ac:dyDescent="0.3">
      <c r="A1430" t="s">
        <v>86</v>
      </c>
      <c r="B1430" t="s">
        <v>19</v>
      </c>
      <c r="C1430" t="s">
        <v>8</v>
      </c>
      <c r="D1430" t="s">
        <v>14</v>
      </c>
      <c r="E1430" t="s">
        <v>24</v>
      </c>
      <c r="F1430">
        <v>1331.9</v>
      </c>
      <c r="G1430">
        <f>INDEX(Operational[Production Volume (units)],MATCH(Emission8[[#This Row],[Facility ID]],Operational[Facility ID],0))</f>
        <v>56531</v>
      </c>
      <c r="H1430">
        <f>INDEX(Operational[Energy Consumption (MWh)],MATCH(Emission8[[#This Row],[Facility ID]],Operational[Facility ID],0))</f>
        <v>8958.07</v>
      </c>
      <c r="I1430">
        <f>INDEX(Operational[Waste (tons)],MATCH(Emission8[[#This Row],[Facility ID]],Operational[Facility ID],0))</f>
        <v>83.44</v>
      </c>
    </row>
    <row r="1431" spans="1:9" x14ac:dyDescent="0.3">
      <c r="A1431" t="s">
        <v>18</v>
      </c>
      <c r="B1431" t="s">
        <v>19</v>
      </c>
      <c r="C1431" t="s">
        <v>8</v>
      </c>
      <c r="D1431" t="s">
        <v>9</v>
      </c>
      <c r="E1431" t="s">
        <v>15</v>
      </c>
      <c r="F1431">
        <v>3932.23</v>
      </c>
      <c r="G1431">
        <f>INDEX(Operational[Production Volume (units)],MATCH(Emission8[[#This Row],[Facility ID]],Operational[Facility ID],0))</f>
        <v>98682</v>
      </c>
      <c r="H1431">
        <f>INDEX(Operational[Energy Consumption (MWh)],MATCH(Emission8[[#This Row],[Facility ID]],Operational[Facility ID],0))</f>
        <v>6220.56</v>
      </c>
      <c r="I1431">
        <f>INDEX(Operational[Waste (tons)],MATCH(Emission8[[#This Row],[Facility ID]],Operational[Facility ID],0))</f>
        <v>70.099999999999994</v>
      </c>
    </row>
    <row r="1432" spans="1:9" x14ac:dyDescent="0.3">
      <c r="A1432" t="s">
        <v>18</v>
      </c>
      <c r="B1432" t="s">
        <v>19</v>
      </c>
      <c r="C1432" t="s">
        <v>13</v>
      </c>
      <c r="D1432" t="s">
        <v>28</v>
      </c>
      <c r="E1432" t="s">
        <v>24</v>
      </c>
      <c r="F1432">
        <v>1414.52</v>
      </c>
      <c r="G1432">
        <f>INDEX(Operational[Production Volume (units)],MATCH(Emission8[[#This Row],[Facility ID]],Operational[Facility ID],0))</f>
        <v>98682</v>
      </c>
      <c r="H1432">
        <f>INDEX(Operational[Energy Consumption (MWh)],MATCH(Emission8[[#This Row],[Facility ID]],Operational[Facility ID],0))</f>
        <v>6220.56</v>
      </c>
      <c r="I1432">
        <f>INDEX(Operational[Waste (tons)],MATCH(Emission8[[#This Row],[Facility ID]],Operational[Facility ID],0))</f>
        <v>70.099999999999994</v>
      </c>
    </row>
    <row r="1433" spans="1:9" x14ac:dyDescent="0.3">
      <c r="A1433" t="s">
        <v>36</v>
      </c>
      <c r="B1433" t="s">
        <v>12</v>
      </c>
      <c r="C1433" t="s">
        <v>13</v>
      </c>
      <c r="D1433" t="s">
        <v>9</v>
      </c>
      <c r="E1433" t="s">
        <v>24</v>
      </c>
      <c r="F1433">
        <v>3472.69</v>
      </c>
      <c r="G1433">
        <f>INDEX(Operational[Production Volume (units)],MATCH(Emission8[[#This Row],[Facility ID]],Operational[Facility ID],0))</f>
        <v>40226</v>
      </c>
      <c r="H1433">
        <f>INDEX(Operational[Energy Consumption (MWh)],MATCH(Emission8[[#This Row],[Facility ID]],Operational[Facility ID],0))</f>
        <v>7868.86</v>
      </c>
      <c r="I1433">
        <f>INDEX(Operational[Waste (tons)],MATCH(Emission8[[#This Row],[Facility ID]],Operational[Facility ID],0))</f>
        <v>80.53</v>
      </c>
    </row>
    <row r="1434" spans="1:9" x14ac:dyDescent="0.3">
      <c r="A1434" t="s">
        <v>180</v>
      </c>
      <c r="B1434" t="s">
        <v>30</v>
      </c>
      <c r="C1434" t="s">
        <v>34</v>
      </c>
      <c r="D1434" t="s">
        <v>28</v>
      </c>
      <c r="E1434" t="s">
        <v>24</v>
      </c>
      <c r="F1434">
        <v>1357.85</v>
      </c>
      <c r="G1434">
        <f>INDEX(Operational[Production Volume (units)],MATCH(Emission8[[#This Row],[Facility ID]],Operational[Facility ID],0))</f>
        <v>72846</v>
      </c>
      <c r="H1434">
        <f>INDEX(Operational[Energy Consumption (MWh)],MATCH(Emission8[[#This Row],[Facility ID]],Operational[Facility ID],0))</f>
        <v>5169.53</v>
      </c>
      <c r="I1434">
        <f>INDEX(Operational[Waste (tons)],MATCH(Emission8[[#This Row],[Facility ID]],Operational[Facility ID],0))</f>
        <v>76.709999999999994</v>
      </c>
    </row>
    <row r="1435" spans="1:9" x14ac:dyDescent="0.3">
      <c r="A1435" t="s">
        <v>114</v>
      </c>
      <c r="B1435" t="s">
        <v>30</v>
      </c>
      <c r="C1435" t="s">
        <v>8</v>
      </c>
      <c r="D1435" t="s">
        <v>28</v>
      </c>
      <c r="E1435" t="s">
        <v>10</v>
      </c>
      <c r="F1435">
        <v>347.5</v>
      </c>
      <c r="G1435">
        <f>INDEX(Operational[Production Volume (units)],MATCH(Emission8[[#This Row],[Facility ID]],Operational[Facility ID],0))</f>
        <v>29264</v>
      </c>
      <c r="H1435">
        <f>INDEX(Operational[Energy Consumption (MWh)],MATCH(Emission8[[#This Row],[Facility ID]],Operational[Facility ID],0))</f>
        <v>8362.7199999999993</v>
      </c>
      <c r="I1435">
        <f>INDEX(Operational[Waste (tons)],MATCH(Emission8[[#This Row],[Facility ID]],Operational[Facility ID],0))</f>
        <v>61.93</v>
      </c>
    </row>
    <row r="1436" spans="1:9" x14ac:dyDescent="0.3">
      <c r="A1436" t="s">
        <v>214</v>
      </c>
      <c r="B1436" t="s">
        <v>30</v>
      </c>
      <c r="C1436" t="s">
        <v>13</v>
      </c>
      <c r="D1436" t="s">
        <v>9</v>
      </c>
      <c r="E1436" t="s">
        <v>24</v>
      </c>
      <c r="F1436">
        <v>4534.2299999999996</v>
      </c>
      <c r="G1436">
        <f>INDEX(Operational[Production Volume (units)],MATCH(Emission8[[#This Row],[Facility ID]],Operational[Facility ID],0))</f>
        <v>79330</v>
      </c>
      <c r="H1436">
        <f>INDEX(Operational[Energy Consumption (MWh)],MATCH(Emission8[[#This Row],[Facility ID]],Operational[Facility ID],0))</f>
        <v>6075.23</v>
      </c>
      <c r="I1436">
        <f>INDEX(Operational[Waste (tons)],MATCH(Emission8[[#This Row],[Facility ID]],Operational[Facility ID],0))</f>
        <v>83.97</v>
      </c>
    </row>
    <row r="1437" spans="1:9" x14ac:dyDescent="0.3">
      <c r="A1437" t="s">
        <v>173</v>
      </c>
      <c r="B1437" t="s">
        <v>30</v>
      </c>
      <c r="C1437" t="s">
        <v>34</v>
      </c>
      <c r="D1437" t="s">
        <v>14</v>
      </c>
      <c r="E1437" t="s">
        <v>10</v>
      </c>
      <c r="F1437">
        <v>3600.52</v>
      </c>
      <c r="G1437">
        <f>INDEX(Operational[Production Volume (units)],MATCH(Emission8[[#This Row],[Facility ID]],Operational[Facility ID],0))</f>
        <v>49620</v>
      </c>
      <c r="H1437">
        <f>INDEX(Operational[Energy Consumption (MWh)],MATCH(Emission8[[#This Row],[Facility ID]],Operational[Facility ID],0))</f>
        <v>2424.31</v>
      </c>
      <c r="I1437">
        <f>INDEX(Operational[Waste (tons)],MATCH(Emission8[[#This Row],[Facility ID]],Operational[Facility ID],0))</f>
        <v>62.09</v>
      </c>
    </row>
    <row r="1438" spans="1:9" x14ac:dyDescent="0.3">
      <c r="A1438" t="s">
        <v>192</v>
      </c>
      <c r="B1438" t="s">
        <v>19</v>
      </c>
      <c r="C1438" t="s">
        <v>34</v>
      </c>
      <c r="D1438" t="s">
        <v>28</v>
      </c>
      <c r="E1438" t="s">
        <v>24</v>
      </c>
      <c r="F1438">
        <v>4875.1000000000004</v>
      </c>
      <c r="G1438">
        <f>INDEX(Operational[Production Volume (units)],MATCH(Emission8[[#This Row],[Facility ID]],Operational[Facility ID],0))</f>
        <v>43227</v>
      </c>
      <c r="H1438">
        <f>INDEX(Operational[Energy Consumption (MWh)],MATCH(Emission8[[#This Row],[Facility ID]],Operational[Facility ID],0))</f>
        <v>5199.53</v>
      </c>
      <c r="I1438">
        <f>INDEX(Operational[Waste (tons)],MATCH(Emission8[[#This Row],[Facility ID]],Operational[Facility ID],0))</f>
        <v>44.09</v>
      </c>
    </row>
    <row r="1439" spans="1:9" x14ac:dyDescent="0.3">
      <c r="A1439" t="s">
        <v>104</v>
      </c>
      <c r="B1439" t="s">
        <v>17</v>
      </c>
      <c r="C1439" t="s">
        <v>8</v>
      </c>
      <c r="D1439" t="s">
        <v>9</v>
      </c>
      <c r="E1439" t="s">
        <v>10</v>
      </c>
      <c r="F1439">
        <v>1708.84</v>
      </c>
      <c r="G1439">
        <f>INDEX(Operational[Production Volume (units)],MATCH(Emission8[[#This Row],[Facility ID]],Operational[Facility ID],0))</f>
        <v>16868</v>
      </c>
      <c r="H1439">
        <f>INDEX(Operational[Energy Consumption (MWh)],MATCH(Emission8[[#This Row],[Facility ID]],Operational[Facility ID],0))</f>
        <v>1378.01</v>
      </c>
      <c r="I1439">
        <f>INDEX(Operational[Waste (tons)],MATCH(Emission8[[#This Row],[Facility ID]],Operational[Facility ID],0))</f>
        <v>47.52</v>
      </c>
    </row>
    <row r="1440" spans="1:9" x14ac:dyDescent="0.3">
      <c r="A1440" t="s">
        <v>132</v>
      </c>
      <c r="B1440" t="s">
        <v>19</v>
      </c>
      <c r="C1440" t="s">
        <v>34</v>
      </c>
      <c r="D1440" t="s">
        <v>28</v>
      </c>
      <c r="E1440" t="s">
        <v>10</v>
      </c>
      <c r="F1440">
        <v>126.6</v>
      </c>
      <c r="G1440">
        <f>INDEX(Operational[Production Volume (units)],MATCH(Emission8[[#This Row],[Facility ID]],Operational[Facility ID],0))</f>
        <v>29860</v>
      </c>
      <c r="H1440">
        <f>INDEX(Operational[Energy Consumption (MWh)],MATCH(Emission8[[#This Row],[Facility ID]],Operational[Facility ID],0))</f>
        <v>3956.23</v>
      </c>
      <c r="I1440">
        <f>INDEX(Operational[Waste (tons)],MATCH(Emission8[[#This Row],[Facility ID]],Operational[Facility ID],0))</f>
        <v>57.5</v>
      </c>
    </row>
    <row r="1441" spans="1:9" x14ac:dyDescent="0.3">
      <c r="A1441" t="s">
        <v>64</v>
      </c>
      <c r="B1441" t="s">
        <v>30</v>
      </c>
      <c r="C1441" t="s">
        <v>23</v>
      </c>
      <c r="D1441" t="s">
        <v>28</v>
      </c>
      <c r="E1441" t="s">
        <v>24</v>
      </c>
      <c r="F1441">
        <v>1749.03</v>
      </c>
      <c r="G1441">
        <f>INDEX(Operational[Production Volume (units)],MATCH(Emission8[[#This Row],[Facility ID]],Operational[Facility ID],0))</f>
        <v>52836</v>
      </c>
      <c r="H1441">
        <f>INDEX(Operational[Energy Consumption (MWh)],MATCH(Emission8[[#This Row],[Facility ID]],Operational[Facility ID],0))</f>
        <v>9330.2999999999993</v>
      </c>
      <c r="I1441">
        <f>INDEX(Operational[Waste (tons)],MATCH(Emission8[[#This Row],[Facility ID]],Operational[Facility ID],0))</f>
        <v>87.27</v>
      </c>
    </row>
    <row r="1442" spans="1:9" x14ac:dyDescent="0.3">
      <c r="A1442" t="s">
        <v>61</v>
      </c>
      <c r="B1442" t="s">
        <v>30</v>
      </c>
      <c r="C1442" t="s">
        <v>8</v>
      </c>
      <c r="D1442" t="s">
        <v>9</v>
      </c>
      <c r="E1442" t="s">
        <v>24</v>
      </c>
      <c r="F1442">
        <v>2617.52</v>
      </c>
      <c r="G1442">
        <f>INDEX(Operational[Production Volume (units)],MATCH(Emission8[[#This Row],[Facility ID]],Operational[Facility ID],0))</f>
        <v>95718</v>
      </c>
      <c r="H1442">
        <f>INDEX(Operational[Energy Consumption (MWh)],MATCH(Emission8[[#This Row],[Facility ID]],Operational[Facility ID],0))</f>
        <v>2443.12</v>
      </c>
      <c r="I1442">
        <f>INDEX(Operational[Waste (tons)],MATCH(Emission8[[#This Row],[Facility ID]],Operational[Facility ID],0))</f>
        <v>35.49</v>
      </c>
    </row>
    <row r="1443" spans="1:9" x14ac:dyDescent="0.3">
      <c r="A1443" t="s">
        <v>78</v>
      </c>
      <c r="B1443" t="s">
        <v>7</v>
      </c>
      <c r="C1443" t="s">
        <v>13</v>
      </c>
      <c r="D1443" t="s">
        <v>9</v>
      </c>
      <c r="E1443" t="s">
        <v>10</v>
      </c>
      <c r="F1443">
        <v>351.56</v>
      </c>
      <c r="G1443">
        <f>INDEX(Operational[Production Volume (units)],MATCH(Emission8[[#This Row],[Facility ID]],Operational[Facility ID],0))</f>
        <v>86557</v>
      </c>
      <c r="H1443">
        <f>INDEX(Operational[Energy Consumption (MWh)],MATCH(Emission8[[#This Row],[Facility ID]],Operational[Facility ID],0))</f>
        <v>8631.2800000000007</v>
      </c>
      <c r="I1443">
        <f>INDEX(Operational[Waste (tons)],MATCH(Emission8[[#This Row],[Facility ID]],Operational[Facility ID],0))</f>
        <v>69.53</v>
      </c>
    </row>
    <row r="1444" spans="1:9" x14ac:dyDescent="0.3">
      <c r="A1444" t="s">
        <v>196</v>
      </c>
      <c r="B1444" t="s">
        <v>30</v>
      </c>
      <c r="C1444" t="s">
        <v>34</v>
      </c>
      <c r="D1444" t="s">
        <v>28</v>
      </c>
      <c r="E1444" t="s">
        <v>10</v>
      </c>
      <c r="F1444">
        <v>1743.41</v>
      </c>
      <c r="G1444">
        <f>INDEX(Operational[Production Volume (units)],MATCH(Emission8[[#This Row],[Facility ID]],Operational[Facility ID],0))</f>
        <v>12262</v>
      </c>
      <c r="H1444">
        <f>INDEX(Operational[Energy Consumption (MWh)],MATCH(Emission8[[#This Row],[Facility ID]],Operational[Facility ID],0))</f>
        <v>7106.18</v>
      </c>
      <c r="I1444">
        <f>INDEX(Operational[Waste (tons)],MATCH(Emission8[[#This Row],[Facility ID]],Operational[Facility ID],0))</f>
        <v>45.69</v>
      </c>
    </row>
    <row r="1445" spans="1:9" x14ac:dyDescent="0.3">
      <c r="A1445" t="s">
        <v>68</v>
      </c>
      <c r="B1445" t="s">
        <v>12</v>
      </c>
      <c r="C1445" t="s">
        <v>34</v>
      </c>
      <c r="D1445" t="s">
        <v>9</v>
      </c>
      <c r="E1445" t="s">
        <v>24</v>
      </c>
      <c r="F1445">
        <v>4857.87</v>
      </c>
      <c r="G1445">
        <f>INDEX(Operational[Production Volume (units)],MATCH(Emission8[[#This Row],[Facility ID]],Operational[Facility ID],0))</f>
        <v>69100</v>
      </c>
      <c r="H1445">
        <f>INDEX(Operational[Energy Consumption (MWh)],MATCH(Emission8[[#This Row],[Facility ID]],Operational[Facility ID],0))</f>
        <v>9356.02</v>
      </c>
      <c r="I1445">
        <f>INDEX(Operational[Waste (tons)],MATCH(Emission8[[#This Row],[Facility ID]],Operational[Facility ID],0))</f>
        <v>16.5</v>
      </c>
    </row>
    <row r="1446" spans="1:9" x14ac:dyDescent="0.3">
      <c r="A1446" t="s">
        <v>184</v>
      </c>
      <c r="B1446" t="s">
        <v>30</v>
      </c>
      <c r="C1446" t="s">
        <v>34</v>
      </c>
      <c r="D1446" t="s">
        <v>14</v>
      </c>
      <c r="E1446" t="s">
        <v>24</v>
      </c>
      <c r="F1446">
        <v>2816.93</v>
      </c>
      <c r="G1446">
        <f>INDEX(Operational[Production Volume (units)],MATCH(Emission8[[#This Row],[Facility ID]],Operational[Facility ID],0))</f>
        <v>13543</v>
      </c>
      <c r="H1446">
        <f>INDEX(Operational[Energy Consumption (MWh)],MATCH(Emission8[[#This Row],[Facility ID]],Operational[Facility ID],0))</f>
        <v>7854.96</v>
      </c>
      <c r="I1446">
        <f>INDEX(Operational[Waste (tons)],MATCH(Emission8[[#This Row],[Facility ID]],Operational[Facility ID],0))</f>
        <v>85.57</v>
      </c>
    </row>
    <row r="1447" spans="1:9" x14ac:dyDescent="0.3">
      <c r="A1447" t="s">
        <v>48</v>
      </c>
      <c r="B1447" t="s">
        <v>19</v>
      </c>
      <c r="C1447" t="s">
        <v>13</v>
      </c>
      <c r="D1447" t="s">
        <v>14</v>
      </c>
      <c r="E1447" t="s">
        <v>15</v>
      </c>
      <c r="F1447">
        <v>2641.98</v>
      </c>
      <c r="G1447">
        <f>INDEX(Operational[Production Volume (units)],MATCH(Emission8[[#This Row],[Facility ID]],Operational[Facility ID],0))</f>
        <v>11952</v>
      </c>
      <c r="H1447">
        <f>INDEX(Operational[Energy Consumption (MWh)],MATCH(Emission8[[#This Row],[Facility ID]],Operational[Facility ID],0))</f>
        <v>4637.74</v>
      </c>
      <c r="I1447">
        <f>INDEX(Operational[Waste (tons)],MATCH(Emission8[[#This Row],[Facility ID]],Operational[Facility ID],0))</f>
        <v>63.78</v>
      </c>
    </row>
    <row r="1448" spans="1:9" x14ac:dyDescent="0.3">
      <c r="A1448" t="s">
        <v>127</v>
      </c>
      <c r="B1448" t="s">
        <v>17</v>
      </c>
      <c r="C1448" t="s">
        <v>34</v>
      </c>
      <c r="D1448" t="s">
        <v>14</v>
      </c>
      <c r="E1448" t="s">
        <v>15</v>
      </c>
      <c r="F1448">
        <v>2924.31</v>
      </c>
      <c r="G1448">
        <f>INDEX(Operational[Production Volume (units)],MATCH(Emission8[[#This Row],[Facility ID]],Operational[Facility ID],0))</f>
        <v>17416</v>
      </c>
      <c r="H1448">
        <f>INDEX(Operational[Energy Consumption (MWh)],MATCH(Emission8[[#This Row],[Facility ID]],Operational[Facility ID],0))</f>
        <v>812.06</v>
      </c>
      <c r="I1448">
        <f>INDEX(Operational[Waste (tons)],MATCH(Emission8[[#This Row],[Facility ID]],Operational[Facility ID],0))</f>
        <v>5.7</v>
      </c>
    </row>
    <row r="1449" spans="1:9" x14ac:dyDescent="0.3">
      <c r="A1449" t="s">
        <v>112</v>
      </c>
      <c r="B1449" t="s">
        <v>30</v>
      </c>
      <c r="C1449" t="s">
        <v>13</v>
      </c>
      <c r="D1449" t="s">
        <v>9</v>
      </c>
      <c r="E1449" t="s">
        <v>15</v>
      </c>
      <c r="F1449">
        <v>2885.09</v>
      </c>
      <c r="G1449">
        <f>INDEX(Operational[Production Volume (units)],MATCH(Emission8[[#This Row],[Facility ID]],Operational[Facility ID],0))</f>
        <v>43294</v>
      </c>
      <c r="H1449">
        <f>INDEX(Operational[Energy Consumption (MWh)],MATCH(Emission8[[#This Row],[Facility ID]],Operational[Facility ID],0))</f>
        <v>3802.13</v>
      </c>
      <c r="I1449">
        <f>INDEX(Operational[Waste (tons)],MATCH(Emission8[[#This Row],[Facility ID]],Operational[Facility ID],0))</f>
        <v>45.84</v>
      </c>
    </row>
    <row r="1450" spans="1:9" x14ac:dyDescent="0.3">
      <c r="A1450" t="s">
        <v>215</v>
      </c>
      <c r="B1450" t="s">
        <v>17</v>
      </c>
      <c r="C1450" t="s">
        <v>34</v>
      </c>
      <c r="D1450" t="s">
        <v>28</v>
      </c>
      <c r="E1450" t="s">
        <v>24</v>
      </c>
      <c r="F1450">
        <v>4563.34</v>
      </c>
      <c r="G1450">
        <f>INDEX(Operational[Production Volume (units)],MATCH(Emission8[[#This Row],[Facility ID]],Operational[Facility ID],0))</f>
        <v>72813</v>
      </c>
      <c r="H1450">
        <f>INDEX(Operational[Energy Consumption (MWh)],MATCH(Emission8[[#This Row],[Facility ID]],Operational[Facility ID],0))</f>
        <v>8818.16</v>
      </c>
      <c r="I1450">
        <f>INDEX(Operational[Waste (tons)],MATCH(Emission8[[#This Row],[Facility ID]],Operational[Facility ID],0))</f>
        <v>54.12</v>
      </c>
    </row>
    <row r="1451" spans="1:9" x14ac:dyDescent="0.3">
      <c r="A1451" t="s">
        <v>61</v>
      </c>
      <c r="B1451" t="s">
        <v>30</v>
      </c>
      <c r="C1451" t="s">
        <v>8</v>
      </c>
      <c r="D1451" t="s">
        <v>14</v>
      </c>
      <c r="E1451" t="s">
        <v>15</v>
      </c>
      <c r="F1451">
        <v>3703.75</v>
      </c>
      <c r="G1451">
        <f>INDEX(Operational[Production Volume (units)],MATCH(Emission8[[#This Row],[Facility ID]],Operational[Facility ID],0))</f>
        <v>95718</v>
      </c>
      <c r="H1451">
        <f>INDEX(Operational[Energy Consumption (MWh)],MATCH(Emission8[[#This Row],[Facility ID]],Operational[Facility ID],0))</f>
        <v>2443.12</v>
      </c>
      <c r="I1451">
        <f>INDEX(Operational[Waste (tons)],MATCH(Emission8[[#This Row],[Facility ID]],Operational[Facility ID],0))</f>
        <v>35.49</v>
      </c>
    </row>
    <row r="1452" spans="1:9" x14ac:dyDescent="0.3">
      <c r="A1452" t="s">
        <v>152</v>
      </c>
      <c r="B1452" t="s">
        <v>30</v>
      </c>
      <c r="C1452" t="s">
        <v>13</v>
      </c>
      <c r="D1452" t="s">
        <v>28</v>
      </c>
      <c r="E1452" t="s">
        <v>10</v>
      </c>
      <c r="F1452">
        <v>3328.72</v>
      </c>
      <c r="G1452">
        <f>INDEX(Operational[Production Volume (units)],MATCH(Emission8[[#This Row],[Facility ID]],Operational[Facility ID],0))</f>
        <v>21914</v>
      </c>
      <c r="H1452">
        <f>INDEX(Operational[Energy Consumption (MWh)],MATCH(Emission8[[#This Row],[Facility ID]],Operational[Facility ID],0))</f>
        <v>5897.27</v>
      </c>
      <c r="I1452">
        <f>INDEX(Operational[Waste (tons)],MATCH(Emission8[[#This Row],[Facility ID]],Operational[Facility ID],0))</f>
        <v>49.41</v>
      </c>
    </row>
    <row r="1453" spans="1:9" x14ac:dyDescent="0.3">
      <c r="A1453" t="s">
        <v>156</v>
      </c>
      <c r="B1453" t="s">
        <v>17</v>
      </c>
      <c r="C1453" t="s">
        <v>23</v>
      </c>
      <c r="D1453" t="s">
        <v>28</v>
      </c>
      <c r="E1453" t="s">
        <v>10</v>
      </c>
      <c r="F1453">
        <v>4650.1400000000003</v>
      </c>
      <c r="G1453">
        <f>INDEX(Operational[Production Volume (units)],MATCH(Emission8[[#This Row],[Facility ID]],Operational[Facility ID],0))</f>
        <v>81057</v>
      </c>
      <c r="H1453">
        <f>INDEX(Operational[Energy Consumption (MWh)],MATCH(Emission8[[#This Row],[Facility ID]],Operational[Facility ID],0))</f>
        <v>675.41</v>
      </c>
      <c r="I1453">
        <f>INDEX(Operational[Waste (tons)],MATCH(Emission8[[#This Row],[Facility ID]],Operational[Facility ID],0))</f>
        <v>55.44</v>
      </c>
    </row>
    <row r="1454" spans="1:9" x14ac:dyDescent="0.3">
      <c r="A1454" t="s">
        <v>18</v>
      </c>
      <c r="B1454" t="s">
        <v>19</v>
      </c>
      <c r="C1454" t="s">
        <v>8</v>
      </c>
      <c r="D1454" t="s">
        <v>9</v>
      </c>
      <c r="E1454" t="s">
        <v>10</v>
      </c>
      <c r="F1454">
        <v>1410.9</v>
      </c>
      <c r="G1454">
        <f>INDEX(Operational[Production Volume (units)],MATCH(Emission8[[#This Row],[Facility ID]],Operational[Facility ID],0))</f>
        <v>98682</v>
      </c>
      <c r="H1454">
        <f>INDEX(Operational[Energy Consumption (MWh)],MATCH(Emission8[[#This Row],[Facility ID]],Operational[Facility ID],0))</f>
        <v>6220.56</v>
      </c>
      <c r="I1454">
        <f>INDEX(Operational[Waste (tons)],MATCH(Emission8[[#This Row],[Facility ID]],Operational[Facility ID],0))</f>
        <v>70.099999999999994</v>
      </c>
    </row>
    <row r="1455" spans="1:9" x14ac:dyDescent="0.3">
      <c r="A1455" t="s">
        <v>82</v>
      </c>
      <c r="B1455" t="s">
        <v>17</v>
      </c>
      <c r="C1455" t="s">
        <v>13</v>
      </c>
      <c r="D1455" t="s">
        <v>14</v>
      </c>
      <c r="E1455" t="s">
        <v>10</v>
      </c>
      <c r="F1455">
        <v>802.15</v>
      </c>
      <c r="G1455">
        <f>INDEX(Operational[Production Volume (units)],MATCH(Emission8[[#This Row],[Facility ID]],Operational[Facility ID],0))</f>
        <v>93409</v>
      </c>
      <c r="H1455">
        <f>INDEX(Operational[Energy Consumption (MWh)],MATCH(Emission8[[#This Row],[Facility ID]],Operational[Facility ID],0))</f>
        <v>2375.83</v>
      </c>
      <c r="I1455">
        <f>INDEX(Operational[Waste (tons)],MATCH(Emission8[[#This Row],[Facility ID]],Operational[Facility ID],0))</f>
        <v>5.83</v>
      </c>
    </row>
    <row r="1456" spans="1:9" x14ac:dyDescent="0.3">
      <c r="A1456" t="s">
        <v>219</v>
      </c>
      <c r="B1456" t="s">
        <v>12</v>
      </c>
      <c r="C1456" t="s">
        <v>34</v>
      </c>
      <c r="D1456" t="s">
        <v>14</v>
      </c>
      <c r="E1456" t="s">
        <v>15</v>
      </c>
      <c r="F1456">
        <v>3338.5</v>
      </c>
      <c r="G1456">
        <f>INDEX(Operational[Production Volume (units)],MATCH(Emission8[[#This Row],[Facility ID]],Operational[Facility ID],0))</f>
        <v>84524</v>
      </c>
      <c r="H1456">
        <f>INDEX(Operational[Energy Consumption (MWh)],MATCH(Emission8[[#This Row],[Facility ID]],Operational[Facility ID],0))</f>
        <v>9350.11</v>
      </c>
      <c r="I1456">
        <f>INDEX(Operational[Waste (tons)],MATCH(Emission8[[#This Row],[Facility ID]],Operational[Facility ID],0))</f>
        <v>27.53</v>
      </c>
    </row>
    <row r="1457" spans="1:9" x14ac:dyDescent="0.3">
      <c r="A1457" t="s">
        <v>152</v>
      </c>
      <c r="B1457" t="s">
        <v>30</v>
      </c>
      <c r="C1457" t="s">
        <v>23</v>
      </c>
      <c r="D1457" t="s">
        <v>28</v>
      </c>
      <c r="E1457" t="s">
        <v>24</v>
      </c>
      <c r="F1457">
        <v>1108.8800000000001</v>
      </c>
      <c r="G1457">
        <f>INDEX(Operational[Production Volume (units)],MATCH(Emission8[[#This Row],[Facility ID]],Operational[Facility ID],0))</f>
        <v>21914</v>
      </c>
      <c r="H1457">
        <f>INDEX(Operational[Energy Consumption (MWh)],MATCH(Emission8[[#This Row],[Facility ID]],Operational[Facility ID],0))</f>
        <v>5897.27</v>
      </c>
      <c r="I1457">
        <f>INDEX(Operational[Waste (tons)],MATCH(Emission8[[#This Row],[Facility ID]],Operational[Facility ID],0))</f>
        <v>49.41</v>
      </c>
    </row>
    <row r="1458" spans="1:9" x14ac:dyDescent="0.3">
      <c r="A1458" t="s">
        <v>191</v>
      </c>
      <c r="B1458" t="s">
        <v>12</v>
      </c>
      <c r="C1458" t="s">
        <v>13</v>
      </c>
      <c r="D1458" t="s">
        <v>14</v>
      </c>
      <c r="E1458" t="s">
        <v>24</v>
      </c>
      <c r="F1458">
        <v>350.22</v>
      </c>
      <c r="G1458">
        <f>INDEX(Operational[Production Volume (units)],MATCH(Emission8[[#This Row],[Facility ID]],Operational[Facility ID],0))</f>
        <v>43346</v>
      </c>
      <c r="H1458">
        <f>INDEX(Operational[Energy Consumption (MWh)],MATCH(Emission8[[#This Row],[Facility ID]],Operational[Facility ID],0))</f>
        <v>5559.12</v>
      </c>
      <c r="I1458">
        <f>INDEX(Operational[Waste (tons)],MATCH(Emission8[[#This Row],[Facility ID]],Operational[Facility ID],0))</f>
        <v>39.4</v>
      </c>
    </row>
    <row r="1459" spans="1:9" x14ac:dyDescent="0.3">
      <c r="A1459" t="s">
        <v>186</v>
      </c>
      <c r="B1459" t="s">
        <v>30</v>
      </c>
      <c r="C1459" t="s">
        <v>13</v>
      </c>
      <c r="D1459" t="s">
        <v>14</v>
      </c>
      <c r="E1459" t="s">
        <v>15</v>
      </c>
      <c r="F1459">
        <v>1884.68</v>
      </c>
      <c r="G1459">
        <f>INDEX(Operational[Production Volume (units)],MATCH(Emission8[[#This Row],[Facility ID]],Operational[Facility ID],0))</f>
        <v>85868</v>
      </c>
      <c r="H1459">
        <f>INDEX(Operational[Energy Consumption (MWh)],MATCH(Emission8[[#This Row],[Facility ID]],Operational[Facility ID],0))</f>
        <v>907.72</v>
      </c>
      <c r="I1459">
        <f>INDEX(Operational[Waste (tons)],MATCH(Emission8[[#This Row],[Facility ID]],Operational[Facility ID],0))</f>
        <v>90.36</v>
      </c>
    </row>
    <row r="1460" spans="1:9" x14ac:dyDescent="0.3">
      <c r="A1460" t="s">
        <v>168</v>
      </c>
      <c r="B1460" t="s">
        <v>17</v>
      </c>
      <c r="C1460" t="s">
        <v>13</v>
      </c>
      <c r="D1460" t="s">
        <v>9</v>
      </c>
      <c r="E1460" t="s">
        <v>10</v>
      </c>
      <c r="F1460">
        <v>2634.76</v>
      </c>
      <c r="G1460">
        <f>INDEX(Operational[Production Volume (units)],MATCH(Emission8[[#This Row],[Facility ID]],Operational[Facility ID],0))</f>
        <v>41050</v>
      </c>
      <c r="H1460">
        <f>INDEX(Operational[Energy Consumption (MWh)],MATCH(Emission8[[#This Row],[Facility ID]],Operational[Facility ID],0))</f>
        <v>6025.84</v>
      </c>
      <c r="I1460">
        <f>INDEX(Operational[Waste (tons)],MATCH(Emission8[[#This Row],[Facility ID]],Operational[Facility ID],0))</f>
        <v>53.53</v>
      </c>
    </row>
    <row r="1461" spans="1:9" x14ac:dyDescent="0.3">
      <c r="A1461" t="s">
        <v>175</v>
      </c>
      <c r="B1461" t="s">
        <v>7</v>
      </c>
      <c r="C1461" t="s">
        <v>13</v>
      </c>
      <c r="D1461" t="s">
        <v>14</v>
      </c>
      <c r="E1461" t="s">
        <v>10</v>
      </c>
      <c r="F1461">
        <v>1677.52</v>
      </c>
      <c r="G1461">
        <f>INDEX(Operational[Production Volume (units)],MATCH(Emission8[[#This Row],[Facility ID]],Operational[Facility ID],0))</f>
        <v>83923</v>
      </c>
      <c r="H1461">
        <f>INDEX(Operational[Energy Consumption (MWh)],MATCH(Emission8[[#This Row],[Facility ID]],Operational[Facility ID],0))</f>
        <v>8768.7999999999993</v>
      </c>
      <c r="I1461">
        <f>INDEX(Operational[Waste (tons)],MATCH(Emission8[[#This Row],[Facility ID]],Operational[Facility ID],0))</f>
        <v>65.290000000000006</v>
      </c>
    </row>
    <row r="1462" spans="1:9" x14ac:dyDescent="0.3">
      <c r="A1462" t="s">
        <v>83</v>
      </c>
      <c r="B1462" t="s">
        <v>17</v>
      </c>
      <c r="C1462" t="s">
        <v>8</v>
      </c>
      <c r="D1462" t="s">
        <v>28</v>
      </c>
      <c r="E1462" t="s">
        <v>10</v>
      </c>
      <c r="F1462">
        <v>2395.0100000000002</v>
      </c>
      <c r="G1462">
        <f>INDEX(Operational[Production Volume (units)],MATCH(Emission8[[#This Row],[Facility ID]],Operational[Facility ID],0))</f>
        <v>30934</v>
      </c>
      <c r="H1462">
        <f>INDEX(Operational[Energy Consumption (MWh)],MATCH(Emission8[[#This Row],[Facility ID]],Operational[Facility ID],0))</f>
        <v>4175.6499999999996</v>
      </c>
      <c r="I1462">
        <f>INDEX(Operational[Waste (tons)],MATCH(Emission8[[#This Row],[Facility ID]],Operational[Facility ID],0))</f>
        <v>77.290000000000006</v>
      </c>
    </row>
    <row r="1463" spans="1:9" x14ac:dyDescent="0.3">
      <c r="A1463" t="s">
        <v>146</v>
      </c>
      <c r="B1463" t="s">
        <v>7</v>
      </c>
      <c r="C1463" t="s">
        <v>23</v>
      </c>
      <c r="D1463" t="s">
        <v>9</v>
      </c>
      <c r="E1463" t="s">
        <v>15</v>
      </c>
      <c r="F1463">
        <v>2603.0100000000002</v>
      </c>
      <c r="G1463">
        <f>INDEX(Operational[Production Volume (units)],MATCH(Emission8[[#This Row],[Facility ID]],Operational[Facility ID],0))</f>
        <v>14170</v>
      </c>
      <c r="H1463">
        <f>INDEX(Operational[Energy Consumption (MWh)],MATCH(Emission8[[#This Row],[Facility ID]],Operational[Facility ID],0))</f>
        <v>5455.23</v>
      </c>
      <c r="I1463">
        <f>INDEX(Operational[Waste (tons)],MATCH(Emission8[[#This Row],[Facility ID]],Operational[Facility ID],0))</f>
        <v>25.46</v>
      </c>
    </row>
    <row r="1464" spans="1:9" x14ac:dyDescent="0.3">
      <c r="A1464" t="s">
        <v>95</v>
      </c>
      <c r="B1464" t="s">
        <v>30</v>
      </c>
      <c r="C1464" t="s">
        <v>13</v>
      </c>
      <c r="D1464" t="s">
        <v>9</v>
      </c>
      <c r="E1464" t="s">
        <v>15</v>
      </c>
      <c r="F1464">
        <v>1656.44</v>
      </c>
      <c r="G1464">
        <f>INDEX(Operational[Production Volume (units)],MATCH(Emission8[[#This Row],[Facility ID]],Operational[Facility ID],0))</f>
        <v>51800</v>
      </c>
      <c r="H1464">
        <f>INDEX(Operational[Energy Consumption (MWh)],MATCH(Emission8[[#This Row],[Facility ID]],Operational[Facility ID],0))</f>
        <v>3042.95</v>
      </c>
      <c r="I1464">
        <f>INDEX(Operational[Waste (tons)],MATCH(Emission8[[#This Row],[Facility ID]],Operational[Facility ID],0))</f>
        <v>71.87</v>
      </c>
    </row>
    <row r="1465" spans="1:9" x14ac:dyDescent="0.3">
      <c r="A1465" t="s">
        <v>106</v>
      </c>
      <c r="B1465" t="s">
        <v>12</v>
      </c>
      <c r="C1465" t="s">
        <v>23</v>
      </c>
      <c r="D1465" t="s">
        <v>9</v>
      </c>
      <c r="E1465" t="s">
        <v>10</v>
      </c>
      <c r="F1465">
        <v>274.58999999999997</v>
      </c>
      <c r="G1465">
        <f>INDEX(Operational[Production Volume (units)],MATCH(Emission8[[#This Row],[Facility ID]],Operational[Facility ID],0))</f>
        <v>21386</v>
      </c>
      <c r="H1465">
        <f>INDEX(Operational[Energy Consumption (MWh)],MATCH(Emission8[[#This Row],[Facility ID]],Operational[Facility ID],0))</f>
        <v>2271.92</v>
      </c>
      <c r="I1465">
        <f>INDEX(Operational[Waste (tons)],MATCH(Emission8[[#This Row],[Facility ID]],Operational[Facility ID],0))</f>
        <v>49.67</v>
      </c>
    </row>
    <row r="1466" spans="1:9" x14ac:dyDescent="0.3">
      <c r="A1466" t="s">
        <v>155</v>
      </c>
      <c r="B1466" t="s">
        <v>7</v>
      </c>
      <c r="C1466" t="s">
        <v>8</v>
      </c>
      <c r="D1466" t="s">
        <v>9</v>
      </c>
      <c r="E1466" t="s">
        <v>10</v>
      </c>
      <c r="F1466">
        <v>1298.28</v>
      </c>
      <c r="G1466">
        <f>INDEX(Operational[Production Volume (units)],MATCH(Emission8[[#This Row],[Facility ID]],Operational[Facility ID],0))</f>
        <v>72224</v>
      </c>
      <c r="H1466">
        <f>INDEX(Operational[Energy Consumption (MWh)],MATCH(Emission8[[#This Row],[Facility ID]],Operational[Facility ID],0))</f>
        <v>1613.32</v>
      </c>
      <c r="I1466">
        <f>INDEX(Operational[Waste (tons)],MATCH(Emission8[[#This Row],[Facility ID]],Operational[Facility ID],0))</f>
        <v>39.21</v>
      </c>
    </row>
    <row r="1467" spans="1:9" x14ac:dyDescent="0.3">
      <c r="A1467" t="s">
        <v>136</v>
      </c>
      <c r="B1467" t="s">
        <v>17</v>
      </c>
      <c r="C1467" t="s">
        <v>34</v>
      </c>
      <c r="D1467" t="s">
        <v>28</v>
      </c>
      <c r="E1467" t="s">
        <v>15</v>
      </c>
      <c r="F1467">
        <v>814.66</v>
      </c>
      <c r="G1467">
        <f>INDEX(Operational[Production Volume (units)],MATCH(Emission8[[#This Row],[Facility ID]],Operational[Facility ID],0))</f>
        <v>15128</v>
      </c>
      <c r="H1467">
        <f>INDEX(Operational[Energy Consumption (MWh)],MATCH(Emission8[[#This Row],[Facility ID]],Operational[Facility ID],0))</f>
        <v>8847.09</v>
      </c>
      <c r="I1467">
        <f>INDEX(Operational[Waste (tons)],MATCH(Emission8[[#This Row],[Facility ID]],Operational[Facility ID],0))</f>
        <v>5.25</v>
      </c>
    </row>
    <row r="1468" spans="1:9" x14ac:dyDescent="0.3">
      <c r="A1468" t="s">
        <v>22</v>
      </c>
      <c r="B1468" t="s">
        <v>12</v>
      </c>
      <c r="C1468" t="s">
        <v>23</v>
      </c>
      <c r="D1468" t="s">
        <v>14</v>
      </c>
      <c r="E1468" t="s">
        <v>10</v>
      </c>
      <c r="F1468">
        <v>4037.11</v>
      </c>
      <c r="G1468">
        <f>INDEX(Operational[Production Volume (units)],MATCH(Emission8[[#This Row],[Facility ID]],Operational[Facility ID],0))</f>
        <v>47484</v>
      </c>
      <c r="H1468">
        <f>INDEX(Operational[Energy Consumption (MWh)],MATCH(Emission8[[#This Row],[Facility ID]],Operational[Facility ID],0))</f>
        <v>3396.39</v>
      </c>
      <c r="I1468">
        <f>INDEX(Operational[Waste (tons)],MATCH(Emission8[[#This Row],[Facility ID]],Operational[Facility ID],0))</f>
        <v>19.510000000000002</v>
      </c>
    </row>
    <row r="1469" spans="1:9" x14ac:dyDescent="0.3">
      <c r="A1469" t="s">
        <v>130</v>
      </c>
      <c r="B1469" t="s">
        <v>12</v>
      </c>
      <c r="C1469" t="s">
        <v>23</v>
      </c>
      <c r="D1469" t="s">
        <v>9</v>
      </c>
      <c r="E1469" t="s">
        <v>15</v>
      </c>
      <c r="F1469">
        <v>1604.81</v>
      </c>
      <c r="G1469">
        <f>INDEX(Operational[Production Volume (units)],MATCH(Emission8[[#This Row],[Facility ID]],Operational[Facility ID],0))</f>
        <v>82332</v>
      </c>
      <c r="H1469">
        <f>INDEX(Operational[Energy Consumption (MWh)],MATCH(Emission8[[#This Row],[Facility ID]],Operational[Facility ID],0))</f>
        <v>7134.86</v>
      </c>
      <c r="I1469">
        <f>INDEX(Operational[Waste (tons)],MATCH(Emission8[[#This Row],[Facility ID]],Operational[Facility ID],0))</f>
        <v>22.44</v>
      </c>
    </row>
    <row r="1470" spans="1:9" x14ac:dyDescent="0.3">
      <c r="A1470" t="s">
        <v>57</v>
      </c>
      <c r="B1470" t="s">
        <v>19</v>
      </c>
      <c r="C1470" t="s">
        <v>23</v>
      </c>
      <c r="D1470" t="s">
        <v>14</v>
      </c>
      <c r="E1470" t="s">
        <v>24</v>
      </c>
      <c r="F1470">
        <v>2667.56</v>
      </c>
      <c r="G1470">
        <f>INDEX(Operational[Production Volume (units)],MATCH(Emission8[[#This Row],[Facility ID]],Operational[Facility ID],0))</f>
        <v>41027</v>
      </c>
      <c r="H1470">
        <f>INDEX(Operational[Energy Consumption (MWh)],MATCH(Emission8[[#This Row],[Facility ID]],Operational[Facility ID],0))</f>
        <v>7285.85</v>
      </c>
      <c r="I1470">
        <f>INDEX(Operational[Waste (tons)],MATCH(Emission8[[#This Row],[Facility ID]],Operational[Facility ID],0))</f>
        <v>59.87</v>
      </c>
    </row>
    <row r="1471" spans="1:9" x14ac:dyDescent="0.3">
      <c r="A1471" t="s">
        <v>55</v>
      </c>
      <c r="B1471" t="s">
        <v>12</v>
      </c>
      <c r="C1471" t="s">
        <v>13</v>
      </c>
      <c r="D1471" t="s">
        <v>14</v>
      </c>
      <c r="E1471" t="s">
        <v>10</v>
      </c>
      <c r="F1471">
        <v>1194.52</v>
      </c>
      <c r="G1471">
        <f>INDEX(Operational[Production Volume (units)],MATCH(Emission8[[#This Row],[Facility ID]],Operational[Facility ID],0))</f>
        <v>38181</v>
      </c>
      <c r="H1471">
        <f>INDEX(Operational[Energy Consumption (MWh)],MATCH(Emission8[[#This Row],[Facility ID]],Operational[Facility ID],0))</f>
        <v>691.84</v>
      </c>
      <c r="I1471">
        <f>INDEX(Operational[Waste (tons)],MATCH(Emission8[[#This Row],[Facility ID]],Operational[Facility ID],0))</f>
        <v>33.53</v>
      </c>
    </row>
    <row r="1472" spans="1:9" x14ac:dyDescent="0.3">
      <c r="A1472" t="s">
        <v>193</v>
      </c>
      <c r="B1472" t="s">
        <v>12</v>
      </c>
      <c r="C1472" t="s">
        <v>8</v>
      </c>
      <c r="D1472" t="s">
        <v>28</v>
      </c>
      <c r="E1472" t="s">
        <v>10</v>
      </c>
      <c r="F1472">
        <v>4059.51</v>
      </c>
      <c r="G1472">
        <f>INDEX(Operational[Production Volume (units)],MATCH(Emission8[[#This Row],[Facility ID]],Operational[Facility ID],0))</f>
        <v>13333</v>
      </c>
      <c r="H1472">
        <f>INDEX(Operational[Energy Consumption (MWh)],MATCH(Emission8[[#This Row],[Facility ID]],Operational[Facility ID],0))</f>
        <v>6102.15</v>
      </c>
      <c r="I1472">
        <f>INDEX(Operational[Waste (tons)],MATCH(Emission8[[#This Row],[Facility ID]],Operational[Facility ID],0))</f>
        <v>17.670000000000002</v>
      </c>
    </row>
    <row r="1473" spans="1:9" x14ac:dyDescent="0.3">
      <c r="A1473" t="s">
        <v>186</v>
      </c>
      <c r="B1473" t="s">
        <v>30</v>
      </c>
      <c r="C1473" t="s">
        <v>23</v>
      </c>
      <c r="D1473" t="s">
        <v>14</v>
      </c>
      <c r="E1473" t="s">
        <v>15</v>
      </c>
      <c r="F1473">
        <v>1051.4000000000001</v>
      </c>
      <c r="G1473">
        <f>INDEX(Operational[Production Volume (units)],MATCH(Emission8[[#This Row],[Facility ID]],Operational[Facility ID],0))</f>
        <v>85868</v>
      </c>
      <c r="H1473">
        <f>INDEX(Operational[Energy Consumption (MWh)],MATCH(Emission8[[#This Row],[Facility ID]],Operational[Facility ID],0))</f>
        <v>907.72</v>
      </c>
      <c r="I1473">
        <f>INDEX(Operational[Waste (tons)],MATCH(Emission8[[#This Row],[Facility ID]],Operational[Facility ID],0))</f>
        <v>90.36</v>
      </c>
    </row>
    <row r="1474" spans="1:9" x14ac:dyDescent="0.3">
      <c r="A1474" t="s">
        <v>68</v>
      </c>
      <c r="B1474" t="s">
        <v>12</v>
      </c>
      <c r="C1474" t="s">
        <v>13</v>
      </c>
      <c r="D1474" t="s">
        <v>9</v>
      </c>
      <c r="E1474" t="s">
        <v>24</v>
      </c>
      <c r="F1474">
        <v>1810.54</v>
      </c>
      <c r="G1474">
        <f>INDEX(Operational[Production Volume (units)],MATCH(Emission8[[#This Row],[Facility ID]],Operational[Facility ID],0))</f>
        <v>69100</v>
      </c>
      <c r="H1474">
        <f>INDEX(Operational[Energy Consumption (MWh)],MATCH(Emission8[[#This Row],[Facility ID]],Operational[Facility ID],0))</f>
        <v>9356.02</v>
      </c>
      <c r="I1474">
        <f>INDEX(Operational[Waste (tons)],MATCH(Emission8[[#This Row],[Facility ID]],Operational[Facility ID],0))</f>
        <v>16.5</v>
      </c>
    </row>
    <row r="1475" spans="1:9" x14ac:dyDescent="0.3">
      <c r="A1475" t="s">
        <v>18</v>
      </c>
      <c r="B1475" t="s">
        <v>19</v>
      </c>
      <c r="C1475" t="s">
        <v>34</v>
      </c>
      <c r="D1475" t="s">
        <v>14</v>
      </c>
      <c r="E1475" t="s">
        <v>24</v>
      </c>
      <c r="F1475">
        <v>2916.42</v>
      </c>
      <c r="G1475">
        <f>INDEX(Operational[Production Volume (units)],MATCH(Emission8[[#This Row],[Facility ID]],Operational[Facility ID],0))</f>
        <v>98682</v>
      </c>
      <c r="H1475">
        <f>INDEX(Operational[Energy Consumption (MWh)],MATCH(Emission8[[#This Row],[Facility ID]],Operational[Facility ID],0))</f>
        <v>6220.56</v>
      </c>
      <c r="I1475">
        <f>INDEX(Operational[Waste (tons)],MATCH(Emission8[[#This Row],[Facility ID]],Operational[Facility ID],0))</f>
        <v>70.099999999999994</v>
      </c>
    </row>
    <row r="1476" spans="1:9" x14ac:dyDescent="0.3">
      <c r="A1476" t="s">
        <v>51</v>
      </c>
      <c r="B1476" t="s">
        <v>30</v>
      </c>
      <c r="C1476" t="s">
        <v>34</v>
      </c>
      <c r="D1476" t="s">
        <v>28</v>
      </c>
      <c r="E1476" t="s">
        <v>15</v>
      </c>
      <c r="F1476">
        <v>3852.61</v>
      </c>
      <c r="G1476">
        <f>INDEX(Operational[Production Volume (units)],MATCH(Emission8[[#This Row],[Facility ID]],Operational[Facility ID],0))</f>
        <v>44164</v>
      </c>
      <c r="H1476">
        <f>INDEX(Operational[Energy Consumption (MWh)],MATCH(Emission8[[#This Row],[Facility ID]],Operational[Facility ID],0))</f>
        <v>3869.32</v>
      </c>
      <c r="I1476">
        <f>INDEX(Operational[Waste (tons)],MATCH(Emission8[[#This Row],[Facility ID]],Operational[Facility ID],0))</f>
        <v>13.81</v>
      </c>
    </row>
    <row r="1477" spans="1:9" x14ac:dyDescent="0.3">
      <c r="A1477" t="s">
        <v>164</v>
      </c>
      <c r="B1477" t="s">
        <v>19</v>
      </c>
      <c r="C1477" t="s">
        <v>34</v>
      </c>
      <c r="D1477" t="s">
        <v>28</v>
      </c>
      <c r="E1477" t="s">
        <v>10</v>
      </c>
      <c r="F1477">
        <v>4795.1400000000003</v>
      </c>
      <c r="G1477">
        <f>INDEX(Operational[Production Volume (units)],MATCH(Emission8[[#This Row],[Facility ID]],Operational[Facility ID],0))</f>
        <v>69636</v>
      </c>
      <c r="H1477">
        <f>INDEX(Operational[Energy Consumption (MWh)],MATCH(Emission8[[#This Row],[Facility ID]],Operational[Facility ID],0))</f>
        <v>4246.55</v>
      </c>
      <c r="I1477">
        <f>INDEX(Operational[Waste (tons)],MATCH(Emission8[[#This Row],[Facility ID]],Operational[Facility ID],0))</f>
        <v>69.290000000000006</v>
      </c>
    </row>
    <row r="1478" spans="1:9" x14ac:dyDescent="0.3">
      <c r="A1478" t="s">
        <v>193</v>
      </c>
      <c r="B1478" t="s">
        <v>12</v>
      </c>
      <c r="C1478" t="s">
        <v>23</v>
      </c>
      <c r="D1478" t="s">
        <v>28</v>
      </c>
      <c r="E1478" t="s">
        <v>15</v>
      </c>
      <c r="F1478">
        <v>1445.25</v>
      </c>
      <c r="G1478">
        <f>INDEX(Operational[Production Volume (units)],MATCH(Emission8[[#This Row],[Facility ID]],Operational[Facility ID],0))</f>
        <v>13333</v>
      </c>
      <c r="H1478">
        <f>INDEX(Operational[Energy Consumption (MWh)],MATCH(Emission8[[#This Row],[Facility ID]],Operational[Facility ID],0))</f>
        <v>6102.15</v>
      </c>
      <c r="I1478">
        <f>INDEX(Operational[Waste (tons)],MATCH(Emission8[[#This Row],[Facility ID]],Operational[Facility ID],0))</f>
        <v>17.670000000000002</v>
      </c>
    </row>
    <row r="1479" spans="1:9" x14ac:dyDescent="0.3">
      <c r="A1479" t="s">
        <v>93</v>
      </c>
      <c r="B1479" t="s">
        <v>30</v>
      </c>
      <c r="C1479" t="s">
        <v>13</v>
      </c>
      <c r="D1479" t="s">
        <v>28</v>
      </c>
      <c r="E1479" t="s">
        <v>15</v>
      </c>
      <c r="F1479">
        <v>869.01</v>
      </c>
      <c r="G1479">
        <f>INDEX(Operational[Production Volume (units)],MATCH(Emission8[[#This Row],[Facility ID]],Operational[Facility ID],0))</f>
        <v>26378</v>
      </c>
      <c r="H1479">
        <f>INDEX(Operational[Energy Consumption (MWh)],MATCH(Emission8[[#This Row],[Facility ID]],Operational[Facility ID],0))</f>
        <v>2915.44</v>
      </c>
      <c r="I1479">
        <f>INDEX(Operational[Waste (tons)],MATCH(Emission8[[#This Row],[Facility ID]],Operational[Facility ID],0))</f>
        <v>29.84</v>
      </c>
    </row>
    <row r="1480" spans="1:9" x14ac:dyDescent="0.3">
      <c r="A1480" t="s">
        <v>203</v>
      </c>
      <c r="B1480" t="s">
        <v>12</v>
      </c>
      <c r="C1480" t="s">
        <v>23</v>
      </c>
      <c r="D1480" t="s">
        <v>28</v>
      </c>
      <c r="E1480" t="s">
        <v>15</v>
      </c>
      <c r="F1480">
        <v>4077.29</v>
      </c>
      <c r="G1480">
        <f>INDEX(Operational[Production Volume (units)],MATCH(Emission8[[#This Row],[Facility ID]],Operational[Facility ID],0))</f>
        <v>66398</v>
      </c>
      <c r="H1480">
        <f>INDEX(Operational[Energy Consumption (MWh)],MATCH(Emission8[[#This Row],[Facility ID]],Operational[Facility ID],0))</f>
        <v>8713.61</v>
      </c>
      <c r="I1480">
        <f>INDEX(Operational[Waste (tons)],MATCH(Emission8[[#This Row],[Facility ID]],Operational[Facility ID],0))</f>
        <v>83.44</v>
      </c>
    </row>
    <row r="1481" spans="1:9" x14ac:dyDescent="0.3">
      <c r="A1481" t="s">
        <v>120</v>
      </c>
      <c r="B1481" t="s">
        <v>30</v>
      </c>
      <c r="C1481" t="s">
        <v>8</v>
      </c>
      <c r="D1481" t="s">
        <v>14</v>
      </c>
      <c r="E1481" t="s">
        <v>10</v>
      </c>
      <c r="F1481">
        <v>2770.18</v>
      </c>
      <c r="G1481">
        <f>INDEX(Operational[Production Volume (units)],MATCH(Emission8[[#This Row],[Facility ID]],Operational[Facility ID],0))</f>
        <v>79495</v>
      </c>
      <c r="H1481">
        <f>INDEX(Operational[Energy Consumption (MWh)],MATCH(Emission8[[#This Row],[Facility ID]],Operational[Facility ID],0))</f>
        <v>7157.48</v>
      </c>
      <c r="I1481">
        <f>INDEX(Operational[Waste (tons)],MATCH(Emission8[[#This Row],[Facility ID]],Operational[Facility ID],0))</f>
        <v>26.84</v>
      </c>
    </row>
    <row r="1482" spans="1:9" x14ac:dyDescent="0.3">
      <c r="A1482" t="s">
        <v>141</v>
      </c>
      <c r="B1482" t="s">
        <v>7</v>
      </c>
      <c r="C1482" t="s">
        <v>34</v>
      </c>
      <c r="D1482" t="s">
        <v>9</v>
      </c>
      <c r="E1482" t="s">
        <v>10</v>
      </c>
      <c r="F1482">
        <v>2004.7</v>
      </c>
      <c r="G1482">
        <f>INDEX(Operational[Production Volume (units)],MATCH(Emission8[[#This Row],[Facility ID]],Operational[Facility ID],0))</f>
        <v>45644</v>
      </c>
      <c r="H1482">
        <f>INDEX(Operational[Energy Consumption (MWh)],MATCH(Emission8[[#This Row],[Facility ID]],Operational[Facility ID],0))</f>
        <v>7724.73</v>
      </c>
      <c r="I1482">
        <f>INDEX(Operational[Waste (tons)],MATCH(Emission8[[#This Row],[Facility ID]],Operational[Facility ID],0))</f>
        <v>31</v>
      </c>
    </row>
    <row r="1483" spans="1:9" x14ac:dyDescent="0.3">
      <c r="A1483" t="s">
        <v>193</v>
      </c>
      <c r="B1483" t="s">
        <v>12</v>
      </c>
      <c r="C1483" t="s">
        <v>34</v>
      </c>
      <c r="D1483" t="s">
        <v>28</v>
      </c>
      <c r="E1483" t="s">
        <v>15</v>
      </c>
      <c r="F1483">
        <v>4717.47</v>
      </c>
      <c r="G1483">
        <f>INDEX(Operational[Production Volume (units)],MATCH(Emission8[[#This Row],[Facility ID]],Operational[Facility ID],0))</f>
        <v>13333</v>
      </c>
      <c r="H1483">
        <f>INDEX(Operational[Energy Consumption (MWh)],MATCH(Emission8[[#This Row],[Facility ID]],Operational[Facility ID],0))</f>
        <v>6102.15</v>
      </c>
      <c r="I1483">
        <f>INDEX(Operational[Waste (tons)],MATCH(Emission8[[#This Row],[Facility ID]],Operational[Facility ID],0))</f>
        <v>17.670000000000002</v>
      </c>
    </row>
    <row r="1484" spans="1:9" x14ac:dyDescent="0.3">
      <c r="A1484" t="s">
        <v>115</v>
      </c>
      <c r="B1484" t="s">
        <v>19</v>
      </c>
      <c r="C1484" t="s">
        <v>13</v>
      </c>
      <c r="D1484" t="s">
        <v>9</v>
      </c>
      <c r="E1484" t="s">
        <v>10</v>
      </c>
      <c r="F1484">
        <v>1392.48</v>
      </c>
      <c r="G1484">
        <f>INDEX(Operational[Production Volume (units)],MATCH(Emission8[[#This Row],[Facility ID]],Operational[Facility ID],0))</f>
        <v>17162</v>
      </c>
      <c r="H1484">
        <f>INDEX(Operational[Energy Consumption (MWh)],MATCH(Emission8[[#This Row],[Facility ID]],Operational[Facility ID],0))</f>
        <v>5079.95</v>
      </c>
      <c r="I1484">
        <f>INDEX(Operational[Waste (tons)],MATCH(Emission8[[#This Row],[Facility ID]],Operational[Facility ID],0))</f>
        <v>19.239999999999998</v>
      </c>
    </row>
    <row r="1485" spans="1:9" x14ac:dyDescent="0.3">
      <c r="A1485" t="s">
        <v>148</v>
      </c>
      <c r="B1485" t="s">
        <v>17</v>
      </c>
      <c r="C1485" t="s">
        <v>23</v>
      </c>
      <c r="D1485" t="s">
        <v>9</v>
      </c>
      <c r="E1485" t="s">
        <v>15</v>
      </c>
      <c r="F1485">
        <v>2563.33</v>
      </c>
      <c r="G1485">
        <f>INDEX(Operational[Production Volume (units)],MATCH(Emission8[[#This Row],[Facility ID]],Operational[Facility ID],0))</f>
        <v>44994</v>
      </c>
      <c r="H1485">
        <f>INDEX(Operational[Energy Consumption (MWh)],MATCH(Emission8[[#This Row],[Facility ID]],Operational[Facility ID],0))</f>
        <v>7305.59</v>
      </c>
      <c r="I1485">
        <f>INDEX(Operational[Waste (tons)],MATCH(Emission8[[#This Row],[Facility ID]],Operational[Facility ID],0))</f>
        <v>91.53</v>
      </c>
    </row>
    <row r="1486" spans="1:9" x14ac:dyDescent="0.3">
      <c r="A1486" t="s">
        <v>130</v>
      </c>
      <c r="B1486" t="s">
        <v>12</v>
      </c>
      <c r="C1486" t="s">
        <v>34</v>
      </c>
      <c r="D1486" t="s">
        <v>9</v>
      </c>
      <c r="E1486" t="s">
        <v>15</v>
      </c>
      <c r="F1486">
        <v>503.86</v>
      </c>
      <c r="G1486">
        <f>INDEX(Operational[Production Volume (units)],MATCH(Emission8[[#This Row],[Facility ID]],Operational[Facility ID],0))</f>
        <v>82332</v>
      </c>
      <c r="H1486">
        <f>INDEX(Operational[Energy Consumption (MWh)],MATCH(Emission8[[#This Row],[Facility ID]],Operational[Facility ID],0))</f>
        <v>7134.86</v>
      </c>
      <c r="I1486">
        <f>INDEX(Operational[Waste (tons)],MATCH(Emission8[[#This Row],[Facility ID]],Operational[Facility ID],0))</f>
        <v>22.44</v>
      </c>
    </row>
    <row r="1487" spans="1:9" x14ac:dyDescent="0.3">
      <c r="A1487" t="s">
        <v>164</v>
      </c>
      <c r="B1487" t="s">
        <v>19</v>
      </c>
      <c r="C1487" t="s">
        <v>8</v>
      </c>
      <c r="D1487" t="s">
        <v>28</v>
      </c>
      <c r="E1487" t="s">
        <v>24</v>
      </c>
      <c r="F1487">
        <v>897.2</v>
      </c>
      <c r="G1487">
        <f>INDEX(Operational[Production Volume (units)],MATCH(Emission8[[#This Row],[Facility ID]],Operational[Facility ID],0))</f>
        <v>69636</v>
      </c>
      <c r="H1487">
        <f>INDEX(Operational[Energy Consumption (MWh)],MATCH(Emission8[[#This Row],[Facility ID]],Operational[Facility ID],0))</f>
        <v>4246.55</v>
      </c>
      <c r="I1487">
        <f>INDEX(Operational[Waste (tons)],MATCH(Emission8[[#This Row],[Facility ID]],Operational[Facility ID],0))</f>
        <v>69.290000000000006</v>
      </c>
    </row>
    <row r="1488" spans="1:9" x14ac:dyDescent="0.3">
      <c r="A1488" t="s">
        <v>152</v>
      </c>
      <c r="B1488" t="s">
        <v>30</v>
      </c>
      <c r="C1488" t="s">
        <v>23</v>
      </c>
      <c r="D1488" t="s">
        <v>14</v>
      </c>
      <c r="E1488" t="s">
        <v>15</v>
      </c>
      <c r="F1488">
        <v>2988.56</v>
      </c>
      <c r="G1488">
        <f>INDEX(Operational[Production Volume (units)],MATCH(Emission8[[#This Row],[Facility ID]],Operational[Facility ID],0))</f>
        <v>21914</v>
      </c>
      <c r="H1488">
        <f>INDEX(Operational[Energy Consumption (MWh)],MATCH(Emission8[[#This Row],[Facility ID]],Operational[Facility ID],0))</f>
        <v>5897.27</v>
      </c>
      <c r="I1488">
        <f>INDEX(Operational[Waste (tons)],MATCH(Emission8[[#This Row],[Facility ID]],Operational[Facility ID],0))</f>
        <v>49.41</v>
      </c>
    </row>
    <row r="1489" spans="1:9" x14ac:dyDescent="0.3">
      <c r="A1489" t="s">
        <v>86</v>
      </c>
      <c r="B1489" t="s">
        <v>19</v>
      </c>
      <c r="C1489" t="s">
        <v>34</v>
      </c>
      <c r="D1489" t="s">
        <v>9</v>
      </c>
      <c r="E1489" t="s">
        <v>15</v>
      </c>
      <c r="F1489">
        <v>1067.23</v>
      </c>
      <c r="G1489">
        <f>INDEX(Operational[Production Volume (units)],MATCH(Emission8[[#This Row],[Facility ID]],Operational[Facility ID],0))</f>
        <v>56531</v>
      </c>
      <c r="H1489">
        <f>INDEX(Operational[Energy Consumption (MWh)],MATCH(Emission8[[#This Row],[Facility ID]],Operational[Facility ID],0))</f>
        <v>8958.07</v>
      </c>
      <c r="I1489">
        <f>INDEX(Operational[Waste (tons)],MATCH(Emission8[[#This Row],[Facility ID]],Operational[Facility ID],0))</f>
        <v>83.44</v>
      </c>
    </row>
    <row r="1490" spans="1:9" x14ac:dyDescent="0.3">
      <c r="A1490" t="s">
        <v>127</v>
      </c>
      <c r="B1490" t="s">
        <v>17</v>
      </c>
      <c r="C1490" t="s">
        <v>34</v>
      </c>
      <c r="D1490" t="s">
        <v>9</v>
      </c>
      <c r="E1490" t="s">
        <v>10</v>
      </c>
      <c r="F1490">
        <v>2128.88</v>
      </c>
      <c r="G1490">
        <f>INDEX(Operational[Production Volume (units)],MATCH(Emission8[[#This Row],[Facility ID]],Operational[Facility ID],0))</f>
        <v>17416</v>
      </c>
      <c r="H1490">
        <f>INDEX(Operational[Energy Consumption (MWh)],MATCH(Emission8[[#This Row],[Facility ID]],Operational[Facility ID],0))</f>
        <v>812.06</v>
      </c>
      <c r="I1490">
        <f>INDEX(Operational[Waste (tons)],MATCH(Emission8[[#This Row],[Facility ID]],Operational[Facility ID],0))</f>
        <v>5.7</v>
      </c>
    </row>
    <row r="1491" spans="1:9" x14ac:dyDescent="0.3">
      <c r="A1491" t="s">
        <v>143</v>
      </c>
      <c r="B1491" t="s">
        <v>17</v>
      </c>
      <c r="C1491" t="s">
        <v>13</v>
      </c>
      <c r="D1491" t="s">
        <v>28</v>
      </c>
      <c r="E1491" t="s">
        <v>15</v>
      </c>
      <c r="F1491">
        <v>569.36</v>
      </c>
      <c r="G1491">
        <f>INDEX(Operational[Production Volume (units)],MATCH(Emission8[[#This Row],[Facility ID]],Operational[Facility ID],0))</f>
        <v>94704</v>
      </c>
      <c r="H1491">
        <f>INDEX(Operational[Energy Consumption (MWh)],MATCH(Emission8[[#This Row],[Facility ID]],Operational[Facility ID],0))</f>
        <v>6632.95</v>
      </c>
      <c r="I1491">
        <f>INDEX(Operational[Waste (tons)],MATCH(Emission8[[#This Row],[Facility ID]],Operational[Facility ID],0))</f>
        <v>14.76</v>
      </c>
    </row>
    <row r="1492" spans="1:9" x14ac:dyDescent="0.3">
      <c r="A1492" t="s">
        <v>165</v>
      </c>
      <c r="B1492" t="s">
        <v>7</v>
      </c>
      <c r="C1492" t="s">
        <v>8</v>
      </c>
      <c r="D1492" t="s">
        <v>14</v>
      </c>
      <c r="E1492" t="s">
        <v>15</v>
      </c>
      <c r="F1492">
        <v>2763.46</v>
      </c>
      <c r="G1492">
        <f>INDEX(Operational[Production Volume (units)],MATCH(Emission8[[#This Row],[Facility ID]],Operational[Facility ID],0))</f>
        <v>32991</v>
      </c>
      <c r="H1492">
        <f>INDEX(Operational[Energy Consumption (MWh)],MATCH(Emission8[[#This Row],[Facility ID]],Operational[Facility ID],0))</f>
        <v>8540.14</v>
      </c>
      <c r="I1492">
        <f>INDEX(Operational[Waste (tons)],MATCH(Emission8[[#This Row],[Facility ID]],Operational[Facility ID],0))</f>
        <v>37.75</v>
      </c>
    </row>
    <row r="1493" spans="1:9" x14ac:dyDescent="0.3">
      <c r="A1493" t="s">
        <v>58</v>
      </c>
      <c r="B1493" t="s">
        <v>17</v>
      </c>
      <c r="C1493" t="s">
        <v>13</v>
      </c>
      <c r="D1493" t="s">
        <v>9</v>
      </c>
      <c r="E1493" t="s">
        <v>10</v>
      </c>
      <c r="F1493">
        <v>889.01</v>
      </c>
      <c r="G1493">
        <f>INDEX(Operational[Production Volume (units)],MATCH(Emission8[[#This Row],[Facility ID]],Operational[Facility ID],0))</f>
        <v>32246</v>
      </c>
      <c r="H1493">
        <f>INDEX(Operational[Energy Consumption (MWh)],MATCH(Emission8[[#This Row],[Facility ID]],Operational[Facility ID],0))</f>
        <v>7903.93</v>
      </c>
      <c r="I1493">
        <f>INDEX(Operational[Waste (tons)],MATCH(Emission8[[#This Row],[Facility ID]],Operational[Facility ID],0))</f>
        <v>42.12</v>
      </c>
    </row>
    <row r="1494" spans="1:9" x14ac:dyDescent="0.3">
      <c r="A1494" t="s">
        <v>138</v>
      </c>
      <c r="B1494" t="s">
        <v>12</v>
      </c>
      <c r="C1494" t="s">
        <v>34</v>
      </c>
      <c r="D1494" t="s">
        <v>9</v>
      </c>
      <c r="E1494" t="s">
        <v>24</v>
      </c>
      <c r="F1494">
        <v>565.20000000000005</v>
      </c>
      <c r="G1494">
        <f>INDEX(Operational[Production Volume (units)],MATCH(Emission8[[#This Row],[Facility ID]],Operational[Facility ID],0))</f>
        <v>57353</v>
      </c>
      <c r="H1494">
        <f>INDEX(Operational[Energy Consumption (MWh)],MATCH(Emission8[[#This Row],[Facility ID]],Operational[Facility ID],0))</f>
        <v>2274.71</v>
      </c>
      <c r="I1494">
        <f>INDEX(Operational[Waste (tons)],MATCH(Emission8[[#This Row],[Facility ID]],Operational[Facility ID],0))</f>
        <v>65.34</v>
      </c>
    </row>
    <row r="1495" spans="1:9" x14ac:dyDescent="0.3">
      <c r="A1495" t="s">
        <v>155</v>
      </c>
      <c r="B1495" t="s">
        <v>7</v>
      </c>
      <c r="C1495" t="s">
        <v>34</v>
      </c>
      <c r="D1495" t="s">
        <v>28</v>
      </c>
      <c r="E1495" t="s">
        <v>15</v>
      </c>
      <c r="F1495">
        <v>4475.2700000000004</v>
      </c>
      <c r="G1495">
        <f>INDEX(Operational[Production Volume (units)],MATCH(Emission8[[#This Row],[Facility ID]],Operational[Facility ID],0))</f>
        <v>72224</v>
      </c>
      <c r="H1495">
        <f>INDEX(Operational[Energy Consumption (MWh)],MATCH(Emission8[[#This Row],[Facility ID]],Operational[Facility ID],0))</f>
        <v>1613.32</v>
      </c>
      <c r="I1495">
        <f>INDEX(Operational[Waste (tons)],MATCH(Emission8[[#This Row],[Facility ID]],Operational[Facility ID],0))</f>
        <v>39.21</v>
      </c>
    </row>
    <row r="1496" spans="1:9" x14ac:dyDescent="0.3">
      <c r="A1496" t="s">
        <v>193</v>
      </c>
      <c r="B1496" t="s">
        <v>12</v>
      </c>
      <c r="C1496" t="s">
        <v>13</v>
      </c>
      <c r="D1496" t="s">
        <v>14</v>
      </c>
      <c r="E1496" t="s">
        <v>10</v>
      </c>
      <c r="F1496">
        <v>3884.64</v>
      </c>
      <c r="G1496">
        <f>INDEX(Operational[Production Volume (units)],MATCH(Emission8[[#This Row],[Facility ID]],Operational[Facility ID],0))</f>
        <v>13333</v>
      </c>
      <c r="H1496">
        <f>INDEX(Operational[Energy Consumption (MWh)],MATCH(Emission8[[#This Row],[Facility ID]],Operational[Facility ID],0))</f>
        <v>6102.15</v>
      </c>
      <c r="I1496">
        <f>INDEX(Operational[Waste (tons)],MATCH(Emission8[[#This Row],[Facility ID]],Operational[Facility ID],0))</f>
        <v>17.670000000000002</v>
      </c>
    </row>
    <row r="1497" spans="1:9" x14ac:dyDescent="0.3">
      <c r="A1497" t="s">
        <v>155</v>
      </c>
      <c r="B1497" t="s">
        <v>7</v>
      </c>
      <c r="C1497" t="s">
        <v>34</v>
      </c>
      <c r="D1497" t="s">
        <v>9</v>
      </c>
      <c r="E1497" t="s">
        <v>15</v>
      </c>
      <c r="F1497">
        <v>1548.15</v>
      </c>
      <c r="G1497">
        <f>INDEX(Operational[Production Volume (units)],MATCH(Emission8[[#This Row],[Facility ID]],Operational[Facility ID],0))</f>
        <v>72224</v>
      </c>
      <c r="H1497">
        <f>INDEX(Operational[Energy Consumption (MWh)],MATCH(Emission8[[#This Row],[Facility ID]],Operational[Facility ID],0))</f>
        <v>1613.32</v>
      </c>
      <c r="I1497">
        <f>INDEX(Operational[Waste (tons)],MATCH(Emission8[[#This Row],[Facility ID]],Operational[Facility ID],0))</f>
        <v>39.21</v>
      </c>
    </row>
    <row r="1498" spans="1:9" x14ac:dyDescent="0.3">
      <c r="A1498" t="s">
        <v>218</v>
      </c>
      <c r="B1498" t="s">
        <v>17</v>
      </c>
      <c r="C1498" t="s">
        <v>23</v>
      </c>
      <c r="D1498" t="s">
        <v>14</v>
      </c>
      <c r="E1498" t="s">
        <v>10</v>
      </c>
      <c r="F1498">
        <v>1310.02</v>
      </c>
      <c r="G1498">
        <f>INDEX(Operational[Production Volume (units)],MATCH(Emission8[[#This Row],[Facility ID]],Operational[Facility ID],0))</f>
        <v>22525</v>
      </c>
      <c r="H1498">
        <f>INDEX(Operational[Energy Consumption (MWh)],MATCH(Emission8[[#This Row],[Facility ID]],Operational[Facility ID],0))</f>
        <v>9465.65</v>
      </c>
      <c r="I1498">
        <f>INDEX(Operational[Waste (tons)],MATCH(Emission8[[#This Row],[Facility ID]],Operational[Facility ID],0))</f>
        <v>37.79</v>
      </c>
    </row>
    <row r="1499" spans="1:9" x14ac:dyDescent="0.3">
      <c r="A1499" t="s">
        <v>206</v>
      </c>
      <c r="B1499" t="s">
        <v>19</v>
      </c>
      <c r="C1499" t="s">
        <v>13</v>
      </c>
      <c r="D1499" t="s">
        <v>14</v>
      </c>
      <c r="E1499" t="s">
        <v>24</v>
      </c>
      <c r="F1499">
        <v>1833.43</v>
      </c>
      <c r="G1499">
        <f>INDEX(Operational[Production Volume (units)],MATCH(Emission8[[#This Row],[Facility ID]],Operational[Facility ID],0))</f>
        <v>10250</v>
      </c>
      <c r="H1499">
        <f>INDEX(Operational[Energy Consumption (MWh)],MATCH(Emission8[[#This Row],[Facility ID]],Operational[Facility ID],0))</f>
        <v>4717</v>
      </c>
      <c r="I1499">
        <f>INDEX(Operational[Waste (tons)],MATCH(Emission8[[#This Row],[Facility ID]],Operational[Facility ID],0))</f>
        <v>16.600000000000001</v>
      </c>
    </row>
    <row r="1500" spans="1:9" x14ac:dyDescent="0.3">
      <c r="A1500" t="s">
        <v>188</v>
      </c>
      <c r="B1500" t="s">
        <v>19</v>
      </c>
      <c r="C1500" t="s">
        <v>13</v>
      </c>
      <c r="D1500" t="s">
        <v>14</v>
      </c>
      <c r="E1500" t="s">
        <v>15</v>
      </c>
      <c r="F1500">
        <v>1039.8399999999999</v>
      </c>
      <c r="G1500">
        <f>INDEX(Operational[Production Volume (units)],MATCH(Emission8[[#This Row],[Facility ID]],Operational[Facility ID],0))</f>
        <v>60513</v>
      </c>
      <c r="H1500">
        <f>INDEX(Operational[Energy Consumption (MWh)],MATCH(Emission8[[#This Row],[Facility ID]],Operational[Facility ID],0))</f>
        <v>4578.16</v>
      </c>
      <c r="I1500">
        <f>INDEX(Operational[Waste (tons)],MATCH(Emission8[[#This Row],[Facility ID]],Operational[Facility ID],0))</f>
        <v>65.53</v>
      </c>
    </row>
    <row r="1501" spans="1:9" x14ac:dyDescent="0.3">
      <c r="A1501" t="s">
        <v>110</v>
      </c>
      <c r="B1501" t="s">
        <v>12</v>
      </c>
      <c r="C1501" t="s">
        <v>13</v>
      </c>
      <c r="D1501" t="s">
        <v>28</v>
      </c>
      <c r="E1501" t="s">
        <v>15</v>
      </c>
      <c r="F1501">
        <v>3297.47</v>
      </c>
      <c r="G1501">
        <f>INDEX(Operational[Production Volume (units)],MATCH(Emission8[[#This Row],[Facility ID]],Operational[Facility ID],0))</f>
        <v>70481</v>
      </c>
      <c r="H1501">
        <f>INDEX(Operational[Energy Consumption (MWh)],MATCH(Emission8[[#This Row],[Facility ID]],Operational[Facility ID],0))</f>
        <v>4452.83</v>
      </c>
      <c r="I1501">
        <f>INDEX(Operational[Waste (tons)],MATCH(Emission8[[#This Row],[Facility ID]],Operational[Facility ID],0))</f>
        <v>91.26</v>
      </c>
    </row>
    <row r="1502" spans="1:9" x14ac:dyDescent="0.3">
      <c r="A1502" t="s">
        <v>56</v>
      </c>
      <c r="B1502" t="s">
        <v>19</v>
      </c>
      <c r="C1502" t="s">
        <v>13</v>
      </c>
      <c r="D1502" t="s">
        <v>14</v>
      </c>
      <c r="E1502" t="s">
        <v>10</v>
      </c>
      <c r="F1502">
        <v>3091.2</v>
      </c>
      <c r="G1502">
        <f>INDEX(Operational[Production Volume (units)],MATCH(Emission8[[#This Row],[Facility ID]],Operational[Facility ID],0))</f>
        <v>43747</v>
      </c>
      <c r="H1502">
        <f>INDEX(Operational[Energy Consumption (MWh)],MATCH(Emission8[[#This Row],[Facility ID]],Operational[Facility ID],0))</f>
        <v>3453.48</v>
      </c>
      <c r="I1502">
        <f>INDEX(Operational[Waste (tons)],MATCH(Emission8[[#This Row],[Facility ID]],Operational[Facility ID],0))</f>
        <v>98.78</v>
      </c>
    </row>
    <row r="1503" spans="1:9" x14ac:dyDescent="0.3">
      <c r="A1503" t="s">
        <v>185</v>
      </c>
      <c r="B1503" t="s">
        <v>30</v>
      </c>
      <c r="C1503" t="s">
        <v>34</v>
      </c>
      <c r="D1503" t="s">
        <v>28</v>
      </c>
      <c r="E1503" t="s">
        <v>15</v>
      </c>
      <c r="F1503">
        <v>301.86</v>
      </c>
      <c r="G1503">
        <f>INDEX(Operational[Production Volume (units)],MATCH(Emission8[[#This Row],[Facility ID]],Operational[Facility ID],0))</f>
        <v>24913</v>
      </c>
      <c r="H1503">
        <f>INDEX(Operational[Energy Consumption (MWh)],MATCH(Emission8[[#This Row],[Facility ID]],Operational[Facility ID],0))</f>
        <v>5727.27</v>
      </c>
      <c r="I1503">
        <f>INDEX(Operational[Waste (tons)],MATCH(Emission8[[#This Row],[Facility ID]],Operational[Facility ID],0))</f>
        <v>78.849999999999994</v>
      </c>
    </row>
    <row r="1504" spans="1:9" x14ac:dyDescent="0.3">
      <c r="A1504" t="s">
        <v>178</v>
      </c>
      <c r="B1504" t="s">
        <v>30</v>
      </c>
      <c r="C1504" t="s">
        <v>23</v>
      </c>
      <c r="D1504" t="s">
        <v>14</v>
      </c>
      <c r="E1504" t="s">
        <v>24</v>
      </c>
      <c r="F1504">
        <v>4171.41</v>
      </c>
      <c r="G1504">
        <f>INDEX(Operational[Production Volume (units)],MATCH(Emission8[[#This Row],[Facility ID]],Operational[Facility ID],0))</f>
        <v>88188</v>
      </c>
      <c r="H1504">
        <f>INDEX(Operational[Energy Consumption (MWh)],MATCH(Emission8[[#This Row],[Facility ID]],Operational[Facility ID],0))</f>
        <v>815.86</v>
      </c>
      <c r="I1504">
        <f>INDEX(Operational[Waste (tons)],MATCH(Emission8[[#This Row],[Facility ID]],Operational[Facility ID],0))</f>
        <v>57.53</v>
      </c>
    </row>
    <row r="1505" spans="1:9" x14ac:dyDescent="0.3">
      <c r="A1505" t="s">
        <v>219</v>
      </c>
      <c r="B1505" t="s">
        <v>12</v>
      </c>
      <c r="C1505" t="s">
        <v>34</v>
      </c>
      <c r="D1505" t="s">
        <v>14</v>
      </c>
      <c r="E1505" t="s">
        <v>10</v>
      </c>
      <c r="F1505">
        <v>4337.95</v>
      </c>
      <c r="G1505">
        <f>INDEX(Operational[Production Volume (units)],MATCH(Emission8[[#This Row],[Facility ID]],Operational[Facility ID],0))</f>
        <v>84524</v>
      </c>
      <c r="H1505">
        <f>INDEX(Operational[Energy Consumption (MWh)],MATCH(Emission8[[#This Row],[Facility ID]],Operational[Facility ID],0))</f>
        <v>9350.11</v>
      </c>
      <c r="I1505">
        <f>INDEX(Operational[Waste (tons)],MATCH(Emission8[[#This Row],[Facility ID]],Operational[Facility ID],0))</f>
        <v>27.53</v>
      </c>
    </row>
    <row r="1506" spans="1:9" x14ac:dyDescent="0.3">
      <c r="A1506" t="s">
        <v>150</v>
      </c>
      <c r="B1506" t="s">
        <v>30</v>
      </c>
      <c r="C1506" t="s">
        <v>34</v>
      </c>
      <c r="D1506" t="s">
        <v>9</v>
      </c>
      <c r="E1506" t="s">
        <v>24</v>
      </c>
      <c r="F1506">
        <v>3830.1</v>
      </c>
      <c r="G1506">
        <f>INDEX(Operational[Production Volume (units)],MATCH(Emission8[[#This Row],[Facility ID]],Operational[Facility ID],0))</f>
        <v>98356</v>
      </c>
      <c r="H1506">
        <f>INDEX(Operational[Energy Consumption (MWh)],MATCH(Emission8[[#This Row],[Facility ID]],Operational[Facility ID],0))</f>
        <v>6968.69</v>
      </c>
      <c r="I1506">
        <f>INDEX(Operational[Waste (tons)],MATCH(Emission8[[#This Row],[Facility ID]],Operational[Facility ID],0))</f>
        <v>81.72</v>
      </c>
    </row>
    <row r="1507" spans="1:9" x14ac:dyDescent="0.3">
      <c r="A1507" t="s">
        <v>91</v>
      </c>
      <c r="B1507" t="s">
        <v>30</v>
      </c>
      <c r="C1507" t="s">
        <v>8</v>
      </c>
      <c r="D1507" t="s">
        <v>28</v>
      </c>
      <c r="E1507" t="s">
        <v>24</v>
      </c>
      <c r="F1507">
        <v>3808.17</v>
      </c>
      <c r="G1507">
        <f>INDEX(Operational[Production Volume (units)],MATCH(Emission8[[#This Row],[Facility ID]],Operational[Facility ID],0))</f>
        <v>20207</v>
      </c>
      <c r="H1507">
        <f>INDEX(Operational[Energy Consumption (MWh)],MATCH(Emission8[[#This Row],[Facility ID]],Operational[Facility ID],0))</f>
        <v>5369.46</v>
      </c>
      <c r="I1507">
        <f>INDEX(Operational[Waste (tons)],MATCH(Emission8[[#This Row],[Facility ID]],Operational[Facility ID],0))</f>
        <v>57.51</v>
      </c>
    </row>
    <row r="1508" spans="1:9" x14ac:dyDescent="0.3">
      <c r="A1508" t="s">
        <v>20</v>
      </c>
      <c r="B1508" t="s">
        <v>17</v>
      </c>
      <c r="C1508" t="s">
        <v>8</v>
      </c>
      <c r="D1508" t="s">
        <v>14</v>
      </c>
      <c r="E1508" t="s">
        <v>10</v>
      </c>
      <c r="F1508">
        <v>3167.4</v>
      </c>
      <c r="G1508">
        <f>INDEX(Operational[Production Volume (units)],MATCH(Emission8[[#This Row],[Facility ID]],Operational[Facility ID],0))</f>
        <v>29895</v>
      </c>
      <c r="H1508">
        <f>INDEX(Operational[Energy Consumption (MWh)],MATCH(Emission8[[#This Row],[Facility ID]],Operational[Facility ID],0))</f>
        <v>1631.08</v>
      </c>
      <c r="I1508">
        <f>INDEX(Operational[Waste (tons)],MATCH(Emission8[[#This Row],[Facility ID]],Operational[Facility ID],0))</f>
        <v>39.93</v>
      </c>
    </row>
    <row r="1509" spans="1:9" x14ac:dyDescent="0.3">
      <c r="A1509" t="s">
        <v>39</v>
      </c>
      <c r="B1509" t="s">
        <v>7</v>
      </c>
      <c r="C1509" t="s">
        <v>13</v>
      </c>
      <c r="D1509" t="s">
        <v>9</v>
      </c>
      <c r="E1509" t="s">
        <v>15</v>
      </c>
      <c r="F1509">
        <v>742.11</v>
      </c>
      <c r="G1509">
        <f>INDEX(Operational[Production Volume (units)],MATCH(Emission8[[#This Row],[Facility ID]],Operational[Facility ID],0))</f>
        <v>80904</v>
      </c>
      <c r="H1509">
        <f>INDEX(Operational[Energy Consumption (MWh)],MATCH(Emission8[[#This Row],[Facility ID]],Operational[Facility ID],0))</f>
        <v>3263.09</v>
      </c>
      <c r="I1509">
        <f>INDEX(Operational[Waste (tons)],MATCH(Emission8[[#This Row],[Facility ID]],Operational[Facility ID],0))</f>
        <v>58.37</v>
      </c>
    </row>
    <row r="1510" spans="1:9" x14ac:dyDescent="0.3">
      <c r="A1510" t="s">
        <v>183</v>
      </c>
      <c r="B1510" t="s">
        <v>7</v>
      </c>
      <c r="C1510" t="s">
        <v>34</v>
      </c>
      <c r="D1510" t="s">
        <v>14</v>
      </c>
      <c r="E1510" t="s">
        <v>15</v>
      </c>
      <c r="F1510">
        <v>4632.6400000000003</v>
      </c>
      <c r="G1510">
        <f>INDEX(Operational[Production Volume (units)],MATCH(Emission8[[#This Row],[Facility ID]],Operational[Facility ID],0))</f>
        <v>14009</v>
      </c>
      <c r="H1510">
        <f>INDEX(Operational[Energy Consumption (MWh)],MATCH(Emission8[[#This Row],[Facility ID]],Operational[Facility ID],0))</f>
        <v>7528.98</v>
      </c>
      <c r="I1510">
        <f>INDEX(Operational[Waste (tons)],MATCH(Emission8[[#This Row],[Facility ID]],Operational[Facility ID],0))</f>
        <v>77.62</v>
      </c>
    </row>
    <row r="1511" spans="1:9" x14ac:dyDescent="0.3">
      <c r="A1511" t="s">
        <v>21</v>
      </c>
      <c r="B1511" t="s">
        <v>19</v>
      </c>
      <c r="C1511" t="s">
        <v>13</v>
      </c>
      <c r="D1511" t="s">
        <v>14</v>
      </c>
      <c r="E1511" t="s">
        <v>10</v>
      </c>
      <c r="F1511">
        <v>1268.8</v>
      </c>
      <c r="G1511">
        <f>INDEX(Operational[Production Volume (units)],MATCH(Emission8[[#This Row],[Facility ID]],Operational[Facility ID],0))</f>
        <v>61157</v>
      </c>
      <c r="H1511">
        <f>INDEX(Operational[Energy Consumption (MWh)],MATCH(Emission8[[#This Row],[Facility ID]],Operational[Facility ID],0))</f>
        <v>7331.54</v>
      </c>
      <c r="I1511">
        <f>INDEX(Operational[Waste (tons)],MATCH(Emission8[[#This Row],[Facility ID]],Operational[Facility ID],0))</f>
        <v>55.52</v>
      </c>
    </row>
    <row r="1512" spans="1:9" x14ac:dyDescent="0.3">
      <c r="A1512" t="s">
        <v>150</v>
      </c>
      <c r="B1512" t="s">
        <v>30</v>
      </c>
      <c r="C1512" t="s">
        <v>8</v>
      </c>
      <c r="D1512" t="s">
        <v>28</v>
      </c>
      <c r="E1512" t="s">
        <v>15</v>
      </c>
      <c r="F1512">
        <v>3546.58</v>
      </c>
      <c r="G1512">
        <f>INDEX(Operational[Production Volume (units)],MATCH(Emission8[[#This Row],[Facility ID]],Operational[Facility ID],0))</f>
        <v>98356</v>
      </c>
      <c r="H1512">
        <f>INDEX(Operational[Energy Consumption (MWh)],MATCH(Emission8[[#This Row],[Facility ID]],Operational[Facility ID],0))</f>
        <v>6968.69</v>
      </c>
      <c r="I1512">
        <f>INDEX(Operational[Waste (tons)],MATCH(Emission8[[#This Row],[Facility ID]],Operational[Facility ID],0))</f>
        <v>81.72</v>
      </c>
    </row>
    <row r="1513" spans="1:9" x14ac:dyDescent="0.3">
      <c r="A1513" t="s">
        <v>25</v>
      </c>
      <c r="B1513" t="s">
        <v>19</v>
      </c>
      <c r="C1513" t="s">
        <v>23</v>
      </c>
      <c r="D1513" t="s">
        <v>28</v>
      </c>
      <c r="E1513" t="s">
        <v>10</v>
      </c>
      <c r="F1513">
        <v>1609.6</v>
      </c>
      <c r="G1513">
        <f>INDEX(Operational[Production Volume (units)],MATCH(Emission8[[#This Row],[Facility ID]],Operational[Facility ID],0))</f>
        <v>95306</v>
      </c>
      <c r="H1513">
        <f>INDEX(Operational[Energy Consumption (MWh)],MATCH(Emission8[[#This Row],[Facility ID]],Operational[Facility ID],0))</f>
        <v>9037.76</v>
      </c>
      <c r="I1513">
        <f>INDEX(Operational[Waste (tons)],MATCH(Emission8[[#This Row],[Facility ID]],Operational[Facility ID],0))</f>
        <v>13.35</v>
      </c>
    </row>
    <row r="1514" spans="1:9" x14ac:dyDescent="0.3">
      <c r="A1514" t="s">
        <v>209</v>
      </c>
      <c r="B1514" t="s">
        <v>7</v>
      </c>
      <c r="C1514" t="s">
        <v>34</v>
      </c>
      <c r="D1514" t="s">
        <v>9</v>
      </c>
      <c r="E1514" t="s">
        <v>15</v>
      </c>
      <c r="F1514">
        <v>3630.71</v>
      </c>
      <c r="G1514">
        <f>INDEX(Operational[Production Volume (units)],MATCH(Emission8[[#This Row],[Facility ID]],Operational[Facility ID],0))</f>
        <v>52357</v>
      </c>
      <c r="H1514">
        <f>INDEX(Operational[Energy Consumption (MWh)],MATCH(Emission8[[#This Row],[Facility ID]],Operational[Facility ID],0))</f>
        <v>5643.16</v>
      </c>
      <c r="I1514">
        <f>INDEX(Operational[Waste (tons)],MATCH(Emission8[[#This Row],[Facility ID]],Operational[Facility ID],0))</f>
        <v>37.130000000000003</v>
      </c>
    </row>
    <row r="1515" spans="1:9" x14ac:dyDescent="0.3">
      <c r="A1515" t="s">
        <v>181</v>
      </c>
      <c r="B1515" t="s">
        <v>30</v>
      </c>
      <c r="C1515" t="s">
        <v>34</v>
      </c>
      <c r="D1515" t="s">
        <v>14</v>
      </c>
      <c r="E1515" t="s">
        <v>10</v>
      </c>
      <c r="F1515">
        <v>999.48</v>
      </c>
      <c r="G1515">
        <f>INDEX(Operational[Production Volume (units)],MATCH(Emission8[[#This Row],[Facility ID]],Operational[Facility ID],0))</f>
        <v>28704</v>
      </c>
      <c r="H1515">
        <f>INDEX(Operational[Energy Consumption (MWh)],MATCH(Emission8[[#This Row],[Facility ID]],Operational[Facility ID],0))</f>
        <v>6009.24</v>
      </c>
      <c r="I1515">
        <f>INDEX(Operational[Waste (tons)],MATCH(Emission8[[#This Row],[Facility ID]],Operational[Facility ID],0))</f>
        <v>39.31</v>
      </c>
    </row>
    <row r="1516" spans="1:9" x14ac:dyDescent="0.3">
      <c r="A1516" t="s">
        <v>127</v>
      </c>
      <c r="B1516" t="s">
        <v>17</v>
      </c>
      <c r="C1516" t="s">
        <v>13</v>
      </c>
      <c r="D1516" t="s">
        <v>14</v>
      </c>
      <c r="E1516" t="s">
        <v>15</v>
      </c>
      <c r="F1516">
        <v>4553.04</v>
      </c>
      <c r="G1516">
        <f>INDEX(Operational[Production Volume (units)],MATCH(Emission8[[#This Row],[Facility ID]],Operational[Facility ID],0))</f>
        <v>17416</v>
      </c>
      <c r="H1516">
        <f>INDEX(Operational[Energy Consumption (MWh)],MATCH(Emission8[[#This Row],[Facility ID]],Operational[Facility ID],0))</f>
        <v>812.06</v>
      </c>
      <c r="I1516">
        <f>INDEX(Operational[Waste (tons)],MATCH(Emission8[[#This Row],[Facility ID]],Operational[Facility ID],0))</f>
        <v>5.7</v>
      </c>
    </row>
    <row r="1517" spans="1:9" x14ac:dyDescent="0.3">
      <c r="A1517" t="s">
        <v>123</v>
      </c>
      <c r="B1517" t="s">
        <v>30</v>
      </c>
      <c r="C1517" t="s">
        <v>8</v>
      </c>
      <c r="D1517" t="s">
        <v>9</v>
      </c>
      <c r="E1517" t="s">
        <v>24</v>
      </c>
      <c r="F1517">
        <v>1345.95</v>
      </c>
      <c r="G1517">
        <f>INDEX(Operational[Production Volume (units)],MATCH(Emission8[[#This Row],[Facility ID]],Operational[Facility ID],0))</f>
        <v>73977</v>
      </c>
      <c r="H1517">
        <f>INDEX(Operational[Energy Consumption (MWh)],MATCH(Emission8[[#This Row],[Facility ID]],Operational[Facility ID],0))</f>
        <v>1646.75</v>
      </c>
      <c r="I1517">
        <f>INDEX(Operational[Waste (tons)],MATCH(Emission8[[#This Row],[Facility ID]],Operational[Facility ID],0))</f>
        <v>43.77</v>
      </c>
    </row>
    <row r="1518" spans="1:9" x14ac:dyDescent="0.3">
      <c r="A1518" t="s">
        <v>89</v>
      </c>
      <c r="B1518" t="s">
        <v>17</v>
      </c>
      <c r="C1518" t="s">
        <v>34</v>
      </c>
      <c r="D1518" t="s">
        <v>28</v>
      </c>
      <c r="E1518" t="s">
        <v>10</v>
      </c>
      <c r="F1518">
        <v>1432.5</v>
      </c>
      <c r="G1518">
        <f>INDEX(Operational[Production Volume (units)],MATCH(Emission8[[#This Row],[Facility ID]],Operational[Facility ID],0))</f>
        <v>36171</v>
      </c>
      <c r="H1518">
        <f>INDEX(Operational[Energy Consumption (MWh)],MATCH(Emission8[[#This Row],[Facility ID]],Operational[Facility ID],0))</f>
        <v>6864.38</v>
      </c>
      <c r="I1518">
        <f>INDEX(Operational[Waste (tons)],MATCH(Emission8[[#This Row],[Facility ID]],Operational[Facility ID],0))</f>
        <v>37.03</v>
      </c>
    </row>
    <row r="1519" spans="1:9" x14ac:dyDescent="0.3">
      <c r="A1519" t="s">
        <v>67</v>
      </c>
      <c r="B1519" t="s">
        <v>7</v>
      </c>
      <c r="C1519" t="s">
        <v>34</v>
      </c>
      <c r="D1519" t="s">
        <v>28</v>
      </c>
      <c r="E1519" t="s">
        <v>10</v>
      </c>
      <c r="F1519">
        <v>2537.5</v>
      </c>
      <c r="G1519">
        <f>INDEX(Operational[Production Volume (units)],MATCH(Emission8[[#This Row],[Facility ID]],Operational[Facility ID],0))</f>
        <v>70582</v>
      </c>
      <c r="H1519">
        <f>INDEX(Operational[Energy Consumption (MWh)],MATCH(Emission8[[#This Row],[Facility ID]],Operational[Facility ID],0))</f>
        <v>7517.59</v>
      </c>
      <c r="I1519">
        <f>INDEX(Operational[Waste (tons)],MATCH(Emission8[[#This Row],[Facility ID]],Operational[Facility ID],0))</f>
        <v>95.71</v>
      </c>
    </row>
    <row r="1520" spans="1:9" x14ac:dyDescent="0.3">
      <c r="A1520" t="s">
        <v>194</v>
      </c>
      <c r="B1520" t="s">
        <v>17</v>
      </c>
      <c r="C1520" t="s">
        <v>13</v>
      </c>
      <c r="D1520" t="s">
        <v>14</v>
      </c>
      <c r="E1520" t="s">
        <v>10</v>
      </c>
      <c r="F1520">
        <v>4832.05</v>
      </c>
      <c r="G1520">
        <f>INDEX(Operational[Production Volume (units)],MATCH(Emission8[[#This Row],[Facility ID]],Operational[Facility ID],0))</f>
        <v>95165</v>
      </c>
      <c r="H1520">
        <f>INDEX(Operational[Energy Consumption (MWh)],MATCH(Emission8[[#This Row],[Facility ID]],Operational[Facility ID],0))</f>
        <v>8562.76</v>
      </c>
      <c r="I1520">
        <f>INDEX(Operational[Waste (tons)],MATCH(Emission8[[#This Row],[Facility ID]],Operational[Facility ID],0))</f>
        <v>37.54</v>
      </c>
    </row>
    <row r="1521" spans="1:9" x14ac:dyDescent="0.3">
      <c r="A1521" t="s">
        <v>180</v>
      </c>
      <c r="B1521" t="s">
        <v>30</v>
      </c>
      <c r="C1521" t="s">
        <v>13</v>
      </c>
      <c r="D1521" t="s">
        <v>14</v>
      </c>
      <c r="E1521" t="s">
        <v>10</v>
      </c>
      <c r="F1521">
        <v>3935.58</v>
      </c>
      <c r="G1521">
        <f>INDEX(Operational[Production Volume (units)],MATCH(Emission8[[#This Row],[Facility ID]],Operational[Facility ID],0))</f>
        <v>72846</v>
      </c>
      <c r="H1521">
        <f>INDEX(Operational[Energy Consumption (MWh)],MATCH(Emission8[[#This Row],[Facility ID]],Operational[Facility ID],0))</f>
        <v>5169.53</v>
      </c>
      <c r="I1521">
        <f>INDEX(Operational[Waste (tons)],MATCH(Emission8[[#This Row],[Facility ID]],Operational[Facility ID],0))</f>
        <v>76.709999999999994</v>
      </c>
    </row>
    <row r="1522" spans="1:9" x14ac:dyDescent="0.3">
      <c r="A1522" t="s">
        <v>209</v>
      </c>
      <c r="B1522" t="s">
        <v>7</v>
      </c>
      <c r="C1522" t="s">
        <v>13</v>
      </c>
      <c r="D1522" t="s">
        <v>9</v>
      </c>
      <c r="E1522" t="s">
        <v>24</v>
      </c>
      <c r="F1522">
        <v>3258.29</v>
      </c>
      <c r="G1522">
        <f>INDEX(Operational[Production Volume (units)],MATCH(Emission8[[#This Row],[Facility ID]],Operational[Facility ID],0))</f>
        <v>52357</v>
      </c>
      <c r="H1522">
        <f>INDEX(Operational[Energy Consumption (MWh)],MATCH(Emission8[[#This Row],[Facility ID]],Operational[Facility ID],0))</f>
        <v>5643.16</v>
      </c>
      <c r="I1522">
        <f>INDEX(Operational[Waste (tons)],MATCH(Emission8[[#This Row],[Facility ID]],Operational[Facility ID],0))</f>
        <v>37.130000000000003</v>
      </c>
    </row>
    <row r="1523" spans="1:9" x14ac:dyDescent="0.3">
      <c r="A1523" t="s">
        <v>174</v>
      </c>
      <c r="B1523" t="s">
        <v>19</v>
      </c>
      <c r="C1523" t="s">
        <v>34</v>
      </c>
      <c r="D1523" t="s">
        <v>14</v>
      </c>
      <c r="E1523" t="s">
        <v>15</v>
      </c>
      <c r="F1523">
        <v>1512.13</v>
      </c>
      <c r="G1523">
        <f>INDEX(Operational[Production Volume (units)],MATCH(Emission8[[#This Row],[Facility ID]],Operational[Facility ID],0))</f>
        <v>66163</v>
      </c>
      <c r="H1523">
        <f>INDEX(Operational[Energy Consumption (MWh)],MATCH(Emission8[[#This Row],[Facility ID]],Operational[Facility ID],0))</f>
        <v>1416.57</v>
      </c>
      <c r="I1523">
        <f>INDEX(Operational[Waste (tons)],MATCH(Emission8[[#This Row],[Facility ID]],Operational[Facility ID],0))</f>
        <v>68.73</v>
      </c>
    </row>
    <row r="1524" spans="1:9" x14ac:dyDescent="0.3">
      <c r="A1524" t="s">
        <v>42</v>
      </c>
      <c r="B1524" t="s">
        <v>30</v>
      </c>
      <c r="C1524" t="s">
        <v>13</v>
      </c>
      <c r="D1524" t="s">
        <v>14</v>
      </c>
      <c r="E1524" t="s">
        <v>10</v>
      </c>
      <c r="F1524">
        <v>245.71</v>
      </c>
      <c r="G1524">
        <f>INDEX(Operational[Production Volume (units)],MATCH(Emission8[[#This Row],[Facility ID]],Operational[Facility ID],0))</f>
        <v>41539</v>
      </c>
      <c r="H1524">
        <f>INDEX(Operational[Energy Consumption (MWh)],MATCH(Emission8[[#This Row],[Facility ID]],Operational[Facility ID],0))</f>
        <v>982.8</v>
      </c>
      <c r="I1524">
        <f>INDEX(Operational[Waste (tons)],MATCH(Emission8[[#This Row],[Facility ID]],Operational[Facility ID],0))</f>
        <v>79.7</v>
      </c>
    </row>
    <row r="1525" spans="1:9" x14ac:dyDescent="0.3">
      <c r="A1525" t="s">
        <v>31</v>
      </c>
      <c r="B1525" t="s">
        <v>30</v>
      </c>
      <c r="C1525" t="s">
        <v>8</v>
      </c>
      <c r="D1525" t="s">
        <v>14</v>
      </c>
      <c r="E1525" t="s">
        <v>24</v>
      </c>
      <c r="F1525">
        <v>3387.13</v>
      </c>
      <c r="G1525">
        <f>INDEX(Operational[Production Volume (units)],MATCH(Emission8[[#This Row],[Facility ID]],Operational[Facility ID],0))</f>
        <v>84851</v>
      </c>
      <c r="H1525">
        <f>INDEX(Operational[Energy Consumption (MWh)],MATCH(Emission8[[#This Row],[Facility ID]],Operational[Facility ID],0))</f>
        <v>560.75</v>
      </c>
      <c r="I1525">
        <f>INDEX(Operational[Waste (tons)],MATCH(Emission8[[#This Row],[Facility ID]],Operational[Facility ID],0))</f>
        <v>80.23</v>
      </c>
    </row>
    <row r="1526" spans="1:9" x14ac:dyDescent="0.3">
      <c r="A1526" t="s">
        <v>77</v>
      </c>
      <c r="B1526" t="s">
        <v>30</v>
      </c>
      <c r="C1526" t="s">
        <v>8</v>
      </c>
      <c r="D1526" t="s">
        <v>28</v>
      </c>
      <c r="E1526" t="s">
        <v>15</v>
      </c>
      <c r="F1526">
        <v>1014.2</v>
      </c>
      <c r="G1526">
        <f>INDEX(Operational[Production Volume (units)],MATCH(Emission8[[#This Row],[Facility ID]],Operational[Facility ID],0))</f>
        <v>61942</v>
      </c>
      <c r="H1526">
        <f>INDEX(Operational[Energy Consumption (MWh)],MATCH(Emission8[[#This Row],[Facility ID]],Operational[Facility ID],0))</f>
        <v>4891.32</v>
      </c>
      <c r="I1526">
        <f>INDEX(Operational[Waste (tons)],MATCH(Emission8[[#This Row],[Facility ID]],Operational[Facility ID],0))</f>
        <v>91.59</v>
      </c>
    </row>
    <row r="1527" spans="1:9" x14ac:dyDescent="0.3">
      <c r="A1527" t="s">
        <v>89</v>
      </c>
      <c r="B1527" t="s">
        <v>17</v>
      </c>
      <c r="C1527" t="s">
        <v>13</v>
      </c>
      <c r="D1527" t="s">
        <v>28</v>
      </c>
      <c r="E1527" t="s">
        <v>10</v>
      </c>
      <c r="F1527">
        <v>269.87</v>
      </c>
      <c r="G1527">
        <f>INDEX(Operational[Production Volume (units)],MATCH(Emission8[[#This Row],[Facility ID]],Operational[Facility ID],0))</f>
        <v>36171</v>
      </c>
      <c r="H1527">
        <f>INDEX(Operational[Energy Consumption (MWh)],MATCH(Emission8[[#This Row],[Facility ID]],Operational[Facility ID],0))</f>
        <v>6864.38</v>
      </c>
      <c r="I1527">
        <f>INDEX(Operational[Waste (tons)],MATCH(Emission8[[#This Row],[Facility ID]],Operational[Facility ID],0))</f>
        <v>37.03</v>
      </c>
    </row>
    <row r="1528" spans="1:9" x14ac:dyDescent="0.3">
      <c r="A1528" t="s">
        <v>161</v>
      </c>
      <c r="B1528" t="s">
        <v>7</v>
      </c>
      <c r="C1528" t="s">
        <v>13</v>
      </c>
      <c r="D1528" t="s">
        <v>14</v>
      </c>
      <c r="E1528" t="s">
        <v>10</v>
      </c>
      <c r="F1528">
        <v>2444.67</v>
      </c>
      <c r="G1528">
        <f>INDEX(Operational[Production Volume (units)],MATCH(Emission8[[#This Row],[Facility ID]],Operational[Facility ID],0))</f>
        <v>15788</v>
      </c>
      <c r="H1528">
        <f>INDEX(Operational[Energy Consumption (MWh)],MATCH(Emission8[[#This Row],[Facility ID]],Operational[Facility ID],0))</f>
        <v>1824.14</v>
      </c>
      <c r="I1528">
        <f>INDEX(Operational[Waste (tons)],MATCH(Emission8[[#This Row],[Facility ID]],Operational[Facility ID],0))</f>
        <v>52.78</v>
      </c>
    </row>
    <row r="1529" spans="1:9" x14ac:dyDescent="0.3">
      <c r="A1529" t="s">
        <v>51</v>
      </c>
      <c r="B1529" t="s">
        <v>30</v>
      </c>
      <c r="C1529" t="s">
        <v>23</v>
      </c>
      <c r="D1529" t="s">
        <v>14</v>
      </c>
      <c r="E1529" t="s">
        <v>10</v>
      </c>
      <c r="F1529">
        <v>1734.64</v>
      </c>
      <c r="G1529">
        <f>INDEX(Operational[Production Volume (units)],MATCH(Emission8[[#This Row],[Facility ID]],Operational[Facility ID],0))</f>
        <v>44164</v>
      </c>
      <c r="H1529">
        <f>INDEX(Operational[Energy Consumption (MWh)],MATCH(Emission8[[#This Row],[Facility ID]],Operational[Facility ID],0))</f>
        <v>3869.32</v>
      </c>
      <c r="I1529">
        <f>INDEX(Operational[Waste (tons)],MATCH(Emission8[[#This Row],[Facility ID]],Operational[Facility ID],0))</f>
        <v>13.81</v>
      </c>
    </row>
    <row r="1530" spans="1:9" x14ac:dyDescent="0.3">
      <c r="A1530" t="s">
        <v>73</v>
      </c>
      <c r="B1530" t="s">
        <v>30</v>
      </c>
      <c r="C1530" t="s">
        <v>34</v>
      </c>
      <c r="D1530" t="s">
        <v>14</v>
      </c>
      <c r="E1530" t="s">
        <v>10</v>
      </c>
      <c r="F1530">
        <v>4948.8500000000004</v>
      </c>
      <c r="G1530">
        <f>INDEX(Operational[Production Volume (units)],MATCH(Emission8[[#This Row],[Facility ID]],Operational[Facility ID],0))</f>
        <v>55974</v>
      </c>
      <c r="H1530">
        <f>INDEX(Operational[Energy Consumption (MWh)],MATCH(Emission8[[#This Row],[Facility ID]],Operational[Facility ID],0))</f>
        <v>7542.28</v>
      </c>
      <c r="I1530">
        <f>INDEX(Operational[Waste (tons)],MATCH(Emission8[[#This Row],[Facility ID]],Operational[Facility ID],0))</f>
        <v>72.430000000000007</v>
      </c>
    </row>
    <row r="1531" spans="1:9" x14ac:dyDescent="0.3">
      <c r="A1531" t="s">
        <v>207</v>
      </c>
      <c r="B1531" t="s">
        <v>17</v>
      </c>
      <c r="C1531" t="s">
        <v>8</v>
      </c>
      <c r="D1531" t="s">
        <v>9</v>
      </c>
      <c r="E1531" t="s">
        <v>15</v>
      </c>
      <c r="F1531">
        <v>2924.78</v>
      </c>
      <c r="G1531">
        <f>INDEX(Operational[Production Volume (units)],MATCH(Emission8[[#This Row],[Facility ID]],Operational[Facility ID],0))</f>
        <v>99115</v>
      </c>
      <c r="H1531">
        <f>INDEX(Operational[Energy Consumption (MWh)],MATCH(Emission8[[#This Row],[Facility ID]],Operational[Facility ID],0))</f>
        <v>827.26</v>
      </c>
      <c r="I1531">
        <f>INDEX(Operational[Waste (tons)],MATCH(Emission8[[#This Row],[Facility ID]],Operational[Facility ID],0))</f>
        <v>28.88</v>
      </c>
    </row>
    <row r="1532" spans="1:9" x14ac:dyDescent="0.3">
      <c r="A1532" t="s">
        <v>147</v>
      </c>
      <c r="B1532" t="s">
        <v>17</v>
      </c>
      <c r="C1532" t="s">
        <v>8</v>
      </c>
      <c r="D1532" t="s">
        <v>14</v>
      </c>
      <c r="E1532" t="s">
        <v>10</v>
      </c>
      <c r="F1532">
        <v>1898.32</v>
      </c>
      <c r="G1532">
        <f>INDEX(Operational[Production Volume (units)],MATCH(Emission8[[#This Row],[Facility ID]],Operational[Facility ID],0))</f>
        <v>24095</v>
      </c>
      <c r="H1532">
        <f>INDEX(Operational[Energy Consumption (MWh)],MATCH(Emission8[[#This Row],[Facility ID]],Operational[Facility ID],0))</f>
        <v>3167.52</v>
      </c>
      <c r="I1532">
        <f>INDEX(Operational[Waste (tons)],MATCH(Emission8[[#This Row],[Facility ID]],Operational[Facility ID],0))</f>
        <v>31.02</v>
      </c>
    </row>
    <row r="1533" spans="1:9" x14ac:dyDescent="0.3">
      <c r="A1533" t="s">
        <v>32</v>
      </c>
      <c r="B1533" t="s">
        <v>7</v>
      </c>
      <c r="C1533" t="s">
        <v>13</v>
      </c>
      <c r="D1533" t="s">
        <v>28</v>
      </c>
      <c r="E1533" t="s">
        <v>15</v>
      </c>
      <c r="F1533">
        <v>1296.76</v>
      </c>
      <c r="G1533">
        <f>INDEX(Operational[Production Volume (units)],MATCH(Emission8[[#This Row],[Facility ID]],Operational[Facility ID],0))</f>
        <v>10933</v>
      </c>
      <c r="H1533">
        <f>INDEX(Operational[Energy Consumption (MWh)],MATCH(Emission8[[#This Row],[Facility ID]],Operational[Facility ID],0))</f>
        <v>9004.3700000000008</v>
      </c>
      <c r="I1533">
        <f>INDEX(Operational[Waste (tons)],MATCH(Emission8[[#This Row],[Facility ID]],Operational[Facility ID],0))</f>
        <v>26.84</v>
      </c>
    </row>
    <row r="1534" spans="1:9" x14ac:dyDescent="0.3">
      <c r="A1534" t="s">
        <v>75</v>
      </c>
      <c r="B1534" t="s">
        <v>19</v>
      </c>
      <c r="C1534" t="s">
        <v>23</v>
      </c>
      <c r="D1534" t="s">
        <v>14</v>
      </c>
      <c r="E1534" t="s">
        <v>24</v>
      </c>
      <c r="F1534">
        <v>1414.37</v>
      </c>
      <c r="G1534">
        <f>INDEX(Operational[Production Volume (units)],MATCH(Emission8[[#This Row],[Facility ID]],Operational[Facility ID],0))</f>
        <v>54136</v>
      </c>
      <c r="H1534">
        <f>INDEX(Operational[Energy Consumption (MWh)],MATCH(Emission8[[#This Row],[Facility ID]],Operational[Facility ID],0))</f>
        <v>2775.38</v>
      </c>
      <c r="I1534">
        <f>INDEX(Operational[Waste (tons)],MATCH(Emission8[[#This Row],[Facility ID]],Operational[Facility ID],0))</f>
        <v>75.459999999999994</v>
      </c>
    </row>
    <row r="1535" spans="1:9" x14ac:dyDescent="0.3">
      <c r="A1535" t="s">
        <v>117</v>
      </c>
      <c r="B1535" t="s">
        <v>7</v>
      </c>
      <c r="C1535" t="s">
        <v>34</v>
      </c>
      <c r="D1535" t="s">
        <v>9</v>
      </c>
      <c r="E1535" t="s">
        <v>15</v>
      </c>
      <c r="F1535">
        <v>4136.07</v>
      </c>
      <c r="G1535">
        <f>INDEX(Operational[Production Volume (units)],MATCH(Emission8[[#This Row],[Facility ID]],Operational[Facility ID],0))</f>
        <v>89321</v>
      </c>
      <c r="H1535">
        <f>INDEX(Operational[Energy Consumption (MWh)],MATCH(Emission8[[#This Row],[Facility ID]],Operational[Facility ID],0))</f>
        <v>9836.34</v>
      </c>
      <c r="I1535">
        <f>INDEX(Operational[Waste (tons)],MATCH(Emission8[[#This Row],[Facility ID]],Operational[Facility ID],0))</f>
        <v>16.989999999999998</v>
      </c>
    </row>
    <row r="1536" spans="1:9" x14ac:dyDescent="0.3">
      <c r="A1536" t="s">
        <v>88</v>
      </c>
      <c r="B1536" t="s">
        <v>7</v>
      </c>
      <c r="C1536" t="s">
        <v>23</v>
      </c>
      <c r="D1536" t="s">
        <v>28</v>
      </c>
      <c r="E1536" t="s">
        <v>24</v>
      </c>
      <c r="F1536">
        <v>3952.36</v>
      </c>
      <c r="G1536">
        <f>INDEX(Operational[Production Volume (units)],MATCH(Emission8[[#This Row],[Facility ID]],Operational[Facility ID],0))</f>
        <v>44825</v>
      </c>
      <c r="H1536">
        <f>INDEX(Operational[Energy Consumption (MWh)],MATCH(Emission8[[#This Row],[Facility ID]],Operational[Facility ID],0))</f>
        <v>6023.03</v>
      </c>
      <c r="I1536">
        <f>INDEX(Operational[Waste (tons)],MATCH(Emission8[[#This Row],[Facility ID]],Operational[Facility ID],0))</f>
        <v>27.2</v>
      </c>
    </row>
    <row r="1537" spans="1:9" x14ac:dyDescent="0.3">
      <c r="A1537" t="s">
        <v>193</v>
      </c>
      <c r="B1537" t="s">
        <v>12</v>
      </c>
      <c r="C1537" t="s">
        <v>34</v>
      </c>
      <c r="D1537" t="s">
        <v>14</v>
      </c>
      <c r="E1537" t="s">
        <v>10</v>
      </c>
      <c r="F1537">
        <v>4563.3599999999997</v>
      </c>
      <c r="G1537">
        <f>INDEX(Operational[Production Volume (units)],MATCH(Emission8[[#This Row],[Facility ID]],Operational[Facility ID],0))</f>
        <v>13333</v>
      </c>
      <c r="H1537">
        <f>INDEX(Operational[Energy Consumption (MWh)],MATCH(Emission8[[#This Row],[Facility ID]],Operational[Facility ID],0))</f>
        <v>6102.15</v>
      </c>
      <c r="I1537">
        <f>INDEX(Operational[Waste (tons)],MATCH(Emission8[[#This Row],[Facility ID]],Operational[Facility ID],0))</f>
        <v>17.670000000000002</v>
      </c>
    </row>
    <row r="1538" spans="1:9" x14ac:dyDescent="0.3">
      <c r="A1538" t="s">
        <v>37</v>
      </c>
      <c r="B1538" t="s">
        <v>17</v>
      </c>
      <c r="C1538" t="s">
        <v>23</v>
      </c>
      <c r="D1538" t="s">
        <v>9</v>
      </c>
      <c r="E1538" t="s">
        <v>15</v>
      </c>
      <c r="F1538">
        <v>2084.5700000000002</v>
      </c>
      <c r="G1538">
        <f>INDEX(Operational[Production Volume (units)],MATCH(Emission8[[#This Row],[Facility ID]],Operational[Facility ID],0))</f>
        <v>71747</v>
      </c>
      <c r="H1538">
        <f>INDEX(Operational[Energy Consumption (MWh)],MATCH(Emission8[[#This Row],[Facility ID]],Operational[Facility ID],0))</f>
        <v>9838.66</v>
      </c>
      <c r="I1538">
        <f>INDEX(Operational[Waste (tons)],MATCH(Emission8[[#This Row],[Facility ID]],Operational[Facility ID],0))</f>
        <v>7.25</v>
      </c>
    </row>
    <row r="1539" spans="1:9" x14ac:dyDescent="0.3">
      <c r="A1539" t="s">
        <v>214</v>
      </c>
      <c r="B1539" t="s">
        <v>30</v>
      </c>
      <c r="C1539" t="s">
        <v>34</v>
      </c>
      <c r="D1539" t="s">
        <v>14</v>
      </c>
      <c r="E1539" t="s">
        <v>10</v>
      </c>
      <c r="F1539">
        <v>4081.51</v>
      </c>
      <c r="G1539">
        <f>INDEX(Operational[Production Volume (units)],MATCH(Emission8[[#This Row],[Facility ID]],Operational[Facility ID],0))</f>
        <v>79330</v>
      </c>
      <c r="H1539">
        <f>INDEX(Operational[Energy Consumption (MWh)],MATCH(Emission8[[#This Row],[Facility ID]],Operational[Facility ID],0))</f>
        <v>6075.23</v>
      </c>
      <c r="I1539">
        <f>INDEX(Operational[Waste (tons)],MATCH(Emission8[[#This Row],[Facility ID]],Operational[Facility ID],0))</f>
        <v>83.97</v>
      </c>
    </row>
    <row r="1540" spans="1:9" x14ac:dyDescent="0.3">
      <c r="A1540" t="s">
        <v>196</v>
      </c>
      <c r="B1540" t="s">
        <v>30</v>
      </c>
      <c r="C1540" t="s">
        <v>13</v>
      </c>
      <c r="D1540" t="s">
        <v>28</v>
      </c>
      <c r="E1540" t="s">
        <v>15</v>
      </c>
      <c r="F1540">
        <v>4483.63</v>
      </c>
      <c r="G1540">
        <f>INDEX(Operational[Production Volume (units)],MATCH(Emission8[[#This Row],[Facility ID]],Operational[Facility ID],0))</f>
        <v>12262</v>
      </c>
      <c r="H1540">
        <f>INDEX(Operational[Energy Consumption (MWh)],MATCH(Emission8[[#This Row],[Facility ID]],Operational[Facility ID],0))</f>
        <v>7106.18</v>
      </c>
      <c r="I1540">
        <f>INDEX(Operational[Waste (tons)],MATCH(Emission8[[#This Row],[Facility ID]],Operational[Facility ID],0))</f>
        <v>45.69</v>
      </c>
    </row>
    <row r="1541" spans="1:9" x14ac:dyDescent="0.3">
      <c r="A1541" t="s">
        <v>86</v>
      </c>
      <c r="B1541" t="s">
        <v>19</v>
      </c>
      <c r="C1541" t="s">
        <v>34</v>
      </c>
      <c r="D1541" t="s">
        <v>14</v>
      </c>
      <c r="E1541" t="s">
        <v>24</v>
      </c>
      <c r="F1541">
        <v>3368.54</v>
      </c>
      <c r="G1541">
        <f>INDEX(Operational[Production Volume (units)],MATCH(Emission8[[#This Row],[Facility ID]],Operational[Facility ID],0))</f>
        <v>56531</v>
      </c>
      <c r="H1541">
        <f>INDEX(Operational[Energy Consumption (MWh)],MATCH(Emission8[[#This Row],[Facility ID]],Operational[Facility ID],0))</f>
        <v>8958.07</v>
      </c>
      <c r="I1541">
        <f>INDEX(Operational[Waste (tons)],MATCH(Emission8[[#This Row],[Facility ID]],Operational[Facility ID],0))</f>
        <v>83.44</v>
      </c>
    </row>
    <row r="1542" spans="1:9" x14ac:dyDescent="0.3">
      <c r="A1542" t="s">
        <v>202</v>
      </c>
      <c r="B1542" t="s">
        <v>12</v>
      </c>
      <c r="C1542" t="s">
        <v>13</v>
      </c>
      <c r="D1542" t="s">
        <v>14</v>
      </c>
      <c r="E1542" t="s">
        <v>24</v>
      </c>
      <c r="F1542">
        <v>82.35</v>
      </c>
      <c r="G1542">
        <f>INDEX(Operational[Production Volume (units)],MATCH(Emission8[[#This Row],[Facility ID]],Operational[Facility ID],0))</f>
        <v>28400</v>
      </c>
      <c r="H1542">
        <f>INDEX(Operational[Energy Consumption (MWh)],MATCH(Emission8[[#This Row],[Facility ID]],Operational[Facility ID],0))</f>
        <v>3056.67</v>
      </c>
      <c r="I1542">
        <f>INDEX(Operational[Waste (tons)],MATCH(Emission8[[#This Row],[Facility ID]],Operational[Facility ID],0))</f>
        <v>52.68</v>
      </c>
    </row>
    <row r="1543" spans="1:9" x14ac:dyDescent="0.3">
      <c r="A1543" t="s">
        <v>171</v>
      </c>
      <c r="B1543" t="s">
        <v>17</v>
      </c>
      <c r="C1543" t="s">
        <v>34</v>
      </c>
      <c r="D1543" t="s">
        <v>28</v>
      </c>
      <c r="E1543" t="s">
        <v>15</v>
      </c>
      <c r="F1543">
        <v>4175.62</v>
      </c>
      <c r="G1543">
        <f>INDEX(Operational[Production Volume (units)],MATCH(Emission8[[#This Row],[Facility ID]],Operational[Facility ID],0))</f>
        <v>24502</v>
      </c>
      <c r="H1543">
        <f>INDEX(Operational[Energy Consumption (MWh)],MATCH(Emission8[[#This Row],[Facility ID]],Operational[Facility ID],0))</f>
        <v>7466.86</v>
      </c>
      <c r="I1543">
        <f>INDEX(Operational[Waste (tons)],MATCH(Emission8[[#This Row],[Facility ID]],Operational[Facility ID],0))</f>
        <v>88.83</v>
      </c>
    </row>
    <row r="1544" spans="1:9" x14ac:dyDescent="0.3">
      <c r="A1544" t="s">
        <v>122</v>
      </c>
      <c r="B1544" t="s">
        <v>19</v>
      </c>
      <c r="C1544" t="s">
        <v>34</v>
      </c>
      <c r="D1544" t="s">
        <v>14</v>
      </c>
      <c r="E1544" t="s">
        <v>10</v>
      </c>
      <c r="F1544">
        <v>1796.14</v>
      </c>
      <c r="G1544">
        <f>INDEX(Operational[Production Volume (units)],MATCH(Emission8[[#This Row],[Facility ID]],Operational[Facility ID],0))</f>
        <v>95962</v>
      </c>
      <c r="H1544">
        <f>INDEX(Operational[Energy Consumption (MWh)],MATCH(Emission8[[#This Row],[Facility ID]],Operational[Facility ID],0))</f>
        <v>524.72</v>
      </c>
      <c r="I1544">
        <f>INDEX(Operational[Waste (tons)],MATCH(Emission8[[#This Row],[Facility ID]],Operational[Facility ID],0))</f>
        <v>49.55</v>
      </c>
    </row>
    <row r="1545" spans="1:9" x14ac:dyDescent="0.3">
      <c r="A1545" t="s">
        <v>80</v>
      </c>
      <c r="B1545" t="s">
        <v>17</v>
      </c>
      <c r="C1545" t="s">
        <v>34</v>
      </c>
      <c r="D1545" t="s">
        <v>28</v>
      </c>
      <c r="E1545" t="s">
        <v>15</v>
      </c>
      <c r="F1545">
        <v>3373.26</v>
      </c>
      <c r="G1545">
        <f>INDEX(Operational[Production Volume (units)],MATCH(Emission8[[#This Row],[Facility ID]],Operational[Facility ID],0))</f>
        <v>75508</v>
      </c>
      <c r="H1545">
        <f>INDEX(Operational[Energy Consumption (MWh)],MATCH(Emission8[[#This Row],[Facility ID]],Operational[Facility ID],0))</f>
        <v>6856.22</v>
      </c>
      <c r="I1545">
        <f>INDEX(Operational[Waste (tons)],MATCH(Emission8[[#This Row],[Facility ID]],Operational[Facility ID],0))</f>
        <v>18.2</v>
      </c>
    </row>
    <row r="1546" spans="1:9" x14ac:dyDescent="0.3">
      <c r="A1546" t="s">
        <v>88</v>
      </c>
      <c r="B1546" t="s">
        <v>7</v>
      </c>
      <c r="C1546" t="s">
        <v>13</v>
      </c>
      <c r="D1546" t="s">
        <v>14</v>
      </c>
      <c r="E1546" t="s">
        <v>24</v>
      </c>
      <c r="F1546">
        <v>3051.55</v>
      </c>
      <c r="G1546">
        <f>INDEX(Operational[Production Volume (units)],MATCH(Emission8[[#This Row],[Facility ID]],Operational[Facility ID],0))</f>
        <v>44825</v>
      </c>
      <c r="H1546">
        <f>INDEX(Operational[Energy Consumption (MWh)],MATCH(Emission8[[#This Row],[Facility ID]],Operational[Facility ID],0))</f>
        <v>6023.03</v>
      </c>
      <c r="I1546">
        <f>INDEX(Operational[Waste (tons)],MATCH(Emission8[[#This Row],[Facility ID]],Operational[Facility ID],0))</f>
        <v>27.2</v>
      </c>
    </row>
    <row r="1547" spans="1:9" x14ac:dyDescent="0.3">
      <c r="A1547" t="s">
        <v>115</v>
      </c>
      <c r="B1547" t="s">
        <v>19</v>
      </c>
      <c r="C1547" t="s">
        <v>8</v>
      </c>
      <c r="D1547" t="s">
        <v>28</v>
      </c>
      <c r="E1547" t="s">
        <v>15</v>
      </c>
      <c r="F1547">
        <v>3770.37</v>
      </c>
      <c r="G1547">
        <f>INDEX(Operational[Production Volume (units)],MATCH(Emission8[[#This Row],[Facility ID]],Operational[Facility ID],0))</f>
        <v>17162</v>
      </c>
      <c r="H1547">
        <f>INDEX(Operational[Energy Consumption (MWh)],MATCH(Emission8[[#This Row],[Facility ID]],Operational[Facility ID],0))</f>
        <v>5079.95</v>
      </c>
      <c r="I1547">
        <f>INDEX(Operational[Waste (tons)],MATCH(Emission8[[#This Row],[Facility ID]],Operational[Facility ID],0))</f>
        <v>19.239999999999998</v>
      </c>
    </row>
    <row r="1548" spans="1:9" x14ac:dyDescent="0.3">
      <c r="A1548" t="s">
        <v>150</v>
      </c>
      <c r="B1548" t="s">
        <v>30</v>
      </c>
      <c r="C1548" t="s">
        <v>34</v>
      </c>
      <c r="D1548" t="s">
        <v>28</v>
      </c>
      <c r="E1548" t="s">
        <v>15</v>
      </c>
      <c r="F1548">
        <v>3887.64</v>
      </c>
      <c r="G1548">
        <f>INDEX(Operational[Production Volume (units)],MATCH(Emission8[[#This Row],[Facility ID]],Operational[Facility ID],0))</f>
        <v>98356</v>
      </c>
      <c r="H1548">
        <f>INDEX(Operational[Energy Consumption (MWh)],MATCH(Emission8[[#This Row],[Facility ID]],Operational[Facility ID],0))</f>
        <v>6968.69</v>
      </c>
      <c r="I1548">
        <f>INDEX(Operational[Waste (tons)],MATCH(Emission8[[#This Row],[Facility ID]],Operational[Facility ID],0))</f>
        <v>81.72</v>
      </c>
    </row>
    <row r="1549" spans="1:9" x14ac:dyDescent="0.3">
      <c r="A1549" t="s">
        <v>182</v>
      </c>
      <c r="B1549" t="s">
        <v>12</v>
      </c>
      <c r="C1549" t="s">
        <v>8</v>
      </c>
      <c r="D1549" t="s">
        <v>14</v>
      </c>
      <c r="E1549" t="s">
        <v>10</v>
      </c>
      <c r="F1549">
        <v>4523.25</v>
      </c>
      <c r="G1549">
        <f>INDEX(Operational[Production Volume (units)],MATCH(Emission8[[#This Row],[Facility ID]],Operational[Facility ID],0))</f>
        <v>21081</v>
      </c>
      <c r="H1549">
        <f>INDEX(Operational[Energy Consumption (MWh)],MATCH(Emission8[[#This Row],[Facility ID]],Operational[Facility ID],0))</f>
        <v>9001.77</v>
      </c>
      <c r="I1549">
        <f>INDEX(Operational[Waste (tons)],MATCH(Emission8[[#This Row],[Facility ID]],Operational[Facility ID],0))</f>
        <v>49.27</v>
      </c>
    </row>
    <row r="1550" spans="1:9" x14ac:dyDescent="0.3">
      <c r="A1550" t="s">
        <v>61</v>
      </c>
      <c r="B1550" t="s">
        <v>30</v>
      </c>
      <c r="C1550" t="s">
        <v>23</v>
      </c>
      <c r="D1550" t="s">
        <v>28</v>
      </c>
      <c r="E1550" t="s">
        <v>15</v>
      </c>
      <c r="F1550">
        <v>4229.33</v>
      </c>
      <c r="G1550">
        <f>INDEX(Operational[Production Volume (units)],MATCH(Emission8[[#This Row],[Facility ID]],Operational[Facility ID],0))</f>
        <v>95718</v>
      </c>
      <c r="H1550">
        <f>INDEX(Operational[Energy Consumption (MWh)],MATCH(Emission8[[#This Row],[Facility ID]],Operational[Facility ID],0))</f>
        <v>2443.12</v>
      </c>
      <c r="I1550">
        <f>INDEX(Operational[Waste (tons)],MATCH(Emission8[[#This Row],[Facility ID]],Operational[Facility ID],0))</f>
        <v>35.49</v>
      </c>
    </row>
    <row r="1551" spans="1:9" x14ac:dyDescent="0.3">
      <c r="A1551" t="s">
        <v>211</v>
      </c>
      <c r="B1551" t="s">
        <v>7</v>
      </c>
      <c r="C1551" t="s">
        <v>23</v>
      </c>
      <c r="D1551" t="s">
        <v>14</v>
      </c>
      <c r="E1551" t="s">
        <v>24</v>
      </c>
      <c r="F1551">
        <v>1909.18</v>
      </c>
      <c r="G1551">
        <f>INDEX(Operational[Production Volume (units)],MATCH(Emission8[[#This Row],[Facility ID]],Operational[Facility ID],0))</f>
        <v>27028</v>
      </c>
      <c r="H1551">
        <f>INDEX(Operational[Energy Consumption (MWh)],MATCH(Emission8[[#This Row],[Facility ID]],Operational[Facility ID],0))</f>
        <v>4617.92</v>
      </c>
      <c r="I1551">
        <f>INDEX(Operational[Waste (tons)],MATCH(Emission8[[#This Row],[Facility ID]],Operational[Facility ID],0))</f>
        <v>57.62</v>
      </c>
    </row>
    <row r="1552" spans="1:9" x14ac:dyDescent="0.3">
      <c r="A1552" t="s">
        <v>195</v>
      </c>
      <c r="B1552" t="s">
        <v>7</v>
      </c>
      <c r="C1552" t="s">
        <v>13</v>
      </c>
      <c r="D1552" t="s">
        <v>14</v>
      </c>
      <c r="E1552" t="s">
        <v>24</v>
      </c>
      <c r="F1552">
        <v>1689.24</v>
      </c>
      <c r="G1552">
        <f>INDEX(Operational[Production Volume (units)],MATCH(Emission8[[#This Row],[Facility ID]],Operational[Facility ID],0))</f>
        <v>68278</v>
      </c>
      <c r="H1552">
        <f>INDEX(Operational[Energy Consumption (MWh)],MATCH(Emission8[[#This Row],[Facility ID]],Operational[Facility ID],0))</f>
        <v>3272.65</v>
      </c>
      <c r="I1552">
        <f>INDEX(Operational[Waste (tons)],MATCH(Emission8[[#This Row],[Facility ID]],Operational[Facility ID],0))</f>
        <v>30.47</v>
      </c>
    </row>
    <row r="1553" spans="1:9" x14ac:dyDescent="0.3">
      <c r="A1553" t="s">
        <v>90</v>
      </c>
      <c r="B1553" t="s">
        <v>19</v>
      </c>
      <c r="C1553" t="s">
        <v>13</v>
      </c>
      <c r="D1553" t="s">
        <v>14</v>
      </c>
      <c r="E1553" t="s">
        <v>24</v>
      </c>
      <c r="F1553">
        <v>1270.1199999999999</v>
      </c>
      <c r="G1553">
        <f>INDEX(Operational[Production Volume (units)],MATCH(Emission8[[#This Row],[Facility ID]],Operational[Facility ID],0))</f>
        <v>97337</v>
      </c>
      <c r="H1553">
        <f>INDEX(Operational[Energy Consumption (MWh)],MATCH(Emission8[[#This Row],[Facility ID]],Operational[Facility ID],0))</f>
        <v>3362.06</v>
      </c>
      <c r="I1553">
        <f>INDEX(Operational[Waste (tons)],MATCH(Emission8[[#This Row],[Facility ID]],Operational[Facility ID],0))</f>
        <v>55.46</v>
      </c>
    </row>
    <row r="1554" spans="1:9" x14ac:dyDescent="0.3">
      <c r="A1554" t="s">
        <v>64</v>
      </c>
      <c r="B1554" t="s">
        <v>30</v>
      </c>
      <c r="C1554" t="s">
        <v>8</v>
      </c>
      <c r="D1554" t="s">
        <v>9</v>
      </c>
      <c r="E1554" t="s">
        <v>15</v>
      </c>
      <c r="F1554">
        <v>1816.03</v>
      </c>
      <c r="G1554">
        <f>INDEX(Operational[Production Volume (units)],MATCH(Emission8[[#This Row],[Facility ID]],Operational[Facility ID],0))</f>
        <v>52836</v>
      </c>
      <c r="H1554">
        <f>INDEX(Operational[Energy Consumption (MWh)],MATCH(Emission8[[#This Row],[Facility ID]],Operational[Facility ID],0))</f>
        <v>9330.2999999999993</v>
      </c>
      <c r="I1554">
        <f>INDEX(Operational[Waste (tons)],MATCH(Emission8[[#This Row],[Facility ID]],Operational[Facility ID],0))</f>
        <v>87.27</v>
      </c>
    </row>
    <row r="1555" spans="1:9" x14ac:dyDescent="0.3">
      <c r="A1555" t="s">
        <v>148</v>
      </c>
      <c r="B1555" t="s">
        <v>17</v>
      </c>
      <c r="C1555" t="s">
        <v>34</v>
      </c>
      <c r="D1555" t="s">
        <v>14</v>
      </c>
      <c r="E1555" t="s">
        <v>15</v>
      </c>
      <c r="F1555">
        <v>1943.87</v>
      </c>
      <c r="G1555">
        <f>INDEX(Operational[Production Volume (units)],MATCH(Emission8[[#This Row],[Facility ID]],Operational[Facility ID],0))</f>
        <v>44994</v>
      </c>
      <c r="H1555">
        <f>INDEX(Operational[Energy Consumption (MWh)],MATCH(Emission8[[#This Row],[Facility ID]],Operational[Facility ID],0))</f>
        <v>7305.59</v>
      </c>
      <c r="I1555">
        <f>INDEX(Operational[Waste (tons)],MATCH(Emission8[[#This Row],[Facility ID]],Operational[Facility ID],0))</f>
        <v>91.53</v>
      </c>
    </row>
    <row r="1556" spans="1:9" x14ac:dyDescent="0.3">
      <c r="A1556" t="s">
        <v>154</v>
      </c>
      <c r="B1556" t="s">
        <v>12</v>
      </c>
      <c r="C1556" t="s">
        <v>8</v>
      </c>
      <c r="D1556" t="s">
        <v>28</v>
      </c>
      <c r="E1556" t="s">
        <v>15</v>
      </c>
      <c r="F1556">
        <v>2832.16</v>
      </c>
      <c r="G1556">
        <f>INDEX(Operational[Production Volume (units)],MATCH(Emission8[[#This Row],[Facility ID]],Operational[Facility ID],0))</f>
        <v>87012</v>
      </c>
      <c r="H1556">
        <f>INDEX(Operational[Energy Consumption (MWh)],MATCH(Emission8[[#This Row],[Facility ID]],Operational[Facility ID],0))</f>
        <v>7478.13</v>
      </c>
      <c r="I1556">
        <f>INDEX(Operational[Waste (tons)],MATCH(Emission8[[#This Row],[Facility ID]],Operational[Facility ID],0))</f>
        <v>27.22</v>
      </c>
    </row>
    <row r="1557" spans="1:9" x14ac:dyDescent="0.3">
      <c r="A1557" t="s">
        <v>219</v>
      </c>
      <c r="B1557" t="s">
        <v>12</v>
      </c>
      <c r="C1557" t="s">
        <v>13</v>
      </c>
      <c r="D1557" t="s">
        <v>28</v>
      </c>
      <c r="E1557" t="s">
        <v>10</v>
      </c>
      <c r="F1557">
        <v>4684.57</v>
      </c>
      <c r="G1557">
        <f>INDEX(Operational[Production Volume (units)],MATCH(Emission8[[#This Row],[Facility ID]],Operational[Facility ID],0))</f>
        <v>84524</v>
      </c>
      <c r="H1557">
        <f>INDEX(Operational[Energy Consumption (MWh)],MATCH(Emission8[[#This Row],[Facility ID]],Operational[Facility ID],0))</f>
        <v>9350.11</v>
      </c>
      <c r="I1557">
        <f>INDEX(Operational[Waste (tons)],MATCH(Emission8[[#This Row],[Facility ID]],Operational[Facility ID],0))</f>
        <v>27.53</v>
      </c>
    </row>
    <row r="1558" spans="1:9" x14ac:dyDescent="0.3">
      <c r="A1558" t="s">
        <v>25</v>
      </c>
      <c r="B1558" t="s">
        <v>19</v>
      </c>
      <c r="C1558" t="s">
        <v>8</v>
      </c>
      <c r="D1558" t="s">
        <v>9</v>
      </c>
      <c r="E1558" t="s">
        <v>10</v>
      </c>
      <c r="F1558">
        <v>785.42</v>
      </c>
      <c r="G1558">
        <f>INDEX(Operational[Production Volume (units)],MATCH(Emission8[[#This Row],[Facility ID]],Operational[Facility ID],0))</f>
        <v>95306</v>
      </c>
      <c r="H1558">
        <f>INDEX(Operational[Energy Consumption (MWh)],MATCH(Emission8[[#This Row],[Facility ID]],Operational[Facility ID],0))</f>
        <v>9037.76</v>
      </c>
      <c r="I1558">
        <f>INDEX(Operational[Waste (tons)],MATCH(Emission8[[#This Row],[Facility ID]],Operational[Facility ID],0))</f>
        <v>13.35</v>
      </c>
    </row>
    <row r="1559" spans="1:9" x14ac:dyDescent="0.3">
      <c r="A1559" t="s">
        <v>139</v>
      </c>
      <c r="B1559" t="s">
        <v>7</v>
      </c>
      <c r="C1559" t="s">
        <v>8</v>
      </c>
      <c r="D1559" t="s">
        <v>9</v>
      </c>
      <c r="E1559" t="s">
        <v>24</v>
      </c>
      <c r="F1559">
        <v>828.31</v>
      </c>
      <c r="G1559">
        <f>INDEX(Operational[Production Volume (units)],MATCH(Emission8[[#This Row],[Facility ID]],Operational[Facility ID],0))</f>
        <v>10067</v>
      </c>
      <c r="H1559">
        <f>INDEX(Operational[Energy Consumption (MWh)],MATCH(Emission8[[#This Row],[Facility ID]],Operational[Facility ID],0))</f>
        <v>1953.33</v>
      </c>
      <c r="I1559">
        <f>INDEX(Operational[Waste (tons)],MATCH(Emission8[[#This Row],[Facility ID]],Operational[Facility ID],0))</f>
        <v>25.15</v>
      </c>
    </row>
    <row r="1560" spans="1:9" x14ac:dyDescent="0.3">
      <c r="A1560" t="s">
        <v>219</v>
      </c>
      <c r="B1560" t="s">
        <v>12</v>
      </c>
      <c r="C1560" t="s">
        <v>8</v>
      </c>
      <c r="D1560" t="s">
        <v>14</v>
      </c>
      <c r="E1560" t="s">
        <v>10</v>
      </c>
      <c r="F1560">
        <v>4960.6099999999997</v>
      </c>
      <c r="G1560">
        <f>INDEX(Operational[Production Volume (units)],MATCH(Emission8[[#This Row],[Facility ID]],Operational[Facility ID],0))</f>
        <v>84524</v>
      </c>
      <c r="H1560">
        <f>INDEX(Operational[Energy Consumption (MWh)],MATCH(Emission8[[#This Row],[Facility ID]],Operational[Facility ID],0))</f>
        <v>9350.11</v>
      </c>
      <c r="I1560">
        <f>INDEX(Operational[Waste (tons)],MATCH(Emission8[[#This Row],[Facility ID]],Operational[Facility ID],0))</f>
        <v>27.53</v>
      </c>
    </row>
    <row r="1561" spans="1:9" x14ac:dyDescent="0.3">
      <c r="A1561" t="s">
        <v>190</v>
      </c>
      <c r="B1561" t="s">
        <v>17</v>
      </c>
      <c r="C1561" t="s">
        <v>13</v>
      </c>
      <c r="D1561" t="s">
        <v>28</v>
      </c>
      <c r="E1561" t="s">
        <v>10</v>
      </c>
      <c r="F1561">
        <v>4377.79</v>
      </c>
      <c r="G1561">
        <f>INDEX(Operational[Production Volume (units)],MATCH(Emission8[[#This Row],[Facility ID]],Operational[Facility ID],0))</f>
        <v>41953</v>
      </c>
      <c r="H1561">
        <f>INDEX(Operational[Energy Consumption (MWh)],MATCH(Emission8[[#This Row],[Facility ID]],Operational[Facility ID],0))</f>
        <v>2379.14</v>
      </c>
      <c r="I1561">
        <f>INDEX(Operational[Waste (tons)],MATCH(Emission8[[#This Row],[Facility ID]],Operational[Facility ID],0))</f>
        <v>65.67</v>
      </c>
    </row>
    <row r="1562" spans="1:9" x14ac:dyDescent="0.3">
      <c r="A1562" t="s">
        <v>91</v>
      </c>
      <c r="B1562" t="s">
        <v>30</v>
      </c>
      <c r="C1562" t="s">
        <v>13</v>
      </c>
      <c r="D1562" t="s">
        <v>9</v>
      </c>
      <c r="E1562" t="s">
        <v>15</v>
      </c>
      <c r="F1562">
        <v>2535.3000000000002</v>
      </c>
      <c r="G1562">
        <f>INDEX(Operational[Production Volume (units)],MATCH(Emission8[[#This Row],[Facility ID]],Operational[Facility ID],0))</f>
        <v>20207</v>
      </c>
      <c r="H1562">
        <f>INDEX(Operational[Energy Consumption (MWh)],MATCH(Emission8[[#This Row],[Facility ID]],Operational[Facility ID],0))</f>
        <v>5369.46</v>
      </c>
      <c r="I1562">
        <f>INDEX(Operational[Waste (tons)],MATCH(Emission8[[#This Row],[Facility ID]],Operational[Facility ID],0))</f>
        <v>57.51</v>
      </c>
    </row>
    <row r="1563" spans="1:9" x14ac:dyDescent="0.3">
      <c r="A1563" t="s">
        <v>85</v>
      </c>
      <c r="B1563" t="s">
        <v>30</v>
      </c>
      <c r="C1563" t="s">
        <v>23</v>
      </c>
      <c r="D1563" t="s">
        <v>14</v>
      </c>
      <c r="E1563" t="s">
        <v>10</v>
      </c>
      <c r="F1563">
        <v>2251.6</v>
      </c>
      <c r="G1563">
        <f>INDEX(Operational[Production Volume (units)],MATCH(Emission8[[#This Row],[Facility ID]],Operational[Facility ID],0))</f>
        <v>45519</v>
      </c>
      <c r="H1563">
        <f>INDEX(Operational[Energy Consumption (MWh)],MATCH(Emission8[[#This Row],[Facility ID]],Operational[Facility ID],0))</f>
        <v>7987.69</v>
      </c>
      <c r="I1563">
        <f>INDEX(Operational[Waste (tons)],MATCH(Emission8[[#This Row],[Facility ID]],Operational[Facility ID],0))</f>
        <v>10.86</v>
      </c>
    </row>
    <row r="1564" spans="1:9" x14ac:dyDescent="0.3">
      <c r="A1564" t="s">
        <v>175</v>
      </c>
      <c r="B1564" t="s">
        <v>7</v>
      </c>
      <c r="C1564" t="s">
        <v>8</v>
      </c>
      <c r="D1564" t="s">
        <v>9</v>
      </c>
      <c r="E1564" t="s">
        <v>24</v>
      </c>
      <c r="F1564">
        <v>733.13</v>
      </c>
      <c r="G1564">
        <f>INDEX(Operational[Production Volume (units)],MATCH(Emission8[[#This Row],[Facility ID]],Operational[Facility ID],0))</f>
        <v>83923</v>
      </c>
      <c r="H1564">
        <f>INDEX(Operational[Energy Consumption (MWh)],MATCH(Emission8[[#This Row],[Facility ID]],Operational[Facility ID],0))</f>
        <v>8768.7999999999993</v>
      </c>
      <c r="I1564">
        <f>INDEX(Operational[Waste (tons)],MATCH(Emission8[[#This Row],[Facility ID]],Operational[Facility ID],0))</f>
        <v>65.290000000000006</v>
      </c>
    </row>
    <row r="1565" spans="1:9" x14ac:dyDescent="0.3">
      <c r="A1565" t="s">
        <v>212</v>
      </c>
      <c r="B1565" t="s">
        <v>7</v>
      </c>
      <c r="C1565" t="s">
        <v>8</v>
      </c>
      <c r="D1565" t="s">
        <v>28</v>
      </c>
      <c r="E1565" t="s">
        <v>15</v>
      </c>
      <c r="F1565">
        <v>1054.48</v>
      </c>
      <c r="G1565">
        <f>INDEX(Operational[Production Volume (units)],MATCH(Emission8[[#This Row],[Facility ID]],Operational[Facility ID],0))</f>
        <v>67820</v>
      </c>
      <c r="H1565">
        <f>INDEX(Operational[Energy Consumption (MWh)],MATCH(Emission8[[#This Row],[Facility ID]],Operational[Facility ID],0))</f>
        <v>8177.95</v>
      </c>
      <c r="I1565">
        <f>INDEX(Operational[Waste (tons)],MATCH(Emission8[[#This Row],[Facility ID]],Operational[Facility ID],0))</f>
        <v>40.69</v>
      </c>
    </row>
    <row r="1566" spans="1:9" x14ac:dyDescent="0.3">
      <c r="A1566" t="s">
        <v>52</v>
      </c>
      <c r="B1566" t="s">
        <v>19</v>
      </c>
      <c r="C1566" t="s">
        <v>13</v>
      </c>
      <c r="D1566" t="s">
        <v>14</v>
      </c>
      <c r="E1566" t="s">
        <v>15</v>
      </c>
      <c r="F1566">
        <v>4429.91</v>
      </c>
      <c r="G1566">
        <f>INDEX(Operational[Production Volume (units)],MATCH(Emission8[[#This Row],[Facility ID]],Operational[Facility ID],0))</f>
        <v>94949</v>
      </c>
      <c r="H1566">
        <f>INDEX(Operational[Energy Consumption (MWh)],MATCH(Emission8[[#This Row],[Facility ID]],Operational[Facility ID],0))</f>
        <v>9714.76</v>
      </c>
      <c r="I1566">
        <f>INDEX(Operational[Waste (tons)],MATCH(Emission8[[#This Row],[Facility ID]],Operational[Facility ID],0))</f>
        <v>64.900000000000006</v>
      </c>
    </row>
    <row r="1567" spans="1:9" x14ac:dyDescent="0.3">
      <c r="A1567" t="s">
        <v>31</v>
      </c>
      <c r="B1567" t="s">
        <v>30</v>
      </c>
      <c r="C1567" t="s">
        <v>23</v>
      </c>
      <c r="D1567" t="s">
        <v>9</v>
      </c>
      <c r="E1567" t="s">
        <v>24</v>
      </c>
      <c r="F1567">
        <v>3923.15</v>
      </c>
      <c r="G1567">
        <f>INDEX(Operational[Production Volume (units)],MATCH(Emission8[[#This Row],[Facility ID]],Operational[Facility ID],0))</f>
        <v>84851</v>
      </c>
      <c r="H1567">
        <f>INDEX(Operational[Energy Consumption (MWh)],MATCH(Emission8[[#This Row],[Facility ID]],Operational[Facility ID],0))</f>
        <v>560.75</v>
      </c>
      <c r="I1567">
        <f>INDEX(Operational[Waste (tons)],MATCH(Emission8[[#This Row],[Facility ID]],Operational[Facility ID],0))</f>
        <v>80.23</v>
      </c>
    </row>
    <row r="1568" spans="1:9" x14ac:dyDescent="0.3">
      <c r="A1568" t="s">
        <v>137</v>
      </c>
      <c r="B1568" t="s">
        <v>17</v>
      </c>
      <c r="C1568" t="s">
        <v>13</v>
      </c>
      <c r="D1568" t="s">
        <v>9</v>
      </c>
      <c r="E1568" t="s">
        <v>10</v>
      </c>
      <c r="F1568">
        <v>767.46</v>
      </c>
      <c r="G1568">
        <f>INDEX(Operational[Production Volume (units)],MATCH(Emission8[[#This Row],[Facility ID]],Operational[Facility ID],0))</f>
        <v>19265</v>
      </c>
      <c r="H1568">
        <f>INDEX(Operational[Energy Consumption (MWh)],MATCH(Emission8[[#This Row],[Facility ID]],Operational[Facility ID],0))</f>
        <v>776.6</v>
      </c>
      <c r="I1568">
        <f>INDEX(Operational[Waste (tons)],MATCH(Emission8[[#This Row],[Facility ID]],Operational[Facility ID],0))</f>
        <v>39.75</v>
      </c>
    </row>
    <row r="1569" spans="1:9" x14ac:dyDescent="0.3">
      <c r="A1569" t="s">
        <v>55</v>
      </c>
      <c r="B1569" t="s">
        <v>12</v>
      </c>
      <c r="C1569" t="s">
        <v>34</v>
      </c>
      <c r="D1569" t="s">
        <v>9</v>
      </c>
      <c r="E1569" t="s">
        <v>24</v>
      </c>
      <c r="F1569">
        <v>592.72</v>
      </c>
      <c r="G1569">
        <f>INDEX(Operational[Production Volume (units)],MATCH(Emission8[[#This Row],[Facility ID]],Operational[Facility ID],0))</f>
        <v>38181</v>
      </c>
      <c r="H1569">
        <f>INDEX(Operational[Energy Consumption (MWh)],MATCH(Emission8[[#This Row],[Facility ID]],Operational[Facility ID],0))</f>
        <v>691.84</v>
      </c>
      <c r="I1569">
        <f>INDEX(Operational[Waste (tons)],MATCH(Emission8[[#This Row],[Facility ID]],Operational[Facility ID],0))</f>
        <v>33.53</v>
      </c>
    </row>
    <row r="1570" spans="1:9" x14ac:dyDescent="0.3">
      <c r="A1570" t="s">
        <v>37</v>
      </c>
      <c r="B1570" t="s">
        <v>17</v>
      </c>
      <c r="C1570" t="s">
        <v>8</v>
      </c>
      <c r="D1570" t="s">
        <v>14</v>
      </c>
      <c r="E1570" t="s">
        <v>10</v>
      </c>
      <c r="F1570">
        <v>3539.99</v>
      </c>
      <c r="G1570">
        <f>INDEX(Operational[Production Volume (units)],MATCH(Emission8[[#This Row],[Facility ID]],Operational[Facility ID],0))</f>
        <v>71747</v>
      </c>
      <c r="H1570">
        <f>INDEX(Operational[Energy Consumption (MWh)],MATCH(Emission8[[#This Row],[Facility ID]],Operational[Facility ID],0))</f>
        <v>9838.66</v>
      </c>
      <c r="I1570">
        <f>INDEX(Operational[Waste (tons)],MATCH(Emission8[[#This Row],[Facility ID]],Operational[Facility ID],0))</f>
        <v>7.25</v>
      </c>
    </row>
    <row r="1571" spans="1:9" x14ac:dyDescent="0.3">
      <c r="A1571" t="s">
        <v>61</v>
      </c>
      <c r="B1571" t="s">
        <v>30</v>
      </c>
      <c r="C1571" t="s">
        <v>8</v>
      </c>
      <c r="D1571" t="s">
        <v>9</v>
      </c>
      <c r="E1571" t="s">
        <v>24</v>
      </c>
      <c r="F1571">
        <v>2579.19</v>
      </c>
      <c r="G1571">
        <f>INDEX(Operational[Production Volume (units)],MATCH(Emission8[[#This Row],[Facility ID]],Operational[Facility ID],0))</f>
        <v>95718</v>
      </c>
      <c r="H1571">
        <f>INDEX(Operational[Energy Consumption (MWh)],MATCH(Emission8[[#This Row],[Facility ID]],Operational[Facility ID],0))</f>
        <v>2443.12</v>
      </c>
      <c r="I1571">
        <f>INDEX(Operational[Waste (tons)],MATCH(Emission8[[#This Row],[Facility ID]],Operational[Facility ID],0))</f>
        <v>35.49</v>
      </c>
    </row>
    <row r="1572" spans="1:9" x14ac:dyDescent="0.3">
      <c r="A1572" t="s">
        <v>204</v>
      </c>
      <c r="B1572" t="s">
        <v>30</v>
      </c>
      <c r="C1572" t="s">
        <v>34</v>
      </c>
      <c r="D1572" t="s">
        <v>28</v>
      </c>
      <c r="E1572" t="s">
        <v>24</v>
      </c>
      <c r="F1572">
        <v>4158.7700000000004</v>
      </c>
      <c r="G1572">
        <f>INDEX(Operational[Production Volume (units)],MATCH(Emission8[[#This Row],[Facility ID]],Operational[Facility ID],0))</f>
        <v>36423</v>
      </c>
      <c r="H1572">
        <f>INDEX(Operational[Energy Consumption (MWh)],MATCH(Emission8[[#This Row],[Facility ID]],Operational[Facility ID],0))</f>
        <v>589.96</v>
      </c>
      <c r="I1572">
        <f>INDEX(Operational[Waste (tons)],MATCH(Emission8[[#This Row],[Facility ID]],Operational[Facility ID],0))</f>
        <v>30.9</v>
      </c>
    </row>
    <row r="1573" spans="1:9" x14ac:dyDescent="0.3">
      <c r="A1573" t="s">
        <v>214</v>
      </c>
      <c r="B1573" t="s">
        <v>30</v>
      </c>
      <c r="C1573" t="s">
        <v>13</v>
      </c>
      <c r="D1573" t="s">
        <v>9</v>
      </c>
      <c r="E1573" t="s">
        <v>15</v>
      </c>
      <c r="F1573">
        <v>687.46</v>
      </c>
      <c r="G1573">
        <f>INDEX(Operational[Production Volume (units)],MATCH(Emission8[[#This Row],[Facility ID]],Operational[Facility ID],0))</f>
        <v>79330</v>
      </c>
      <c r="H1573">
        <f>INDEX(Operational[Energy Consumption (MWh)],MATCH(Emission8[[#This Row],[Facility ID]],Operational[Facility ID],0))</f>
        <v>6075.23</v>
      </c>
      <c r="I1573">
        <f>INDEX(Operational[Waste (tons)],MATCH(Emission8[[#This Row],[Facility ID]],Operational[Facility ID],0))</f>
        <v>83.97</v>
      </c>
    </row>
    <row r="1574" spans="1:9" x14ac:dyDescent="0.3">
      <c r="A1574" t="s">
        <v>86</v>
      </c>
      <c r="B1574" t="s">
        <v>19</v>
      </c>
      <c r="C1574" t="s">
        <v>23</v>
      </c>
      <c r="D1574" t="s">
        <v>14</v>
      </c>
      <c r="E1574" t="s">
        <v>24</v>
      </c>
      <c r="F1574">
        <v>2922.31</v>
      </c>
      <c r="G1574">
        <f>INDEX(Operational[Production Volume (units)],MATCH(Emission8[[#This Row],[Facility ID]],Operational[Facility ID],0))</f>
        <v>56531</v>
      </c>
      <c r="H1574">
        <f>INDEX(Operational[Energy Consumption (MWh)],MATCH(Emission8[[#This Row],[Facility ID]],Operational[Facility ID],0))</f>
        <v>8958.07</v>
      </c>
      <c r="I1574">
        <f>INDEX(Operational[Waste (tons)],MATCH(Emission8[[#This Row],[Facility ID]],Operational[Facility ID],0))</f>
        <v>83.44</v>
      </c>
    </row>
    <row r="1575" spans="1:9" x14ac:dyDescent="0.3">
      <c r="A1575" t="s">
        <v>32</v>
      </c>
      <c r="B1575" t="s">
        <v>7</v>
      </c>
      <c r="C1575" t="s">
        <v>34</v>
      </c>
      <c r="D1575" t="s">
        <v>14</v>
      </c>
      <c r="E1575" t="s">
        <v>15</v>
      </c>
      <c r="F1575">
        <v>584.58000000000004</v>
      </c>
      <c r="G1575">
        <f>INDEX(Operational[Production Volume (units)],MATCH(Emission8[[#This Row],[Facility ID]],Operational[Facility ID],0))</f>
        <v>10933</v>
      </c>
      <c r="H1575">
        <f>INDEX(Operational[Energy Consumption (MWh)],MATCH(Emission8[[#This Row],[Facility ID]],Operational[Facility ID],0))</f>
        <v>9004.3700000000008</v>
      </c>
      <c r="I1575">
        <f>INDEX(Operational[Waste (tons)],MATCH(Emission8[[#This Row],[Facility ID]],Operational[Facility ID],0))</f>
        <v>26.84</v>
      </c>
    </row>
    <row r="1576" spans="1:9" x14ac:dyDescent="0.3">
      <c r="A1576" t="s">
        <v>170</v>
      </c>
      <c r="B1576" t="s">
        <v>12</v>
      </c>
      <c r="C1576" t="s">
        <v>13</v>
      </c>
      <c r="D1576" t="s">
        <v>14</v>
      </c>
      <c r="E1576" t="s">
        <v>15</v>
      </c>
      <c r="F1576">
        <v>87.51</v>
      </c>
      <c r="G1576">
        <f>INDEX(Operational[Production Volume (units)],MATCH(Emission8[[#This Row],[Facility ID]],Operational[Facility ID],0))</f>
        <v>54133</v>
      </c>
      <c r="H1576">
        <f>INDEX(Operational[Energy Consumption (MWh)],MATCH(Emission8[[#This Row],[Facility ID]],Operational[Facility ID],0))</f>
        <v>8543.68</v>
      </c>
      <c r="I1576">
        <f>INDEX(Operational[Waste (tons)],MATCH(Emission8[[#This Row],[Facility ID]],Operational[Facility ID],0))</f>
        <v>24</v>
      </c>
    </row>
    <row r="1577" spans="1:9" x14ac:dyDescent="0.3">
      <c r="A1577" t="s">
        <v>132</v>
      </c>
      <c r="B1577" t="s">
        <v>19</v>
      </c>
      <c r="C1577" t="s">
        <v>23</v>
      </c>
      <c r="D1577" t="s">
        <v>14</v>
      </c>
      <c r="E1577" t="s">
        <v>24</v>
      </c>
      <c r="F1577">
        <v>3948.45</v>
      </c>
      <c r="G1577">
        <f>INDEX(Operational[Production Volume (units)],MATCH(Emission8[[#This Row],[Facility ID]],Operational[Facility ID],0))</f>
        <v>29860</v>
      </c>
      <c r="H1577">
        <f>INDEX(Operational[Energy Consumption (MWh)],MATCH(Emission8[[#This Row],[Facility ID]],Operational[Facility ID],0))</f>
        <v>3956.23</v>
      </c>
      <c r="I1577">
        <f>INDEX(Operational[Waste (tons)],MATCH(Emission8[[#This Row],[Facility ID]],Operational[Facility ID],0))</f>
        <v>57.5</v>
      </c>
    </row>
    <row r="1578" spans="1:9" x14ac:dyDescent="0.3">
      <c r="A1578" t="s">
        <v>66</v>
      </c>
      <c r="B1578" t="s">
        <v>30</v>
      </c>
      <c r="C1578" t="s">
        <v>34</v>
      </c>
      <c r="D1578" t="s">
        <v>9</v>
      </c>
      <c r="E1578" t="s">
        <v>15</v>
      </c>
      <c r="F1578">
        <v>3846.63</v>
      </c>
      <c r="G1578">
        <f>INDEX(Operational[Production Volume (units)],MATCH(Emission8[[#This Row],[Facility ID]],Operational[Facility ID],0))</f>
        <v>98396</v>
      </c>
      <c r="H1578">
        <f>INDEX(Operational[Energy Consumption (MWh)],MATCH(Emission8[[#This Row],[Facility ID]],Operational[Facility ID],0))</f>
        <v>5174.07</v>
      </c>
      <c r="I1578">
        <f>INDEX(Operational[Waste (tons)],MATCH(Emission8[[#This Row],[Facility ID]],Operational[Facility ID],0))</f>
        <v>63.38</v>
      </c>
    </row>
    <row r="1579" spans="1:9" x14ac:dyDescent="0.3">
      <c r="A1579" t="s">
        <v>213</v>
      </c>
      <c r="B1579" t="s">
        <v>12</v>
      </c>
      <c r="C1579" t="s">
        <v>8</v>
      </c>
      <c r="D1579" t="s">
        <v>9</v>
      </c>
      <c r="E1579" t="s">
        <v>24</v>
      </c>
      <c r="F1579">
        <v>4673.8</v>
      </c>
      <c r="G1579">
        <f>INDEX(Operational[Production Volume (units)],MATCH(Emission8[[#This Row],[Facility ID]],Operational[Facility ID],0))</f>
        <v>58622</v>
      </c>
      <c r="H1579">
        <f>INDEX(Operational[Energy Consumption (MWh)],MATCH(Emission8[[#This Row],[Facility ID]],Operational[Facility ID],0))</f>
        <v>7795.36</v>
      </c>
      <c r="I1579">
        <f>INDEX(Operational[Waste (tons)],MATCH(Emission8[[#This Row],[Facility ID]],Operational[Facility ID],0))</f>
        <v>59.81</v>
      </c>
    </row>
    <row r="1580" spans="1:9" x14ac:dyDescent="0.3">
      <c r="A1580" t="s">
        <v>171</v>
      </c>
      <c r="B1580" t="s">
        <v>17</v>
      </c>
      <c r="C1580" t="s">
        <v>34</v>
      </c>
      <c r="D1580" t="s">
        <v>28</v>
      </c>
      <c r="E1580" t="s">
        <v>24</v>
      </c>
      <c r="F1580">
        <v>4711.6899999999996</v>
      </c>
      <c r="G1580">
        <f>INDEX(Operational[Production Volume (units)],MATCH(Emission8[[#This Row],[Facility ID]],Operational[Facility ID],0))</f>
        <v>24502</v>
      </c>
      <c r="H1580">
        <f>INDEX(Operational[Energy Consumption (MWh)],MATCH(Emission8[[#This Row],[Facility ID]],Operational[Facility ID],0))</f>
        <v>7466.86</v>
      </c>
      <c r="I1580">
        <f>INDEX(Operational[Waste (tons)],MATCH(Emission8[[#This Row],[Facility ID]],Operational[Facility ID],0))</f>
        <v>88.83</v>
      </c>
    </row>
    <row r="1581" spans="1:9" x14ac:dyDescent="0.3">
      <c r="A1581" t="s">
        <v>37</v>
      </c>
      <c r="B1581" t="s">
        <v>17</v>
      </c>
      <c r="C1581" t="s">
        <v>13</v>
      </c>
      <c r="D1581" t="s">
        <v>9</v>
      </c>
      <c r="E1581" t="s">
        <v>15</v>
      </c>
      <c r="F1581">
        <v>2670.52</v>
      </c>
      <c r="G1581">
        <f>INDEX(Operational[Production Volume (units)],MATCH(Emission8[[#This Row],[Facility ID]],Operational[Facility ID],0))</f>
        <v>71747</v>
      </c>
      <c r="H1581">
        <f>INDEX(Operational[Energy Consumption (MWh)],MATCH(Emission8[[#This Row],[Facility ID]],Operational[Facility ID],0))</f>
        <v>9838.66</v>
      </c>
      <c r="I1581">
        <f>INDEX(Operational[Waste (tons)],MATCH(Emission8[[#This Row],[Facility ID]],Operational[Facility ID],0))</f>
        <v>7.25</v>
      </c>
    </row>
    <row r="1582" spans="1:9" x14ac:dyDescent="0.3">
      <c r="A1582" t="s">
        <v>40</v>
      </c>
      <c r="B1582" t="s">
        <v>19</v>
      </c>
      <c r="C1582" t="s">
        <v>34</v>
      </c>
      <c r="D1582" t="s">
        <v>9</v>
      </c>
      <c r="E1582" t="s">
        <v>15</v>
      </c>
      <c r="F1582">
        <v>919.4</v>
      </c>
      <c r="G1582">
        <f>INDEX(Operational[Production Volume (units)],MATCH(Emission8[[#This Row],[Facility ID]],Operational[Facility ID],0))</f>
        <v>96474</v>
      </c>
      <c r="H1582">
        <f>INDEX(Operational[Energy Consumption (MWh)],MATCH(Emission8[[#This Row],[Facility ID]],Operational[Facility ID],0))</f>
        <v>7574.39</v>
      </c>
      <c r="I1582">
        <f>INDEX(Operational[Waste (tons)],MATCH(Emission8[[#This Row],[Facility ID]],Operational[Facility ID],0))</f>
        <v>95.54</v>
      </c>
    </row>
    <row r="1583" spans="1:9" x14ac:dyDescent="0.3">
      <c r="A1583" t="s">
        <v>25</v>
      </c>
      <c r="B1583" t="s">
        <v>19</v>
      </c>
      <c r="C1583" t="s">
        <v>23</v>
      </c>
      <c r="D1583" t="s">
        <v>14</v>
      </c>
      <c r="E1583" t="s">
        <v>24</v>
      </c>
      <c r="F1583">
        <v>4514.75</v>
      </c>
      <c r="G1583">
        <f>INDEX(Operational[Production Volume (units)],MATCH(Emission8[[#This Row],[Facility ID]],Operational[Facility ID],0))</f>
        <v>95306</v>
      </c>
      <c r="H1583">
        <f>INDEX(Operational[Energy Consumption (MWh)],MATCH(Emission8[[#This Row],[Facility ID]],Operational[Facility ID],0))</f>
        <v>9037.76</v>
      </c>
      <c r="I1583">
        <f>INDEX(Operational[Waste (tons)],MATCH(Emission8[[#This Row],[Facility ID]],Operational[Facility ID],0))</f>
        <v>13.35</v>
      </c>
    </row>
    <row r="1584" spans="1:9" x14ac:dyDescent="0.3">
      <c r="A1584" t="s">
        <v>89</v>
      </c>
      <c r="B1584" t="s">
        <v>17</v>
      </c>
      <c r="C1584" t="s">
        <v>34</v>
      </c>
      <c r="D1584" t="s">
        <v>9</v>
      </c>
      <c r="E1584" t="s">
        <v>15</v>
      </c>
      <c r="F1584">
        <v>3766.6</v>
      </c>
      <c r="G1584">
        <f>INDEX(Operational[Production Volume (units)],MATCH(Emission8[[#This Row],[Facility ID]],Operational[Facility ID],0))</f>
        <v>36171</v>
      </c>
      <c r="H1584">
        <f>INDEX(Operational[Energy Consumption (MWh)],MATCH(Emission8[[#This Row],[Facility ID]],Operational[Facility ID],0))</f>
        <v>6864.38</v>
      </c>
      <c r="I1584">
        <f>INDEX(Operational[Waste (tons)],MATCH(Emission8[[#This Row],[Facility ID]],Operational[Facility ID],0))</f>
        <v>37.03</v>
      </c>
    </row>
    <row r="1585" spans="1:9" x14ac:dyDescent="0.3">
      <c r="A1585" t="s">
        <v>192</v>
      </c>
      <c r="B1585" t="s">
        <v>19</v>
      </c>
      <c r="C1585" t="s">
        <v>23</v>
      </c>
      <c r="D1585" t="s">
        <v>28</v>
      </c>
      <c r="E1585" t="s">
        <v>10</v>
      </c>
      <c r="F1585">
        <v>730.13</v>
      </c>
      <c r="G1585">
        <f>INDEX(Operational[Production Volume (units)],MATCH(Emission8[[#This Row],[Facility ID]],Operational[Facility ID],0))</f>
        <v>43227</v>
      </c>
      <c r="H1585">
        <f>INDEX(Operational[Energy Consumption (MWh)],MATCH(Emission8[[#This Row],[Facility ID]],Operational[Facility ID],0))</f>
        <v>5199.53</v>
      </c>
      <c r="I1585">
        <f>INDEX(Operational[Waste (tons)],MATCH(Emission8[[#This Row],[Facility ID]],Operational[Facility ID],0))</f>
        <v>44.09</v>
      </c>
    </row>
    <row r="1586" spans="1:9" x14ac:dyDescent="0.3">
      <c r="A1586" t="s">
        <v>213</v>
      </c>
      <c r="B1586" t="s">
        <v>12</v>
      </c>
      <c r="C1586" t="s">
        <v>13</v>
      </c>
      <c r="D1586" t="s">
        <v>14</v>
      </c>
      <c r="E1586" t="s">
        <v>24</v>
      </c>
      <c r="F1586">
        <v>2811.95</v>
      </c>
      <c r="G1586">
        <f>INDEX(Operational[Production Volume (units)],MATCH(Emission8[[#This Row],[Facility ID]],Operational[Facility ID],0))</f>
        <v>58622</v>
      </c>
      <c r="H1586">
        <f>INDEX(Operational[Energy Consumption (MWh)],MATCH(Emission8[[#This Row],[Facility ID]],Operational[Facility ID],0))</f>
        <v>7795.36</v>
      </c>
      <c r="I1586">
        <f>INDEX(Operational[Waste (tons)],MATCH(Emission8[[#This Row],[Facility ID]],Operational[Facility ID],0))</f>
        <v>59.81</v>
      </c>
    </row>
    <row r="1587" spans="1:9" x14ac:dyDescent="0.3">
      <c r="A1587" t="s">
        <v>37</v>
      </c>
      <c r="B1587" t="s">
        <v>17</v>
      </c>
      <c r="C1587" t="s">
        <v>13</v>
      </c>
      <c r="D1587" t="s">
        <v>9</v>
      </c>
      <c r="E1587" t="s">
        <v>15</v>
      </c>
      <c r="F1587">
        <v>5044.2</v>
      </c>
      <c r="G1587">
        <f>INDEX(Operational[Production Volume (units)],MATCH(Emission8[[#This Row],[Facility ID]],Operational[Facility ID],0))</f>
        <v>71747</v>
      </c>
      <c r="H1587">
        <f>INDEX(Operational[Energy Consumption (MWh)],MATCH(Emission8[[#This Row],[Facility ID]],Operational[Facility ID],0))</f>
        <v>9838.66</v>
      </c>
      <c r="I1587">
        <f>INDEX(Operational[Waste (tons)],MATCH(Emission8[[#This Row],[Facility ID]],Operational[Facility ID],0))</f>
        <v>7.25</v>
      </c>
    </row>
    <row r="1588" spans="1:9" x14ac:dyDescent="0.3">
      <c r="A1588" t="s">
        <v>67</v>
      </c>
      <c r="B1588" t="s">
        <v>7</v>
      </c>
      <c r="C1588" t="s">
        <v>8</v>
      </c>
      <c r="D1588" t="s">
        <v>28</v>
      </c>
      <c r="E1588" t="s">
        <v>15</v>
      </c>
      <c r="F1588">
        <v>4074.33</v>
      </c>
      <c r="G1588">
        <f>INDEX(Operational[Production Volume (units)],MATCH(Emission8[[#This Row],[Facility ID]],Operational[Facility ID],0))</f>
        <v>70582</v>
      </c>
      <c r="H1588">
        <f>INDEX(Operational[Energy Consumption (MWh)],MATCH(Emission8[[#This Row],[Facility ID]],Operational[Facility ID],0))</f>
        <v>7517.59</v>
      </c>
      <c r="I1588">
        <f>INDEX(Operational[Waste (tons)],MATCH(Emission8[[#This Row],[Facility ID]],Operational[Facility ID],0))</f>
        <v>95.71</v>
      </c>
    </row>
    <row r="1589" spans="1:9" x14ac:dyDescent="0.3">
      <c r="A1589" t="s">
        <v>205</v>
      </c>
      <c r="B1589" t="s">
        <v>17</v>
      </c>
      <c r="C1589" t="s">
        <v>8</v>
      </c>
      <c r="D1589" t="s">
        <v>28</v>
      </c>
      <c r="E1589" t="s">
        <v>15</v>
      </c>
      <c r="F1589">
        <v>1048.08</v>
      </c>
      <c r="G1589">
        <f>INDEX(Operational[Production Volume (units)],MATCH(Emission8[[#This Row],[Facility ID]],Operational[Facility ID],0))</f>
        <v>52594</v>
      </c>
      <c r="H1589">
        <f>INDEX(Operational[Energy Consumption (MWh)],MATCH(Emission8[[#This Row],[Facility ID]],Operational[Facility ID],0))</f>
        <v>8715.0400000000009</v>
      </c>
      <c r="I1589">
        <f>INDEX(Operational[Waste (tons)],MATCH(Emission8[[#This Row],[Facility ID]],Operational[Facility ID],0))</f>
        <v>90.54</v>
      </c>
    </row>
    <row r="1590" spans="1:9" x14ac:dyDescent="0.3">
      <c r="A1590" t="s">
        <v>160</v>
      </c>
      <c r="B1590" t="s">
        <v>30</v>
      </c>
      <c r="C1590" t="s">
        <v>34</v>
      </c>
      <c r="D1590" t="s">
        <v>9</v>
      </c>
      <c r="E1590" t="s">
        <v>15</v>
      </c>
      <c r="F1590">
        <v>3290.44</v>
      </c>
      <c r="G1590">
        <f>INDEX(Operational[Production Volume (units)],MATCH(Emission8[[#This Row],[Facility ID]],Operational[Facility ID],0))</f>
        <v>18341</v>
      </c>
      <c r="H1590">
        <f>INDEX(Operational[Energy Consumption (MWh)],MATCH(Emission8[[#This Row],[Facility ID]],Operational[Facility ID],0))</f>
        <v>8465.57</v>
      </c>
      <c r="I1590">
        <f>INDEX(Operational[Waste (tons)],MATCH(Emission8[[#This Row],[Facility ID]],Operational[Facility ID],0))</f>
        <v>38.39</v>
      </c>
    </row>
    <row r="1591" spans="1:9" x14ac:dyDescent="0.3">
      <c r="A1591" t="s">
        <v>144</v>
      </c>
      <c r="B1591" t="s">
        <v>30</v>
      </c>
      <c r="C1591" t="s">
        <v>13</v>
      </c>
      <c r="D1591" t="s">
        <v>9</v>
      </c>
      <c r="E1591" t="s">
        <v>10</v>
      </c>
      <c r="F1591">
        <v>1966.43</v>
      </c>
      <c r="G1591">
        <f>INDEX(Operational[Production Volume (units)],MATCH(Emission8[[#This Row],[Facility ID]],Operational[Facility ID],0))</f>
        <v>11426</v>
      </c>
      <c r="H1591">
        <f>INDEX(Operational[Energy Consumption (MWh)],MATCH(Emission8[[#This Row],[Facility ID]],Operational[Facility ID],0))</f>
        <v>4439.5600000000004</v>
      </c>
      <c r="I1591">
        <f>INDEX(Operational[Waste (tons)],MATCH(Emission8[[#This Row],[Facility ID]],Operational[Facility ID],0))</f>
        <v>52.71</v>
      </c>
    </row>
    <row r="1592" spans="1:9" x14ac:dyDescent="0.3">
      <c r="A1592" t="s">
        <v>97</v>
      </c>
      <c r="B1592" t="s">
        <v>7</v>
      </c>
      <c r="C1592" t="s">
        <v>8</v>
      </c>
      <c r="D1592" t="s">
        <v>28</v>
      </c>
      <c r="E1592" t="s">
        <v>15</v>
      </c>
      <c r="F1592">
        <v>2842.86</v>
      </c>
      <c r="G1592">
        <f>INDEX(Operational[Production Volume (units)],MATCH(Emission8[[#This Row],[Facility ID]],Operational[Facility ID],0))</f>
        <v>78624</v>
      </c>
      <c r="H1592">
        <f>INDEX(Operational[Energy Consumption (MWh)],MATCH(Emission8[[#This Row],[Facility ID]],Operational[Facility ID],0))</f>
        <v>2373.27</v>
      </c>
      <c r="I1592">
        <f>INDEX(Operational[Waste (tons)],MATCH(Emission8[[#This Row],[Facility ID]],Operational[Facility ID],0))</f>
        <v>25.07</v>
      </c>
    </row>
    <row r="1593" spans="1:9" x14ac:dyDescent="0.3">
      <c r="A1593" t="s">
        <v>189</v>
      </c>
      <c r="B1593" t="s">
        <v>19</v>
      </c>
      <c r="C1593" t="s">
        <v>13</v>
      </c>
      <c r="D1593" t="s">
        <v>14</v>
      </c>
      <c r="E1593" t="s">
        <v>15</v>
      </c>
      <c r="F1593">
        <v>2556.0500000000002</v>
      </c>
      <c r="G1593">
        <f>INDEX(Operational[Production Volume (units)],MATCH(Emission8[[#This Row],[Facility ID]],Operational[Facility ID],0))</f>
        <v>27681</v>
      </c>
      <c r="H1593">
        <f>INDEX(Operational[Energy Consumption (MWh)],MATCH(Emission8[[#This Row],[Facility ID]],Operational[Facility ID],0))</f>
        <v>928.26</v>
      </c>
      <c r="I1593">
        <f>INDEX(Operational[Waste (tons)],MATCH(Emission8[[#This Row],[Facility ID]],Operational[Facility ID],0))</f>
        <v>44.97</v>
      </c>
    </row>
    <row r="1594" spans="1:9" x14ac:dyDescent="0.3">
      <c r="A1594" t="s">
        <v>146</v>
      </c>
      <c r="B1594" t="s">
        <v>7</v>
      </c>
      <c r="C1594" t="s">
        <v>23</v>
      </c>
      <c r="D1594" t="s">
        <v>28</v>
      </c>
      <c r="E1594" t="s">
        <v>15</v>
      </c>
      <c r="F1594">
        <v>3688.09</v>
      </c>
      <c r="G1594">
        <f>INDEX(Operational[Production Volume (units)],MATCH(Emission8[[#This Row],[Facility ID]],Operational[Facility ID],0))</f>
        <v>14170</v>
      </c>
      <c r="H1594">
        <f>INDEX(Operational[Energy Consumption (MWh)],MATCH(Emission8[[#This Row],[Facility ID]],Operational[Facility ID],0))</f>
        <v>5455.23</v>
      </c>
      <c r="I1594">
        <f>INDEX(Operational[Waste (tons)],MATCH(Emission8[[#This Row],[Facility ID]],Operational[Facility ID],0))</f>
        <v>25.46</v>
      </c>
    </row>
    <row r="1595" spans="1:9" x14ac:dyDescent="0.3">
      <c r="A1595" t="s">
        <v>56</v>
      </c>
      <c r="B1595" t="s">
        <v>19</v>
      </c>
      <c r="C1595" t="s">
        <v>8</v>
      </c>
      <c r="D1595" t="s">
        <v>9</v>
      </c>
      <c r="E1595" t="s">
        <v>10</v>
      </c>
      <c r="F1595">
        <v>3222.35</v>
      </c>
      <c r="G1595">
        <f>INDEX(Operational[Production Volume (units)],MATCH(Emission8[[#This Row],[Facility ID]],Operational[Facility ID],0))</f>
        <v>43747</v>
      </c>
      <c r="H1595">
        <f>INDEX(Operational[Energy Consumption (MWh)],MATCH(Emission8[[#This Row],[Facility ID]],Operational[Facility ID],0))</f>
        <v>3453.48</v>
      </c>
      <c r="I1595">
        <f>INDEX(Operational[Waste (tons)],MATCH(Emission8[[#This Row],[Facility ID]],Operational[Facility ID],0))</f>
        <v>98.78</v>
      </c>
    </row>
    <row r="1596" spans="1:9" x14ac:dyDescent="0.3">
      <c r="A1596" t="s">
        <v>85</v>
      </c>
      <c r="B1596" t="s">
        <v>30</v>
      </c>
      <c r="C1596" t="s">
        <v>23</v>
      </c>
      <c r="D1596" t="s">
        <v>14</v>
      </c>
      <c r="E1596" t="s">
        <v>24</v>
      </c>
      <c r="F1596">
        <v>475.84</v>
      </c>
      <c r="G1596">
        <f>INDEX(Operational[Production Volume (units)],MATCH(Emission8[[#This Row],[Facility ID]],Operational[Facility ID],0))</f>
        <v>45519</v>
      </c>
      <c r="H1596">
        <f>INDEX(Operational[Energy Consumption (MWh)],MATCH(Emission8[[#This Row],[Facility ID]],Operational[Facility ID],0))</f>
        <v>7987.69</v>
      </c>
      <c r="I1596">
        <f>INDEX(Operational[Waste (tons)],MATCH(Emission8[[#This Row],[Facility ID]],Operational[Facility ID],0))</f>
        <v>10.86</v>
      </c>
    </row>
    <row r="1597" spans="1:9" x14ac:dyDescent="0.3">
      <c r="A1597" t="s">
        <v>200</v>
      </c>
      <c r="B1597" t="s">
        <v>30</v>
      </c>
      <c r="C1597" t="s">
        <v>8</v>
      </c>
      <c r="D1597" t="s">
        <v>14</v>
      </c>
      <c r="E1597" t="s">
        <v>15</v>
      </c>
      <c r="F1597">
        <v>258.93</v>
      </c>
      <c r="G1597">
        <f>INDEX(Operational[Production Volume (units)],MATCH(Emission8[[#This Row],[Facility ID]],Operational[Facility ID],0))</f>
        <v>46863</v>
      </c>
      <c r="H1597">
        <f>INDEX(Operational[Energy Consumption (MWh)],MATCH(Emission8[[#This Row],[Facility ID]],Operational[Facility ID],0))</f>
        <v>6762.98</v>
      </c>
      <c r="I1597">
        <f>INDEX(Operational[Waste (tons)],MATCH(Emission8[[#This Row],[Facility ID]],Operational[Facility ID],0))</f>
        <v>23.45</v>
      </c>
    </row>
    <row r="1598" spans="1:9" x14ac:dyDescent="0.3">
      <c r="A1598" t="s">
        <v>123</v>
      </c>
      <c r="B1598" t="s">
        <v>30</v>
      </c>
      <c r="C1598" t="s">
        <v>8</v>
      </c>
      <c r="D1598" t="s">
        <v>9</v>
      </c>
      <c r="E1598" t="s">
        <v>24</v>
      </c>
      <c r="F1598">
        <v>850.45</v>
      </c>
      <c r="G1598">
        <f>INDEX(Operational[Production Volume (units)],MATCH(Emission8[[#This Row],[Facility ID]],Operational[Facility ID],0))</f>
        <v>73977</v>
      </c>
      <c r="H1598">
        <f>INDEX(Operational[Energy Consumption (MWh)],MATCH(Emission8[[#This Row],[Facility ID]],Operational[Facility ID],0))</f>
        <v>1646.75</v>
      </c>
      <c r="I1598">
        <f>INDEX(Operational[Waste (tons)],MATCH(Emission8[[#This Row],[Facility ID]],Operational[Facility ID],0))</f>
        <v>43.77</v>
      </c>
    </row>
    <row r="1599" spans="1:9" x14ac:dyDescent="0.3">
      <c r="A1599" t="s">
        <v>150</v>
      </c>
      <c r="B1599" t="s">
        <v>30</v>
      </c>
      <c r="C1599" t="s">
        <v>34</v>
      </c>
      <c r="D1599" t="s">
        <v>14</v>
      </c>
      <c r="E1599" t="s">
        <v>24</v>
      </c>
      <c r="F1599">
        <v>1887.87</v>
      </c>
      <c r="G1599">
        <f>INDEX(Operational[Production Volume (units)],MATCH(Emission8[[#This Row],[Facility ID]],Operational[Facility ID],0))</f>
        <v>98356</v>
      </c>
      <c r="H1599">
        <f>INDEX(Operational[Energy Consumption (MWh)],MATCH(Emission8[[#This Row],[Facility ID]],Operational[Facility ID],0))</f>
        <v>6968.69</v>
      </c>
      <c r="I1599">
        <f>INDEX(Operational[Waste (tons)],MATCH(Emission8[[#This Row],[Facility ID]],Operational[Facility ID],0))</f>
        <v>81.72</v>
      </c>
    </row>
    <row r="1600" spans="1:9" x14ac:dyDescent="0.3">
      <c r="A1600" t="s">
        <v>100</v>
      </c>
      <c r="B1600" t="s">
        <v>7</v>
      </c>
      <c r="C1600" t="s">
        <v>34</v>
      </c>
      <c r="D1600" t="s">
        <v>28</v>
      </c>
      <c r="E1600" t="s">
        <v>24</v>
      </c>
      <c r="F1600">
        <v>533.01</v>
      </c>
      <c r="G1600">
        <f>INDEX(Operational[Production Volume (units)],MATCH(Emission8[[#This Row],[Facility ID]],Operational[Facility ID],0))</f>
        <v>17468</v>
      </c>
      <c r="H1600">
        <f>INDEX(Operational[Energy Consumption (MWh)],MATCH(Emission8[[#This Row],[Facility ID]],Operational[Facility ID],0))</f>
        <v>6359.73</v>
      </c>
      <c r="I1600">
        <f>INDEX(Operational[Waste (tons)],MATCH(Emission8[[#This Row],[Facility ID]],Operational[Facility ID],0))</f>
        <v>5.22</v>
      </c>
    </row>
    <row r="1601" spans="1:9" x14ac:dyDescent="0.3">
      <c r="A1601" t="s">
        <v>132</v>
      </c>
      <c r="B1601" t="s">
        <v>19</v>
      </c>
      <c r="C1601" t="s">
        <v>8</v>
      </c>
      <c r="D1601" t="s">
        <v>28</v>
      </c>
      <c r="E1601" t="s">
        <v>10</v>
      </c>
      <c r="F1601">
        <v>572.46</v>
      </c>
      <c r="G1601">
        <f>INDEX(Operational[Production Volume (units)],MATCH(Emission8[[#This Row],[Facility ID]],Operational[Facility ID],0))</f>
        <v>29860</v>
      </c>
      <c r="H1601">
        <f>INDEX(Operational[Energy Consumption (MWh)],MATCH(Emission8[[#This Row],[Facility ID]],Operational[Facility ID],0))</f>
        <v>3956.23</v>
      </c>
      <c r="I1601">
        <f>INDEX(Operational[Waste (tons)],MATCH(Emission8[[#This Row],[Facility ID]],Operational[Facility ID],0))</f>
        <v>57.5</v>
      </c>
    </row>
    <row r="1602" spans="1:9" x14ac:dyDescent="0.3">
      <c r="A1602" t="s">
        <v>20</v>
      </c>
      <c r="B1602" t="s">
        <v>17</v>
      </c>
      <c r="C1602" t="s">
        <v>13</v>
      </c>
      <c r="D1602" t="s">
        <v>28</v>
      </c>
      <c r="E1602" t="s">
        <v>24</v>
      </c>
      <c r="F1602">
        <v>4635.99</v>
      </c>
      <c r="G1602">
        <f>INDEX(Operational[Production Volume (units)],MATCH(Emission8[[#This Row],[Facility ID]],Operational[Facility ID],0))</f>
        <v>29895</v>
      </c>
      <c r="H1602">
        <f>INDEX(Operational[Energy Consumption (MWh)],MATCH(Emission8[[#This Row],[Facility ID]],Operational[Facility ID],0))</f>
        <v>1631.08</v>
      </c>
      <c r="I1602">
        <f>INDEX(Operational[Waste (tons)],MATCH(Emission8[[#This Row],[Facility ID]],Operational[Facility ID],0))</f>
        <v>39.93</v>
      </c>
    </row>
    <row r="1603" spans="1:9" x14ac:dyDescent="0.3">
      <c r="A1603" t="s">
        <v>112</v>
      </c>
      <c r="B1603" t="s">
        <v>30</v>
      </c>
      <c r="C1603" t="s">
        <v>34</v>
      </c>
      <c r="D1603" t="s">
        <v>14</v>
      </c>
      <c r="E1603" t="s">
        <v>24</v>
      </c>
      <c r="F1603">
        <v>4891.97</v>
      </c>
      <c r="G1603">
        <f>INDEX(Operational[Production Volume (units)],MATCH(Emission8[[#This Row],[Facility ID]],Operational[Facility ID],0))</f>
        <v>43294</v>
      </c>
      <c r="H1603">
        <f>INDEX(Operational[Energy Consumption (MWh)],MATCH(Emission8[[#This Row],[Facility ID]],Operational[Facility ID],0))</f>
        <v>3802.13</v>
      </c>
      <c r="I1603">
        <f>INDEX(Operational[Waste (tons)],MATCH(Emission8[[#This Row],[Facility ID]],Operational[Facility ID],0))</f>
        <v>45.84</v>
      </c>
    </row>
    <row r="1604" spans="1:9" x14ac:dyDescent="0.3">
      <c r="A1604" t="s">
        <v>182</v>
      </c>
      <c r="B1604" t="s">
        <v>12</v>
      </c>
      <c r="C1604" t="s">
        <v>23</v>
      </c>
      <c r="D1604" t="s">
        <v>28</v>
      </c>
      <c r="E1604" t="s">
        <v>10</v>
      </c>
      <c r="F1604">
        <v>1184.1400000000001</v>
      </c>
      <c r="G1604">
        <f>INDEX(Operational[Production Volume (units)],MATCH(Emission8[[#This Row],[Facility ID]],Operational[Facility ID],0))</f>
        <v>21081</v>
      </c>
      <c r="H1604">
        <f>INDEX(Operational[Energy Consumption (MWh)],MATCH(Emission8[[#This Row],[Facility ID]],Operational[Facility ID],0))</f>
        <v>9001.77</v>
      </c>
      <c r="I1604">
        <f>INDEX(Operational[Waste (tons)],MATCH(Emission8[[#This Row],[Facility ID]],Operational[Facility ID],0))</f>
        <v>49.27</v>
      </c>
    </row>
    <row r="1605" spans="1:9" x14ac:dyDescent="0.3">
      <c r="A1605" t="s">
        <v>123</v>
      </c>
      <c r="B1605" t="s">
        <v>30</v>
      </c>
      <c r="C1605" t="s">
        <v>13</v>
      </c>
      <c r="D1605" t="s">
        <v>14</v>
      </c>
      <c r="E1605" t="s">
        <v>15</v>
      </c>
      <c r="F1605">
        <v>802.03</v>
      </c>
      <c r="G1605">
        <f>INDEX(Operational[Production Volume (units)],MATCH(Emission8[[#This Row],[Facility ID]],Operational[Facility ID],0))</f>
        <v>73977</v>
      </c>
      <c r="H1605">
        <f>INDEX(Operational[Energy Consumption (MWh)],MATCH(Emission8[[#This Row],[Facility ID]],Operational[Facility ID],0))</f>
        <v>1646.75</v>
      </c>
      <c r="I1605">
        <f>INDEX(Operational[Waste (tons)],MATCH(Emission8[[#This Row],[Facility ID]],Operational[Facility ID],0))</f>
        <v>43.77</v>
      </c>
    </row>
    <row r="1606" spans="1:9" x14ac:dyDescent="0.3">
      <c r="A1606" t="s">
        <v>54</v>
      </c>
      <c r="B1606" t="s">
        <v>12</v>
      </c>
      <c r="C1606" t="s">
        <v>13</v>
      </c>
      <c r="D1606" t="s">
        <v>9</v>
      </c>
      <c r="E1606" t="s">
        <v>10</v>
      </c>
      <c r="F1606">
        <v>2408.48</v>
      </c>
      <c r="G1606">
        <f>INDEX(Operational[Production Volume (units)],MATCH(Emission8[[#This Row],[Facility ID]],Operational[Facility ID],0))</f>
        <v>58111</v>
      </c>
      <c r="H1606">
        <f>INDEX(Operational[Energy Consumption (MWh)],MATCH(Emission8[[#This Row],[Facility ID]],Operational[Facility ID],0))</f>
        <v>4610.8999999999996</v>
      </c>
      <c r="I1606">
        <f>INDEX(Operational[Waste (tons)],MATCH(Emission8[[#This Row],[Facility ID]],Operational[Facility ID],0))</f>
        <v>21.53</v>
      </c>
    </row>
    <row r="1607" spans="1:9" x14ac:dyDescent="0.3">
      <c r="A1607" t="s">
        <v>161</v>
      </c>
      <c r="B1607" t="s">
        <v>7</v>
      </c>
      <c r="C1607" t="s">
        <v>13</v>
      </c>
      <c r="D1607" t="s">
        <v>9</v>
      </c>
      <c r="E1607" t="s">
        <v>15</v>
      </c>
      <c r="F1607">
        <v>3733.16</v>
      </c>
      <c r="G1607">
        <f>INDEX(Operational[Production Volume (units)],MATCH(Emission8[[#This Row],[Facility ID]],Operational[Facility ID],0))</f>
        <v>15788</v>
      </c>
      <c r="H1607">
        <f>INDEX(Operational[Energy Consumption (MWh)],MATCH(Emission8[[#This Row],[Facility ID]],Operational[Facility ID],0))</f>
        <v>1824.14</v>
      </c>
      <c r="I1607">
        <f>INDEX(Operational[Waste (tons)],MATCH(Emission8[[#This Row],[Facility ID]],Operational[Facility ID],0))</f>
        <v>52.78</v>
      </c>
    </row>
    <row r="1608" spans="1:9" x14ac:dyDescent="0.3">
      <c r="A1608" t="s">
        <v>165</v>
      </c>
      <c r="B1608" t="s">
        <v>7</v>
      </c>
      <c r="C1608" t="s">
        <v>23</v>
      </c>
      <c r="D1608" t="s">
        <v>9</v>
      </c>
      <c r="E1608" t="s">
        <v>24</v>
      </c>
      <c r="F1608">
        <v>163.44999999999999</v>
      </c>
      <c r="G1608">
        <f>INDEX(Operational[Production Volume (units)],MATCH(Emission8[[#This Row],[Facility ID]],Operational[Facility ID],0))</f>
        <v>32991</v>
      </c>
      <c r="H1608">
        <f>INDEX(Operational[Energy Consumption (MWh)],MATCH(Emission8[[#This Row],[Facility ID]],Operational[Facility ID],0))</f>
        <v>8540.14</v>
      </c>
      <c r="I1608">
        <f>INDEX(Operational[Waste (tons)],MATCH(Emission8[[#This Row],[Facility ID]],Operational[Facility ID],0))</f>
        <v>37.75</v>
      </c>
    </row>
    <row r="1609" spans="1:9" x14ac:dyDescent="0.3">
      <c r="A1609" t="s">
        <v>125</v>
      </c>
      <c r="B1609" t="s">
        <v>7</v>
      </c>
      <c r="C1609" t="s">
        <v>23</v>
      </c>
      <c r="D1609" t="s">
        <v>14</v>
      </c>
      <c r="E1609" t="s">
        <v>15</v>
      </c>
      <c r="F1609">
        <v>106.8</v>
      </c>
      <c r="G1609">
        <f>INDEX(Operational[Production Volume (units)],MATCH(Emission8[[#This Row],[Facility ID]],Operational[Facility ID],0))</f>
        <v>56392</v>
      </c>
      <c r="H1609">
        <f>INDEX(Operational[Energy Consumption (MWh)],MATCH(Emission8[[#This Row],[Facility ID]],Operational[Facility ID],0))</f>
        <v>5703.76</v>
      </c>
      <c r="I1609">
        <f>INDEX(Operational[Waste (tons)],MATCH(Emission8[[#This Row],[Facility ID]],Operational[Facility ID],0))</f>
        <v>23.04</v>
      </c>
    </row>
    <row r="1610" spans="1:9" x14ac:dyDescent="0.3">
      <c r="A1610" t="s">
        <v>122</v>
      </c>
      <c r="B1610" t="s">
        <v>19</v>
      </c>
      <c r="C1610" t="s">
        <v>34</v>
      </c>
      <c r="D1610" t="s">
        <v>14</v>
      </c>
      <c r="E1610" t="s">
        <v>15</v>
      </c>
      <c r="F1610">
        <v>2626.92</v>
      </c>
      <c r="G1610">
        <f>INDEX(Operational[Production Volume (units)],MATCH(Emission8[[#This Row],[Facility ID]],Operational[Facility ID],0))</f>
        <v>95962</v>
      </c>
      <c r="H1610">
        <f>INDEX(Operational[Energy Consumption (MWh)],MATCH(Emission8[[#This Row],[Facility ID]],Operational[Facility ID],0))</f>
        <v>524.72</v>
      </c>
      <c r="I1610">
        <f>INDEX(Operational[Waste (tons)],MATCH(Emission8[[#This Row],[Facility ID]],Operational[Facility ID],0))</f>
        <v>49.55</v>
      </c>
    </row>
    <row r="1611" spans="1:9" x14ac:dyDescent="0.3">
      <c r="A1611" t="s">
        <v>39</v>
      </c>
      <c r="B1611" t="s">
        <v>7</v>
      </c>
      <c r="C1611" t="s">
        <v>8</v>
      </c>
      <c r="D1611" t="s">
        <v>14</v>
      </c>
      <c r="E1611" t="s">
        <v>15</v>
      </c>
      <c r="F1611">
        <v>4932.7299999999996</v>
      </c>
      <c r="G1611">
        <f>INDEX(Operational[Production Volume (units)],MATCH(Emission8[[#This Row],[Facility ID]],Operational[Facility ID],0))</f>
        <v>80904</v>
      </c>
      <c r="H1611">
        <f>INDEX(Operational[Energy Consumption (MWh)],MATCH(Emission8[[#This Row],[Facility ID]],Operational[Facility ID],0))</f>
        <v>3263.09</v>
      </c>
      <c r="I1611">
        <f>INDEX(Operational[Waste (tons)],MATCH(Emission8[[#This Row],[Facility ID]],Operational[Facility ID],0))</f>
        <v>58.37</v>
      </c>
    </row>
    <row r="1612" spans="1:9" x14ac:dyDescent="0.3">
      <c r="A1612" t="s">
        <v>198</v>
      </c>
      <c r="B1612" t="s">
        <v>12</v>
      </c>
      <c r="C1612" t="s">
        <v>8</v>
      </c>
      <c r="D1612" t="s">
        <v>28</v>
      </c>
      <c r="E1612" t="s">
        <v>24</v>
      </c>
      <c r="F1612">
        <v>2097.4</v>
      </c>
      <c r="G1612">
        <f>INDEX(Operational[Production Volume (units)],MATCH(Emission8[[#This Row],[Facility ID]],Operational[Facility ID],0))</f>
        <v>58113</v>
      </c>
      <c r="H1612">
        <f>INDEX(Operational[Energy Consumption (MWh)],MATCH(Emission8[[#This Row],[Facility ID]],Operational[Facility ID],0))</f>
        <v>6382.12</v>
      </c>
      <c r="I1612">
        <f>INDEX(Operational[Waste (tons)],MATCH(Emission8[[#This Row],[Facility ID]],Operational[Facility ID],0))</f>
        <v>56.66</v>
      </c>
    </row>
    <row r="1613" spans="1:9" x14ac:dyDescent="0.3">
      <c r="A1613" t="s">
        <v>189</v>
      </c>
      <c r="B1613" t="s">
        <v>19</v>
      </c>
      <c r="C1613" t="s">
        <v>13</v>
      </c>
      <c r="D1613" t="s">
        <v>9</v>
      </c>
      <c r="E1613" t="s">
        <v>15</v>
      </c>
      <c r="F1613">
        <v>3185.28</v>
      </c>
      <c r="G1613">
        <f>INDEX(Operational[Production Volume (units)],MATCH(Emission8[[#This Row],[Facility ID]],Operational[Facility ID],0))</f>
        <v>27681</v>
      </c>
      <c r="H1613">
        <f>INDEX(Operational[Energy Consumption (MWh)],MATCH(Emission8[[#This Row],[Facility ID]],Operational[Facility ID],0))</f>
        <v>928.26</v>
      </c>
      <c r="I1613">
        <f>INDEX(Operational[Waste (tons)],MATCH(Emission8[[#This Row],[Facility ID]],Operational[Facility ID],0))</f>
        <v>44.97</v>
      </c>
    </row>
    <row r="1614" spans="1:9" x14ac:dyDescent="0.3">
      <c r="A1614" t="s">
        <v>124</v>
      </c>
      <c r="B1614" t="s">
        <v>12</v>
      </c>
      <c r="C1614" t="s">
        <v>34</v>
      </c>
      <c r="D1614" t="s">
        <v>14</v>
      </c>
      <c r="E1614" t="s">
        <v>10</v>
      </c>
      <c r="F1614">
        <v>3081.68</v>
      </c>
      <c r="G1614">
        <f>INDEX(Operational[Production Volume (units)],MATCH(Emission8[[#This Row],[Facility ID]],Operational[Facility ID],0))</f>
        <v>47491</v>
      </c>
      <c r="H1614">
        <f>INDEX(Operational[Energy Consumption (MWh)],MATCH(Emission8[[#This Row],[Facility ID]],Operational[Facility ID],0))</f>
        <v>5781.05</v>
      </c>
      <c r="I1614">
        <f>INDEX(Operational[Waste (tons)],MATCH(Emission8[[#This Row],[Facility ID]],Operational[Facility ID],0))</f>
        <v>92.18</v>
      </c>
    </row>
    <row r="1615" spans="1:9" x14ac:dyDescent="0.3">
      <c r="A1615" t="s">
        <v>209</v>
      </c>
      <c r="B1615" t="s">
        <v>7</v>
      </c>
      <c r="C1615" t="s">
        <v>13</v>
      </c>
      <c r="D1615" t="s">
        <v>28</v>
      </c>
      <c r="E1615" t="s">
        <v>15</v>
      </c>
      <c r="F1615">
        <v>1531.36</v>
      </c>
      <c r="G1615">
        <f>INDEX(Operational[Production Volume (units)],MATCH(Emission8[[#This Row],[Facility ID]],Operational[Facility ID],0))</f>
        <v>52357</v>
      </c>
      <c r="H1615">
        <f>INDEX(Operational[Energy Consumption (MWh)],MATCH(Emission8[[#This Row],[Facility ID]],Operational[Facility ID],0))</f>
        <v>5643.16</v>
      </c>
      <c r="I1615">
        <f>INDEX(Operational[Waste (tons)],MATCH(Emission8[[#This Row],[Facility ID]],Operational[Facility ID],0))</f>
        <v>37.130000000000003</v>
      </c>
    </row>
    <row r="1616" spans="1:9" x14ac:dyDescent="0.3">
      <c r="A1616" t="s">
        <v>202</v>
      </c>
      <c r="B1616" t="s">
        <v>12</v>
      </c>
      <c r="C1616" t="s">
        <v>34</v>
      </c>
      <c r="D1616" t="s">
        <v>14</v>
      </c>
      <c r="E1616" t="s">
        <v>10</v>
      </c>
      <c r="F1616">
        <v>1564.12</v>
      </c>
      <c r="G1616">
        <f>INDEX(Operational[Production Volume (units)],MATCH(Emission8[[#This Row],[Facility ID]],Operational[Facility ID],0))</f>
        <v>28400</v>
      </c>
      <c r="H1616">
        <f>INDEX(Operational[Energy Consumption (MWh)],MATCH(Emission8[[#This Row],[Facility ID]],Operational[Facility ID],0))</f>
        <v>3056.67</v>
      </c>
      <c r="I1616">
        <f>INDEX(Operational[Waste (tons)],MATCH(Emission8[[#This Row],[Facility ID]],Operational[Facility ID],0))</f>
        <v>52.68</v>
      </c>
    </row>
    <row r="1617" spans="1:9" x14ac:dyDescent="0.3">
      <c r="A1617" t="s">
        <v>101</v>
      </c>
      <c r="B1617" t="s">
        <v>19</v>
      </c>
      <c r="C1617" t="s">
        <v>23</v>
      </c>
      <c r="D1617" t="s">
        <v>28</v>
      </c>
      <c r="E1617" t="s">
        <v>10</v>
      </c>
      <c r="F1617">
        <v>3016.94</v>
      </c>
      <c r="G1617">
        <f>INDEX(Operational[Production Volume (units)],MATCH(Emission8[[#This Row],[Facility ID]],Operational[Facility ID],0))</f>
        <v>39050</v>
      </c>
      <c r="H1617">
        <f>INDEX(Operational[Energy Consumption (MWh)],MATCH(Emission8[[#This Row],[Facility ID]],Operational[Facility ID],0))</f>
        <v>5885.73</v>
      </c>
      <c r="I1617">
        <f>INDEX(Operational[Waste (tons)],MATCH(Emission8[[#This Row],[Facility ID]],Operational[Facility ID],0))</f>
        <v>93.04</v>
      </c>
    </row>
    <row r="1618" spans="1:9" x14ac:dyDescent="0.3">
      <c r="A1618" t="s">
        <v>56</v>
      </c>
      <c r="B1618" t="s">
        <v>19</v>
      </c>
      <c r="C1618" t="s">
        <v>34</v>
      </c>
      <c r="D1618" t="s">
        <v>9</v>
      </c>
      <c r="E1618" t="s">
        <v>15</v>
      </c>
      <c r="F1618">
        <v>3853.19</v>
      </c>
      <c r="G1618">
        <f>INDEX(Operational[Production Volume (units)],MATCH(Emission8[[#This Row],[Facility ID]],Operational[Facility ID],0))</f>
        <v>43747</v>
      </c>
      <c r="H1618">
        <f>INDEX(Operational[Energy Consumption (MWh)],MATCH(Emission8[[#This Row],[Facility ID]],Operational[Facility ID],0))</f>
        <v>3453.48</v>
      </c>
      <c r="I1618">
        <f>INDEX(Operational[Waste (tons)],MATCH(Emission8[[#This Row],[Facility ID]],Operational[Facility ID],0))</f>
        <v>98.78</v>
      </c>
    </row>
    <row r="1619" spans="1:9" x14ac:dyDescent="0.3">
      <c r="A1619" t="s">
        <v>171</v>
      </c>
      <c r="B1619" t="s">
        <v>17</v>
      </c>
      <c r="C1619" t="s">
        <v>23</v>
      </c>
      <c r="D1619" t="s">
        <v>28</v>
      </c>
      <c r="E1619" t="s">
        <v>10</v>
      </c>
      <c r="F1619">
        <v>459.36</v>
      </c>
      <c r="G1619">
        <f>INDEX(Operational[Production Volume (units)],MATCH(Emission8[[#This Row],[Facility ID]],Operational[Facility ID],0))</f>
        <v>24502</v>
      </c>
      <c r="H1619">
        <f>INDEX(Operational[Energy Consumption (MWh)],MATCH(Emission8[[#This Row],[Facility ID]],Operational[Facility ID],0))</f>
        <v>7466.86</v>
      </c>
      <c r="I1619">
        <f>INDEX(Operational[Waste (tons)],MATCH(Emission8[[#This Row],[Facility ID]],Operational[Facility ID],0))</f>
        <v>88.83</v>
      </c>
    </row>
    <row r="1620" spans="1:9" x14ac:dyDescent="0.3">
      <c r="A1620" t="s">
        <v>216</v>
      </c>
      <c r="B1620" t="s">
        <v>17</v>
      </c>
      <c r="C1620" t="s">
        <v>23</v>
      </c>
      <c r="D1620" t="s">
        <v>14</v>
      </c>
      <c r="E1620" t="s">
        <v>15</v>
      </c>
      <c r="F1620">
        <v>2792.22</v>
      </c>
      <c r="G1620">
        <f>INDEX(Operational[Production Volume (units)],MATCH(Emission8[[#This Row],[Facility ID]],Operational[Facility ID],0))</f>
        <v>13302</v>
      </c>
      <c r="H1620">
        <f>INDEX(Operational[Energy Consumption (MWh)],MATCH(Emission8[[#This Row],[Facility ID]],Operational[Facility ID],0))</f>
        <v>821.51</v>
      </c>
      <c r="I1620">
        <f>INDEX(Operational[Waste (tons)],MATCH(Emission8[[#This Row],[Facility ID]],Operational[Facility ID],0))</f>
        <v>69.599999999999994</v>
      </c>
    </row>
    <row r="1621" spans="1:9" x14ac:dyDescent="0.3">
      <c r="A1621" t="s">
        <v>53</v>
      </c>
      <c r="B1621" t="s">
        <v>7</v>
      </c>
      <c r="C1621" t="s">
        <v>34</v>
      </c>
      <c r="D1621" t="s">
        <v>28</v>
      </c>
      <c r="E1621" t="s">
        <v>15</v>
      </c>
      <c r="F1621">
        <v>4129.93</v>
      </c>
      <c r="G1621">
        <f>INDEX(Operational[Production Volume (units)],MATCH(Emission8[[#This Row],[Facility ID]],Operational[Facility ID],0))</f>
        <v>90632</v>
      </c>
      <c r="H1621">
        <f>INDEX(Operational[Energy Consumption (MWh)],MATCH(Emission8[[#This Row],[Facility ID]],Operational[Facility ID],0))</f>
        <v>5292.17</v>
      </c>
      <c r="I1621">
        <f>INDEX(Operational[Waste (tons)],MATCH(Emission8[[#This Row],[Facility ID]],Operational[Facility ID],0))</f>
        <v>78.45</v>
      </c>
    </row>
    <row r="1622" spans="1:9" x14ac:dyDescent="0.3">
      <c r="A1622" t="s">
        <v>192</v>
      </c>
      <c r="B1622" t="s">
        <v>19</v>
      </c>
      <c r="C1622" t="s">
        <v>34</v>
      </c>
      <c r="D1622" t="s">
        <v>28</v>
      </c>
      <c r="E1622" t="s">
        <v>15</v>
      </c>
      <c r="F1622">
        <v>2515.67</v>
      </c>
      <c r="G1622">
        <f>INDEX(Operational[Production Volume (units)],MATCH(Emission8[[#This Row],[Facility ID]],Operational[Facility ID],0))</f>
        <v>43227</v>
      </c>
      <c r="H1622">
        <f>INDEX(Operational[Energy Consumption (MWh)],MATCH(Emission8[[#This Row],[Facility ID]],Operational[Facility ID],0))</f>
        <v>5199.53</v>
      </c>
      <c r="I1622">
        <f>INDEX(Operational[Waste (tons)],MATCH(Emission8[[#This Row],[Facility ID]],Operational[Facility ID],0))</f>
        <v>44.09</v>
      </c>
    </row>
    <row r="1623" spans="1:9" x14ac:dyDescent="0.3">
      <c r="A1623" t="s">
        <v>37</v>
      </c>
      <c r="B1623" t="s">
        <v>17</v>
      </c>
      <c r="C1623" t="s">
        <v>13</v>
      </c>
      <c r="D1623" t="s">
        <v>9</v>
      </c>
      <c r="E1623" t="s">
        <v>10</v>
      </c>
      <c r="F1623">
        <v>1577.95</v>
      </c>
      <c r="G1623">
        <f>INDEX(Operational[Production Volume (units)],MATCH(Emission8[[#This Row],[Facility ID]],Operational[Facility ID],0))</f>
        <v>71747</v>
      </c>
      <c r="H1623">
        <f>INDEX(Operational[Energy Consumption (MWh)],MATCH(Emission8[[#This Row],[Facility ID]],Operational[Facility ID],0))</f>
        <v>9838.66</v>
      </c>
      <c r="I1623">
        <f>INDEX(Operational[Waste (tons)],MATCH(Emission8[[#This Row],[Facility ID]],Operational[Facility ID],0))</f>
        <v>7.25</v>
      </c>
    </row>
    <row r="1624" spans="1:9" x14ac:dyDescent="0.3">
      <c r="A1624" t="s">
        <v>102</v>
      </c>
      <c r="B1624" t="s">
        <v>19</v>
      </c>
      <c r="C1624" t="s">
        <v>13</v>
      </c>
      <c r="D1624" t="s">
        <v>9</v>
      </c>
      <c r="E1624" t="s">
        <v>24</v>
      </c>
      <c r="F1624">
        <v>4224.2</v>
      </c>
      <c r="G1624">
        <f>INDEX(Operational[Production Volume (units)],MATCH(Emission8[[#This Row],[Facility ID]],Operational[Facility ID],0))</f>
        <v>86263</v>
      </c>
      <c r="H1624">
        <f>INDEX(Operational[Energy Consumption (MWh)],MATCH(Emission8[[#This Row],[Facility ID]],Operational[Facility ID],0))</f>
        <v>3213.71</v>
      </c>
      <c r="I1624">
        <f>INDEX(Operational[Waste (tons)],MATCH(Emission8[[#This Row],[Facility ID]],Operational[Facility ID],0))</f>
        <v>98.39</v>
      </c>
    </row>
    <row r="1625" spans="1:9" x14ac:dyDescent="0.3">
      <c r="A1625" t="s">
        <v>101</v>
      </c>
      <c r="B1625" t="s">
        <v>19</v>
      </c>
      <c r="C1625" t="s">
        <v>23</v>
      </c>
      <c r="D1625" t="s">
        <v>9</v>
      </c>
      <c r="E1625" t="s">
        <v>24</v>
      </c>
      <c r="F1625">
        <v>4932.3999999999996</v>
      </c>
      <c r="G1625">
        <f>INDEX(Operational[Production Volume (units)],MATCH(Emission8[[#This Row],[Facility ID]],Operational[Facility ID],0))</f>
        <v>39050</v>
      </c>
      <c r="H1625">
        <f>INDEX(Operational[Energy Consumption (MWh)],MATCH(Emission8[[#This Row],[Facility ID]],Operational[Facility ID],0))</f>
        <v>5885.73</v>
      </c>
      <c r="I1625">
        <f>INDEX(Operational[Waste (tons)],MATCH(Emission8[[#This Row],[Facility ID]],Operational[Facility ID],0))</f>
        <v>93.04</v>
      </c>
    </row>
    <row r="1626" spans="1:9" x14ac:dyDescent="0.3">
      <c r="A1626" t="s">
        <v>212</v>
      </c>
      <c r="B1626" t="s">
        <v>7</v>
      </c>
      <c r="C1626" t="s">
        <v>13</v>
      </c>
      <c r="D1626" t="s">
        <v>28</v>
      </c>
      <c r="E1626" t="s">
        <v>10</v>
      </c>
      <c r="F1626">
        <v>1505.22</v>
      </c>
      <c r="G1626">
        <f>INDEX(Operational[Production Volume (units)],MATCH(Emission8[[#This Row],[Facility ID]],Operational[Facility ID],0))</f>
        <v>67820</v>
      </c>
      <c r="H1626">
        <f>INDEX(Operational[Energy Consumption (MWh)],MATCH(Emission8[[#This Row],[Facility ID]],Operational[Facility ID],0))</f>
        <v>8177.95</v>
      </c>
      <c r="I1626">
        <f>INDEX(Operational[Waste (tons)],MATCH(Emission8[[#This Row],[Facility ID]],Operational[Facility ID],0))</f>
        <v>40.69</v>
      </c>
    </row>
    <row r="1627" spans="1:9" x14ac:dyDescent="0.3">
      <c r="A1627" t="s">
        <v>141</v>
      </c>
      <c r="B1627" t="s">
        <v>7</v>
      </c>
      <c r="C1627" t="s">
        <v>23</v>
      </c>
      <c r="D1627" t="s">
        <v>9</v>
      </c>
      <c r="E1627" t="s">
        <v>15</v>
      </c>
      <c r="F1627">
        <v>2186.84</v>
      </c>
      <c r="G1627">
        <f>INDEX(Operational[Production Volume (units)],MATCH(Emission8[[#This Row],[Facility ID]],Operational[Facility ID],0))</f>
        <v>45644</v>
      </c>
      <c r="H1627">
        <f>INDEX(Operational[Energy Consumption (MWh)],MATCH(Emission8[[#This Row],[Facility ID]],Operational[Facility ID],0))</f>
        <v>7724.73</v>
      </c>
      <c r="I1627">
        <f>INDEX(Operational[Waste (tons)],MATCH(Emission8[[#This Row],[Facility ID]],Operational[Facility ID],0))</f>
        <v>31</v>
      </c>
    </row>
    <row r="1628" spans="1:9" x14ac:dyDescent="0.3">
      <c r="A1628" t="s">
        <v>165</v>
      </c>
      <c r="B1628" t="s">
        <v>7</v>
      </c>
      <c r="C1628" t="s">
        <v>13</v>
      </c>
      <c r="D1628" t="s">
        <v>14</v>
      </c>
      <c r="E1628" t="s">
        <v>10</v>
      </c>
      <c r="F1628">
        <v>1236.5999999999999</v>
      </c>
      <c r="G1628">
        <f>INDEX(Operational[Production Volume (units)],MATCH(Emission8[[#This Row],[Facility ID]],Operational[Facility ID],0))</f>
        <v>32991</v>
      </c>
      <c r="H1628">
        <f>INDEX(Operational[Energy Consumption (MWh)],MATCH(Emission8[[#This Row],[Facility ID]],Operational[Facility ID],0))</f>
        <v>8540.14</v>
      </c>
      <c r="I1628">
        <f>INDEX(Operational[Waste (tons)],MATCH(Emission8[[#This Row],[Facility ID]],Operational[Facility ID],0))</f>
        <v>37.75</v>
      </c>
    </row>
    <row r="1629" spans="1:9" x14ac:dyDescent="0.3">
      <c r="A1629" t="s">
        <v>169</v>
      </c>
      <c r="B1629" t="s">
        <v>12</v>
      </c>
      <c r="C1629" t="s">
        <v>34</v>
      </c>
      <c r="D1629" t="s">
        <v>14</v>
      </c>
      <c r="E1629" t="s">
        <v>10</v>
      </c>
      <c r="F1629">
        <v>950.62</v>
      </c>
      <c r="G1629">
        <f>INDEX(Operational[Production Volume (units)],MATCH(Emission8[[#This Row],[Facility ID]],Operational[Facility ID],0))</f>
        <v>82377</v>
      </c>
      <c r="H1629">
        <f>INDEX(Operational[Energy Consumption (MWh)],MATCH(Emission8[[#This Row],[Facility ID]],Operational[Facility ID],0))</f>
        <v>7974.74</v>
      </c>
      <c r="I1629">
        <f>INDEX(Operational[Waste (tons)],MATCH(Emission8[[#This Row],[Facility ID]],Operational[Facility ID],0))</f>
        <v>9.17</v>
      </c>
    </row>
    <row r="1630" spans="1:9" x14ac:dyDescent="0.3">
      <c r="A1630" t="s">
        <v>212</v>
      </c>
      <c r="B1630" t="s">
        <v>7</v>
      </c>
      <c r="C1630" t="s">
        <v>34</v>
      </c>
      <c r="D1630" t="s">
        <v>9</v>
      </c>
      <c r="E1630" t="s">
        <v>10</v>
      </c>
      <c r="F1630">
        <v>1417.73</v>
      </c>
      <c r="G1630">
        <f>INDEX(Operational[Production Volume (units)],MATCH(Emission8[[#This Row],[Facility ID]],Operational[Facility ID],0))</f>
        <v>67820</v>
      </c>
      <c r="H1630">
        <f>INDEX(Operational[Energy Consumption (MWh)],MATCH(Emission8[[#This Row],[Facility ID]],Operational[Facility ID],0))</f>
        <v>8177.95</v>
      </c>
      <c r="I1630">
        <f>INDEX(Operational[Waste (tons)],MATCH(Emission8[[#This Row],[Facility ID]],Operational[Facility ID],0))</f>
        <v>40.69</v>
      </c>
    </row>
    <row r="1631" spans="1:9" x14ac:dyDescent="0.3">
      <c r="A1631" t="s">
        <v>153</v>
      </c>
      <c r="B1631" t="s">
        <v>7</v>
      </c>
      <c r="C1631" t="s">
        <v>8</v>
      </c>
      <c r="D1631" t="s">
        <v>14</v>
      </c>
      <c r="E1631" t="s">
        <v>10</v>
      </c>
      <c r="F1631">
        <v>1840.6</v>
      </c>
      <c r="G1631">
        <f>INDEX(Operational[Production Volume (units)],MATCH(Emission8[[#This Row],[Facility ID]],Operational[Facility ID],0))</f>
        <v>21388</v>
      </c>
      <c r="H1631">
        <f>INDEX(Operational[Energy Consumption (MWh)],MATCH(Emission8[[#This Row],[Facility ID]],Operational[Facility ID],0))</f>
        <v>5249.39</v>
      </c>
      <c r="I1631">
        <f>INDEX(Operational[Waste (tons)],MATCH(Emission8[[#This Row],[Facility ID]],Operational[Facility ID],0))</f>
        <v>64.2</v>
      </c>
    </row>
    <row r="1632" spans="1:9" x14ac:dyDescent="0.3">
      <c r="A1632" t="s">
        <v>91</v>
      </c>
      <c r="B1632" t="s">
        <v>30</v>
      </c>
      <c r="C1632" t="s">
        <v>34</v>
      </c>
      <c r="D1632" t="s">
        <v>28</v>
      </c>
      <c r="E1632" t="s">
        <v>15</v>
      </c>
      <c r="F1632">
        <v>136.41</v>
      </c>
      <c r="G1632">
        <f>INDEX(Operational[Production Volume (units)],MATCH(Emission8[[#This Row],[Facility ID]],Operational[Facility ID],0))</f>
        <v>20207</v>
      </c>
      <c r="H1632">
        <f>INDEX(Operational[Energy Consumption (MWh)],MATCH(Emission8[[#This Row],[Facility ID]],Operational[Facility ID],0))</f>
        <v>5369.46</v>
      </c>
      <c r="I1632">
        <f>INDEX(Operational[Waste (tons)],MATCH(Emission8[[#This Row],[Facility ID]],Operational[Facility ID],0))</f>
        <v>57.51</v>
      </c>
    </row>
    <row r="1633" spans="1:9" x14ac:dyDescent="0.3">
      <c r="A1633" t="s">
        <v>39</v>
      </c>
      <c r="B1633" t="s">
        <v>7</v>
      </c>
      <c r="C1633" t="s">
        <v>23</v>
      </c>
      <c r="D1633" t="s">
        <v>14</v>
      </c>
      <c r="E1633" t="s">
        <v>24</v>
      </c>
      <c r="F1633">
        <v>2167.6999999999998</v>
      </c>
      <c r="G1633">
        <f>INDEX(Operational[Production Volume (units)],MATCH(Emission8[[#This Row],[Facility ID]],Operational[Facility ID],0))</f>
        <v>80904</v>
      </c>
      <c r="H1633">
        <f>INDEX(Operational[Energy Consumption (MWh)],MATCH(Emission8[[#This Row],[Facility ID]],Operational[Facility ID],0))</f>
        <v>3263.09</v>
      </c>
      <c r="I1633">
        <f>INDEX(Operational[Waste (tons)],MATCH(Emission8[[#This Row],[Facility ID]],Operational[Facility ID],0))</f>
        <v>58.37</v>
      </c>
    </row>
    <row r="1634" spans="1:9" x14ac:dyDescent="0.3">
      <c r="A1634" t="s">
        <v>68</v>
      </c>
      <c r="B1634" t="s">
        <v>12</v>
      </c>
      <c r="C1634" t="s">
        <v>13</v>
      </c>
      <c r="D1634" t="s">
        <v>28</v>
      </c>
      <c r="E1634" t="s">
        <v>24</v>
      </c>
      <c r="F1634">
        <v>3755.45</v>
      </c>
      <c r="G1634">
        <f>INDEX(Operational[Production Volume (units)],MATCH(Emission8[[#This Row],[Facility ID]],Operational[Facility ID],0))</f>
        <v>69100</v>
      </c>
      <c r="H1634">
        <f>INDEX(Operational[Energy Consumption (MWh)],MATCH(Emission8[[#This Row],[Facility ID]],Operational[Facility ID],0))</f>
        <v>9356.02</v>
      </c>
      <c r="I1634">
        <f>INDEX(Operational[Waste (tons)],MATCH(Emission8[[#This Row],[Facility ID]],Operational[Facility ID],0))</f>
        <v>16.5</v>
      </c>
    </row>
    <row r="1635" spans="1:9" x14ac:dyDescent="0.3">
      <c r="A1635" t="s">
        <v>110</v>
      </c>
      <c r="B1635" t="s">
        <v>12</v>
      </c>
      <c r="C1635" t="s">
        <v>13</v>
      </c>
      <c r="D1635" t="s">
        <v>28</v>
      </c>
      <c r="E1635" t="s">
        <v>10</v>
      </c>
      <c r="F1635">
        <v>1313.84</v>
      </c>
      <c r="G1635">
        <f>INDEX(Operational[Production Volume (units)],MATCH(Emission8[[#This Row],[Facility ID]],Operational[Facility ID],0))</f>
        <v>70481</v>
      </c>
      <c r="H1635">
        <f>INDEX(Operational[Energy Consumption (MWh)],MATCH(Emission8[[#This Row],[Facility ID]],Operational[Facility ID],0))</f>
        <v>4452.83</v>
      </c>
      <c r="I1635">
        <f>INDEX(Operational[Waste (tons)],MATCH(Emission8[[#This Row],[Facility ID]],Operational[Facility ID],0))</f>
        <v>91.26</v>
      </c>
    </row>
    <row r="1636" spans="1:9" x14ac:dyDescent="0.3">
      <c r="A1636" t="s">
        <v>142</v>
      </c>
      <c r="B1636" t="s">
        <v>17</v>
      </c>
      <c r="C1636" t="s">
        <v>13</v>
      </c>
      <c r="D1636" t="s">
        <v>9</v>
      </c>
      <c r="E1636" t="s">
        <v>10</v>
      </c>
      <c r="F1636">
        <v>460.08</v>
      </c>
      <c r="G1636">
        <f>INDEX(Operational[Production Volume (units)],MATCH(Emission8[[#This Row],[Facility ID]],Operational[Facility ID],0))</f>
        <v>75736</v>
      </c>
      <c r="H1636">
        <f>INDEX(Operational[Energy Consumption (MWh)],MATCH(Emission8[[#This Row],[Facility ID]],Operational[Facility ID],0))</f>
        <v>6287.07</v>
      </c>
      <c r="I1636">
        <f>INDEX(Operational[Waste (tons)],MATCH(Emission8[[#This Row],[Facility ID]],Operational[Facility ID],0))</f>
        <v>63.11</v>
      </c>
    </row>
    <row r="1637" spans="1:9" x14ac:dyDescent="0.3">
      <c r="A1637" t="s">
        <v>181</v>
      </c>
      <c r="B1637" t="s">
        <v>30</v>
      </c>
      <c r="C1637" t="s">
        <v>13</v>
      </c>
      <c r="D1637" t="s">
        <v>9</v>
      </c>
      <c r="E1637" t="s">
        <v>24</v>
      </c>
      <c r="F1637">
        <v>2230.08</v>
      </c>
      <c r="G1637">
        <f>INDEX(Operational[Production Volume (units)],MATCH(Emission8[[#This Row],[Facility ID]],Operational[Facility ID],0))</f>
        <v>28704</v>
      </c>
      <c r="H1637">
        <f>INDEX(Operational[Energy Consumption (MWh)],MATCH(Emission8[[#This Row],[Facility ID]],Operational[Facility ID],0))</f>
        <v>6009.24</v>
      </c>
      <c r="I1637">
        <f>INDEX(Operational[Waste (tons)],MATCH(Emission8[[#This Row],[Facility ID]],Operational[Facility ID],0))</f>
        <v>39.31</v>
      </c>
    </row>
    <row r="1638" spans="1:9" x14ac:dyDescent="0.3">
      <c r="A1638" t="s">
        <v>21</v>
      </c>
      <c r="B1638" t="s">
        <v>19</v>
      </c>
      <c r="C1638" t="s">
        <v>8</v>
      </c>
      <c r="D1638" t="s">
        <v>14</v>
      </c>
      <c r="E1638" t="s">
        <v>24</v>
      </c>
      <c r="F1638">
        <v>324.83</v>
      </c>
      <c r="G1638">
        <f>INDEX(Operational[Production Volume (units)],MATCH(Emission8[[#This Row],[Facility ID]],Operational[Facility ID],0))</f>
        <v>61157</v>
      </c>
      <c r="H1638">
        <f>INDEX(Operational[Energy Consumption (MWh)],MATCH(Emission8[[#This Row],[Facility ID]],Operational[Facility ID],0))</f>
        <v>7331.54</v>
      </c>
      <c r="I1638">
        <f>INDEX(Operational[Waste (tons)],MATCH(Emission8[[#This Row],[Facility ID]],Operational[Facility ID],0))</f>
        <v>55.52</v>
      </c>
    </row>
    <row r="1639" spans="1:9" x14ac:dyDescent="0.3">
      <c r="A1639" t="s">
        <v>218</v>
      </c>
      <c r="B1639" t="s">
        <v>17</v>
      </c>
      <c r="C1639" t="s">
        <v>23</v>
      </c>
      <c r="D1639" t="s">
        <v>9</v>
      </c>
      <c r="E1639" t="s">
        <v>10</v>
      </c>
      <c r="F1639">
        <v>621.27</v>
      </c>
      <c r="G1639">
        <f>INDEX(Operational[Production Volume (units)],MATCH(Emission8[[#This Row],[Facility ID]],Operational[Facility ID],0))</f>
        <v>22525</v>
      </c>
      <c r="H1639">
        <f>INDEX(Operational[Energy Consumption (MWh)],MATCH(Emission8[[#This Row],[Facility ID]],Operational[Facility ID],0))</f>
        <v>9465.65</v>
      </c>
      <c r="I1639">
        <f>INDEX(Operational[Waste (tons)],MATCH(Emission8[[#This Row],[Facility ID]],Operational[Facility ID],0))</f>
        <v>37.79</v>
      </c>
    </row>
    <row r="1640" spans="1:9" x14ac:dyDescent="0.3">
      <c r="A1640" t="s">
        <v>187</v>
      </c>
      <c r="B1640" t="s">
        <v>19</v>
      </c>
      <c r="C1640" t="s">
        <v>23</v>
      </c>
      <c r="D1640" t="s">
        <v>28</v>
      </c>
      <c r="E1640" t="s">
        <v>10</v>
      </c>
      <c r="F1640">
        <v>1054.75</v>
      </c>
      <c r="G1640">
        <f>INDEX(Operational[Production Volume (units)],MATCH(Emission8[[#This Row],[Facility ID]],Operational[Facility ID],0))</f>
        <v>94861</v>
      </c>
      <c r="H1640">
        <f>INDEX(Operational[Energy Consumption (MWh)],MATCH(Emission8[[#This Row],[Facility ID]],Operational[Facility ID],0))</f>
        <v>8363.57</v>
      </c>
      <c r="I1640">
        <f>INDEX(Operational[Waste (tons)],MATCH(Emission8[[#This Row],[Facility ID]],Operational[Facility ID],0))</f>
        <v>90.29</v>
      </c>
    </row>
    <row r="1641" spans="1:9" x14ac:dyDescent="0.3">
      <c r="A1641" t="s">
        <v>100</v>
      </c>
      <c r="B1641" t="s">
        <v>7</v>
      </c>
      <c r="C1641" t="s">
        <v>13</v>
      </c>
      <c r="D1641" t="s">
        <v>9</v>
      </c>
      <c r="E1641" t="s">
        <v>15</v>
      </c>
      <c r="F1641">
        <v>5086.7299999999996</v>
      </c>
      <c r="G1641">
        <f>INDEX(Operational[Production Volume (units)],MATCH(Emission8[[#This Row],[Facility ID]],Operational[Facility ID],0))</f>
        <v>17468</v>
      </c>
      <c r="H1641">
        <f>INDEX(Operational[Energy Consumption (MWh)],MATCH(Emission8[[#This Row],[Facility ID]],Operational[Facility ID],0))</f>
        <v>6359.73</v>
      </c>
      <c r="I1641">
        <f>INDEX(Operational[Waste (tons)],MATCH(Emission8[[#This Row],[Facility ID]],Operational[Facility ID],0))</f>
        <v>5.22</v>
      </c>
    </row>
    <row r="1642" spans="1:9" x14ac:dyDescent="0.3">
      <c r="A1642" t="s">
        <v>206</v>
      </c>
      <c r="B1642" t="s">
        <v>19</v>
      </c>
      <c r="C1642" t="s">
        <v>23</v>
      </c>
      <c r="D1642" t="s">
        <v>28</v>
      </c>
      <c r="E1642" t="s">
        <v>24</v>
      </c>
      <c r="F1642">
        <v>733.07</v>
      </c>
      <c r="G1642">
        <f>INDEX(Operational[Production Volume (units)],MATCH(Emission8[[#This Row],[Facility ID]],Operational[Facility ID],0))</f>
        <v>10250</v>
      </c>
      <c r="H1642">
        <f>INDEX(Operational[Energy Consumption (MWh)],MATCH(Emission8[[#This Row],[Facility ID]],Operational[Facility ID],0))</f>
        <v>4717</v>
      </c>
      <c r="I1642">
        <f>INDEX(Operational[Waste (tons)],MATCH(Emission8[[#This Row],[Facility ID]],Operational[Facility ID],0))</f>
        <v>16.600000000000001</v>
      </c>
    </row>
    <row r="1643" spans="1:9" x14ac:dyDescent="0.3">
      <c r="A1643" t="s">
        <v>108</v>
      </c>
      <c r="B1643" t="s">
        <v>7</v>
      </c>
      <c r="C1643" t="s">
        <v>13</v>
      </c>
      <c r="D1643" t="s">
        <v>14</v>
      </c>
      <c r="E1643" t="s">
        <v>24</v>
      </c>
      <c r="F1643">
        <v>4608.12</v>
      </c>
      <c r="G1643">
        <f>INDEX(Operational[Production Volume (units)],MATCH(Emission8[[#This Row],[Facility ID]],Operational[Facility ID],0))</f>
        <v>22201</v>
      </c>
      <c r="H1643">
        <f>INDEX(Operational[Energy Consumption (MWh)],MATCH(Emission8[[#This Row],[Facility ID]],Operational[Facility ID],0))</f>
        <v>2853.66</v>
      </c>
      <c r="I1643">
        <f>INDEX(Operational[Waste (tons)],MATCH(Emission8[[#This Row],[Facility ID]],Operational[Facility ID],0))</f>
        <v>71.94</v>
      </c>
    </row>
    <row r="1644" spans="1:9" x14ac:dyDescent="0.3">
      <c r="A1644" t="s">
        <v>44</v>
      </c>
      <c r="B1644" t="s">
        <v>19</v>
      </c>
      <c r="C1644" t="s">
        <v>23</v>
      </c>
      <c r="D1644" t="s">
        <v>28</v>
      </c>
      <c r="E1644" t="s">
        <v>10</v>
      </c>
      <c r="F1644">
        <v>3092.45</v>
      </c>
      <c r="G1644">
        <f>INDEX(Operational[Production Volume (units)],MATCH(Emission8[[#This Row],[Facility ID]],Operational[Facility ID],0))</f>
        <v>16256</v>
      </c>
      <c r="H1644">
        <f>INDEX(Operational[Energy Consumption (MWh)],MATCH(Emission8[[#This Row],[Facility ID]],Operational[Facility ID],0))</f>
        <v>2127.1799999999998</v>
      </c>
      <c r="I1644">
        <f>INDEX(Operational[Waste (tons)],MATCH(Emission8[[#This Row],[Facility ID]],Operational[Facility ID],0))</f>
        <v>38.94</v>
      </c>
    </row>
    <row r="1645" spans="1:9" x14ac:dyDescent="0.3">
      <c r="A1645" t="s">
        <v>61</v>
      </c>
      <c r="B1645" t="s">
        <v>30</v>
      </c>
      <c r="C1645" t="s">
        <v>34</v>
      </c>
      <c r="D1645" t="s">
        <v>14</v>
      </c>
      <c r="E1645" t="s">
        <v>15</v>
      </c>
      <c r="F1645">
        <v>824.2</v>
      </c>
      <c r="G1645">
        <f>INDEX(Operational[Production Volume (units)],MATCH(Emission8[[#This Row],[Facility ID]],Operational[Facility ID],0))</f>
        <v>95718</v>
      </c>
      <c r="H1645">
        <f>INDEX(Operational[Energy Consumption (MWh)],MATCH(Emission8[[#This Row],[Facility ID]],Operational[Facility ID],0))</f>
        <v>2443.12</v>
      </c>
      <c r="I1645">
        <f>INDEX(Operational[Waste (tons)],MATCH(Emission8[[#This Row],[Facility ID]],Operational[Facility ID],0))</f>
        <v>35.49</v>
      </c>
    </row>
    <row r="1646" spans="1:9" x14ac:dyDescent="0.3">
      <c r="A1646" t="s">
        <v>58</v>
      </c>
      <c r="B1646" t="s">
        <v>17</v>
      </c>
      <c r="C1646" t="s">
        <v>8</v>
      </c>
      <c r="D1646" t="s">
        <v>28</v>
      </c>
      <c r="E1646" t="s">
        <v>10</v>
      </c>
      <c r="F1646">
        <v>1816.62</v>
      </c>
      <c r="G1646">
        <f>INDEX(Operational[Production Volume (units)],MATCH(Emission8[[#This Row],[Facility ID]],Operational[Facility ID],0))</f>
        <v>32246</v>
      </c>
      <c r="H1646">
        <f>INDEX(Operational[Energy Consumption (MWh)],MATCH(Emission8[[#This Row],[Facility ID]],Operational[Facility ID],0))</f>
        <v>7903.93</v>
      </c>
      <c r="I1646">
        <f>INDEX(Operational[Waste (tons)],MATCH(Emission8[[#This Row],[Facility ID]],Operational[Facility ID],0))</f>
        <v>42.12</v>
      </c>
    </row>
    <row r="1647" spans="1:9" x14ac:dyDescent="0.3">
      <c r="A1647" t="s">
        <v>142</v>
      </c>
      <c r="B1647" t="s">
        <v>17</v>
      </c>
      <c r="C1647" t="s">
        <v>13</v>
      </c>
      <c r="D1647" t="s">
        <v>9</v>
      </c>
      <c r="E1647" t="s">
        <v>15</v>
      </c>
      <c r="F1647">
        <v>1750.32</v>
      </c>
      <c r="G1647">
        <f>INDEX(Operational[Production Volume (units)],MATCH(Emission8[[#This Row],[Facility ID]],Operational[Facility ID],0))</f>
        <v>75736</v>
      </c>
      <c r="H1647">
        <f>INDEX(Operational[Energy Consumption (MWh)],MATCH(Emission8[[#This Row],[Facility ID]],Operational[Facility ID],0))</f>
        <v>6287.07</v>
      </c>
      <c r="I1647">
        <f>INDEX(Operational[Waste (tons)],MATCH(Emission8[[#This Row],[Facility ID]],Operational[Facility ID],0))</f>
        <v>63.11</v>
      </c>
    </row>
    <row r="1648" spans="1:9" x14ac:dyDescent="0.3">
      <c r="A1648" t="s">
        <v>183</v>
      </c>
      <c r="B1648" t="s">
        <v>7</v>
      </c>
      <c r="C1648" t="s">
        <v>13</v>
      </c>
      <c r="D1648" t="s">
        <v>9</v>
      </c>
      <c r="E1648" t="s">
        <v>10</v>
      </c>
      <c r="F1648">
        <v>4387.17</v>
      </c>
      <c r="G1648">
        <f>INDEX(Operational[Production Volume (units)],MATCH(Emission8[[#This Row],[Facility ID]],Operational[Facility ID],0))</f>
        <v>14009</v>
      </c>
      <c r="H1648">
        <f>INDEX(Operational[Energy Consumption (MWh)],MATCH(Emission8[[#This Row],[Facility ID]],Operational[Facility ID],0))</f>
        <v>7528.98</v>
      </c>
      <c r="I1648">
        <f>INDEX(Operational[Waste (tons)],MATCH(Emission8[[#This Row],[Facility ID]],Operational[Facility ID],0))</f>
        <v>77.62</v>
      </c>
    </row>
    <row r="1649" spans="1:9" x14ac:dyDescent="0.3">
      <c r="A1649" t="s">
        <v>219</v>
      </c>
      <c r="B1649" t="s">
        <v>12</v>
      </c>
      <c r="C1649" t="s">
        <v>23</v>
      </c>
      <c r="D1649" t="s">
        <v>28</v>
      </c>
      <c r="E1649" t="s">
        <v>24</v>
      </c>
      <c r="F1649">
        <v>3959.46</v>
      </c>
      <c r="G1649">
        <f>INDEX(Operational[Production Volume (units)],MATCH(Emission8[[#This Row],[Facility ID]],Operational[Facility ID],0))</f>
        <v>84524</v>
      </c>
      <c r="H1649">
        <f>INDEX(Operational[Energy Consumption (MWh)],MATCH(Emission8[[#This Row],[Facility ID]],Operational[Facility ID],0))</f>
        <v>9350.11</v>
      </c>
      <c r="I1649">
        <f>INDEX(Operational[Waste (tons)],MATCH(Emission8[[#This Row],[Facility ID]],Operational[Facility ID],0))</f>
        <v>27.53</v>
      </c>
    </row>
    <row r="1650" spans="1:9" x14ac:dyDescent="0.3">
      <c r="A1650" t="s">
        <v>38</v>
      </c>
      <c r="B1650" t="s">
        <v>30</v>
      </c>
      <c r="C1650" t="s">
        <v>23</v>
      </c>
      <c r="D1650" t="s">
        <v>28</v>
      </c>
      <c r="E1650" t="s">
        <v>24</v>
      </c>
      <c r="F1650">
        <v>976.87</v>
      </c>
      <c r="G1650">
        <f>INDEX(Operational[Production Volume (units)],MATCH(Emission8[[#This Row],[Facility ID]],Operational[Facility ID],0))</f>
        <v>57215</v>
      </c>
      <c r="H1650">
        <f>INDEX(Operational[Energy Consumption (MWh)],MATCH(Emission8[[#This Row],[Facility ID]],Operational[Facility ID],0))</f>
        <v>3227.1</v>
      </c>
      <c r="I1650">
        <f>INDEX(Operational[Waste (tons)],MATCH(Emission8[[#This Row],[Facility ID]],Operational[Facility ID],0))</f>
        <v>32.909999999999997</v>
      </c>
    </row>
    <row r="1651" spans="1:9" x14ac:dyDescent="0.3">
      <c r="A1651" t="s">
        <v>90</v>
      </c>
      <c r="B1651" t="s">
        <v>19</v>
      </c>
      <c r="C1651" t="s">
        <v>8</v>
      </c>
      <c r="D1651" t="s">
        <v>14</v>
      </c>
      <c r="E1651" t="s">
        <v>24</v>
      </c>
      <c r="F1651">
        <v>836.5</v>
      </c>
      <c r="G1651">
        <f>INDEX(Operational[Production Volume (units)],MATCH(Emission8[[#This Row],[Facility ID]],Operational[Facility ID],0))</f>
        <v>97337</v>
      </c>
      <c r="H1651">
        <f>INDEX(Operational[Energy Consumption (MWh)],MATCH(Emission8[[#This Row],[Facility ID]],Operational[Facility ID],0))</f>
        <v>3362.06</v>
      </c>
      <c r="I1651">
        <f>INDEX(Operational[Waste (tons)],MATCH(Emission8[[#This Row],[Facility ID]],Operational[Facility ID],0))</f>
        <v>55.46</v>
      </c>
    </row>
    <row r="1652" spans="1:9" x14ac:dyDescent="0.3">
      <c r="A1652" t="s">
        <v>184</v>
      </c>
      <c r="B1652" t="s">
        <v>30</v>
      </c>
      <c r="C1652" t="s">
        <v>34</v>
      </c>
      <c r="D1652" t="s">
        <v>14</v>
      </c>
      <c r="E1652" t="s">
        <v>15</v>
      </c>
      <c r="F1652">
        <v>4095.46</v>
      </c>
      <c r="G1652">
        <f>INDEX(Operational[Production Volume (units)],MATCH(Emission8[[#This Row],[Facility ID]],Operational[Facility ID],0))</f>
        <v>13543</v>
      </c>
      <c r="H1652">
        <f>INDEX(Operational[Energy Consumption (MWh)],MATCH(Emission8[[#This Row],[Facility ID]],Operational[Facility ID],0))</f>
        <v>7854.96</v>
      </c>
      <c r="I1652">
        <f>INDEX(Operational[Waste (tons)],MATCH(Emission8[[#This Row],[Facility ID]],Operational[Facility ID],0))</f>
        <v>85.57</v>
      </c>
    </row>
    <row r="1653" spans="1:9" x14ac:dyDescent="0.3">
      <c r="A1653" t="s">
        <v>109</v>
      </c>
      <c r="B1653" t="s">
        <v>12</v>
      </c>
      <c r="C1653" t="s">
        <v>23</v>
      </c>
      <c r="D1653" t="s">
        <v>28</v>
      </c>
      <c r="E1653" t="s">
        <v>15</v>
      </c>
      <c r="F1653">
        <v>3574.84</v>
      </c>
      <c r="G1653">
        <f>INDEX(Operational[Production Volume (units)],MATCH(Emission8[[#This Row],[Facility ID]],Operational[Facility ID],0))</f>
        <v>84721</v>
      </c>
      <c r="H1653">
        <f>INDEX(Operational[Energy Consumption (MWh)],MATCH(Emission8[[#This Row],[Facility ID]],Operational[Facility ID],0))</f>
        <v>2278.9699999999998</v>
      </c>
      <c r="I1653">
        <f>INDEX(Operational[Waste (tons)],MATCH(Emission8[[#This Row],[Facility ID]],Operational[Facility ID],0))</f>
        <v>68.53</v>
      </c>
    </row>
    <row r="1654" spans="1:9" x14ac:dyDescent="0.3">
      <c r="A1654" t="s">
        <v>186</v>
      </c>
      <c r="B1654" t="s">
        <v>30</v>
      </c>
      <c r="C1654" t="s">
        <v>34</v>
      </c>
      <c r="D1654" t="s">
        <v>28</v>
      </c>
      <c r="E1654" t="s">
        <v>24</v>
      </c>
      <c r="F1654">
        <v>4705.34</v>
      </c>
      <c r="G1654">
        <f>INDEX(Operational[Production Volume (units)],MATCH(Emission8[[#This Row],[Facility ID]],Operational[Facility ID],0))</f>
        <v>85868</v>
      </c>
      <c r="H1654">
        <f>INDEX(Operational[Energy Consumption (MWh)],MATCH(Emission8[[#This Row],[Facility ID]],Operational[Facility ID],0))</f>
        <v>907.72</v>
      </c>
      <c r="I1654">
        <f>INDEX(Operational[Waste (tons)],MATCH(Emission8[[#This Row],[Facility ID]],Operational[Facility ID],0))</f>
        <v>90.36</v>
      </c>
    </row>
    <row r="1655" spans="1:9" x14ac:dyDescent="0.3">
      <c r="A1655" t="s">
        <v>177</v>
      </c>
      <c r="B1655" t="s">
        <v>7</v>
      </c>
      <c r="C1655" t="s">
        <v>13</v>
      </c>
      <c r="D1655" t="s">
        <v>14</v>
      </c>
      <c r="E1655" t="s">
        <v>24</v>
      </c>
      <c r="F1655">
        <v>4617.59</v>
      </c>
      <c r="G1655">
        <f>INDEX(Operational[Production Volume (units)],MATCH(Emission8[[#This Row],[Facility ID]],Operational[Facility ID],0))</f>
        <v>17097</v>
      </c>
      <c r="H1655">
        <f>INDEX(Operational[Energy Consumption (MWh)],MATCH(Emission8[[#This Row],[Facility ID]],Operational[Facility ID],0))</f>
        <v>9061.7800000000007</v>
      </c>
      <c r="I1655">
        <f>INDEX(Operational[Waste (tons)],MATCH(Emission8[[#This Row],[Facility ID]],Operational[Facility ID],0))</f>
        <v>95.92</v>
      </c>
    </row>
    <row r="1656" spans="1:9" x14ac:dyDescent="0.3">
      <c r="A1656" t="s">
        <v>205</v>
      </c>
      <c r="B1656" t="s">
        <v>17</v>
      </c>
      <c r="C1656" t="s">
        <v>8</v>
      </c>
      <c r="D1656" t="s">
        <v>14</v>
      </c>
      <c r="E1656" t="s">
        <v>10</v>
      </c>
      <c r="F1656">
        <v>3378.57</v>
      </c>
      <c r="G1656">
        <f>INDEX(Operational[Production Volume (units)],MATCH(Emission8[[#This Row],[Facility ID]],Operational[Facility ID],0))</f>
        <v>52594</v>
      </c>
      <c r="H1656">
        <f>INDEX(Operational[Energy Consumption (MWh)],MATCH(Emission8[[#This Row],[Facility ID]],Operational[Facility ID],0))</f>
        <v>8715.0400000000009</v>
      </c>
      <c r="I1656">
        <f>INDEX(Operational[Waste (tons)],MATCH(Emission8[[#This Row],[Facility ID]],Operational[Facility ID],0))</f>
        <v>90.54</v>
      </c>
    </row>
    <row r="1657" spans="1:9" x14ac:dyDescent="0.3">
      <c r="A1657" t="s">
        <v>18</v>
      </c>
      <c r="B1657" t="s">
        <v>19</v>
      </c>
      <c r="C1657" t="s">
        <v>23</v>
      </c>
      <c r="D1657" t="s">
        <v>28</v>
      </c>
      <c r="E1657" t="s">
        <v>10</v>
      </c>
      <c r="F1657">
        <v>1071.83</v>
      </c>
      <c r="G1657">
        <f>INDEX(Operational[Production Volume (units)],MATCH(Emission8[[#This Row],[Facility ID]],Operational[Facility ID],0))</f>
        <v>98682</v>
      </c>
      <c r="H1657">
        <f>INDEX(Operational[Energy Consumption (MWh)],MATCH(Emission8[[#This Row],[Facility ID]],Operational[Facility ID],0))</f>
        <v>6220.56</v>
      </c>
      <c r="I1657">
        <f>INDEX(Operational[Waste (tons)],MATCH(Emission8[[#This Row],[Facility ID]],Operational[Facility ID],0))</f>
        <v>70.099999999999994</v>
      </c>
    </row>
    <row r="1658" spans="1:9" x14ac:dyDescent="0.3">
      <c r="A1658" t="s">
        <v>162</v>
      </c>
      <c r="B1658" t="s">
        <v>30</v>
      </c>
      <c r="C1658" t="s">
        <v>13</v>
      </c>
      <c r="D1658" t="s">
        <v>9</v>
      </c>
      <c r="E1658" t="s">
        <v>24</v>
      </c>
      <c r="F1658">
        <v>958.65</v>
      </c>
      <c r="G1658">
        <f>INDEX(Operational[Production Volume (units)],MATCH(Emission8[[#This Row],[Facility ID]],Operational[Facility ID],0))</f>
        <v>94347</v>
      </c>
      <c r="H1658">
        <f>INDEX(Operational[Energy Consumption (MWh)],MATCH(Emission8[[#This Row],[Facility ID]],Operational[Facility ID],0))</f>
        <v>2272.58</v>
      </c>
      <c r="I1658">
        <f>INDEX(Operational[Waste (tons)],MATCH(Emission8[[#This Row],[Facility ID]],Operational[Facility ID],0))</f>
        <v>34.75</v>
      </c>
    </row>
    <row r="1659" spans="1:9" x14ac:dyDescent="0.3">
      <c r="A1659" t="s">
        <v>37</v>
      </c>
      <c r="B1659" t="s">
        <v>17</v>
      </c>
      <c r="C1659" t="s">
        <v>23</v>
      </c>
      <c r="D1659" t="s">
        <v>9</v>
      </c>
      <c r="E1659" t="s">
        <v>24</v>
      </c>
      <c r="F1659">
        <v>1194.6400000000001</v>
      </c>
      <c r="G1659">
        <f>INDEX(Operational[Production Volume (units)],MATCH(Emission8[[#This Row],[Facility ID]],Operational[Facility ID],0))</f>
        <v>71747</v>
      </c>
      <c r="H1659">
        <f>INDEX(Operational[Energy Consumption (MWh)],MATCH(Emission8[[#This Row],[Facility ID]],Operational[Facility ID],0))</f>
        <v>9838.66</v>
      </c>
      <c r="I1659">
        <f>INDEX(Operational[Waste (tons)],MATCH(Emission8[[#This Row],[Facility ID]],Operational[Facility ID],0))</f>
        <v>7.25</v>
      </c>
    </row>
    <row r="1660" spans="1:9" x14ac:dyDescent="0.3">
      <c r="A1660" t="s">
        <v>156</v>
      </c>
      <c r="B1660" t="s">
        <v>17</v>
      </c>
      <c r="C1660" t="s">
        <v>34</v>
      </c>
      <c r="D1660" t="s">
        <v>9</v>
      </c>
      <c r="E1660" t="s">
        <v>24</v>
      </c>
      <c r="F1660">
        <v>1366.75</v>
      </c>
      <c r="G1660">
        <f>INDEX(Operational[Production Volume (units)],MATCH(Emission8[[#This Row],[Facility ID]],Operational[Facility ID],0))</f>
        <v>81057</v>
      </c>
      <c r="H1660">
        <f>INDEX(Operational[Energy Consumption (MWh)],MATCH(Emission8[[#This Row],[Facility ID]],Operational[Facility ID],0))</f>
        <v>675.41</v>
      </c>
      <c r="I1660">
        <f>INDEX(Operational[Waste (tons)],MATCH(Emission8[[#This Row],[Facility ID]],Operational[Facility ID],0))</f>
        <v>55.44</v>
      </c>
    </row>
    <row r="1661" spans="1:9" x14ac:dyDescent="0.3">
      <c r="A1661" t="s">
        <v>65</v>
      </c>
      <c r="B1661" t="s">
        <v>30</v>
      </c>
      <c r="C1661" t="s">
        <v>23</v>
      </c>
      <c r="D1661" t="s">
        <v>14</v>
      </c>
      <c r="E1661" t="s">
        <v>15</v>
      </c>
      <c r="F1661">
        <v>1936.56</v>
      </c>
      <c r="G1661">
        <f>INDEX(Operational[Production Volume (units)],MATCH(Emission8[[#This Row],[Facility ID]],Operational[Facility ID],0))</f>
        <v>99026</v>
      </c>
      <c r="H1661">
        <f>INDEX(Operational[Energy Consumption (MWh)],MATCH(Emission8[[#This Row],[Facility ID]],Operational[Facility ID],0))</f>
        <v>5453.2</v>
      </c>
      <c r="I1661">
        <f>INDEX(Operational[Waste (tons)],MATCH(Emission8[[#This Row],[Facility ID]],Operational[Facility ID],0))</f>
        <v>57.49</v>
      </c>
    </row>
    <row r="1662" spans="1:9" x14ac:dyDescent="0.3">
      <c r="A1662" t="s">
        <v>27</v>
      </c>
      <c r="B1662" t="s">
        <v>12</v>
      </c>
      <c r="C1662" t="s">
        <v>13</v>
      </c>
      <c r="D1662" t="s">
        <v>9</v>
      </c>
      <c r="E1662" t="s">
        <v>10</v>
      </c>
      <c r="F1662">
        <v>872.02</v>
      </c>
      <c r="G1662">
        <f>INDEX(Operational[Production Volume (units)],MATCH(Emission8[[#This Row],[Facility ID]],Operational[Facility ID],0))</f>
        <v>91031</v>
      </c>
      <c r="H1662">
        <f>INDEX(Operational[Energy Consumption (MWh)],MATCH(Emission8[[#This Row],[Facility ID]],Operational[Facility ID],0))</f>
        <v>1783.57</v>
      </c>
      <c r="I1662">
        <f>INDEX(Operational[Waste (tons)],MATCH(Emission8[[#This Row],[Facility ID]],Operational[Facility ID],0))</f>
        <v>32.049999999999997</v>
      </c>
    </row>
    <row r="1663" spans="1:9" x14ac:dyDescent="0.3">
      <c r="A1663" t="s">
        <v>58</v>
      </c>
      <c r="B1663" t="s">
        <v>17</v>
      </c>
      <c r="C1663" t="s">
        <v>34</v>
      </c>
      <c r="D1663" t="s">
        <v>28</v>
      </c>
      <c r="E1663" t="s">
        <v>15</v>
      </c>
      <c r="F1663">
        <v>4730.6899999999996</v>
      </c>
      <c r="G1663">
        <f>INDEX(Operational[Production Volume (units)],MATCH(Emission8[[#This Row],[Facility ID]],Operational[Facility ID],0))</f>
        <v>32246</v>
      </c>
      <c r="H1663">
        <f>INDEX(Operational[Energy Consumption (MWh)],MATCH(Emission8[[#This Row],[Facility ID]],Operational[Facility ID],0))</f>
        <v>7903.93</v>
      </c>
      <c r="I1663">
        <f>INDEX(Operational[Waste (tons)],MATCH(Emission8[[#This Row],[Facility ID]],Operational[Facility ID],0))</f>
        <v>42.12</v>
      </c>
    </row>
    <row r="1664" spans="1:9" x14ac:dyDescent="0.3">
      <c r="A1664" t="s">
        <v>96</v>
      </c>
      <c r="B1664" t="s">
        <v>19</v>
      </c>
      <c r="C1664" t="s">
        <v>13</v>
      </c>
      <c r="D1664" t="s">
        <v>9</v>
      </c>
      <c r="E1664" t="s">
        <v>10</v>
      </c>
      <c r="F1664">
        <v>3135.12</v>
      </c>
      <c r="G1664">
        <f>INDEX(Operational[Production Volume (units)],MATCH(Emission8[[#This Row],[Facility ID]],Operational[Facility ID],0))</f>
        <v>53942</v>
      </c>
      <c r="H1664">
        <f>INDEX(Operational[Energy Consumption (MWh)],MATCH(Emission8[[#This Row],[Facility ID]],Operational[Facility ID],0))</f>
        <v>5904.31</v>
      </c>
      <c r="I1664">
        <f>INDEX(Operational[Waste (tons)],MATCH(Emission8[[#This Row],[Facility ID]],Operational[Facility ID],0))</f>
        <v>32.78</v>
      </c>
    </row>
    <row r="1665" spans="1:9" x14ac:dyDescent="0.3">
      <c r="A1665" t="s">
        <v>190</v>
      </c>
      <c r="B1665" t="s">
        <v>17</v>
      </c>
      <c r="C1665" t="s">
        <v>23</v>
      </c>
      <c r="D1665" t="s">
        <v>9</v>
      </c>
      <c r="E1665" t="s">
        <v>15</v>
      </c>
      <c r="F1665">
        <v>1288.69</v>
      </c>
      <c r="G1665">
        <f>INDEX(Operational[Production Volume (units)],MATCH(Emission8[[#This Row],[Facility ID]],Operational[Facility ID],0))</f>
        <v>41953</v>
      </c>
      <c r="H1665">
        <f>INDEX(Operational[Energy Consumption (MWh)],MATCH(Emission8[[#This Row],[Facility ID]],Operational[Facility ID],0))</f>
        <v>2379.14</v>
      </c>
      <c r="I1665">
        <f>INDEX(Operational[Waste (tons)],MATCH(Emission8[[#This Row],[Facility ID]],Operational[Facility ID],0))</f>
        <v>65.67</v>
      </c>
    </row>
    <row r="1666" spans="1:9" x14ac:dyDescent="0.3">
      <c r="A1666" t="s">
        <v>66</v>
      </c>
      <c r="B1666" t="s">
        <v>30</v>
      </c>
      <c r="C1666" t="s">
        <v>8</v>
      </c>
      <c r="D1666" t="s">
        <v>14</v>
      </c>
      <c r="E1666" t="s">
        <v>10</v>
      </c>
      <c r="F1666">
        <v>3302.89</v>
      </c>
      <c r="G1666">
        <f>INDEX(Operational[Production Volume (units)],MATCH(Emission8[[#This Row],[Facility ID]],Operational[Facility ID],0))</f>
        <v>98396</v>
      </c>
      <c r="H1666">
        <f>INDEX(Operational[Energy Consumption (MWh)],MATCH(Emission8[[#This Row],[Facility ID]],Operational[Facility ID],0))</f>
        <v>5174.07</v>
      </c>
      <c r="I1666">
        <f>INDEX(Operational[Waste (tons)],MATCH(Emission8[[#This Row],[Facility ID]],Operational[Facility ID],0))</f>
        <v>63.38</v>
      </c>
    </row>
    <row r="1667" spans="1:9" x14ac:dyDescent="0.3">
      <c r="A1667" t="s">
        <v>191</v>
      </c>
      <c r="B1667" t="s">
        <v>12</v>
      </c>
      <c r="C1667" t="s">
        <v>13</v>
      </c>
      <c r="D1667" t="s">
        <v>28</v>
      </c>
      <c r="E1667" t="s">
        <v>15</v>
      </c>
      <c r="F1667">
        <v>1167.23</v>
      </c>
      <c r="G1667">
        <f>INDEX(Operational[Production Volume (units)],MATCH(Emission8[[#This Row],[Facility ID]],Operational[Facility ID],0))</f>
        <v>43346</v>
      </c>
      <c r="H1667">
        <f>INDEX(Operational[Energy Consumption (MWh)],MATCH(Emission8[[#This Row],[Facility ID]],Operational[Facility ID],0))</f>
        <v>5559.12</v>
      </c>
      <c r="I1667">
        <f>INDEX(Operational[Waste (tons)],MATCH(Emission8[[#This Row],[Facility ID]],Operational[Facility ID],0))</f>
        <v>39.4</v>
      </c>
    </row>
    <row r="1668" spans="1:9" x14ac:dyDescent="0.3">
      <c r="A1668" t="s">
        <v>33</v>
      </c>
      <c r="B1668" t="s">
        <v>19</v>
      </c>
      <c r="C1668" t="s">
        <v>34</v>
      </c>
      <c r="D1668" t="s">
        <v>9</v>
      </c>
      <c r="E1668" t="s">
        <v>10</v>
      </c>
      <c r="F1668">
        <v>1716.99</v>
      </c>
      <c r="G1668">
        <f>INDEX(Operational[Production Volume (units)],MATCH(Emission8[[#This Row],[Facility ID]],Operational[Facility ID],0))</f>
        <v>65719</v>
      </c>
      <c r="H1668">
        <f>INDEX(Operational[Energy Consumption (MWh)],MATCH(Emission8[[#This Row],[Facility ID]],Operational[Facility ID],0))</f>
        <v>9362.41</v>
      </c>
      <c r="I1668">
        <f>INDEX(Operational[Waste (tons)],MATCH(Emission8[[#This Row],[Facility ID]],Operational[Facility ID],0))</f>
        <v>86.55</v>
      </c>
    </row>
    <row r="1669" spans="1:9" x14ac:dyDescent="0.3">
      <c r="A1669" t="s">
        <v>43</v>
      </c>
      <c r="B1669" t="s">
        <v>17</v>
      </c>
      <c r="C1669" t="s">
        <v>13</v>
      </c>
      <c r="D1669" t="s">
        <v>28</v>
      </c>
      <c r="E1669" t="s">
        <v>24</v>
      </c>
      <c r="F1669">
        <v>2018.44</v>
      </c>
      <c r="G1669">
        <f>INDEX(Operational[Production Volume (units)],MATCH(Emission8[[#This Row],[Facility ID]],Operational[Facility ID],0))</f>
        <v>41168</v>
      </c>
      <c r="H1669">
        <f>INDEX(Operational[Energy Consumption (MWh)],MATCH(Emission8[[#This Row],[Facility ID]],Operational[Facility ID],0))</f>
        <v>8226.77</v>
      </c>
      <c r="I1669">
        <f>INDEX(Operational[Waste (tons)],MATCH(Emission8[[#This Row],[Facility ID]],Operational[Facility ID],0))</f>
        <v>42.55</v>
      </c>
    </row>
    <row r="1670" spans="1:9" x14ac:dyDescent="0.3">
      <c r="A1670" t="s">
        <v>122</v>
      </c>
      <c r="B1670" t="s">
        <v>19</v>
      </c>
      <c r="C1670" t="s">
        <v>23</v>
      </c>
      <c r="D1670" t="s">
        <v>9</v>
      </c>
      <c r="E1670" t="s">
        <v>10</v>
      </c>
      <c r="F1670">
        <v>5025.54</v>
      </c>
      <c r="G1670">
        <f>INDEX(Operational[Production Volume (units)],MATCH(Emission8[[#This Row],[Facility ID]],Operational[Facility ID],0))</f>
        <v>95962</v>
      </c>
      <c r="H1670">
        <f>INDEX(Operational[Energy Consumption (MWh)],MATCH(Emission8[[#This Row],[Facility ID]],Operational[Facility ID],0))</f>
        <v>524.72</v>
      </c>
      <c r="I1670">
        <f>INDEX(Operational[Waste (tons)],MATCH(Emission8[[#This Row],[Facility ID]],Operational[Facility ID],0))</f>
        <v>49.55</v>
      </c>
    </row>
    <row r="1671" spans="1:9" x14ac:dyDescent="0.3">
      <c r="A1671" t="s">
        <v>137</v>
      </c>
      <c r="B1671" t="s">
        <v>17</v>
      </c>
      <c r="C1671" t="s">
        <v>34</v>
      </c>
      <c r="D1671" t="s">
        <v>9</v>
      </c>
      <c r="E1671" t="s">
        <v>15</v>
      </c>
      <c r="F1671">
        <v>2513.3000000000002</v>
      </c>
      <c r="G1671">
        <f>INDEX(Operational[Production Volume (units)],MATCH(Emission8[[#This Row],[Facility ID]],Operational[Facility ID],0))</f>
        <v>19265</v>
      </c>
      <c r="H1671">
        <f>INDEX(Operational[Energy Consumption (MWh)],MATCH(Emission8[[#This Row],[Facility ID]],Operational[Facility ID],0))</f>
        <v>776.6</v>
      </c>
      <c r="I1671">
        <f>INDEX(Operational[Waste (tons)],MATCH(Emission8[[#This Row],[Facility ID]],Operational[Facility ID],0))</f>
        <v>39.75</v>
      </c>
    </row>
    <row r="1672" spans="1:9" x14ac:dyDescent="0.3">
      <c r="A1672" t="s">
        <v>166</v>
      </c>
      <c r="B1672" t="s">
        <v>7</v>
      </c>
      <c r="C1672" t="s">
        <v>8</v>
      </c>
      <c r="D1672" t="s">
        <v>14</v>
      </c>
      <c r="E1672" t="s">
        <v>15</v>
      </c>
      <c r="F1672">
        <v>2145.48</v>
      </c>
      <c r="G1672">
        <f>INDEX(Operational[Production Volume (units)],MATCH(Emission8[[#This Row],[Facility ID]],Operational[Facility ID],0))</f>
        <v>34318</v>
      </c>
      <c r="H1672">
        <f>INDEX(Operational[Energy Consumption (MWh)],MATCH(Emission8[[#This Row],[Facility ID]],Operational[Facility ID],0))</f>
        <v>675.67</v>
      </c>
      <c r="I1672">
        <f>INDEX(Operational[Waste (tons)],MATCH(Emission8[[#This Row],[Facility ID]],Operational[Facility ID],0))</f>
        <v>41.05</v>
      </c>
    </row>
    <row r="1673" spans="1:9" x14ac:dyDescent="0.3">
      <c r="A1673" t="s">
        <v>29</v>
      </c>
      <c r="B1673" t="s">
        <v>30</v>
      </c>
      <c r="C1673" t="s">
        <v>13</v>
      </c>
      <c r="D1673" t="s">
        <v>14</v>
      </c>
      <c r="E1673" t="s">
        <v>10</v>
      </c>
      <c r="F1673">
        <v>1701.79</v>
      </c>
      <c r="G1673">
        <f>INDEX(Operational[Production Volume (units)],MATCH(Emission8[[#This Row],[Facility ID]],Operational[Facility ID],0))</f>
        <v>32131</v>
      </c>
      <c r="H1673">
        <f>INDEX(Operational[Energy Consumption (MWh)],MATCH(Emission8[[#This Row],[Facility ID]],Operational[Facility ID],0))</f>
        <v>1474.23</v>
      </c>
      <c r="I1673">
        <f>INDEX(Operational[Waste (tons)],MATCH(Emission8[[#This Row],[Facility ID]],Operational[Facility ID],0))</f>
        <v>45.47</v>
      </c>
    </row>
    <row r="1674" spans="1:9" x14ac:dyDescent="0.3">
      <c r="A1674" t="s">
        <v>99</v>
      </c>
      <c r="B1674" t="s">
        <v>19</v>
      </c>
      <c r="C1674" t="s">
        <v>34</v>
      </c>
      <c r="D1674" t="s">
        <v>28</v>
      </c>
      <c r="E1674" t="s">
        <v>15</v>
      </c>
      <c r="F1674">
        <v>1017.33</v>
      </c>
      <c r="G1674">
        <f>INDEX(Operational[Production Volume (units)],MATCH(Emission8[[#This Row],[Facility ID]],Operational[Facility ID],0))</f>
        <v>77400</v>
      </c>
      <c r="H1674">
        <f>INDEX(Operational[Energy Consumption (MWh)],MATCH(Emission8[[#This Row],[Facility ID]],Operational[Facility ID],0))</f>
        <v>7504.8</v>
      </c>
      <c r="I1674">
        <f>INDEX(Operational[Waste (tons)],MATCH(Emission8[[#This Row],[Facility ID]],Operational[Facility ID],0))</f>
        <v>68.819999999999993</v>
      </c>
    </row>
    <row r="1675" spans="1:9" x14ac:dyDescent="0.3">
      <c r="A1675" t="s">
        <v>137</v>
      </c>
      <c r="B1675" t="s">
        <v>17</v>
      </c>
      <c r="C1675" t="s">
        <v>8</v>
      </c>
      <c r="D1675" t="s">
        <v>28</v>
      </c>
      <c r="E1675" t="s">
        <v>15</v>
      </c>
      <c r="F1675">
        <v>4417.58</v>
      </c>
      <c r="G1675">
        <f>INDEX(Operational[Production Volume (units)],MATCH(Emission8[[#This Row],[Facility ID]],Operational[Facility ID],0))</f>
        <v>19265</v>
      </c>
      <c r="H1675">
        <f>INDEX(Operational[Energy Consumption (MWh)],MATCH(Emission8[[#This Row],[Facility ID]],Operational[Facility ID],0))</f>
        <v>776.6</v>
      </c>
      <c r="I1675">
        <f>INDEX(Operational[Waste (tons)],MATCH(Emission8[[#This Row],[Facility ID]],Operational[Facility ID],0))</f>
        <v>39.75</v>
      </c>
    </row>
    <row r="1676" spans="1:9" x14ac:dyDescent="0.3">
      <c r="A1676" t="s">
        <v>25</v>
      </c>
      <c r="B1676" t="s">
        <v>19</v>
      </c>
      <c r="C1676" t="s">
        <v>8</v>
      </c>
      <c r="D1676" t="s">
        <v>14</v>
      </c>
      <c r="E1676" t="s">
        <v>10</v>
      </c>
      <c r="F1676">
        <v>2948.39</v>
      </c>
      <c r="G1676">
        <f>INDEX(Operational[Production Volume (units)],MATCH(Emission8[[#This Row],[Facility ID]],Operational[Facility ID],0))</f>
        <v>95306</v>
      </c>
      <c r="H1676">
        <f>INDEX(Operational[Energy Consumption (MWh)],MATCH(Emission8[[#This Row],[Facility ID]],Operational[Facility ID],0))</f>
        <v>9037.76</v>
      </c>
      <c r="I1676">
        <f>INDEX(Operational[Waste (tons)],MATCH(Emission8[[#This Row],[Facility ID]],Operational[Facility ID],0))</f>
        <v>13.35</v>
      </c>
    </row>
    <row r="1677" spans="1:9" x14ac:dyDescent="0.3">
      <c r="A1677" t="s">
        <v>196</v>
      </c>
      <c r="B1677" t="s">
        <v>30</v>
      </c>
      <c r="C1677" t="s">
        <v>23</v>
      </c>
      <c r="D1677" t="s">
        <v>28</v>
      </c>
      <c r="E1677" t="s">
        <v>24</v>
      </c>
      <c r="F1677">
        <v>2543.38</v>
      </c>
      <c r="G1677">
        <f>INDEX(Operational[Production Volume (units)],MATCH(Emission8[[#This Row],[Facility ID]],Operational[Facility ID],0))</f>
        <v>12262</v>
      </c>
      <c r="H1677">
        <f>INDEX(Operational[Energy Consumption (MWh)],MATCH(Emission8[[#This Row],[Facility ID]],Operational[Facility ID],0))</f>
        <v>7106.18</v>
      </c>
      <c r="I1677">
        <f>INDEX(Operational[Waste (tons)],MATCH(Emission8[[#This Row],[Facility ID]],Operational[Facility ID],0))</f>
        <v>45.69</v>
      </c>
    </row>
    <row r="1678" spans="1:9" x14ac:dyDescent="0.3">
      <c r="A1678" t="s">
        <v>160</v>
      </c>
      <c r="B1678" t="s">
        <v>30</v>
      </c>
      <c r="C1678" t="s">
        <v>13</v>
      </c>
      <c r="D1678" t="s">
        <v>9</v>
      </c>
      <c r="E1678" t="s">
        <v>15</v>
      </c>
      <c r="F1678">
        <v>3031.49</v>
      </c>
      <c r="G1678">
        <f>INDEX(Operational[Production Volume (units)],MATCH(Emission8[[#This Row],[Facility ID]],Operational[Facility ID],0))</f>
        <v>18341</v>
      </c>
      <c r="H1678">
        <f>INDEX(Operational[Energy Consumption (MWh)],MATCH(Emission8[[#This Row],[Facility ID]],Operational[Facility ID],0))</f>
        <v>8465.57</v>
      </c>
      <c r="I1678">
        <f>INDEX(Operational[Waste (tons)],MATCH(Emission8[[#This Row],[Facility ID]],Operational[Facility ID],0))</f>
        <v>38.39</v>
      </c>
    </row>
    <row r="1679" spans="1:9" x14ac:dyDescent="0.3">
      <c r="A1679" t="s">
        <v>116</v>
      </c>
      <c r="B1679" t="s">
        <v>17</v>
      </c>
      <c r="C1679" t="s">
        <v>34</v>
      </c>
      <c r="D1679" t="s">
        <v>9</v>
      </c>
      <c r="E1679" t="s">
        <v>15</v>
      </c>
      <c r="F1679">
        <v>4209.3500000000004</v>
      </c>
      <c r="G1679">
        <f>INDEX(Operational[Production Volume (units)],MATCH(Emission8[[#This Row],[Facility ID]],Operational[Facility ID],0))</f>
        <v>68216</v>
      </c>
      <c r="H1679">
        <f>INDEX(Operational[Energy Consumption (MWh)],MATCH(Emission8[[#This Row],[Facility ID]],Operational[Facility ID],0))</f>
        <v>9562.33</v>
      </c>
      <c r="I1679">
        <f>INDEX(Operational[Waste (tons)],MATCH(Emission8[[#This Row],[Facility ID]],Operational[Facility ID],0))</f>
        <v>63.59</v>
      </c>
    </row>
    <row r="1680" spans="1:9" x14ac:dyDescent="0.3">
      <c r="A1680" t="s">
        <v>119</v>
      </c>
      <c r="B1680" t="s">
        <v>30</v>
      </c>
      <c r="C1680" t="s">
        <v>8</v>
      </c>
      <c r="D1680" t="s">
        <v>14</v>
      </c>
      <c r="E1680" t="s">
        <v>24</v>
      </c>
      <c r="F1680">
        <v>3571.08</v>
      </c>
      <c r="G1680">
        <f>INDEX(Operational[Production Volume (units)],MATCH(Emission8[[#This Row],[Facility ID]],Operational[Facility ID],0))</f>
        <v>80488</v>
      </c>
      <c r="H1680">
        <f>INDEX(Operational[Energy Consumption (MWh)],MATCH(Emission8[[#This Row],[Facility ID]],Operational[Facility ID],0))</f>
        <v>7629.95</v>
      </c>
      <c r="I1680">
        <f>INDEX(Operational[Waste (tons)],MATCH(Emission8[[#This Row],[Facility ID]],Operational[Facility ID],0))</f>
        <v>63.83</v>
      </c>
    </row>
    <row r="1681" spans="1:9" x14ac:dyDescent="0.3">
      <c r="A1681" t="s">
        <v>41</v>
      </c>
      <c r="B1681" t="s">
        <v>30</v>
      </c>
      <c r="C1681" t="s">
        <v>8</v>
      </c>
      <c r="D1681" t="s">
        <v>28</v>
      </c>
      <c r="E1681" t="s">
        <v>15</v>
      </c>
      <c r="F1681">
        <v>887.49</v>
      </c>
      <c r="G1681">
        <f>INDEX(Operational[Production Volume (units)],MATCH(Emission8[[#This Row],[Facility ID]],Operational[Facility ID],0))</f>
        <v>61743</v>
      </c>
      <c r="H1681">
        <f>INDEX(Operational[Energy Consumption (MWh)],MATCH(Emission8[[#This Row],[Facility ID]],Operational[Facility ID],0))</f>
        <v>7426.75</v>
      </c>
      <c r="I1681">
        <f>INDEX(Operational[Waste (tons)],MATCH(Emission8[[#This Row],[Facility ID]],Operational[Facility ID],0))</f>
        <v>26.39</v>
      </c>
    </row>
    <row r="1682" spans="1:9" x14ac:dyDescent="0.3">
      <c r="A1682" t="s">
        <v>193</v>
      </c>
      <c r="B1682" t="s">
        <v>12</v>
      </c>
      <c r="C1682" t="s">
        <v>8</v>
      </c>
      <c r="D1682" t="s">
        <v>28</v>
      </c>
      <c r="E1682" t="s">
        <v>10</v>
      </c>
      <c r="F1682">
        <v>1618.49</v>
      </c>
      <c r="G1682">
        <f>INDEX(Operational[Production Volume (units)],MATCH(Emission8[[#This Row],[Facility ID]],Operational[Facility ID],0))</f>
        <v>13333</v>
      </c>
      <c r="H1682">
        <f>INDEX(Operational[Energy Consumption (MWh)],MATCH(Emission8[[#This Row],[Facility ID]],Operational[Facility ID],0))</f>
        <v>6102.15</v>
      </c>
      <c r="I1682">
        <f>INDEX(Operational[Waste (tons)],MATCH(Emission8[[#This Row],[Facility ID]],Operational[Facility ID],0))</f>
        <v>17.670000000000002</v>
      </c>
    </row>
    <row r="1683" spans="1:9" x14ac:dyDescent="0.3">
      <c r="A1683" t="s">
        <v>152</v>
      </c>
      <c r="B1683" t="s">
        <v>30</v>
      </c>
      <c r="C1683" t="s">
        <v>8</v>
      </c>
      <c r="D1683" t="s">
        <v>9</v>
      </c>
      <c r="E1683" t="s">
        <v>10</v>
      </c>
      <c r="F1683">
        <v>4625.46</v>
      </c>
      <c r="G1683">
        <f>INDEX(Operational[Production Volume (units)],MATCH(Emission8[[#This Row],[Facility ID]],Operational[Facility ID],0))</f>
        <v>21914</v>
      </c>
      <c r="H1683">
        <f>INDEX(Operational[Energy Consumption (MWh)],MATCH(Emission8[[#This Row],[Facility ID]],Operational[Facility ID],0))</f>
        <v>5897.27</v>
      </c>
      <c r="I1683">
        <f>INDEX(Operational[Waste (tons)],MATCH(Emission8[[#This Row],[Facility ID]],Operational[Facility ID],0))</f>
        <v>49.41</v>
      </c>
    </row>
    <row r="1684" spans="1:9" x14ac:dyDescent="0.3">
      <c r="A1684" t="s">
        <v>25</v>
      </c>
      <c r="B1684" t="s">
        <v>19</v>
      </c>
      <c r="C1684" t="s">
        <v>34</v>
      </c>
      <c r="D1684" t="s">
        <v>28</v>
      </c>
      <c r="E1684" t="s">
        <v>10</v>
      </c>
      <c r="F1684">
        <v>968.64</v>
      </c>
      <c r="G1684">
        <f>INDEX(Operational[Production Volume (units)],MATCH(Emission8[[#This Row],[Facility ID]],Operational[Facility ID],0))</f>
        <v>95306</v>
      </c>
      <c r="H1684">
        <f>INDEX(Operational[Energy Consumption (MWh)],MATCH(Emission8[[#This Row],[Facility ID]],Operational[Facility ID],0))</f>
        <v>9037.76</v>
      </c>
      <c r="I1684">
        <f>INDEX(Operational[Waste (tons)],MATCH(Emission8[[#This Row],[Facility ID]],Operational[Facility ID],0))</f>
        <v>13.35</v>
      </c>
    </row>
    <row r="1685" spans="1:9" x14ac:dyDescent="0.3">
      <c r="A1685" t="s">
        <v>149</v>
      </c>
      <c r="B1685" t="s">
        <v>17</v>
      </c>
      <c r="C1685" t="s">
        <v>23</v>
      </c>
      <c r="D1685" t="s">
        <v>9</v>
      </c>
      <c r="E1685" t="s">
        <v>15</v>
      </c>
      <c r="F1685">
        <v>2182.06</v>
      </c>
      <c r="G1685">
        <f>INDEX(Operational[Production Volume (units)],MATCH(Emission8[[#This Row],[Facility ID]],Operational[Facility ID],0))</f>
        <v>49885</v>
      </c>
      <c r="H1685">
        <f>INDEX(Operational[Energy Consumption (MWh)],MATCH(Emission8[[#This Row],[Facility ID]],Operational[Facility ID],0))</f>
        <v>6845.46</v>
      </c>
      <c r="I1685">
        <f>INDEX(Operational[Waste (tons)],MATCH(Emission8[[#This Row],[Facility ID]],Operational[Facility ID],0))</f>
        <v>58.4</v>
      </c>
    </row>
    <row r="1686" spans="1:9" x14ac:dyDescent="0.3">
      <c r="A1686" t="s">
        <v>103</v>
      </c>
      <c r="B1686" t="s">
        <v>19</v>
      </c>
      <c r="C1686" t="s">
        <v>23</v>
      </c>
      <c r="D1686" t="s">
        <v>9</v>
      </c>
      <c r="E1686" t="s">
        <v>24</v>
      </c>
      <c r="F1686">
        <v>2401.34</v>
      </c>
      <c r="G1686">
        <f>INDEX(Operational[Production Volume (units)],MATCH(Emission8[[#This Row],[Facility ID]],Operational[Facility ID],0))</f>
        <v>38869</v>
      </c>
      <c r="H1686">
        <f>INDEX(Operational[Energy Consumption (MWh)],MATCH(Emission8[[#This Row],[Facility ID]],Operational[Facility ID],0))</f>
        <v>5109.76</v>
      </c>
      <c r="I1686">
        <f>INDEX(Operational[Waste (tons)],MATCH(Emission8[[#This Row],[Facility ID]],Operational[Facility ID],0))</f>
        <v>35.270000000000003</v>
      </c>
    </row>
    <row r="1687" spans="1:9" x14ac:dyDescent="0.3">
      <c r="A1687" t="s">
        <v>69</v>
      </c>
      <c r="B1687" t="s">
        <v>7</v>
      </c>
      <c r="C1687" t="s">
        <v>34</v>
      </c>
      <c r="D1687" t="s">
        <v>9</v>
      </c>
      <c r="E1687" t="s">
        <v>10</v>
      </c>
      <c r="F1687">
        <v>1887.97</v>
      </c>
      <c r="G1687">
        <f>INDEX(Operational[Production Volume (units)],MATCH(Emission8[[#This Row],[Facility ID]],Operational[Facility ID],0))</f>
        <v>34725</v>
      </c>
      <c r="H1687">
        <f>INDEX(Operational[Energy Consumption (MWh)],MATCH(Emission8[[#This Row],[Facility ID]],Operational[Facility ID],0))</f>
        <v>3269.89</v>
      </c>
      <c r="I1687">
        <f>INDEX(Operational[Waste (tons)],MATCH(Emission8[[#This Row],[Facility ID]],Operational[Facility ID],0))</f>
        <v>78.86</v>
      </c>
    </row>
    <row r="1688" spans="1:9" x14ac:dyDescent="0.3">
      <c r="A1688" t="s">
        <v>105</v>
      </c>
      <c r="B1688" t="s">
        <v>30</v>
      </c>
      <c r="C1688" t="s">
        <v>34</v>
      </c>
      <c r="D1688" t="s">
        <v>14</v>
      </c>
      <c r="E1688" t="s">
        <v>15</v>
      </c>
      <c r="F1688">
        <v>1740.85</v>
      </c>
      <c r="G1688">
        <f>INDEX(Operational[Production Volume (units)],MATCH(Emission8[[#This Row],[Facility ID]],Operational[Facility ID],0))</f>
        <v>87337</v>
      </c>
      <c r="H1688">
        <f>INDEX(Operational[Energy Consumption (MWh)],MATCH(Emission8[[#This Row],[Facility ID]],Operational[Facility ID],0))</f>
        <v>3603.06</v>
      </c>
      <c r="I1688">
        <f>INDEX(Operational[Waste (tons)],MATCH(Emission8[[#This Row],[Facility ID]],Operational[Facility ID],0))</f>
        <v>67.13</v>
      </c>
    </row>
    <row r="1689" spans="1:9" x14ac:dyDescent="0.3">
      <c r="A1689" t="s">
        <v>92</v>
      </c>
      <c r="B1689" t="s">
        <v>30</v>
      </c>
      <c r="C1689" t="s">
        <v>8</v>
      </c>
      <c r="D1689" t="s">
        <v>9</v>
      </c>
      <c r="E1689" t="s">
        <v>24</v>
      </c>
      <c r="F1689">
        <v>4524.0200000000004</v>
      </c>
      <c r="G1689">
        <f>INDEX(Operational[Production Volume (units)],MATCH(Emission8[[#This Row],[Facility ID]],Operational[Facility ID],0))</f>
        <v>18726</v>
      </c>
      <c r="H1689">
        <f>INDEX(Operational[Energy Consumption (MWh)],MATCH(Emission8[[#This Row],[Facility ID]],Operational[Facility ID],0))</f>
        <v>5099.54</v>
      </c>
      <c r="I1689">
        <f>INDEX(Operational[Waste (tons)],MATCH(Emission8[[#This Row],[Facility ID]],Operational[Facility ID],0))</f>
        <v>71.05</v>
      </c>
    </row>
    <row r="1690" spans="1:9" x14ac:dyDescent="0.3">
      <c r="A1690" t="s">
        <v>52</v>
      </c>
      <c r="B1690" t="s">
        <v>19</v>
      </c>
      <c r="C1690" t="s">
        <v>34</v>
      </c>
      <c r="D1690" t="s">
        <v>9</v>
      </c>
      <c r="E1690" t="s">
        <v>10</v>
      </c>
      <c r="F1690">
        <v>4975.54</v>
      </c>
      <c r="G1690">
        <f>INDEX(Operational[Production Volume (units)],MATCH(Emission8[[#This Row],[Facility ID]],Operational[Facility ID],0))</f>
        <v>94949</v>
      </c>
      <c r="H1690">
        <f>INDEX(Operational[Energy Consumption (MWh)],MATCH(Emission8[[#This Row],[Facility ID]],Operational[Facility ID],0))</f>
        <v>9714.76</v>
      </c>
      <c r="I1690">
        <f>INDEX(Operational[Waste (tons)],MATCH(Emission8[[#This Row],[Facility ID]],Operational[Facility ID],0))</f>
        <v>64.900000000000006</v>
      </c>
    </row>
    <row r="1691" spans="1:9" x14ac:dyDescent="0.3">
      <c r="A1691" t="s">
        <v>147</v>
      </c>
      <c r="B1691" t="s">
        <v>17</v>
      </c>
      <c r="C1691" t="s">
        <v>13</v>
      </c>
      <c r="D1691" t="s">
        <v>28</v>
      </c>
      <c r="E1691" t="s">
        <v>10</v>
      </c>
      <c r="F1691">
        <v>1573</v>
      </c>
      <c r="G1691">
        <f>INDEX(Operational[Production Volume (units)],MATCH(Emission8[[#This Row],[Facility ID]],Operational[Facility ID],0))</f>
        <v>24095</v>
      </c>
      <c r="H1691">
        <f>INDEX(Operational[Energy Consumption (MWh)],MATCH(Emission8[[#This Row],[Facility ID]],Operational[Facility ID],0))</f>
        <v>3167.52</v>
      </c>
      <c r="I1691">
        <f>INDEX(Operational[Waste (tons)],MATCH(Emission8[[#This Row],[Facility ID]],Operational[Facility ID],0))</f>
        <v>31.02</v>
      </c>
    </row>
    <row r="1692" spans="1:9" x14ac:dyDescent="0.3">
      <c r="A1692" t="s">
        <v>213</v>
      </c>
      <c r="B1692" t="s">
        <v>12</v>
      </c>
      <c r="C1692" t="s">
        <v>34</v>
      </c>
      <c r="D1692" t="s">
        <v>28</v>
      </c>
      <c r="E1692" t="s">
        <v>10</v>
      </c>
      <c r="F1692">
        <v>1578.72</v>
      </c>
      <c r="G1692">
        <f>INDEX(Operational[Production Volume (units)],MATCH(Emission8[[#This Row],[Facility ID]],Operational[Facility ID],0))</f>
        <v>58622</v>
      </c>
      <c r="H1692">
        <f>INDEX(Operational[Energy Consumption (MWh)],MATCH(Emission8[[#This Row],[Facility ID]],Operational[Facility ID],0))</f>
        <v>7795.36</v>
      </c>
      <c r="I1692">
        <f>INDEX(Operational[Waste (tons)],MATCH(Emission8[[#This Row],[Facility ID]],Operational[Facility ID],0))</f>
        <v>59.81</v>
      </c>
    </row>
    <row r="1693" spans="1:9" x14ac:dyDescent="0.3">
      <c r="A1693" t="s">
        <v>84</v>
      </c>
      <c r="B1693" t="s">
        <v>30</v>
      </c>
      <c r="C1693" t="s">
        <v>34</v>
      </c>
      <c r="D1693" t="s">
        <v>9</v>
      </c>
      <c r="E1693" t="s">
        <v>24</v>
      </c>
      <c r="F1693">
        <v>3818.5</v>
      </c>
      <c r="G1693">
        <f>INDEX(Operational[Production Volume (units)],MATCH(Emission8[[#This Row],[Facility ID]],Operational[Facility ID],0))</f>
        <v>85444</v>
      </c>
      <c r="H1693">
        <f>INDEX(Operational[Energy Consumption (MWh)],MATCH(Emission8[[#This Row],[Facility ID]],Operational[Facility ID],0))</f>
        <v>852.57</v>
      </c>
      <c r="I1693">
        <f>INDEX(Operational[Waste (tons)],MATCH(Emission8[[#This Row],[Facility ID]],Operational[Facility ID],0))</f>
        <v>72.650000000000006</v>
      </c>
    </row>
    <row r="1694" spans="1:9" x14ac:dyDescent="0.3">
      <c r="A1694" t="s">
        <v>76</v>
      </c>
      <c r="B1694" t="s">
        <v>17</v>
      </c>
      <c r="C1694" t="s">
        <v>23</v>
      </c>
      <c r="D1694" t="s">
        <v>28</v>
      </c>
      <c r="E1694" t="s">
        <v>24</v>
      </c>
      <c r="F1694">
        <v>2731.54</v>
      </c>
      <c r="G1694">
        <f>INDEX(Operational[Production Volume (units)],MATCH(Emission8[[#This Row],[Facility ID]],Operational[Facility ID],0))</f>
        <v>59617</v>
      </c>
      <c r="H1694">
        <f>INDEX(Operational[Energy Consumption (MWh)],MATCH(Emission8[[#This Row],[Facility ID]],Operational[Facility ID],0))</f>
        <v>5000.95</v>
      </c>
      <c r="I1694">
        <f>INDEX(Operational[Waste (tons)],MATCH(Emission8[[#This Row],[Facility ID]],Operational[Facility ID],0))</f>
        <v>80.36</v>
      </c>
    </row>
    <row r="1695" spans="1:9" x14ac:dyDescent="0.3">
      <c r="A1695" t="s">
        <v>140</v>
      </c>
      <c r="B1695" t="s">
        <v>17</v>
      </c>
      <c r="C1695" t="s">
        <v>8</v>
      </c>
      <c r="D1695" t="s">
        <v>14</v>
      </c>
      <c r="E1695" t="s">
        <v>24</v>
      </c>
      <c r="F1695">
        <v>156.84</v>
      </c>
      <c r="G1695">
        <f>INDEX(Operational[Production Volume (units)],MATCH(Emission8[[#This Row],[Facility ID]],Operational[Facility ID],0))</f>
        <v>88308</v>
      </c>
      <c r="H1695">
        <f>INDEX(Operational[Energy Consumption (MWh)],MATCH(Emission8[[#This Row],[Facility ID]],Operational[Facility ID],0))</f>
        <v>7802.07</v>
      </c>
      <c r="I1695">
        <f>INDEX(Operational[Waste (tons)],MATCH(Emission8[[#This Row],[Facility ID]],Operational[Facility ID],0))</f>
        <v>36.130000000000003</v>
      </c>
    </row>
    <row r="1696" spans="1:9" x14ac:dyDescent="0.3">
      <c r="A1696" t="s">
        <v>85</v>
      </c>
      <c r="B1696" t="s">
        <v>30</v>
      </c>
      <c r="C1696" t="s">
        <v>23</v>
      </c>
      <c r="D1696" t="s">
        <v>28</v>
      </c>
      <c r="E1696" t="s">
        <v>10</v>
      </c>
      <c r="F1696">
        <v>300.70999999999998</v>
      </c>
      <c r="G1696">
        <f>INDEX(Operational[Production Volume (units)],MATCH(Emission8[[#This Row],[Facility ID]],Operational[Facility ID],0))</f>
        <v>45519</v>
      </c>
      <c r="H1696">
        <f>INDEX(Operational[Energy Consumption (MWh)],MATCH(Emission8[[#This Row],[Facility ID]],Operational[Facility ID],0))</f>
        <v>7987.69</v>
      </c>
      <c r="I1696">
        <f>INDEX(Operational[Waste (tons)],MATCH(Emission8[[#This Row],[Facility ID]],Operational[Facility ID],0))</f>
        <v>10.86</v>
      </c>
    </row>
    <row r="1697" spans="1:9" x14ac:dyDescent="0.3">
      <c r="A1697" t="s">
        <v>74</v>
      </c>
      <c r="B1697" t="s">
        <v>19</v>
      </c>
      <c r="C1697" t="s">
        <v>34</v>
      </c>
      <c r="D1697" t="s">
        <v>28</v>
      </c>
      <c r="E1697" t="s">
        <v>10</v>
      </c>
      <c r="F1697">
        <v>4929.3599999999997</v>
      </c>
      <c r="G1697">
        <f>INDEX(Operational[Production Volume (units)],MATCH(Emission8[[#This Row],[Facility ID]],Operational[Facility ID],0))</f>
        <v>18175</v>
      </c>
      <c r="H1697">
        <f>INDEX(Operational[Energy Consumption (MWh)],MATCH(Emission8[[#This Row],[Facility ID]],Operational[Facility ID],0))</f>
        <v>8349.49</v>
      </c>
      <c r="I1697">
        <f>INDEX(Operational[Waste (tons)],MATCH(Emission8[[#This Row],[Facility ID]],Operational[Facility ID],0))</f>
        <v>39.97</v>
      </c>
    </row>
    <row r="1698" spans="1:9" x14ac:dyDescent="0.3">
      <c r="A1698" t="s">
        <v>108</v>
      </c>
      <c r="B1698" t="s">
        <v>7</v>
      </c>
      <c r="C1698" t="s">
        <v>13</v>
      </c>
      <c r="D1698" t="s">
        <v>9</v>
      </c>
      <c r="E1698" t="s">
        <v>10</v>
      </c>
      <c r="F1698">
        <v>2623.47</v>
      </c>
      <c r="G1698">
        <f>INDEX(Operational[Production Volume (units)],MATCH(Emission8[[#This Row],[Facility ID]],Operational[Facility ID],0))</f>
        <v>22201</v>
      </c>
      <c r="H1698">
        <f>INDEX(Operational[Energy Consumption (MWh)],MATCH(Emission8[[#This Row],[Facility ID]],Operational[Facility ID],0))</f>
        <v>2853.66</v>
      </c>
      <c r="I1698">
        <f>INDEX(Operational[Waste (tons)],MATCH(Emission8[[#This Row],[Facility ID]],Operational[Facility ID],0))</f>
        <v>71.94</v>
      </c>
    </row>
    <row r="1699" spans="1:9" x14ac:dyDescent="0.3">
      <c r="A1699" t="s">
        <v>104</v>
      </c>
      <c r="B1699" t="s">
        <v>17</v>
      </c>
      <c r="C1699" t="s">
        <v>23</v>
      </c>
      <c r="D1699" t="s">
        <v>9</v>
      </c>
      <c r="E1699" t="s">
        <v>10</v>
      </c>
      <c r="F1699">
        <v>3247.07</v>
      </c>
      <c r="G1699">
        <f>INDEX(Operational[Production Volume (units)],MATCH(Emission8[[#This Row],[Facility ID]],Operational[Facility ID],0))</f>
        <v>16868</v>
      </c>
      <c r="H1699">
        <f>INDEX(Operational[Energy Consumption (MWh)],MATCH(Emission8[[#This Row],[Facility ID]],Operational[Facility ID],0))</f>
        <v>1378.01</v>
      </c>
      <c r="I1699">
        <f>INDEX(Operational[Waste (tons)],MATCH(Emission8[[#This Row],[Facility ID]],Operational[Facility ID],0))</f>
        <v>47.52</v>
      </c>
    </row>
    <row r="1700" spans="1:9" x14ac:dyDescent="0.3">
      <c r="A1700" t="s">
        <v>156</v>
      </c>
      <c r="B1700" t="s">
        <v>17</v>
      </c>
      <c r="C1700" t="s">
        <v>23</v>
      </c>
      <c r="D1700" t="s">
        <v>28</v>
      </c>
      <c r="E1700" t="s">
        <v>24</v>
      </c>
      <c r="F1700">
        <v>1917.71</v>
      </c>
      <c r="G1700">
        <f>INDEX(Operational[Production Volume (units)],MATCH(Emission8[[#This Row],[Facility ID]],Operational[Facility ID],0))</f>
        <v>81057</v>
      </c>
      <c r="H1700">
        <f>INDEX(Operational[Energy Consumption (MWh)],MATCH(Emission8[[#This Row],[Facility ID]],Operational[Facility ID],0))</f>
        <v>675.41</v>
      </c>
      <c r="I1700">
        <f>INDEX(Operational[Waste (tons)],MATCH(Emission8[[#This Row],[Facility ID]],Operational[Facility ID],0))</f>
        <v>55.44</v>
      </c>
    </row>
    <row r="1701" spans="1:9" x14ac:dyDescent="0.3">
      <c r="A1701" t="s">
        <v>155</v>
      </c>
      <c r="B1701" t="s">
        <v>7</v>
      </c>
      <c r="C1701" t="s">
        <v>13</v>
      </c>
      <c r="D1701" t="s">
        <v>28</v>
      </c>
      <c r="E1701" t="s">
        <v>24</v>
      </c>
      <c r="F1701">
        <v>3841.45</v>
      </c>
      <c r="G1701">
        <f>INDEX(Operational[Production Volume (units)],MATCH(Emission8[[#This Row],[Facility ID]],Operational[Facility ID],0))</f>
        <v>72224</v>
      </c>
      <c r="H1701">
        <f>INDEX(Operational[Energy Consumption (MWh)],MATCH(Emission8[[#This Row],[Facility ID]],Operational[Facility ID],0))</f>
        <v>1613.32</v>
      </c>
      <c r="I1701">
        <f>INDEX(Operational[Waste (tons)],MATCH(Emission8[[#This Row],[Facility ID]],Operational[Facility ID],0))</f>
        <v>39.21</v>
      </c>
    </row>
    <row r="1702" spans="1:9" x14ac:dyDescent="0.3">
      <c r="A1702" t="s">
        <v>121</v>
      </c>
      <c r="B1702" t="s">
        <v>30</v>
      </c>
      <c r="C1702" t="s">
        <v>34</v>
      </c>
      <c r="D1702" t="s">
        <v>28</v>
      </c>
      <c r="E1702" t="s">
        <v>10</v>
      </c>
      <c r="F1702">
        <v>4035.07</v>
      </c>
      <c r="G1702">
        <f>INDEX(Operational[Production Volume (units)],MATCH(Emission8[[#This Row],[Facility ID]],Operational[Facility ID],0))</f>
        <v>58895</v>
      </c>
      <c r="H1702">
        <f>INDEX(Operational[Energy Consumption (MWh)],MATCH(Emission8[[#This Row],[Facility ID]],Operational[Facility ID],0))</f>
        <v>3039.17</v>
      </c>
      <c r="I1702">
        <f>INDEX(Operational[Waste (tons)],MATCH(Emission8[[#This Row],[Facility ID]],Operational[Facility ID],0))</f>
        <v>59.82</v>
      </c>
    </row>
    <row r="1703" spans="1:9" x14ac:dyDescent="0.3">
      <c r="A1703" t="s">
        <v>175</v>
      </c>
      <c r="B1703" t="s">
        <v>7</v>
      </c>
      <c r="C1703" t="s">
        <v>34</v>
      </c>
      <c r="D1703" t="s">
        <v>14</v>
      </c>
      <c r="E1703" t="s">
        <v>15</v>
      </c>
      <c r="F1703">
        <v>3477.6</v>
      </c>
      <c r="G1703">
        <f>INDEX(Operational[Production Volume (units)],MATCH(Emission8[[#This Row],[Facility ID]],Operational[Facility ID],0))</f>
        <v>83923</v>
      </c>
      <c r="H1703">
        <f>INDEX(Operational[Energy Consumption (MWh)],MATCH(Emission8[[#This Row],[Facility ID]],Operational[Facility ID],0))</f>
        <v>8768.7999999999993</v>
      </c>
      <c r="I1703">
        <f>INDEX(Operational[Waste (tons)],MATCH(Emission8[[#This Row],[Facility ID]],Operational[Facility ID],0))</f>
        <v>65.290000000000006</v>
      </c>
    </row>
    <row r="1704" spans="1:9" x14ac:dyDescent="0.3">
      <c r="A1704" t="s">
        <v>186</v>
      </c>
      <c r="B1704" t="s">
        <v>30</v>
      </c>
      <c r="C1704" t="s">
        <v>8</v>
      </c>
      <c r="D1704" t="s">
        <v>14</v>
      </c>
      <c r="E1704" t="s">
        <v>24</v>
      </c>
      <c r="F1704">
        <v>1743.67</v>
      </c>
      <c r="G1704">
        <f>INDEX(Operational[Production Volume (units)],MATCH(Emission8[[#This Row],[Facility ID]],Operational[Facility ID],0))</f>
        <v>85868</v>
      </c>
      <c r="H1704">
        <f>INDEX(Operational[Energy Consumption (MWh)],MATCH(Emission8[[#This Row],[Facility ID]],Operational[Facility ID],0))</f>
        <v>907.72</v>
      </c>
      <c r="I1704">
        <f>INDEX(Operational[Waste (tons)],MATCH(Emission8[[#This Row],[Facility ID]],Operational[Facility ID],0))</f>
        <v>90.36</v>
      </c>
    </row>
    <row r="1705" spans="1:9" x14ac:dyDescent="0.3">
      <c r="A1705" t="s">
        <v>111</v>
      </c>
      <c r="B1705" t="s">
        <v>19</v>
      </c>
      <c r="C1705" t="s">
        <v>8</v>
      </c>
      <c r="D1705" t="s">
        <v>9</v>
      </c>
      <c r="E1705" t="s">
        <v>24</v>
      </c>
      <c r="F1705">
        <v>2351.44</v>
      </c>
      <c r="G1705">
        <f>INDEX(Operational[Production Volume (units)],MATCH(Emission8[[#This Row],[Facility ID]],Operational[Facility ID],0))</f>
        <v>37309</v>
      </c>
      <c r="H1705">
        <f>INDEX(Operational[Energy Consumption (MWh)],MATCH(Emission8[[#This Row],[Facility ID]],Operational[Facility ID],0))</f>
        <v>4508.54</v>
      </c>
      <c r="I1705">
        <f>INDEX(Operational[Waste (tons)],MATCH(Emission8[[#This Row],[Facility ID]],Operational[Facility ID],0))</f>
        <v>47.15</v>
      </c>
    </row>
    <row r="1706" spans="1:9" x14ac:dyDescent="0.3">
      <c r="A1706" t="s">
        <v>211</v>
      </c>
      <c r="B1706" t="s">
        <v>7</v>
      </c>
      <c r="C1706" t="s">
        <v>8</v>
      </c>
      <c r="D1706" t="s">
        <v>14</v>
      </c>
      <c r="E1706" t="s">
        <v>10</v>
      </c>
      <c r="F1706">
        <v>4335.1400000000003</v>
      </c>
      <c r="G1706">
        <f>INDEX(Operational[Production Volume (units)],MATCH(Emission8[[#This Row],[Facility ID]],Operational[Facility ID],0))</f>
        <v>27028</v>
      </c>
      <c r="H1706">
        <f>INDEX(Operational[Energy Consumption (MWh)],MATCH(Emission8[[#This Row],[Facility ID]],Operational[Facility ID],0))</f>
        <v>4617.92</v>
      </c>
      <c r="I1706">
        <f>INDEX(Operational[Waste (tons)],MATCH(Emission8[[#This Row],[Facility ID]],Operational[Facility ID],0))</f>
        <v>57.62</v>
      </c>
    </row>
    <row r="1707" spans="1:9" x14ac:dyDescent="0.3">
      <c r="A1707" t="s">
        <v>76</v>
      </c>
      <c r="B1707" t="s">
        <v>17</v>
      </c>
      <c r="C1707" t="s">
        <v>8</v>
      </c>
      <c r="D1707" t="s">
        <v>28</v>
      </c>
      <c r="E1707" t="s">
        <v>15</v>
      </c>
      <c r="F1707">
        <v>4697.66</v>
      </c>
      <c r="G1707">
        <f>INDEX(Operational[Production Volume (units)],MATCH(Emission8[[#This Row],[Facility ID]],Operational[Facility ID],0))</f>
        <v>59617</v>
      </c>
      <c r="H1707">
        <f>INDEX(Operational[Energy Consumption (MWh)],MATCH(Emission8[[#This Row],[Facility ID]],Operational[Facility ID],0))</f>
        <v>5000.95</v>
      </c>
      <c r="I1707">
        <f>INDEX(Operational[Waste (tons)],MATCH(Emission8[[#This Row],[Facility ID]],Operational[Facility ID],0))</f>
        <v>80.36</v>
      </c>
    </row>
    <row r="1708" spans="1:9" x14ac:dyDescent="0.3">
      <c r="A1708" t="s">
        <v>114</v>
      </c>
      <c r="B1708" t="s">
        <v>30</v>
      </c>
      <c r="C1708" t="s">
        <v>23</v>
      </c>
      <c r="D1708" t="s">
        <v>28</v>
      </c>
      <c r="E1708" t="s">
        <v>15</v>
      </c>
      <c r="F1708">
        <v>3378.49</v>
      </c>
      <c r="G1708">
        <f>INDEX(Operational[Production Volume (units)],MATCH(Emission8[[#This Row],[Facility ID]],Operational[Facility ID],0))</f>
        <v>29264</v>
      </c>
      <c r="H1708">
        <f>INDEX(Operational[Energy Consumption (MWh)],MATCH(Emission8[[#This Row],[Facility ID]],Operational[Facility ID],0))</f>
        <v>8362.7199999999993</v>
      </c>
      <c r="I1708">
        <f>INDEX(Operational[Waste (tons)],MATCH(Emission8[[#This Row],[Facility ID]],Operational[Facility ID],0))</f>
        <v>61.93</v>
      </c>
    </row>
    <row r="1709" spans="1:9" x14ac:dyDescent="0.3">
      <c r="A1709" t="s">
        <v>78</v>
      </c>
      <c r="B1709" t="s">
        <v>7</v>
      </c>
      <c r="C1709" t="s">
        <v>34</v>
      </c>
      <c r="D1709" t="s">
        <v>14</v>
      </c>
      <c r="E1709" t="s">
        <v>10</v>
      </c>
      <c r="F1709">
        <v>4068.86</v>
      </c>
      <c r="G1709">
        <f>INDEX(Operational[Production Volume (units)],MATCH(Emission8[[#This Row],[Facility ID]],Operational[Facility ID],0))</f>
        <v>86557</v>
      </c>
      <c r="H1709">
        <f>INDEX(Operational[Energy Consumption (MWh)],MATCH(Emission8[[#This Row],[Facility ID]],Operational[Facility ID],0))</f>
        <v>8631.2800000000007</v>
      </c>
      <c r="I1709">
        <f>INDEX(Operational[Waste (tons)],MATCH(Emission8[[#This Row],[Facility ID]],Operational[Facility ID],0))</f>
        <v>69.53</v>
      </c>
    </row>
    <row r="1710" spans="1:9" x14ac:dyDescent="0.3">
      <c r="A1710" t="s">
        <v>44</v>
      </c>
      <c r="B1710" t="s">
        <v>19</v>
      </c>
      <c r="C1710" t="s">
        <v>34</v>
      </c>
      <c r="D1710" t="s">
        <v>9</v>
      </c>
      <c r="E1710" t="s">
        <v>10</v>
      </c>
      <c r="F1710">
        <v>4658.54</v>
      </c>
      <c r="G1710">
        <f>INDEX(Operational[Production Volume (units)],MATCH(Emission8[[#This Row],[Facility ID]],Operational[Facility ID],0))</f>
        <v>16256</v>
      </c>
      <c r="H1710">
        <f>INDEX(Operational[Energy Consumption (MWh)],MATCH(Emission8[[#This Row],[Facility ID]],Operational[Facility ID],0))</f>
        <v>2127.1799999999998</v>
      </c>
      <c r="I1710">
        <f>INDEX(Operational[Waste (tons)],MATCH(Emission8[[#This Row],[Facility ID]],Operational[Facility ID],0))</f>
        <v>38.94</v>
      </c>
    </row>
    <row r="1711" spans="1:9" x14ac:dyDescent="0.3">
      <c r="A1711" t="s">
        <v>80</v>
      </c>
      <c r="B1711" t="s">
        <v>17</v>
      </c>
      <c r="C1711" t="s">
        <v>8</v>
      </c>
      <c r="D1711" t="s">
        <v>9</v>
      </c>
      <c r="E1711" t="s">
        <v>10</v>
      </c>
      <c r="F1711">
        <v>3516.45</v>
      </c>
      <c r="G1711">
        <f>INDEX(Operational[Production Volume (units)],MATCH(Emission8[[#This Row],[Facility ID]],Operational[Facility ID],0))</f>
        <v>75508</v>
      </c>
      <c r="H1711">
        <f>INDEX(Operational[Energy Consumption (MWh)],MATCH(Emission8[[#This Row],[Facility ID]],Operational[Facility ID],0))</f>
        <v>6856.22</v>
      </c>
      <c r="I1711">
        <f>INDEX(Operational[Waste (tons)],MATCH(Emission8[[#This Row],[Facility ID]],Operational[Facility ID],0))</f>
        <v>18.2</v>
      </c>
    </row>
    <row r="1712" spans="1:9" x14ac:dyDescent="0.3">
      <c r="A1712" t="s">
        <v>81</v>
      </c>
      <c r="B1712" t="s">
        <v>12</v>
      </c>
      <c r="C1712" t="s">
        <v>34</v>
      </c>
      <c r="D1712" t="s">
        <v>9</v>
      </c>
      <c r="E1712" t="s">
        <v>15</v>
      </c>
      <c r="F1712">
        <v>3133.83</v>
      </c>
      <c r="G1712">
        <f>INDEX(Operational[Production Volume (units)],MATCH(Emission8[[#This Row],[Facility ID]],Operational[Facility ID],0))</f>
        <v>93661</v>
      </c>
      <c r="H1712">
        <f>INDEX(Operational[Energy Consumption (MWh)],MATCH(Emission8[[#This Row],[Facility ID]],Operational[Facility ID],0))</f>
        <v>7324.58</v>
      </c>
      <c r="I1712">
        <f>INDEX(Operational[Waste (tons)],MATCH(Emission8[[#This Row],[Facility ID]],Operational[Facility ID],0))</f>
        <v>23.55</v>
      </c>
    </row>
    <row r="1713" spans="1:9" x14ac:dyDescent="0.3">
      <c r="A1713" t="s">
        <v>29</v>
      </c>
      <c r="B1713" t="s">
        <v>30</v>
      </c>
      <c r="C1713" t="s">
        <v>13</v>
      </c>
      <c r="D1713" t="s">
        <v>28</v>
      </c>
      <c r="E1713" t="s">
        <v>15</v>
      </c>
      <c r="F1713">
        <v>1951.82</v>
      </c>
      <c r="G1713">
        <f>INDEX(Operational[Production Volume (units)],MATCH(Emission8[[#This Row],[Facility ID]],Operational[Facility ID],0))</f>
        <v>32131</v>
      </c>
      <c r="H1713">
        <f>INDEX(Operational[Energy Consumption (MWh)],MATCH(Emission8[[#This Row],[Facility ID]],Operational[Facility ID],0))</f>
        <v>1474.23</v>
      </c>
      <c r="I1713">
        <f>INDEX(Operational[Waste (tons)],MATCH(Emission8[[#This Row],[Facility ID]],Operational[Facility ID],0))</f>
        <v>45.47</v>
      </c>
    </row>
    <row r="1714" spans="1:9" x14ac:dyDescent="0.3">
      <c r="A1714" t="s">
        <v>123</v>
      </c>
      <c r="B1714" t="s">
        <v>30</v>
      </c>
      <c r="C1714" t="s">
        <v>34</v>
      </c>
      <c r="D1714" t="s">
        <v>9</v>
      </c>
      <c r="E1714" t="s">
        <v>10</v>
      </c>
      <c r="F1714">
        <v>2056.02</v>
      </c>
      <c r="G1714">
        <f>INDEX(Operational[Production Volume (units)],MATCH(Emission8[[#This Row],[Facility ID]],Operational[Facility ID],0))</f>
        <v>73977</v>
      </c>
      <c r="H1714">
        <f>INDEX(Operational[Energy Consumption (MWh)],MATCH(Emission8[[#This Row],[Facility ID]],Operational[Facility ID],0))</f>
        <v>1646.75</v>
      </c>
      <c r="I1714">
        <f>INDEX(Operational[Waste (tons)],MATCH(Emission8[[#This Row],[Facility ID]],Operational[Facility ID],0))</f>
        <v>43.77</v>
      </c>
    </row>
    <row r="1715" spans="1:9" x14ac:dyDescent="0.3">
      <c r="A1715" t="s">
        <v>62</v>
      </c>
      <c r="B1715" t="s">
        <v>30</v>
      </c>
      <c r="C1715" t="s">
        <v>23</v>
      </c>
      <c r="D1715" t="s">
        <v>14</v>
      </c>
      <c r="E1715" t="s">
        <v>10</v>
      </c>
      <c r="F1715">
        <v>377.76</v>
      </c>
      <c r="G1715">
        <f>INDEX(Operational[Production Volume (units)],MATCH(Emission8[[#This Row],[Facility ID]],Operational[Facility ID],0))</f>
        <v>22309</v>
      </c>
      <c r="H1715">
        <f>INDEX(Operational[Energy Consumption (MWh)],MATCH(Emission8[[#This Row],[Facility ID]],Operational[Facility ID],0))</f>
        <v>3656.29</v>
      </c>
      <c r="I1715">
        <f>INDEX(Operational[Waste (tons)],MATCH(Emission8[[#This Row],[Facility ID]],Operational[Facility ID],0))</f>
        <v>75.25</v>
      </c>
    </row>
    <row r="1716" spans="1:9" x14ac:dyDescent="0.3">
      <c r="A1716" t="s">
        <v>183</v>
      </c>
      <c r="B1716" t="s">
        <v>7</v>
      </c>
      <c r="C1716" t="s">
        <v>8</v>
      </c>
      <c r="D1716" t="s">
        <v>14</v>
      </c>
      <c r="E1716" t="s">
        <v>24</v>
      </c>
      <c r="F1716">
        <v>4676.8</v>
      </c>
      <c r="G1716">
        <f>INDEX(Operational[Production Volume (units)],MATCH(Emission8[[#This Row],[Facility ID]],Operational[Facility ID],0))</f>
        <v>14009</v>
      </c>
      <c r="H1716">
        <f>INDEX(Operational[Energy Consumption (MWh)],MATCH(Emission8[[#This Row],[Facility ID]],Operational[Facility ID],0))</f>
        <v>7528.98</v>
      </c>
      <c r="I1716">
        <f>INDEX(Operational[Waste (tons)],MATCH(Emission8[[#This Row],[Facility ID]],Operational[Facility ID],0))</f>
        <v>77.62</v>
      </c>
    </row>
    <row r="1717" spans="1:9" x14ac:dyDescent="0.3">
      <c r="A1717" t="s">
        <v>198</v>
      </c>
      <c r="B1717" t="s">
        <v>12</v>
      </c>
      <c r="C1717" t="s">
        <v>23</v>
      </c>
      <c r="D1717" t="s">
        <v>9</v>
      </c>
      <c r="E1717" t="s">
        <v>15</v>
      </c>
      <c r="F1717">
        <v>3984.46</v>
      </c>
      <c r="G1717">
        <f>INDEX(Operational[Production Volume (units)],MATCH(Emission8[[#This Row],[Facility ID]],Operational[Facility ID],0))</f>
        <v>58113</v>
      </c>
      <c r="H1717">
        <f>INDEX(Operational[Energy Consumption (MWh)],MATCH(Emission8[[#This Row],[Facility ID]],Operational[Facility ID],0))</f>
        <v>6382.12</v>
      </c>
      <c r="I1717">
        <f>INDEX(Operational[Waste (tons)],MATCH(Emission8[[#This Row],[Facility ID]],Operational[Facility ID],0))</f>
        <v>56.66</v>
      </c>
    </row>
    <row r="1718" spans="1:9" x14ac:dyDescent="0.3">
      <c r="A1718" t="s">
        <v>205</v>
      </c>
      <c r="B1718" t="s">
        <v>17</v>
      </c>
      <c r="C1718" t="s">
        <v>13</v>
      </c>
      <c r="D1718" t="s">
        <v>9</v>
      </c>
      <c r="E1718" t="s">
        <v>15</v>
      </c>
      <c r="F1718">
        <v>1346.68</v>
      </c>
      <c r="G1718">
        <f>INDEX(Operational[Production Volume (units)],MATCH(Emission8[[#This Row],[Facility ID]],Operational[Facility ID],0))</f>
        <v>52594</v>
      </c>
      <c r="H1718">
        <f>INDEX(Operational[Energy Consumption (MWh)],MATCH(Emission8[[#This Row],[Facility ID]],Operational[Facility ID],0))</f>
        <v>8715.0400000000009</v>
      </c>
      <c r="I1718">
        <f>INDEX(Operational[Waste (tons)],MATCH(Emission8[[#This Row],[Facility ID]],Operational[Facility ID],0))</f>
        <v>90.54</v>
      </c>
    </row>
    <row r="1719" spans="1:9" x14ac:dyDescent="0.3">
      <c r="A1719" t="s">
        <v>126</v>
      </c>
      <c r="B1719" t="s">
        <v>30</v>
      </c>
      <c r="C1719" t="s">
        <v>13</v>
      </c>
      <c r="D1719" t="s">
        <v>9</v>
      </c>
      <c r="E1719" t="s">
        <v>24</v>
      </c>
      <c r="F1719">
        <v>4869.82</v>
      </c>
      <c r="G1719">
        <f>INDEX(Operational[Production Volume (units)],MATCH(Emission8[[#This Row],[Facility ID]],Operational[Facility ID],0))</f>
        <v>35506</v>
      </c>
      <c r="H1719">
        <f>INDEX(Operational[Energy Consumption (MWh)],MATCH(Emission8[[#This Row],[Facility ID]],Operational[Facility ID],0))</f>
        <v>1892.04</v>
      </c>
      <c r="I1719">
        <f>INDEX(Operational[Waste (tons)],MATCH(Emission8[[#This Row],[Facility ID]],Operational[Facility ID],0))</f>
        <v>61.53</v>
      </c>
    </row>
    <row r="1720" spans="1:9" x14ac:dyDescent="0.3">
      <c r="A1720" t="s">
        <v>183</v>
      </c>
      <c r="B1720" t="s">
        <v>7</v>
      </c>
      <c r="C1720" t="s">
        <v>34</v>
      </c>
      <c r="D1720" t="s">
        <v>9</v>
      </c>
      <c r="E1720" t="s">
        <v>15</v>
      </c>
      <c r="F1720">
        <v>2329.09</v>
      </c>
      <c r="G1720">
        <f>INDEX(Operational[Production Volume (units)],MATCH(Emission8[[#This Row],[Facility ID]],Operational[Facility ID],0))</f>
        <v>14009</v>
      </c>
      <c r="H1720">
        <f>INDEX(Operational[Energy Consumption (MWh)],MATCH(Emission8[[#This Row],[Facility ID]],Operational[Facility ID],0))</f>
        <v>7528.98</v>
      </c>
      <c r="I1720">
        <f>INDEX(Operational[Waste (tons)],MATCH(Emission8[[#This Row],[Facility ID]],Operational[Facility ID],0))</f>
        <v>77.62</v>
      </c>
    </row>
    <row r="1721" spans="1:9" x14ac:dyDescent="0.3">
      <c r="A1721" t="s">
        <v>217</v>
      </c>
      <c r="B1721" t="s">
        <v>19</v>
      </c>
      <c r="C1721" t="s">
        <v>8</v>
      </c>
      <c r="D1721" t="s">
        <v>9</v>
      </c>
      <c r="E1721" t="s">
        <v>15</v>
      </c>
      <c r="F1721">
        <v>4828.6000000000004</v>
      </c>
      <c r="G1721">
        <f>INDEX(Operational[Production Volume (units)],MATCH(Emission8[[#This Row],[Facility ID]],Operational[Facility ID],0))</f>
        <v>80824</v>
      </c>
      <c r="H1721">
        <f>INDEX(Operational[Energy Consumption (MWh)],MATCH(Emission8[[#This Row],[Facility ID]],Operational[Facility ID],0))</f>
        <v>2858.92</v>
      </c>
      <c r="I1721">
        <f>INDEX(Operational[Waste (tons)],MATCH(Emission8[[#This Row],[Facility ID]],Operational[Facility ID],0))</f>
        <v>13.97</v>
      </c>
    </row>
    <row r="1722" spans="1:9" x14ac:dyDescent="0.3">
      <c r="A1722" t="s">
        <v>130</v>
      </c>
      <c r="B1722" t="s">
        <v>12</v>
      </c>
      <c r="C1722" t="s">
        <v>8</v>
      </c>
      <c r="D1722" t="s">
        <v>28</v>
      </c>
      <c r="E1722" t="s">
        <v>10</v>
      </c>
      <c r="F1722">
        <v>3423.67</v>
      </c>
      <c r="G1722">
        <f>INDEX(Operational[Production Volume (units)],MATCH(Emission8[[#This Row],[Facility ID]],Operational[Facility ID],0))</f>
        <v>82332</v>
      </c>
      <c r="H1722">
        <f>INDEX(Operational[Energy Consumption (MWh)],MATCH(Emission8[[#This Row],[Facility ID]],Operational[Facility ID],0))</f>
        <v>7134.86</v>
      </c>
      <c r="I1722">
        <f>INDEX(Operational[Waste (tons)],MATCH(Emission8[[#This Row],[Facility ID]],Operational[Facility ID],0))</f>
        <v>22.44</v>
      </c>
    </row>
    <row r="1723" spans="1:9" x14ac:dyDescent="0.3">
      <c r="A1723" t="s">
        <v>198</v>
      </c>
      <c r="B1723" t="s">
        <v>12</v>
      </c>
      <c r="C1723" t="s">
        <v>34</v>
      </c>
      <c r="D1723" t="s">
        <v>14</v>
      </c>
      <c r="E1723" t="s">
        <v>10</v>
      </c>
      <c r="F1723">
        <v>2957.49</v>
      </c>
      <c r="G1723">
        <f>INDEX(Operational[Production Volume (units)],MATCH(Emission8[[#This Row],[Facility ID]],Operational[Facility ID],0))</f>
        <v>58113</v>
      </c>
      <c r="H1723">
        <f>INDEX(Operational[Energy Consumption (MWh)],MATCH(Emission8[[#This Row],[Facility ID]],Operational[Facility ID],0))</f>
        <v>6382.12</v>
      </c>
      <c r="I1723">
        <f>INDEX(Operational[Waste (tons)],MATCH(Emission8[[#This Row],[Facility ID]],Operational[Facility ID],0))</f>
        <v>56.66</v>
      </c>
    </row>
    <row r="1724" spans="1:9" x14ac:dyDescent="0.3">
      <c r="A1724" t="s">
        <v>197</v>
      </c>
      <c r="B1724" t="s">
        <v>30</v>
      </c>
      <c r="C1724" t="s">
        <v>13</v>
      </c>
      <c r="D1724" t="s">
        <v>14</v>
      </c>
      <c r="E1724" t="s">
        <v>15</v>
      </c>
      <c r="F1724">
        <v>3128.34</v>
      </c>
      <c r="G1724">
        <f>INDEX(Operational[Production Volume (units)],MATCH(Emission8[[#This Row],[Facility ID]],Operational[Facility ID],0))</f>
        <v>56752</v>
      </c>
      <c r="H1724">
        <f>INDEX(Operational[Energy Consumption (MWh)],MATCH(Emission8[[#This Row],[Facility ID]],Operational[Facility ID],0))</f>
        <v>4177.68</v>
      </c>
      <c r="I1724">
        <f>INDEX(Operational[Waste (tons)],MATCH(Emission8[[#This Row],[Facility ID]],Operational[Facility ID],0))</f>
        <v>10.96</v>
      </c>
    </row>
    <row r="1725" spans="1:9" x14ac:dyDescent="0.3">
      <c r="A1725" t="s">
        <v>122</v>
      </c>
      <c r="B1725" t="s">
        <v>19</v>
      </c>
      <c r="C1725" t="s">
        <v>34</v>
      </c>
      <c r="D1725" t="s">
        <v>9</v>
      </c>
      <c r="E1725" t="s">
        <v>24</v>
      </c>
      <c r="F1725">
        <v>4548.07</v>
      </c>
      <c r="G1725">
        <f>INDEX(Operational[Production Volume (units)],MATCH(Emission8[[#This Row],[Facility ID]],Operational[Facility ID],0))</f>
        <v>95962</v>
      </c>
      <c r="H1725">
        <f>INDEX(Operational[Energy Consumption (MWh)],MATCH(Emission8[[#This Row],[Facility ID]],Operational[Facility ID],0))</f>
        <v>524.72</v>
      </c>
      <c r="I1725">
        <f>INDEX(Operational[Waste (tons)],MATCH(Emission8[[#This Row],[Facility ID]],Operational[Facility ID],0))</f>
        <v>49.55</v>
      </c>
    </row>
    <row r="1726" spans="1:9" x14ac:dyDescent="0.3">
      <c r="A1726" t="s">
        <v>165</v>
      </c>
      <c r="B1726" t="s">
        <v>7</v>
      </c>
      <c r="C1726" t="s">
        <v>23</v>
      </c>
      <c r="D1726" t="s">
        <v>14</v>
      </c>
      <c r="E1726" t="s">
        <v>15</v>
      </c>
      <c r="F1726">
        <v>3929.66</v>
      </c>
      <c r="G1726">
        <f>INDEX(Operational[Production Volume (units)],MATCH(Emission8[[#This Row],[Facility ID]],Operational[Facility ID],0))</f>
        <v>32991</v>
      </c>
      <c r="H1726">
        <f>INDEX(Operational[Energy Consumption (MWh)],MATCH(Emission8[[#This Row],[Facility ID]],Operational[Facility ID],0))</f>
        <v>8540.14</v>
      </c>
      <c r="I1726">
        <f>INDEX(Operational[Waste (tons)],MATCH(Emission8[[#This Row],[Facility ID]],Operational[Facility ID],0))</f>
        <v>37.75</v>
      </c>
    </row>
    <row r="1727" spans="1:9" x14ac:dyDescent="0.3">
      <c r="A1727" t="s">
        <v>123</v>
      </c>
      <c r="B1727" t="s">
        <v>30</v>
      </c>
      <c r="C1727" t="s">
        <v>13</v>
      </c>
      <c r="D1727" t="s">
        <v>9</v>
      </c>
      <c r="E1727" t="s">
        <v>10</v>
      </c>
      <c r="F1727">
        <v>3790.62</v>
      </c>
      <c r="G1727">
        <f>INDEX(Operational[Production Volume (units)],MATCH(Emission8[[#This Row],[Facility ID]],Operational[Facility ID],0))</f>
        <v>73977</v>
      </c>
      <c r="H1727">
        <f>INDEX(Operational[Energy Consumption (MWh)],MATCH(Emission8[[#This Row],[Facility ID]],Operational[Facility ID],0))</f>
        <v>1646.75</v>
      </c>
      <c r="I1727">
        <f>INDEX(Operational[Waste (tons)],MATCH(Emission8[[#This Row],[Facility ID]],Operational[Facility ID],0))</f>
        <v>43.77</v>
      </c>
    </row>
    <row r="1728" spans="1:9" x14ac:dyDescent="0.3">
      <c r="A1728" t="s">
        <v>142</v>
      </c>
      <c r="B1728" t="s">
        <v>17</v>
      </c>
      <c r="C1728" t="s">
        <v>13</v>
      </c>
      <c r="D1728" t="s">
        <v>28</v>
      </c>
      <c r="E1728" t="s">
        <v>24</v>
      </c>
      <c r="F1728">
        <v>4480.07</v>
      </c>
      <c r="G1728">
        <f>INDEX(Operational[Production Volume (units)],MATCH(Emission8[[#This Row],[Facility ID]],Operational[Facility ID],0))</f>
        <v>75736</v>
      </c>
      <c r="H1728">
        <f>INDEX(Operational[Energy Consumption (MWh)],MATCH(Emission8[[#This Row],[Facility ID]],Operational[Facility ID],0))</f>
        <v>6287.07</v>
      </c>
      <c r="I1728">
        <f>INDEX(Operational[Waste (tons)],MATCH(Emission8[[#This Row],[Facility ID]],Operational[Facility ID],0))</f>
        <v>63.11</v>
      </c>
    </row>
    <row r="1729" spans="1:9" x14ac:dyDescent="0.3">
      <c r="A1729" t="s">
        <v>62</v>
      </c>
      <c r="B1729" t="s">
        <v>30</v>
      </c>
      <c r="C1729" t="s">
        <v>23</v>
      </c>
      <c r="D1729" t="s">
        <v>28</v>
      </c>
      <c r="E1729" t="s">
        <v>10</v>
      </c>
      <c r="F1729">
        <v>4123.79</v>
      </c>
      <c r="G1729">
        <f>INDEX(Operational[Production Volume (units)],MATCH(Emission8[[#This Row],[Facility ID]],Operational[Facility ID],0))</f>
        <v>22309</v>
      </c>
      <c r="H1729">
        <f>INDEX(Operational[Energy Consumption (MWh)],MATCH(Emission8[[#This Row],[Facility ID]],Operational[Facility ID],0))</f>
        <v>3656.29</v>
      </c>
      <c r="I1729">
        <f>INDEX(Operational[Waste (tons)],MATCH(Emission8[[#This Row],[Facility ID]],Operational[Facility ID],0))</f>
        <v>75.25</v>
      </c>
    </row>
    <row r="1730" spans="1:9" x14ac:dyDescent="0.3">
      <c r="A1730" t="s">
        <v>90</v>
      </c>
      <c r="B1730" t="s">
        <v>19</v>
      </c>
      <c r="C1730" t="s">
        <v>13</v>
      </c>
      <c r="D1730" t="s">
        <v>14</v>
      </c>
      <c r="E1730" t="s">
        <v>10</v>
      </c>
      <c r="F1730">
        <v>100.8</v>
      </c>
      <c r="G1730">
        <f>INDEX(Operational[Production Volume (units)],MATCH(Emission8[[#This Row],[Facility ID]],Operational[Facility ID],0))</f>
        <v>97337</v>
      </c>
      <c r="H1730">
        <f>INDEX(Operational[Energy Consumption (MWh)],MATCH(Emission8[[#This Row],[Facility ID]],Operational[Facility ID],0))</f>
        <v>3362.06</v>
      </c>
      <c r="I1730">
        <f>INDEX(Operational[Waste (tons)],MATCH(Emission8[[#This Row],[Facility ID]],Operational[Facility ID],0))</f>
        <v>55.46</v>
      </c>
    </row>
    <row r="1731" spans="1:9" x14ac:dyDescent="0.3">
      <c r="A1731" t="s">
        <v>100</v>
      </c>
      <c r="B1731" t="s">
        <v>7</v>
      </c>
      <c r="C1731" t="s">
        <v>23</v>
      </c>
      <c r="D1731" t="s">
        <v>28</v>
      </c>
      <c r="E1731" t="s">
        <v>10</v>
      </c>
      <c r="F1731">
        <v>4783.3999999999996</v>
      </c>
      <c r="G1731">
        <f>INDEX(Operational[Production Volume (units)],MATCH(Emission8[[#This Row],[Facility ID]],Operational[Facility ID],0))</f>
        <v>17468</v>
      </c>
      <c r="H1731">
        <f>INDEX(Operational[Energy Consumption (MWh)],MATCH(Emission8[[#This Row],[Facility ID]],Operational[Facility ID],0))</f>
        <v>6359.73</v>
      </c>
      <c r="I1731">
        <f>INDEX(Operational[Waste (tons)],MATCH(Emission8[[#This Row],[Facility ID]],Operational[Facility ID],0))</f>
        <v>5.22</v>
      </c>
    </row>
    <row r="1732" spans="1:9" x14ac:dyDescent="0.3">
      <c r="A1732" t="s">
        <v>131</v>
      </c>
      <c r="B1732" t="s">
        <v>17</v>
      </c>
      <c r="C1732" t="s">
        <v>23</v>
      </c>
      <c r="D1732" t="s">
        <v>9</v>
      </c>
      <c r="E1732" t="s">
        <v>10</v>
      </c>
      <c r="F1732">
        <v>2568.52</v>
      </c>
      <c r="G1732">
        <f>INDEX(Operational[Production Volume (units)],MATCH(Emission8[[#This Row],[Facility ID]],Operational[Facility ID],0))</f>
        <v>94128</v>
      </c>
      <c r="H1732">
        <f>INDEX(Operational[Energy Consumption (MWh)],MATCH(Emission8[[#This Row],[Facility ID]],Operational[Facility ID],0))</f>
        <v>8117.82</v>
      </c>
      <c r="I1732">
        <f>INDEX(Operational[Waste (tons)],MATCH(Emission8[[#This Row],[Facility ID]],Operational[Facility ID],0))</f>
        <v>73.83</v>
      </c>
    </row>
    <row r="1733" spans="1:9" x14ac:dyDescent="0.3">
      <c r="A1733" t="s">
        <v>49</v>
      </c>
      <c r="B1733" t="s">
        <v>19</v>
      </c>
      <c r="C1733" t="s">
        <v>13</v>
      </c>
      <c r="D1733" t="s">
        <v>28</v>
      </c>
      <c r="E1733" t="s">
        <v>15</v>
      </c>
      <c r="F1733">
        <v>246.64</v>
      </c>
      <c r="G1733">
        <f>INDEX(Operational[Production Volume (units)],MATCH(Emission8[[#This Row],[Facility ID]],Operational[Facility ID],0))</f>
        <v>50306</v>
      </c>
      <c r="H1733">
        <f>INDEX(Operational[Energy Consumption (MWh)],MATCH(Emission8[[#This Row],[Facility ID]],Operational[Facility ID],0))</f>
        <v>7031.37</v>
      </c>
      <c r="I1733">
        <f>INDEX(Operational[Waste (tons)],MATCH(Emission8[[#This Row],[Facility ID]],Operational[Facility ID],0))</f>
        <v>13.27</v>
      </c>
    </row>
    <row r="1734" spans="1:9" x14ac:dyDescent="0.3">
      <c r="A1734" t="s">
        <v>71</v>
      </c>
      <c r="B1734" t="s">
        <v>7</v>
      </c>
      <c r="C1734" t="s">
        <v>8</v>
      </c>
      <c r="D1734" t="s">
        <v>14</v>
      </c>
      <c r="E1734" t="s">
        <v>15</v>
      </c>
      <c r="F1734">
        <v>498.61</v>
      </c>
      <c r="G1734">
        <f>INDEX(Operational[Production Volume (units)],MATCH(Emission8[[#This Row],[Facility ID]],Operational[Facility ID],0))</f>
        <v>68018</v>
      </c>
      <c r="H1734">
        <f>INDEX(Operational[Energy Consumption (MWh)],MATCH(Emission8[[#This Row],[Facility ID]],Operational[Facility ID],0))</f>
        <v>3523.4</v>
      </c>
      <c r="I1734">
        <f>INDEX(Operational[Waste (tons)],MATCH(Emission8[[#This Row],[Facility ID]],Operational[Facility ID],0))</f>
        <v>92.26</v>
      </c>
    </row>
    <row r="1735" spans="1:9" x14ac:dyDescent="0.3">
      <c r="A1735" t="s">
        <v>139</v>
      </c>
      <c r="B1735" t="s">
        <v>7</v>
      </c>
      <c r="C1735" t="s">
        <v>8</v>
      </c>
      <c r="D1735" t="s">
        <v>14</v>
      </c>
      <c r="E1735" t="s">
        <v>10</v>
      </c>
      <c r="F1735">
        <v>3705.73</v>
      </c>
      <c r="G1735">
        <f>INDEX(Operational[Production Volume (units)],MATCH(Emission8[[#This Row],[Facility ID]],Operational[Facility ID],0))</f>
        <v>10067</v>
      </c>
      <c r="H1735">
        <f>INDEX(Operational[Energy Consumption (MWh)],MATCH(Emission8[[#This Row],[Facility ID]],Operational[Facility ID],0))</f>
        <v>1953.33</v>
      </c>
      <c r="I1735">
        <f>INDEX(Operational[Waste (tons)],MATCH(Emission8[[#This Row],[Facility ID]],Operational[Facility ID],0))</f>
        <v>25.15</v>
      </c>
    </row>
    <row r="1736" spans="1:9" x14ac:dyDescent="0.3">
      <c r="A1736" t="s">
        <v>170</v>
      </c>
      <c r="B1736" t="s">
        <v>12</v>
      </c>
      <c r="C1736" t="s">
        <v>23</v>
      </c>
      <c r="D1736" t="s">
        <v>28</v>
      </c>
      <c r="E1736" t="s">
        <v>24</v>
      </c>
      <c r="F1736">
        <v>470.38</v>
      </c>
      <c r="G1736">
        <f>INDEX(Operational[Production Volume (units)],MATCH(Emission8[[#This Row],[Facility ID]],Operational[Facility ID],0))</f>
        <v>54133</v>
      </c>
      <c r="H1736">
        <f>INDEX(Operational[Energy Consumption (MWh)],MATCH(Emission8[[#This Row],[Facility ID]],Operational[Facility ID],0))</f>
        <v>8543.68</v>
      </c>
      <c r="I1736">
        <f>INDEX(Operational[Waste (tons)],MATCH(Emission8[[#This Row],[Facility ID]],Operational[Facility ID],0))</f>
        <v>24</v>
      </c>
    </row>
    <row r="1737" spans="1:9" x14ac:dyDescent="0.3">
      <c r="A1737" t="s">
        <v>157</v>
      </c>
      <c r="B1737" t="s">
        <v>30</v>
      </c>
      <c r="C1737" t="s">
        <v>23</v>
      </c>
      <c r="D1737" t="s">
        <v>28</v>
      </c>
      <c r="E1737" t="s">
        <v>10</v>
      </c>
      <c r="F1737">
        <v>2355.87</v>
      </c>
      <c r="G1737">
        <f>INDEX(Operational[Production Volume (units)],MATCH(Emission8[[#This Row],[Facility ID]],Operational[Facility ID],0))</f>
        <v>76544</v>
      </c>
      <c r="H1737">
        <f>INDEX(Operational[Energy Consumption (MWh)],MATCH(Emission8[[#This Row],[Facility ID]],Operational[Facility ID],0))</f>
        <v>8632.77</v>
      </c>
      <c r="I1737">
        <f>INDEX(Operational[Waste (tons)],MATCH(Emission8[[#This Row],[Facility ID]],Operational[Facility ID],0))</f>
        <v>12.87</v>
      </c>
    </row>
    <row r="1738" spans="1:9" x14ac:dyDescent="0.3">
      <c r="A1738" t="s">
        <v>179</v>
      </c>
      <c r="B1738" t="s">
        <v>7</v>
      </c>
      <c r="C1738" t="s">
        <v>13</v>
      </c>
      <c r="D1738" t="s">
        <v>14</v>
      </c>
      <c r="E1738" t="s">
        <v>10</v>
      </c>
      <c r="F1738">
        <v>484.51</v>
      </c>
      <c r="G1738">
        <f>INDEX(Operational[Production Volume (units)],MATCH(Emission8[[#This Row],[Facility ID]],Operational[Facility ID],0))</f>
        <v>94393</v>
      </c>
      <c r="H1738">
        <f>INDEX(Operational[Energy Consumption (MWh)],MATCH(Emission8[[#This Row],[Facility ID]],Operational[Facility ID],0))</f>
        <v>6691.7</v>
      </c>
      <c r="I1738">
        <f>INDEX(Operational[Waste (tons)],MATCH(Emission8[[#This Row],[Facility ID]],Operational[Facility ID],0))</f>
        <v>74.790000000000006</v>
      </c>
    </row>
    <row r="1739" spans="1:9" x14ac:dyDescent="0.3">
      <c r="A1739" t="s">
        <v>18</v>
      </c>
      <c r="B1739" t="s">
        <v>19</v>
      </c>
      <c r="C1739" t="s">
        <v>23</v>
      </c>
      <c r="D1739" t="s">
        <v>14</v>
      </c>
      <c r="E1739" t="s">
        <v>15</v>
      </c>
      <c r="F1739">
        <v>3299.33</v>
      </c>
      <c r="G1739">
        <f>INDEX(Operational[Production Volume (units)],MATCH(Emission8[[#This Row],[Facility ID]],Operational[Facility ID],0))</f>
        <v>98682</v>
      </c>
      <c r="H1739">
        <f>INDEX(Operational[Energy Consumption (MWh)],MATCH(Emission8[[#This Row],[Facility ID]],Operational[Facility ID],0))</f>
        <v>6220.56</v>
      </c>
      <c r="I1739">
        <f>INDEX(Operational[Waste (tons)],MATCH(Emission8[[#This Row],[Facility ID]],Operational[Facility ID],0))</f>
        <v>70.099999999999994</v>
      </c>
    </row>
    <row r="1740" spans="1:9" x14ac:dyDescent="0.3">
      <c r="A1740" t="s">
        <v>110</v>
      </c>
      <c r="B1740" t="s">
        <v>12</v>
      </c>
      <c r="C1740" t="s">
        <v>34</v>
      </c>
      <c r="D1740" t="s">
        <v>28</v>
      </c>
      <c r="E1740" t="s">
        <v>10</v>
      </c>
      <c r="F1740">
        <v>3312.29</v>
      </c>
      <c r="G1740">
        <f>INDEX(Operational[Production Volume (units)],MATCH(Emission8[[#This Row],[Facility ID]],Operational[Facility ID],0))</f>
        <v>70481</v>
      </c>
      <c r="H1740">
        <f>INDEX(Operational[Energy Consumption (MWh)],MATCH(Emission8[[#This Row],[Facility ID]],Operational[Facility ID],0))</f>
        <v>4452.83</v>
      </c>
      <c r="I1740">
        <f>INDEX(Operational[Waste (tons)],MATCH(Emission8[[#This Row],[Facility ID]],Operational[Facility ID],0))</f>
        <v>91.26</v>
      </c>
    </row>
    <row r="1741" spans="1:9" x14ac:dyDescent="0.3">
      <c r="A1741" t="s">
        <v>93</v>
      </c>
      <c r="B1741" t="s">
        <v>30</v>
      </c>
      <c r="C1741" t="s">
        <v>8</v>
      </c>
      <c r="D1741" t="s">
        <v>28</v>
      </c>
      <c r="E1741" t="s">
        <v>15</v>
      </c>
      <c r="F1741">
        <v>2017.59</v>
      </c>
      <c r="G1741">
        <f>INDEX(Operational[Production Volume (units)],MATCH(Emission8[[#This Row],[Facility ID]],Operational[Facility ID],0))</f>
        <v>26378</v>
      </c>
      <c r="H1741">
        <f>INDEX(Operational[Energy Consumption (MWh)],MATCH(Emission8[[#This Row],[Facility ID]],Operational[Facility ID],0))</f>
        <v>2915.44</v>
      </c>
      <c r="I1741">
        <f>INDEX(Operational[Waste (tons)],MATCH(Emission8[[#This Row],[Facility ID]],Operational[Facility ID],0))</f>
        <v>29.84</v>
      </c>
    </row>
    <row r="1742" spans="1:9" x14ac:dyDescent="0.3">
      <c r="A1742" t="s">
        <v>95</v>
      </c>
      <c r="B1742" t="s">
        <v>30</v>
      </c>
      <c r="C1742" t="s">
        <v>34</v>
      </c>
      <c r="D1742" t="s">
        <v>9</v>
      </c>
      <c r="E1742" t="s">
        <v>10</v>
      </c>
      <c r="F1742">
        <v>3564.21</v>
      </c>
      <c r="G1742">
        <f>INDEX(Operational[Production Volume (units)],MATCH(Emission8[[#This Row],[Facility ID]],Operational[Facility ID],0))</f>
        <v>51800</v>
      </c>
      <c r="H1742">
        <f>INDEX(Operational[Energy Consumption (MWh)],MATCH(Emission8[[#This Row],[Facility ID]],Operational[Facility ID],0))</f>
        <v>3042.95</v>
      </c>
      <c r="I1742">
        <f>INDEX(Operational[Waste (tons)],MATCH(Emission8[[#This Row],[Facility ID]],Operational[Facility ID],0))</f>
        <v>71.87</v>
      </c>
    </row>
    <row r="1743" spans="1:9" x14ac:dyDescent="0.3">
      <c r="A1743" t="s">
        <v>122</v>
      </c>
      <c r="B1743" t="s">
        <v>19</v>
      </c>
      <c r="C1743" t="s">
        <v>13</v>
      </c>
      <c r="D1743" t="s">
        <v>9</v>
      </c>
      <c r="E1743" t="s">
        <v>24</v>
      </c>
      <c r="F1743">
        <v>4913.54</v>
      </c>
      <c r="G1743">
        <f>INDEX(Operational[Production Volume (units)],MATCH(Emission8[[#This Row],[Facility ID]],Operational[Facility ID],0))</f>
        <v>95962</v>
      </c>
      <c r="H1743">
        <f>INDEX(Operational[Energy Consumption (MWh)],MATCH(Emission8[[#This Row],[Facility ID]],Operational[Facility ID],0))</f>
        <v>524.72</v>
      </c>
      <c r="I1743">
        <f>INDEX(Operational[Waste (tons)],MATCH(Emission8[[#This Row],[Facility ID]],Operational[Facility ID],0))</f>
        <v>49.55</v>
      </c>
    </row>
    <row r="1744" spans="1:9" x14ac:dyDescent="0.3">
      <c r="A1744" t="s">
        <v>184</v>
      </c>
      <c r="B1744" t="s">
        <v>30</v>
      </c>
      <c r="C1744" t="s">
        <v>34</v>
      </c>
      <c r="D1744" t="s">
        <v>9</v>
      </c>
      <c r="E1744" t="s">
        <v>10</v>
      </c>
      <c r="F1744">
        <v>1184.8599999999999</v>
      </c>
      <c r="G1744">
        <f>INDEX(Operational[Production Volume (units)],MATCH(Emission8[[#This Row],[Facility ID]],Operational[Facility ID],0))</f>
        <v>13543</v>
      </c>
      <c r="H1744">
        <f>INDEX(Operational[Energy Consumption (MWh)],MATCH(Emission8[[#This Row],[Facility ID]],Operational[Facility ID],0))</f>
        <v>7854.96</v>
      </c>
      <c r="I1744">
        <f>INDEX(Operational[Waste (tons)],MATCH(Emission8[[#This Row],[Facility ID]],Operational[Facility ID],0))</f>
        <v>85.57</v>
      </c>
    </row>
    <row r="1745" spans="1:9" x14ac:dyDescent="0.3">
      <c r="A1745" t="s">
        <v>6</v>
      </c>
      <c r="B1745" t="s">
        <v>7</v>
      </c>
      <c r="C1745" t="s">
        <v>34</v>
      </c>
      <c r="D1745" t="s">
        <v>14</v>
      </c>
      <c r="E1745" t="s">
        <v>24</v>
      </c>
      <c r="F1745">
        <v>3845.16</v>
      </c>
      <c r="G1745">
        <f>INDEX(Operational[Production Volume (units)],MATCH(Emission8[[#This Row],[Facility ID]],Operational[Facility ID],0))</f>
        <v>77330</v>
      </c>
      <c r="H1745">
        <f>INDEX(Operational[Energy Consumption (MWh)],MATCH(Emission8[[#This Row],[Facility ID]],Operational[Facility ID],0))</f>
        <v>6936.58</v>
      </c>
      <c r="I1745">
        <f>INDEX(Operational[Waste (tons)],MATCH(Emission8[[#This Row],[Facility ID]],Operational[Facility ID],0))</f>
        <v>82.3</v>
      </c>
    </row>
    <row r="1746" spans="1:9" x14ac:dyDescent="0.3">
      <c r="A1746" t="s">
        <v>55</v>
      </c>
      <c r="B1746" t="s">
        <v>12</v>
      </c>
      <c r="C1746" t="s">
        <v>34</v>
      </c>
      <c r="D1746" t="s">
        <v>28</v>
      </c>
      <c r="E1746" t="s">
        <v>10</v>
      </c>
      <c r="F1746">
        <v>2288.2800000000002</v>
      </c>
      <c r="G1746">
        <f>INDEX(Operational[Production Volume (units)],MATCH(Emission8[[#This Row],[Facility ID]],Operational[Facility ID],0))</f>
        <v>38181</v>
      </c>
      <c r="H1746">
        <f>INDEX(Operational[Energy Consumption (MWh)],MATCH(Emission8[[#This Row],[Facility ID]],Operational[Facility ID],0))</f>
        <v>691.84</v>
      </c>
      <c r="I1746">
        <f>INDEX(Operational[Waste (tons)],MATCH(Emission8[[#This Row],[Facility ID]],Operational[Facility ID],0))</f>
        <v>33.53</v>
      </c>
    </row>
    <row r="1747" spans="1:9" x14ac:dyDescent="0.3">
      <c r="A1747" t="s">
        <v>57</v>
      </c>
      <c r="B1747" t="s">
        <v>19</v>
      </c>
      <c r="C1747" t="s">
        <v>34</v>
      </c>
      <c r="D1747" t="s">
        <v>28</v>
      </c>
      <c r="E1747" t="s">
        <v>15</v>
      </c>
      <c r="F1747">
        <v>751.28</v>
      </c>
      <c r="G1747">
        <f>INDEX(Operational[Production Volume (units)],MATCH(Emission8[[#This Row],[Facility ID]],Operational[Facility ID],0))</f>
        <v>41027</v>
      </c>
      <c r="H1747">
        <f>INDEX(Operational[Energy Consumption (MWh)],MATCH(Emission8[[#This Row],[Facility ID]],Operational[Facility ID],0))</f>
        <v>7285.85</v>
      </c>
      <c r="I1747">
        <f>INDEX(Operational[Waste (tons)],MATCH(Emission8[[#This Row],[Facility ID]],Operational[Facility ID],0))</f>
        <v>59.87</v>
      </c>
    </row>
    <row r="1748" spans="1:9" x14ac:dyDescent="0.3">
      <c r="A1748" t="s">
        <v>133</v>
      </c>
      <c r="B1748" t="s">
        <v>17</v>
      </c>
      <c r="C1748" t="s">
        <v>34</v>
      </c>
      <c r="D1748" t="s">
        <v>28</v>
      </c>
      <c r="E1748" t="s">
        <v>24</v>
      </c>
      <c r="F1748">
        <v>2159.65</v>
      </c>
      <c r="G1748">
        <f>INDEX(Operational[Production Volume (units)],MATCH(Emission8[[#This Row],[Facility ID]],Operational[Facility ID],0))</f>
        <v>48501</v>
      </c>
      <c r="H1748">
        <f>INDEX(Operational[Energy Consumption (MWh)],MATCH(Emission8[[#This Row],[Facility ID]],Operational[Facility ID],0))</f>
        <v>7209.77</v>
      </c>
      <c r="I1748">
        <f>INDEX(Operational[Waste (tons)],MATCH(Emission8[[#This Row],[Facility ID]],Operational[Facility ID],0))</f>
        <v>92.51</v>
      </c>
    </row>
    <row r="1749" spans="1:9" x14ac:dyDescent="0.3">
      <c r="A1749" t="s">
        <v>115</v>
      </c>
      <c r="B1749" t="s">
        <v>19</v>
      </c>
      <c r="C1749" t="s">
        <v>34</v>
      </c>
      <c r="D1749" t="s">
        <v>28</v>
      </c>
      <c r="E1749" t="s">
        <v>15</v>
      </c>
      <c r="F1749">
        <v>3251.65</v>
      </c>
      <c r="G1749">
        <f>INDEX(Operational[Production Volume (units)],MATCH(Emission8[[#This Row],[Facility ID]],Operational[Facility ID],0))</f>
        <v>17162</v>
      </c>
      <c r="H1749">
        <f>INDEX(Operational[Energy Consumption (MWh)],MATCH(Emission8[[#This Row],[Facility ID]],Operational[Facility ID],0))</f>
        <v>5079.95</v>
      </c>
      <c r="I1749">
        <f>INDEX(Operational[Waste (tons)],MATCH(Emission8[[#This Row],[Facility ID]],Operational[Facility ID],0))</f>
        <v>19.239999999999998</v>
      </c>
    </row>
    <row r="1750" spans="1:9" x14ac:dyDescent="0.3">
      <c r="A1750" t="s">
        <v>140</v>
      </c>
      <c r="B1750" t="s">
        <v>17</v>
      </c>
      <c r="C1750" t="s">
        <v>23</v>
      </c>
      <c r="D1750" t="s">
        <v>9</v>
      </c>
      <c r="E1750" t="s">
        <v>24</v>
      </c>
      <c r="F1750">
        <v>4889.75</v>
      </c>
      <c r="G1750">
        <f>INDEX(Operational[Production Volume (units)],MATCH(Emission8[[#This Row],[Facility ID]],Operational[Facility ID],0))</f>
        <v>88308</v>
      </c>
      <c r="H1750">
        <f>INDEX(Operational[Energy Consumption (MWh)],MATCH(Emission8[[#This Row],[Facility ID]],Operational[Facility ID],0))</f>
        <v>7802.07</v>
      </c>
      <c r="I1750">
        <f>INDEX(Operational[Waste (tons)],MATCH(Emission8[[#This Row],[Facility ID]],Operational[Facility ID],0))</f>
        <v>36.130000000000003</v>
      </c>
    </row>
    <row r="1751" spans="1:9" x14ac:dyDescent="0.3">
      <c r="A1751" t="s">
        <v>174</v>
      </c>
      <c r="B1751" t="s">
        <v>19</v>
      </c>
      <c r="C1751" t="s">
        <v>23</v>
      </c>
      <c r="D1751" t="s">
        <v>28</v>
      </c>
      <c r="E1751" t="s">
        <v>10</v>
      </c>
      <c r="F1751">
        <v>608.37</v>
      </c>
      <c r="G1751">
        <f>INDEX(Operational[Production Volume (units)],MATCH(Emission8[[#This Row],[Facility ID]],Operational[Facility ID],0))</f>
        <v>66163</v>
      </c>
      <c r="H1751">
        <f>INDEX(Operational[Energy Consumption (MWh)],MATCH(Emission8[[#This Row],[Facility ID]],Operational[Facility ID],0))</f>
        <v>1416.57</v>
      </c>
      <c r="I1751">
        <f>INDEX(Operational[Waste (tons)],MATCH(Emission8[[#This Row],[Facility ID]],Operational[Facility ID],0))</f>
        <v>68.73</v>
      </c>
    </row>
    <row r="1752" spans="1:9" x14ac:dyDescent="0.3">
      <c r="A1752" t="s">
        <v>55</v>
      </c>
      <c r="B1752" t="s">
        <v>12</v>
      </c>
      <c r="C1752" t="s">
        <v>13</v>
      </c>
      <c r="D1752" t="s">
        <v>9</v>
      </c>
      <c r="E1752" t="s">
        <v>10</v>
      </c>
      <c r="F1752">
        <v>3246.99</v>
      </c>
      <c r="G1752">
        <f>INDEX(Operational[Production Volume (units)],MATCH(Emission8[[#This Row],[Facility ID]],Operational[Facility ID],0))</f>
        <v>38181</v>
      </c>
      <c r="H1752">
        <f>INDEX(Operational[Energy Consumption (MWh)],MATCH(Emission8[[#This Row],[Facility ID]],Operational[Facility ID],0))</f>
        <v>691.84</v>
      </c>
      <c r="I1752">
        <f>INDEX(Operational[Waste (tons)],MATCH(Emission8[[#This Row],[Facility ID]],Operational[Facility ID],0))</f>
        <v>33.53</v>
      </c>
    </row>
    <row r="1753" spans="1:9" x14ac:dyDescent="0.3">
      <c r="A1753" t="s">
        <v>37</v>
      </c>
      <c r="B1753" t="s">
        <v>17</v>
      </c>
      <c r="C1753" t="s">
        <v>34</v>
      </c>
      <c r="D1753" t="s">
        <v>14</v>
      </c>
      <c r="E1753" t="s">
        <v>10</v>
      </c>
      <c r="F1753">
        <v>4214.38</v>
      </c>
      <c r="G1753">
        <f>INDEX(Operational[Production Volume (units)],MATCH(Emission8[[#This Row],[Facility ID]],Operational[Facility ID],0))</f>
        <v>71747</v>
      </c>
      <c r="H1753">
        <f>INDEX(Operational[Energy Consumption (MWh)],MATCH(Emission8[[#This Row],[Facility ID]],Operational[Facility ID],0))</f>
        <v>9838.66</v>
      </c>
      <c r="I1753">
        <f>INDEX(Operational[Waste (tons)],MATCH(Emission8[[#This Row],[Facility ID]],Operational[Facility ID],0))</f>
        <v>7.25</v>
      </c>
    </row>
    <row r="1754" spans="1:9" x14ac:dyDescent="0.3">
      <c r="A1754" t="s">
        <v>27</v>
      </c>
      <c r="B1754" t="s">
        <v>12</v>
      </c>
      <c r="C1754" t="s">
        <v>13</v>
      </c>
      <c r="D1754" t="s">
        <v>28</v>
      </c>
      <c r="E1754" t="s">
        <v>10</v>
      </c>
      <c r="F1754">
        <v>2178.11</v>
      </c>
      <c r="G1754">
        <f>INDEX(Operational[Production Volume (units)],MATCH(Emission8[[#This Row],[Facility ID]],Operational[Facility ID],0))</f>
        <v>91031</v>
      </c>
      <c r="H1754">
        <f>INDEX(Operational[Energy Consumption (MWh)],MATCH(Emission8[[#This Row],[Facility ID]],Operational[Facility ID],0))</f>
        <v>1783.57</v>
      </c>
      <c r="I1754">
        <f>INDEX(Operational[Waste (tons)],MATCH(Emission8[[#This Row],[Facility ID]],Operational[Facility ID],0))</f>
        <v>32.049999999999997</v>
      </c>
    </row>
    <row r="1755" spans="1:9" x14ac:dyDescent="0.3">
      <c r="A1755" t="s">
        <v>58</v>
      </c>
      <c r="B1755" t="s">
        <v>17</v>
      </c>
      <c r="C1755" t="s">
        <v>23</v>
      </c>
      <c r="D1755" t="s">
        <v>28</v>
      </c>
      <c r="E1755" t="s">
        <v>10</v>
      </c>
      <c r="F1755">
        <v>4250.24</v>
      </c>
      <c r="G1755">
        <f>INDEX(Operational[Production Volume (units)],MATCH(Emission8[[#This Row],[Facility ID]],Operational[Facility ID],0))</f>
        <v>32246</v>
      </c>
      <c r="H1755">
        <f>INDEX(Operational[Energy Consumption (MWh)],MATCH(Emission8[[#This Row],[Facility ID]],Operational[Facility ID],0))</f>
        <v>7903.93</v>
      </c>
      <c r="I1755">
        <f>INDEX(Operational[Waste (tons)],MATCH(Emission8[[#This Row],[Facility ID]],Operational[Facility ID],0))</f>
        <v>42.12</v>
      </c>
    </row>
    <row r="1756" spans="1:9" x14ac:dyDescent="0.3">
      <c r="A1756" t="s">
        <v>157</v>
      </c>
      <c r="B1756" t="s">
        <v>30</v>
      </c>
      <c r="C1756" t="s">
        <v>34</v>
      </c>
      <c r="D1756" t="s">
        <v>14</v>
      </c>
      <c r="E1756" t="s">
        <v>10</v>
      </c>
      <c r="F1756">
        <v>1294.92</v>
      </c>
      <c r="G1756">
        <f>INDEX(Operational[Production Volume (units)],MATCH(Emission8[[#This Row],[Facility ID]],Operational[Facility ID],0))</f>
        <v>76544</v>
      </c>
      <c r="H1756">
        <f>INDEX(Operational[Energy Consumption (MWh)],MATCH(Emission8[[#This Row],[Facility ID]],Operational[Facility ID],0))</f>
        <v>8632.77</v>
      </c>
      <c r="I1756">
        <f>INDEX(Operational[Waste (tons)],MATCH(Emission8[[#This Row],[Facility ID]],Operational[Facility ID],0))</f>
        <v>12.87</v>
      </c>
    </row>
    <row r="1757" spans="1:9" x14ac:dyDescent="0.3">
      <c r="A1757" t="s">
        <v>140</v>
      </c>
      <c r="B1757" t="s">
        <v>17</v>
      </c>
      <c r="C1757" t="s">
        <v>13</v>
      </c>
      <c r="D1757" t="s">
        <v>14</v>
      </c>
      <c r="E1757" t="s">
        <v>24</v>
      </c>
      <c r="F1757">
        <v>498.85</v>
      </c>
      <c r="G1757">
        <f>INDEX(Operational[Production Volume (units)],MATCH(Emission8[[#This Row],[Facility ID]],Operational[Facility ID],0))</f>
        <v>88308</v>
      </c>
      <c r="H1757">
        <f>INDEX(Operational[Energy Consumption (MWh)],MATCH(Emission8[[#This Row],[Facility ID]],Operational[Facility ID],0))</f>
        <v>7802.07</v>
      </c>
      <c r="I1757">
        <f>INDEX(Operational[Waste (tons)],MATCH(Emission8[[#This Row],[Facility ID]],Operational[Facility ID],0))</f>
        <v>36.130000000000003</v>
      </c>
    </row>
    <row r="1758" spans="1:9" x14ac:dyDescent="0.3">
      <c r="A1758" t="s">
        <v>63</v>
      </c>
      <c r="B1758" t="s">
        <v>12</v>
      </c>
      <c r="C1758" t="s">
        <v>23</v>
      </c>
      <c r="D1758" t="s">
        <v>28</v>
      </c>
      <c r="E1758" t="s">
        <v>15</v>
      </c>
      <c r="F1758">
        <v>4605.3599999999997</v>
      </c>
      <c r="G1758">
        <f>INDEX(Operational[Production Volume (units)],MATCH(Emission8[[#This Row],[Facility ID]],Operational[Facility ID],0))</f>
        <v>33688</v>
      </c>
      <c r="H1758">
        <f>INDEX(Operational[Energy Consumption (MWh)],MATCH(Emission8[[#This Row],[Facility ID]],Operational[Facility ID],0))</f>
        <v>9495.48</v>
      </c>
      <c r="I1758">
        <f>INDEX(Operational[Waste (tons)],MATCH(Emission8[[#This Row],[Facility ID]],Operational[Facility ID],0))</f>
        <v>55.55</v>
      </c>
    </row>
    <row r="1759" spans="1:9" x14ac:dyDescent="0.3">
      <c r="A1759" t="s">
        <v>142</v>
      </c>
      <c r="B1759" t="s">
        <v>17</v>
      </c>
      <c r="C1759" t="s">
        <v>23</v>
      </c>
      <c r="D1759" t="s">
        <v>14</v>
      </c>
      <c r="E1759" t="s">
        <v>24</v>
      </c>
      <c r="F1759">
        <v>4590.9799999999996</v>
      </c>
      <c r="G1759">
        <f>INDEX(Operational[Production Volume (units)],MATCH(Emission8[[#This Row],[Facility ID]],Operational[Facility ID],0))</f>
        <v>75736</v>
      </c>
      <c r="H1759">
        <f>INDEX(Operational[Energy Consumption (MWh)],MATCH(Emission8[[#This Row],[Facility ID]],Operational[Facility ID],0))</f>
        <v>6287.07</v>
      </c>
      <c r="I1759">
        <f>INDEX(Operational[Waste (tons)],MATCH(Emission8[[#This Row],[Facility ID]],Operational[Facility ID],0))</f>
        <v>63.11</v>
      </c>
    </row>
    <row r="1760" spans="1:9" x14ac:dyDescent="0.3">
      <c r="A1760" t="s">
        <v>170</v>
      </c>
      <c r="B1760" t="s">
        <v>12</v>
      </c>
      <c r="C1760" t="s">
        <v>13</v>
      </c>
      <c r="D1760" t="s">
        <v>28</v>
      </c>
      <c r="E1760" t="s">
        <v>15</v>
      </c>
      <c r="F1760">
        <v>2454.27</v>
      </c>
      <c r="G1760">
        <f>INDEX(Operational[Production Volume (units)],MATCH(Emission8[[#This Row],[Facility ID]],Operational[Facility ID],0))</f>
        <v>54133</v>
      </c>
      <c r="H1760">
        <f>INDEX(Operational[Energy Consumption (MWh)],MATCH(Emission8[[#This Row],[Facility ID]],Operational[Facility ID],0))</f>
        <v>8543.68</v>
      </c>
      <c r="I1760">
        <f>INDEX(Operational[Waste (tons)],MATCH(Emission8[[#This Row],[Facility ID]],Operational[Facility ID],0))</f>
        <v>24</v>
      </c>
    </row>
    <row r="1761" spans="1:9" x14ac:dyDescent="0.3">
      <c r="A1761" t="s">
        <v>99</v>
      </c>
      <c r="B1761" t="s">
        <v>19</v>
      </c>
      <c r="C1761" t="s">
        <v>13</v>
      </c>
      <c r="D1761" t="s">
        <v>9</v>
      </c>
      <c r="E1761" t="s">
        <v>24</v>
      </c>
      <c r="F1761">
        <v>2083</v>
      </c>
      <c r="G1761">
        <f>INDEX(Operational[Production Volume (units)],MATCH(Emission8[[#This Row],[Facility ID]],Operational[Facility ID],0))</f>
        <v>77400</v>
      </c>
      <c r="H1761">
        <f>INDEX(Operational[Energy Consumption (MWh)],MATCH(Emission8[[#This Row],[Facility ID]],Operational[Facility ID],0))</f>
        <v>7504.8</v>
      </c>
      <c r="I1761">
        <f>INDEX(Operational[Waste (tons)],MATCH(Emission8[[#This Row],[Facility ID]],Operational[Facility ID],0))</f>
        <v>68.819999999999993</v>
      </c>
    </row>
    <row r="1762" spans="1:9" x14ac:dyDescent="0.3">
      <c r="A1762" t="s">
        <v>185</v>
      </c>
      <c r="B1762" t="s">
        <v>30</v>
      </c>
      <c r="C1762" t="s">
        <v>8</v>
      </c>
      <c r="D1762" t="s">
        <v>9</v>
      </c>
      <c r="E1762" t="s">
        <v>24</v>
      </c>
      <c r="F1762">
        <v>3207.76</v>
      </c>
      <c r="G1762">
        <f>INDEX(Operational[Production Volume (units)],MATCH(Emission8[[#This Row],[Facility ID]],Operational[Facility ID],0))</f>
        <v>24913</v>
      </c>
      <c r="H1762">
        <f>INDEX(Operational[Energy Consumption (MWh)],MATCH(Emission8[[#This Row],[Facility ID]],Operational[Facility ID],0))</f>
        <v>5727.27</v>
      </c>
      <c r="I1762">
        <f>INDEX(Operational[Waste (tons)],MATCH(Emission8[[#This Row],[Facility ID]],Operational[Facility ID],0))</f>
        <v>78.849999999999994</v>
      </c>
    </row>
    <row r="1763" spans="1:9" x14ac:dyDescent="0.3">
      <c r="A1763" t="s">
        <v>168</v>
      </c>
      <c r="B1763" t="s">
        <v>17</v>
      </c>
      <c r="C1763" t="s">
        <v>8</v>
      </c>
      <c r="D1763" t="s">
        <v>9</v>
      </c>
      <c r="E1763" t="s">
        <v>10</v>
      </c>
      <c r="F1763">
        <v>4200.42</v>
      </c>
      <c r="G1763">
        <f>INDEX(Operational[Production Volume (units)],MATCH(Emission8[[#This Row],[Facility ID]],Operational[Facility ID],0))</f>
        <v>41050</v>
      </c>
      <c r="H1763">
        <f>INDEX(Operational[Energy Consumption (MWh)],MATCH(Emission8[[#This Row],[Facility ID]],Operational[Facility ID],0))</f>
        <v>6025.84</v>
      </c>
      <c r="I1763">
        <f>INDEX(Operational[Waste (tons)],MATCH(Emission8[[#This Row],[Facility ID]],Operational[Facility ID],0))</f>
        <v>53.53</v>
      </c>
    </row>
    <row r="1764" spans="1:9" x14ac:dyDescent="0.3">
      <c r="A1764" t="s">
        <v>68</v>
      </c>
      <c r="B1764" t="s">
        <v>12</v>
      </c>
      <c r="C1764" t="s">
        <v>23</v>
      </c>
      <c r="D1764" t="s">
        <v>9</v>
      </c>
      <c r="E1764" t="s">
        <v>10</v>
      </c>
      <c r="F1764">
        <v>4705.21</v>
      </c>
      <c r="G1764">
        <f>INDEX(Operational[Production Volume (units)],MATCH(Emission8[[#This Row],[Facility ID]],Operational[Facility ID],0))</f>
        <v>69100</v>
      </c>
      <c r="H1764">
        <f>INDEX(Operational[Energy Consumption (MWh)],MATCH(Emission8[[#This Row],[Facility ID]],Operational[Facility ID],0))</f>
        <v>9356.02</v>
      </c>
      <c r="I1764">
        <f>INDEX(Operational[Waste (tons)],MATCH(Emission8[[#This Row],[Facility ID]],Operational[Facility ID],0))</f>
        <v>16.5</v>
      </c>
    </row>
    <row r="1765" spans="1:9" x14ac:dyDescent="0.3">
      <c r="A1765" t="s">
        <v>35</v>
      </c>
      <c r="B1765" t="s">
        <v>19</v>
      </c>
      <c r="C1765" t="s">
        <v>13</v>
      </c>
      <c r="D1765" t="s">
        <v>14</v>
      </c>
      <c r="E1765" t="s">
        <v>24</v>
      </c>
      <c r="F1765">
        <v>171.51</v>
      </c>
      <c r="G1765">
        <f>INDEX(Operational[Production Volume (units)],MATCH(Emission8[[#This Row],[Facility ID]],Operational[Facility ID],0))</f>
        <v>42382</v>
      </c>
      <c r="H1765">
        <f>INDEX(Operational[Energy Consumption (MWh)],MATCH(Emission8[[#This Row],[Facility ID]],Operational[Facility ID],0))</f>
        <v>5116.6899999999996</v>
      </c>
      <c r="I1765">
        <f>INDEX(Operational[Waste (tons)],MATCH(Emission8[[#This Row],[Facility ID]],Operational[Facility ID],0))</f>
        <v>80.42</v>
      </c>
    </row>
    <row r="1766" spans="1:9" x14ac:dyDescent="0.3">
      <c r="A1766" t="s">
        <v>170</v>
      </c>
      <c r="B1766" t="s">
        <v>12</v>
      </c>
      <c r="C1766" t="s">
        <v>34</v>
      </c>
      <c r="D1766" t="s">
        <v>9</v>
      </c>
      <c r="E1766" t="s">
        <v>24</v>
      </c>
      <c r="F1766">
        <v>2210.63</v>
      </c>
      <c r="G1766">
        <f>INDEX(Operational[Production Volume (units)],MATCH(Emission8[[#This Row],[Facility ID]],Operational[Facility ID],0))</f>
        <v>54133</v>
      </c>
      <c r="H1766">
        <f>INDEX(Operational[Energy Consumption (MWh)],MATCH(Emission8[[#This Row],[Facility ID]],Operational[Facility ID],0))</f>
        <v>8543.68</v>
      </c>
      <c r="I1766">
        <f>INDEX(Operational[Waste (tons)],MATCH(Emission8[[#This Row],[Facility ID]],Operational[Facility ID],0))</f>
        <v>24</v>
      </c>
    </row>
    <row r="1767" spans="1:9" x14ac:dyDescent="0.3">
      <c r="A1767" t="s">
        <v>11</v>
      </c>
      <c r="B1767" t="s">
        <v>12</v>
      </c>
      <c r="C1767" t="s">
        <v>23</v>
      </c>
      <c r="D1767" t="s">
        <v>9</v>
      </c>
      <c r="E1767" t="s">
        <v>24</v>
      </c>
      <c r="F1767">
        <v>4978.93</v>
      </c>
      <c r="G1767">
        <f>INDEX(Operational[Production Volume (units)],MATCH(Emission8[[#This Row],[Facility ID]],Operational[Facility ID],0))</f>
        <v>44657</v>
      </c>
      <c r="H1767">
        <f>INDEX(Operational[Energy Consumption (MWh)],MATCH(Emission8[[#This Row],[Facility ID]],Operational[Facility ID],0))</f>
        <v>7867.98</v>
      </c>
      <c r="I1767">
        <f>INDEX(Operational[Waste (tons)],MATCH(Emission8[[#This Row],[Facility ID]],Operational[Facility ID],0))</f>
        <v>96.01</v>
      </c>
    </row>
    <row r="1768" spans="1:9" x14ac:dyDescent="0.3">
      <c r="A1768" t="s">
        <v>117</v>
      </c>
      <c r="B1768" t="s">
        <v>7</v>
      </c>
      <c r="C1768" t="s">
        <v>8</v>
      </c>
      <c r="D1768" t="s">
        <v>28</v>
      </c>
      <c r="E1768" t="s">
        <v>15</v>
      </c>
      <c r="F1768">
        <v>3657.98</v>
      </c>
      <c r="G1768">
        <f>INDEX(Operational[Production Volume (units)],MATCH(Emission8[[#This Row],[Facility ID]],Operational[Facility ID],0))</f>
        <v>89321</v>
      </c>
      <c r="H1768">
        <f>INDEX(Operational[Energy Consumption (MWh)],MATCH(Emission8[[#This Row],[Facility ID]],Operational[Facility ID],0))</f>
        <v>9836.34</v>
      </c>
      <c r="I1768">
        <f>INDEX(Operational[Waste (tons)],MATCH(Emission8[[#This Row],[Facility ID]],Operational[Facility ID],0))</f>
        <v>16.989999999999998</v>
      </c>
    </row>
    <row r="1769" spans="1:9" x14ac:dyDescent="0.3">
      <c r="A1769" t="s">
        <v>20</v>
      </c>
      <c r="B1769" t="s">
        <v>17</v>
      </c>
      <c r="C1769" t="s">
        <v>23</v>
      </c>
      <c r="D1769" t="s">
        <v>28</v>
      </c>
      <c r="E1769" t="s">
        <v>24</v>
      </c>
      <c r="F1769">
        <v>1516.4</v>
      </c>
      <c r="G1769">
        <f>INDEX(Operational[Production Volume (units)],MATCH(Emission8[[#This Row],[Facility ID]],Operational[Facility ID],0))</f>
        <v>29895</v>
      </c>
      <c r="H1769">
        <f>INDEX(Operational[Energy Consumption (MWh)],MATCH(Emission8[[#This Row],[Facility ID]],Operational[Facility ID],0))</f>
        <v>1631.08</v>
      </c>
      <c r="I1769">
        <f>INDEX(Operational[Waste (tons)],MATCH(Emission8[[#This Row],[Facility ID]],Operational[Facility ID],0))</f>
        <v>39.93</v>
      </c>
    </row>
    <row r="1770" spans="1:9" x14ac:dyDescent="0.3">
      <c r="A1770" t="s">
        <v>49</v>
      </c>
      <c r="B1770" t="s">
        <v>19</v>
      </c>
      <c r="C1770" t="s">
        <v>23</v>
      </c>
      <c r="D1770" t="s">
        <v>28</v>
      </c>
      <c r="E1770" t="s">
        <v>10</v>
      </c>
      <c r="F1770">
        <v>1707.15</v>
      </c>
      <c r="G1770">
        <f>INDEX(Operational[Production Volume (units)],MATCH(Emission8[[#This Row],[Facility ID]],Operational[Facility ID],0))</f>
        <v>50306</v>
      </c>
      <c r="H1770">
        <f>INDEX(Operational[Energy Consumption (MWh)],MATCH(Emission8[[#This Row],[Facility ID]],Operational[Facility ID],0))</f>
        <v>7031.37</v>
      </c>
      <c r="I1770">
        <f>INDEX(Operational[Waste (tons)],MATCH(Emission8[[#This Row],[Facility ID]],Operational[Facility ID],0))</f>
        <v>13.27</v>
      </c>
    </row>
    <row r="1771" spans="1:9" x14ac:dyDescent="0.3">
      <c r="A1771" t="s">
        <v>98</v>
      </c>
      <c r="B1771" t="s">
        <v>19</v>
      </c>
      <c r="C1771" t="s">
        <v>34</v>
      </c>
      <c r="D1771" t="s">
        <v>14</v>
      </c>
      <c r="E1771" t="s">
        <v>24</v>
      </c>
      <c r="F1771">
        <v>526.19000000000005</v>
      </c>
      <c r="G1771">
        <f>INDEX(Operational[Production Volume (units)],MATCH(Emission8[[#This Row],[Facility ID]],Operational[Facility ID],0))</f>
        <v>26170</v>
      </c>
      <c r="H1771">
        <f>INDEX(Operational[Energy Consumption (MWh)],MATCH(Emission8[[#This Row],[Facility ID]],Operational[Facility ID],0))</f>
        <v>8057.54</v>
      </c>
      <c r="I1771">
        <f>INDEX(Operational[Waste (tons)],MATCH(Emission8[[#This Row],[Facility ID]],Operational[Facility ID],0))</f>
        <v>63.71</v>
      </c>
    </row>
    <row r="1772" spans="1:9" x14ac:dyDescent="0.3">
      <c r="A1772" t="s">
        <v>218</v>
      </c>
      <c r="B1772" t="s">
        <v>17</v>
      </c>
      <c r="C1772" t="s">
        <v>8</v>
      </c>
      <c r="D1772" t="s">
        <v>9</v>
      </c>
      <c r="E1772" t="s">
        <v>24</v>
      </c>
      <c r="F1772">
        <v>5253.41</v>
      </c>
      <c r="G1772">
        <f>INDEX(Operational[Production Volume (units)],MATCH(Emission8[[#This Row],[Facility ID]],Operational[Facility ID],0))</f>
        <v>22525</v>
      </c>
      <c r="H1772">
        <f>INDEX(Operational[Energy Consumption (MWh)],MATCH(Emission8[[#This Row],[Facility ID]],Operational[Facility ID],0))</f>
        <v>9465.65</v>
      </c>
      <c r="I1772">
        <f>INDEX(Operational[Waste (tons)],MATCH(Emission8[[#This Row],[Facility ID]],Operational[Facility ID],0))</f>
        <v>37.79</v>
      </c>
    </row>
    <row r="1773" spans="1:9" x14ac:dyDescent="0.3">
      <c r="A1773" t="s">
        <v>123</v>
      </c>
      <c r="B1773" t="s">
        <v>30</v>
      </c>
      <c r="C1773" t="s">
        <v>8</v>
      </c>
      <c r="D1773" t="s">
        <v>9</v>
      </c>
      <c r="E1773" t="s">
        <v>15</v>
      </c>
      <c r="F1773">
        <v>3617.9</v>
      </c>
      <c r="G1773">
        <f>INDEX(Operational[Production Volume (units)],MATCH(Emission8[[#This Row],[Facility ID]],Operational[Facility ID],0))</f>
        <v>73977</v>
      </c>
      <c r="H1773">
        <f>INDEX(Operational[Energy Consumption (MWh)],MATCH(Emission8[[#This Row],[Facility ID]],Operational[Facility ID],0))</f>
        <v>1646.75</v>
      </c>
      <c r="I1773">
        <f>INDEX(Operational[Waste (tons)],MATCH(Emission8[[#This Row],[Facility ID]],Operational[Facility ID],0))</f>
        <v>43.77</v>
      </c>
    </row>
    <row r="1774" spans="1:9" x14ac:dyDescent="0.3">
      <c r="A1774" t="s">
        <v>175</v>
      </c>
      <c r="B1774" t="s">
        <v>7</v>
      </c>
      <c r="C1774" t="s">
        <v>13</v>
      </c>
      <c r="D1774" t="s">
        <v>28</v>
      </c>
      <c r="E1774" t="s">
        <v>10</v>
      </c>
      <c r="F1774">
        <v>698.65</v>
      </c>
      <c r="G1774">
        <f>INDEX(Operational[Production Volume (units)],MATCH(Emission8[[#This Row],[Facility ID]],Operational[Facility ID],0))</f>
        <v>83923</v>
      </c>
      <c r="H1774">
        <f>INDEX(Operational[Energy Consumption (MWh)],MATCH(Emission8[[#This Row],[Facility ID]],Operational[Facility ID],0))</f>
        <v>8768.7999999999993</v>
      </c>
      <c r="I1774">
        <f>INDEX(Operational[Waste (tons)],MATCH(Emission8[[#This Row],[Facility ID]],Operational[Facility ID],0))</f>
        <v>65.290000000000006</v>
      </c>
    </row>
    <row r="1775" spans="1:9" x14ac:dyDescent="0.3">
      <c r="A1775" t="s">
        <v>11</v>
      </c>
      <c r="B1775" t="s">
        <v>12</v>
      </c>
      <c r="C1775" t="s">
        <v>23</v>
      </c>
      <c r="D1775" t="s">
        <v>9</v>
      </c>
      <c r="E1775" t="s">
        <v>24</v>
      </c>
      <c r="F1775">
        <v>4671.97</v>
      </c>
      <c r="G1775">
        <f>INDEX(Operational[Production Volume (units)],MATCH(Emission8[[#This Row],[Facility ID]],Operational[Facility ID],0))</f>
        <v>44657</v>
      </c>
      <c r="H1775">
        <f>INDEX(Operational[Energy Consumption (MWh)],MATCH(Emission8[[#This Row],[Facility ID]],Operational[Facility ID],0))</f>
        <v>7867.98</v>
      </c>
      <c r="I1775">
        <f>INDEX(Operational[Waste (tons)],MATCH(Emission8[[#This Row],[Facility ID]],Operational[Facility ID],0))</f>
        <v>96.01</v>
      </c>
    </row>
    <row r="1776" spans="1:9" x14ac:dyDescent="0.3">
      <c r="A1776" t="s">
        <v>173</v>
      </c>
      <c r="B1776" t="s">
        <v>30</v>
      </c>
      <c r="C1776" t="s">
        <v>23</v>
      </c>
      <c r="D1776" t="s">
        <v>14</v>
      </c>
      <c r="E1776" t="s">
        <v>15</v>
      </c>
      <c r="F1776">
        <v>4339.82</v>
      </c>
      <c r="G1776">
        <f>INDEX(Operational[Production Volume (units)],MATCH(Emission8[[#This Row],[Facility ID]],Operational[Facility ID],0))</f>
        <v>49620</v>
      </c>
      <c r="H1776">
        <f>INDEX(Operational[Energy Consumption (MWh)],MATCH(Emission8[[#This Row],[Facility ID]],Operational[Facility ID],0))</f>
        <v>2424.31</v>
      </c>
      <c r="I1776">
        <f>INDEX(Operational[Waste (tons)],MATCH(Emission8[[#This Row],[Facility ID]],Operational[Facility ID],0))</f>
        <v>62.09</v>
      </c>
    </row>
    <row r="1777" spans="1:9" x14ac:dyDescent="0.3">
      <c r="A1777" t="s">
        <v>99</v>
      </c>
      <c r="B1777" t="s">
        <v>19</v>
      </c>
      <c r="C1777" t="s">
        <v>13</v>
      </c>
      <c r="D1777" t="s">
        <v>9</v>
      </c>
      <c r="E1777" t="s">
        <v>24</v>
      </c>
      <c r="F1777">
        <v>132.41999999999999</v>
      </c>
      <c r="G1777">
        <f>INDEX(Operational[Production Volume (units)],MATCH(Emission8[[#This Row],[Facility ID]],Operational[Facility ID],0))</f>
        <v>77400</v>
      </c>
      <c r="H1777">
        <f>INDEX(Operational[Energy Consumption (MWh)],MATCH(Emission8[[#This Row],[Facility ID]],Operational[Facility ID],0))</f>
        <v>7504.8</v>
      </c>
      <c r="I1777">
        <f>INDEX(Operational[Waste (tons)],MATCH(Emission8[[#This Row],[Facility ID]],Operational[Facility ID],0))</f>
        <v>68.819999999999993</v>
      </c>
    </row>
    <row r="1778" spans="1:9" x14ac:dyDescent="0.3">
      <c r="A1778" t="s">
        <v>33</v>
      </c>
      <c r="B1778" t="s">
        <v>19</v>
      </c>
      <c r="C1778" t="s">
        <v>34</v>
      </c>
      <c r="D1778" t="s">
        <v>14</v>
      </c>
      <c r="E1778" t="s">
        <v>10</v>
      </c>
      <c r="F1778">
        <v>1388.99</v>
      </c>
      <c r="G1778">
        <f>INDEX(Operational[Production Volume (units)],MATCH(Emission8[[#This Row],[Facility ID]],Operational[Facility ID],0))</f>
        <v>65719</v>
      </c>
      <c r="H1778">
        <f>INDEX(Operational[Energy Consumption (MWh)],MATCH(Emission8[[#This Row],[Facility ID]],Operational[Facility ID],0))</f>
        <v>9362.41</v>
      </c>
      <c r="I1778">
        <f>INDEX(Operational[Waste (tons)],MATCH(Emission8[[#This Row],[Facility ID]],Operational[Facility ID],0))</f>
        <v>86.55</v>
      </c>
    </row>
    <row r="1779" spans="1:9" x14ac:dyDescent="0.3">
      <c r="A1779" t="s">
        <v>163</v>
      </c>
      <c r="B1779" t="s">
        <v>19</v>
      </c>
      <c r="C1779" t="s">
        <v>23</v>
      </c>
      <c r="D1779" t="s">
        <v>14</v>
      </c>
      <c r="E1779" t="s">
        <v>10</v>
      </c>
      <c r="F1779">
        <v>3966.31</v>
      </c>
      <c r="G1779">
        <f>INDEX(Operational[Production Volume (units)],MATCH(Emission8[[#This Row],[Facility ID]],Operational[Facility ID],0))</f>
        <v>87482</v>
      </c>
      <c r="H1779">
        <f>INDEX(Operational[Energy Consumption (MWh)],MATCH(Emission8[[#This Row],[Facility ID]],Operational[Facility ID],0))</f>
        <v>2231.7399999999998</v>
      </c>
      <c r="I1779">
        <f>INDEX(Operational[Waste (tons)],MATCH(Emission8[[#This Row],[Facility ID]],Operational[Facility ID],0))</f>
        <v>45.43</v>
      </c>
    </row>
    <row r="1780" spans="1:9" x14ac:dyDescent="0.3">
      <c r="A1780" t="s">
        <v>79</v>
      </c>
      <c r="B1780" t="s">
        <v>17</v>
      </c>
      <c r="C1780" t="s">
        <v>13</v>
      </c>
      <c r="D1780" t="s">
        <v>28</v>
      </c>
      <c r="E1780" t="s">
        <v>15</v>
      </c>
      <c r="F1780">
        <v>2647.7</v>
      </c>
      <c r="G1780">
        <f>INDEX(Operational[Production Volume (units)],MATCH(Emission8[[#This Row],[Facility ID]],Operational[Facility ID],0))</f>
        <v>40503</v>
      </c>
      <c r="H1780">
        <f>INDEX(Operational[Energy Consumption (MWh)],MATCH(Emission8[[#This Row],[Facility ID]],Operational[Facility ID],0))</f>
        <v>7447.46</v>
      </c>
      <c r="I1780">
        <f>INDEX(Operational[Waste (tons)],MATCH(Emission8[[#This Row],[Facility ID]],Operational[Facility ID],0))</f>
        <v>98.27</v>
      </c>
    </row>
    <row r="1781" spans="1:9" x14ac:dyDescent="0.3">
      <c r="A1781" t="s">
        <v>175</v>
      </c>
      <c r="B1781" t="s">
        <v>7</v>
      </c>
      <c r="C1781" t="s">
        <v>13</v>
      </c>
      <c r="D1781" t="s">
        <v>28</v>
      </c>
      <c r="E1781" t="s">
        <v>24</v>
      </c>
      <c r="F1781">
        <v>3541.47</v>
      </c>
      <c r="G1781">
        <f>INDEX(Operational[Production Volume (units)],MATCH(Emission8[[#This Row],[Facility ID]],Operational[Facility ID],0))</f>
        <v>83923</v>
      </c>
      <c r="H1781">
        <f>INDEX(Operational[Energy Consumption (MWh)],MATCH(Emission8[[#This Row],[Facility ID]],Operational[Facility ID],0))</f>
        <v>8768.7999999999993</v>
      </c>
      <c r="I1781">
        <f>INDEX(Operational[Waste (tons)],MATCH(Emission8[[#This Row],[Facility ID]],Operational[Facility ID],0))</f>
        <v>65.290000000000006</v>
      </c>
    </row>
    <row r="1782" spans="1:9" x14ac:dyDescent="0.3">
      <c r="A1782" t="s">
        <v>40</v>
      </c>
      <c r="B1782" t="s">
        <v>19</v>
      </c>
      <c r="C1782" t="s">
        <v>23</v>
      </c>
      <c r="D1782" t="s">
        <v>28</v>
      </c>
      <c r="E1782" t="s">
        <v>10</v>
      </c>
      <c r="F1782">
        <v>2083.98</v>
      </c>
      <c r="G1782">
        <f>INDEX(Operational[Production Volume (units)],MATCH(Emission8[[#This Row],[Facility ID]],Operational[Facility ID],0))</f>
        <v>96474</v>
      </c>
      <c r="H1782">
        <f>INDEX(Operational[Energy Consumption (MWh)],MATCH(Emission8[[#This Row],[Facility ID]],Operational[Facility ID],0))</f>
        <v>7574.39</v>
      </c>
      <c r="I1782">
        <f>INDEX(Operational[Waste (tons)],MATCH(Emission8[[#This Row],[Facility ID]],Operational[Facility ID],0))</f>
        <v>95.54</v>
      </c>
    </row>
    <row r="1783" spans="1:9" x14ac:dyDescent="0.3">
      <c r="A1783" t="s">
        <v>102</v>
      </c>
      <c r="B1783" t="s">
        <v>19</v>
      </c>
      <c r="C1783" t="s">
        <v>23</v>
      </c>
      <c r="D1783" t="s">
        <v>9</v>
      </c>
      <c r="E1783" t="s">
        <v>15</v>
      </c>
      <c r="F1783">
        <v>3597.22</v>
      </c>
      <c r="G1783">
        <f>INDEX(Operational[Production Volume (units)],MATCH(Emission8[[#This Row],[Facility ID]],Operational[Facility ID],0))</f>
        <v>86263</v>
      </c>
      <c r="H1783">
        <f>INDEX(Operational[Energy Consumption (MWh)],MATCH(Emission8[[#This Row],[Facility ID]],Operational[Facility ID],0))</f>
        <v>3213.71</v>
      </c>
      <c r="I1783">
        <f>INDEX(Operational[Waste (tons)],MATCH(Emission8[[#This Row],[Facility ID]],Operational[Facility ID],0))</f>
        <v>98.39</v>
      </c>
    </row>
    <row r="1784" spans="1:9" x14ac:dyDescent="0.3">
      <c r="A1784" t="s">
        <v>188</v>
      </c>
      <c r="B1784" t="s">
        <v>19</v>
      </c>
      <c r="C1784" t="s">
        <v>8</v>
      </c>
      <c r="D1784" t="s">
        <v>28</v>
      </c>
      <c r="E1784" t="s">
        <v>24</v>
      </c>
      <c r="F1784">
        <v>3828.14</v>
      </c>
      <c r="G1784">
        <f>INDEX(Operational[Production Volume (units)],MATCH(Emission8[[#This Row],[Facility ID]],Operational[Facility ID],0))</f>
        <v>60513</v>
      </c>
      <c r="H1784">
        <f>INDEX(Operational[Energy Consumption (MWh)],MATCH(Emission8[[#This Row],[Facility ID]],Operational[Facility ID],0))</f>
        <v>4578.16</v>
      </c>
      <c r="I1784">
        <f>INDEX(Operational[Waste (tons)],MATCH(Emission8[[#This Row],[Facility ID]],Operational[Facility ID],0))</f>
        <v>65.53</v>
      </c>
    </row>
    <row r="1785" spans="1:9" x14ac:dyDescent="0.3">
      <c r="A1785" t="s">
        <v>72</v>
      </c>
      <c r="B1785" t="s">
        <v>19</v>
      </c>
      <c r="C1785" t="s">
        <v>23</v>
      </c>
      <c r="D1785" t="s">
        <v>9</v>
      </c>
      <c r="E1785" t="s">
        <v>10</v>
      </c>
      <c r="F1785">
        <v>3705.62</v>
      </c>
      <c r="G1785">
        <f>INDEX(Operational[Production Volume (units)],MATCH(Emission8[[#This Row],[Facility ID]],Operational[Facility ID],0))</f>
        <v>29318</v>
      </c>
      <c r="H1785">
        <f>INDEX(Operational[Energy Consumption (MWh)],MATCH(Emission8[[#This Row],[Facility ID]],Operational[Facility ID],0))</f>
        <v>9860.6200000000008</v>
      </c>
      <c r="I1785">
        <f>INDEX(Operational[Waste (tons)],MATCH(Emission8[[#This Row],[Facility ID]],Operational[Facility ID],0))</f>
        <v>14.58</v>
      </c>
    </row>
    <row r="1786" spans="1:9" x14ac:dyDescent="0.3">
      <c r="A1786" t="s">
        <v>167</v>
      </c>
      <c r="B1786" t="s">
        <v>30</v>
      </c>
      <c r="C1786" t="s">
        <v>8</v>
      </c>
      <c r="D1786" t="s">
        <v>9</v>
      </c>
      <c r="E1786" t="s">
        <v>15</v>
      </c>
      <c r="F1786">
        <v>2912.25</v>
      </c>
      <c r="G1786">
        <f>INDEX(Operational[Production Volume (units)],MATCH(Emission8[[#This Row],[Facility ID]],Operational[Facility ID],0))</f>
        <v>67213</v>
      </c>
      <c r="H1786">
        <f>INDEX(Operational[Energy Consumption (MWh)],MATCH(Emission8[[#This Row],[Facility ID]],Operational[Facility ID],0))</f>
        <v>5533.81</v>
      </c>
      <c r="I1786">
        <f>INDEX(Operational[Waste (tons)],MATCH(Emission8[[#This Row],[Facility ID]],Operational[Facility ID],0))</f>
        <v>90.88</v>
      </c>
    </row>
    <row r="1787" spans="1:9" x14ac:dyDescent="0.3">
      <c r="A1787" t="s">
        <v>52</v>
      </c>
      <c r="B1787" t="s">
        <v>19</v>
      </c>
      <c r="C1787" t="s">
        <v>34</v>
      </c>
      <c r="D1787" t="s">
        <v>28</v>
      </c>
      <c r="E1787" t="s">
        <v>24</v>
      </c>
      <c r="F1787">
        <v>1004.91</v>
      </c>
      <c r="G1787">
        <f>INDEX(Operational[Production Volume (units)],MATCH(Emission8[[#This Row],[Facility ID]],Operational[Facility ID],0))</f>
        <v>94949</v>
      </c>
      <c r="H1787">
        <f>INDEX(Operational[Energy Consumption (MWh)],MATCH(Emission8[[#This Row],[Facility ID]],Operational[Facility ID],0))</f>
        <v>9714.76</v>
      </c>
      <c r="I1787">
        <f>INDEX(Operational[Waste (tons)],MATCH(Emission8[[#This Row],[Facility ID]],Operational[Facility ID],0))</f>
        <v>64.900000000000006</v>
      </c>
    </row>
    <row r="1788" spans="1:9" x14ac:dyDescent="0.3">
      <c r="A1788" t="s">
        <v>100</v>
      </c>
      <c r="B1788" t="s">
        <v>7</v>
      </c>
      <c r="C1788" t="s">
        <v>34</v>
      </c>
      <c r="D1788" t="s">
        <v>14</v>
      </c>
      <c r="E1788" t="s">
        <v>10</v>
      </c>
      <c r="F1788">
        <v>4429.63</v>
      </c>
      <c r="G1788">
        <f>INDEX(Operational[Production Volume (units)],MATCH(Emission8[[#This Row],[Facility ID]],Operational[Facility ID],0))</f>
        <v>17468</v>
      </c>
      <c r="H1788">
        <f>INDEX(Operational[Energy Consumption (MWh)],MATCH(Emission8[[#This Row],[Facility ID]],Operational[Facility ID],0))</f>
        <v>6359.73</v>
      </c>
      <c r="I1788">
        <f>INDEX(Operational[Waste (tons)],MATCH(Emission8[[#This Row],[Facility ID]],Operational[Facility ID],0))</f>
        <v>5.22</v>
      </c>
    </row>
    <row r="1789" spans="1:9" x14ac:dyDescent="0.3">
      <c r="A1789" t="s">
        <v>108</v>
      </c>
      <c r="B1789" t="s">
        <v>7</v>
      </c>
      <c r="C1789" t="s">
        <v>13</v>
      </c>
      <c r="D1789" t="s">
        <v>9</v>
      </c>
      <c r="E1789" t="s">
        <v>10</v>
      </c>
      <c r="F1789">
        <v>4951.92</v>
      </c>
      <c r="G1789">
        <f>INDEX(Operational[Production Volume (units)],MATCH(Emission8[[#This Row],[Facility ID]],Operational[Facility ID],0))</f>
        <v>22201</v>
      </c>
      <c r="H1789">
        <f>INDEX(Operational[Energy Consumption (MWh)],MATCH(Emission8[[#This Row],[Facility ID]],Operational[Facility ID],0))</f>
        <v>2853.66</v>
      </c>
      <c r="I1789">
        <f>INDEX(Operational[Waste (tons)],MATCH(Emission8[[#This Row],[Facility ID]],Operational[Facility ID],0))</f>
        <v>71.94</v>
      </c>
    </row>
    <row r="1790" spans="1:9" x14ac:dyDescent="0.3">
      <c r="A1790" t="s">
        <v>16</v>
      </c>
      <c r="B1790" t="s">
        <v>17</v>
      </c>
      <c r="C1790" t="s">
        <v>8</v>
      </c>
      <c r="D1790" t="s">
        <v>9</v>
      </c>
      <c r="E1790" t="s">
        <v>24</v>
      </c>
      <c r="F1790">
        <v>2036.07</v>
      </c>
      <c r="G1790">
        <f>INDEX(Operational[Production Volume (units)],MATCH(Emission8[[#This Row],[Facility ID]],Operational[Facility ID],0))</f>
        <v>43512</v>
      </c>
      <c r="H1790">
        <f>INDEX(Operational[Energy Consumption (MWh)],MATCH(Emission8[[#This Row],[Facility ID]],Operational[Facility ID],0))</f>
        <v>5352.18</v>
      </c>
      <c r="I1790">
        <f>INDEX(Operational[Waste (tons)],MATCH(Emission8[[#This Row],[Facility ID]],Operational[Facility ID],0))</f>
        <v>6.17</v>
      </c>
    </row>
    <row r="1791" spans="1:9" x14ac:dyDescent="0.3">
      <c r="A1791" t="s">
        <v>161</v>
      </c>
      <c r="B1791" t="s">
        <v>7</v>
      </c>
      <c r="C1791" t="s">
        <v>8</v>
      </c>
      <c r="D1791" t="s">
        <v>28</v>
      </c>
      <c r="E1791" t="s">
        <v>10</v>
      </c>
      <c r="F1791">
        <v>4936.1400000000003</v>
      </c>
      <c r="G1791">
        <f>INDEX(Operational[Production Volume (units)],MATCH(Emission8[[#This Row],[Facility ID]],Operational[Facility ID],0))</f>
        <v>15788</v>
      </c>
      <c r="H1791">
        <f>INDEX(Operational[Energy Consumption (MWh)],MATCH(Emission8[[#This Row],[Facility ID]],Operational[Facility ID],0))</f>
        <v>1824.14</v>
      </c>
      <c r="I1791">
        <f>INDEX(Operational[Waste (tons)],MATCH(Emission8[[#This Row],[Facility ID]],Operational[Facility ID],0))</f>
        <v>52.78</v>
      </c>
    </row>
    <row r="1792" spans="1:9" x14ac:dyDescent="0.3">
      <c r="A1792" t="s">
        <v>6</v>
      </c>
      <c r="B1792" t="s">
        <v>7</v>
      </c>
      <c r="C1792" t="s">
        <v>34</v>
      </c>
      <c r="D1792" t="s">
        <v>28</v>
      </c>
      <c r="E1792" t="s">
        <v>15</v>
      </c>
      <c r="F1792">
        <v>2419.77</v>
      </c>
      <c r="G1792">
        <f>INDEX(Operational[Production Volume (units)],MATCH(Emission8[[#This Row],[Facility ID]],Operational[Facility ID],0))</f>
        <v>77330</v>
      </c>
      <c r="H1792">
        <f>INDEX(Operational[Energy Consumption (MWh)],MATCH(Emission8[[#This Row],[Facility ID]],Operational[Facility ID],0))</f>
        <v>6936.58</v>
      </c>
      <c r="I1792">
        <f>INDEX(Operational[Waste (tons)],MATCH(Emission8[[#This Row],[Facility ID]],Operational[Facility ID],0))</f>
        <v>82.3</v>
      </c>
    </row>
    <row r="1793" spans="1:9" x14ac:dyDescent="0.3">
      <c r="A1793" t="s">
        <v>119</v>
      </c>
      <c r="B1793" t="s">
        <v>30</v>
      </c>
      <c r="C1793" t="s">
        <v>34</v>
      </c>
      <c r="D1793" t="s">
        <v>9</v>
      </c>
      <c r="E1793" t="s">
        <v>15</v>
      </c>
      <c r="F1793">
        <v>574.96</v>
      </c>
      <c r="G1793">
        <f>INDEX(Operational[Production Volume (units)],MATCH(Emission8[[#This Row],[Facility ID]],Operational[Facility ID],0))</f>
        <v>80488</v>
      </c>
      <c r="H1793">
        <f>INDEX(Operational[Energy Consumption (MWh)],MATCH(Emission8[[#This Row],[Facility ID]],Operational[Facility ID],0))</f>
        <v>7629.95</v>
      </c>
      <c r="I1793">
        <f>INDEX(Operational[Waste (tons)],MATCH(Emission8[[#This Row],[Facility ID]],Operational[Facility ID],0))</f>
        <v>63.83</v>
      </c>
    </row>
    <row r="1794" spans="1:9" x14ac:dyDescent="0.3">
      <c r="A1794" t="s">
        <v>191</v>
      </c>
      <c r="B1794" t="s">
        <v>12</v>
      </c>
      <c r="C1794" t="s">
        <v>13</v>
      </c>
      <c r="D1794" t="s">
        <v>28</v>
      </c>
      <c r="E1794" t="s">
        <v>10</v>
      </c>
      <c r="F1794">
        <v>2530.5</v>
      </c>
      <c r="G1794">
        <f>INDEX(Operational[Production Volume (units)],MATCH(Emission8[[#This Row],[Facility ID]],Operational[Facility ID],0))</f>
        <v>43346</v>
      </c>
      <c r="H1794">
        <f>INDEX(Operational[Energy Consumption (MWh)],MATCH(Emission8[[#This Row],[Facility ID]],Operational[Facility ID],0))</f>
        <v>5559.12</v>
      </c>
      <c r="I1794">
        <f>INDEX(Operational[Waste (tons)],MATCH(Emission8[[#This Row],[Facility ID]],Operational[Facility ID],0))</f>
        <v>39.4</v>
      </c>
    </row>
    <row r="1795" spans="1:9" x14ac:dyDescent="0.3">
      <c r="A1795" t="s">
        <v>138</v>
      </c>
      <c r="B1795" t="s">
        <v>12</v>
      </c>
      <c r="C1795" t="s">
        <v>34</v>
      </c>
      <c r="D1795" t="s">
        <v>28</v>
      </c>
      <c r="E1795" t="s">
        <v>10</v>
      </c>
      <c r="F1795">
        <v>4691.6499999999996</v>
      </c>
      <c r="G1795">
        <f>INDEX(Operational[Production Volume (units)],MATCH(Emission8[[#This Row],[Facility ID]],Operational[Facility ID],0))</f>
        <v>57353</v>
      </c>
      <c r="H1795">
        <f>INDEX(Operational[Energy Consumption (MWh)],MATCH(Emission8[[#This Row],[Facility ID]],Operational[Facility ID],0))</f>
        <v>2274.71</v>
      </c>
      <c r="I1795">
        <f>INDEX(Operational[Waste (tons)],MATCH(Emission8[[#This Row],[Facility ID]],Operational[Facility ID],0))</f>
        <v>65.34</v>
      </c>
    </row>
    <row r="1796" spans="1:9" x14ac:dyDescent="0.3">
      <c r="A1796" t="s">
        <v>161</v>
      </c>
      <c r="B1796" t="s">
        <v>7</v>
      </c>
      <c r="C1796" t="s">
        <v>23</v>
      </c>
      <c r="D1796" t="s">
        <v>28</v>
      </c>
      <c r="E1796" t="s">
        <v>15</v>
      </c>
      <c r="F1796">
        <v>3798.92</v>
      </c>
      <c r="G1796">
        <f>INDEX(Operational[Production Volume (units)],MATCH(Emission8[[#This Row],[Facility ID]],Operational[Facility ID],0))</f>
        <v>15788</v>
      </c>
      <c r="H1796">
        <f>INDEX(Operational[Energy Consumption (MWh)],MATCH(Emission8[[#This Row],[Facility ID]],Operational[Facility ID],0))</f>
        <v>1824.14</v>
      </c>
      <c r="I1796">
        <f>INDEX(Operational[Waste (tons)],MATCH(Emission8[[#This Row],[Facility ID]],Operational[Facility ID],0))</f>
        <v>52.78</v>
      </c>
    </row>
    <row r="1797" spans="1:9" x14ac:dyDescent="0.3">
      <c r="A1797" t="s">
        <v>144</v>
      </c>
      <c r="B1797" t="s">
        <v>30</v>
      </c>
      <c r="C1797" t="s">
        <v>8</v>
      </c>
      <c r="D1797" t="s">
        <v>14</v>
      </c>
      <c r="E1797" t="s">
        <v>24</v>
      </c>
      <c r="F1797">
        <v>473.15</v>
      </c>
      <c r="G1797">
        <f>INDEX(Operational[Production Volume (units)],MATCH(Emission8[[#This Row],[Facility ID]],Operational[Facility ID],0))</f>
        <v>11426</v>
      </c>
      <c r="H1797">
        <f>INDEX(Operational[Energy Consumption (MWh)],MATCH(Emission8[[#This Row],[Facility ID]],Operational[Facility ID],0))</f>
        <v>4439.5600000000004</v>
      </c>
      <c r="I1797">
        <f>INDEX(Operational[Waste (tons)],MATCH(Emission8[[#This Row],[Facility ID]],Operational[Facility ID],0))</f>
        <v>52.71</v>
      </c>
    </row>
    <row r="1798" spans="1:9" x14ac:dyDescent="0.3">
      <c r="A1798" t="s">
        <v>74</v>
      </c>
      <c r="B1798" t="s">
        <v>19</v>
      </c>
      <c r="C1798" t="s">
        <v>34</v>
      </c>
      <c r="D1798" t="s">
        <v>28</v>
      </c>
      <c r="E1798" t="s">
        <v>15</v>
      </c>
      <c r="F1798">
        <v>2684.5</v>
      </c>
      <c r="G1798">
        <f>INDEX(Operational[Production Volume (units)],MATCH(Emission8[[#This Row],[Facility ID]],Operational[Facility ID],0))</f>
        <v>18175</v>
      </c>
      <c r="H1798">
        <f>INDEX(Operational[Energy Consumption (MWh)],MATCH(Emission8[[#This Row],[Facility ID]],Operational[Facility ID],0))</f>
        <v>8349.49</v>
      </c>
      <c r="I1798">
        <f>INDEX(Operational[Waste (tons)],MATCH(Emission8[[#This Row],[Facility ID]],Operational[Facility ID],0))</f>
        <v>39.97</v>
      </c>
    </row>
    <row r="1799" spans="1:9" x14ac:dyDescent="0.3">
      <c r="A1799" t="s">
        <v>147</v>
      </c>
      <c r="B1799" t="s">
        <v>17</v>
      </c>
      <c r="C1799" t="s">
        <v>34</v>
      </c>
      <c r="D1799" t="s">
        <v>9</v>
      </c>
      <c r="E1799" t="s">
        <v>10</v>
      </c>
      <c r="F1799">
        <v>3207.97</v>
      </c>
      <c r="G1799">
        <f>INDEX(Operational[Production Volume (units)],MATCH(Emission8[[#This Row],[Facility ID]],Operational[Facility ID],0))</f>
        <v>24095</v>
      </c>
      <c r="H1799">
        <f>INDEX(Operational[Energy Consumption (MWh)],MATCH(Emission8[[#This Row],[Facility ID]],Operational[Facility ID],0))</f>
        <v>3167.52</v>
      </c>
      <c r="I1799">
        <f>INDEX(Operational[Waste (tons)],MATCH(Emission8[[#This Row],[Facility ID]],Operational[Facility ID],0))</f>
        <v>31.02</v>
      </c>
    </row>
    <row r="1800" spans="1:9" x14ac:dyDescent="0.3">
      <c r="A1800" t="s">
        <v>175</v>
      </c>
      <c r="B1800" t="s">
        <v>7</v>
      </c>
      <c r="C1800" t="s">
        <v>23</v>
      </c>
      <c r="D1800" t="s">
        <v>9</v>
      </c>
      <c r="E1800" t="s">
        <v>15</v>
      </c>
      <c r="F1800">
        <v>2986.02</v>
      </c>
      <c r="G1800">
        <f>INDEX(Operational[Production Volume (units)],MATCH(Emission8[[#This Row],[Facility ID]],Operational[Facility ID],0))</f>
        <v>83923</v>
      </c>
      <c r="H1800">
        <f>INDEX(Operational[Energy Consumption (MWh)],MATCH(Emission8[[#This Row],[Facility ID]],Operational[Facility ID],0))</f>
        <v>8768.7999999999993</v>
      </c>
      <c r="I1800">
        <f>INDEX(Operational[Waste (tons)],MATCH(Emission8[[#This Row],[Facility ID]],Operational[Facility ID],0))</f>
        <v>65.290000000000006</v>
      </c>
    </row>
    <row r="1801" spans="1:9" x14ac:dyDescent="0.3">
      <c r="A1801" t="s">
        <v>157</v>
      </c>
      <c r="B1801" t="s">
        <v>30</v>
      </c>
      <c r="C1801" t="s">
        <v>8</v>
      </c>
      <c r="D1801" t="s">
        <v>28</v>
      </c>
      <c r="E1801" t="s">
        <v>10</v>
      </c>
      <c r="F1801">
        <v>862.55</v>
      </c>
      <c r="G1801">
        <f>INDEX(Operational[Production Volume (units)],MATCH(Emission8[[#This Row],[Facility ID]],Operational[Facility ID],0))</f>
        <v>76544</v>
      </c>
      <c r="H1801">
        <f>INDEX(Operational[Energy Consumption (MWh)],MATCH(Emission8[[#This Row],[Facility ID]],Operational[Facility ID],0))</f>
        <v>8632.77</v>
      </c>
      <c r="I1801">
        <f>INDEX(Operational[Waste (tons)],MATCH(Emission8[[#This Row],[Facility ID]],Operational[Facility ID],0))</f>
        <v>12.87</v>
      </c>
    </row>
    <row r="1802" spans="1:9" x14ac:dyDescent="0.3">
      <c r="A1802" t="s">
        <v>11</v>
      </c>
      <c r="B1802" t="s">
        <v>12</v>
      </c>
      <c r="C1802" t="s">
        <v>34</v>
      </c>
      <c r="D1802" t="s">
        <v>14</v>
      </c>
      <c r="E1802" t="s">
        <v>15</v>
      </c>
      <c r="F1802">
        <v>827.65</v>
      </c>
      <c r="G1802">
        <f>INDEX(Operational[Production Volume (units)],MATCH(Emission8[[#This Row],[Facility ID]],Operational[Facility ID],0))</f>
        <v>44657</v>
      </c>
      <c r="H1802">
        <f>INDEX(Operational[Energy Consumption (MWh)],MATCH(Emission8[[#This Row],[Facility ID]],Operational[Facility ID],0))</f>
        <v>7867.98</v>
      </c>
      <c r="I1802">
        <f>INDEX(Operational[Waste (tons)],MATCH(Emission8[[#This Row],[Facility ID]],Operational[Facility ID],0))</f>
        <v>96.01</v>
      </c>
    </row>
    <row r="1803" spans="1:9" x14ac:dyDescent="0.3">
      <c r="A1803" t="s">
        <v>130</v>
      </c>
      <c r="B1803" t="s">
        <v>12</v>
      </c>
      <c r="C1803" t="s">
        <v>8</v>
      </c>
      <c r="D1803" t="s">
        <v>28</v>
      </c>
      <c r="E1803" t="s">
        <v>10</v>
      </c>
      <c r="F1803">
        <v>1683.73</v>
      </c>
      <c r="G1803">
        <f>INDEX(Operational[Production Volume (units)],MATCH(Emission8[[#This Row],[Facility ID]],Operational[Facility ID],0))</f>
        <v>82332</v>
      </c>
      <c r="H1803">
        <f>INDEX(Operational[Energy Consumption (MWh)],MATCH(Emission8[[#This Row],[Facility ID]],Operational[Facility ID],0))</f>
        <v>7134.86</v>
      </c>
      <c r="I1803">
        <f>INDEX(Operational[Waste (tons)],MATCH(Emission8[[#This Row],[Facility ID]],Operational[Facility ID],0))</f>
        <v>22.44</v>
      </c>
    </row>
    <row r="1804" spans="1:9" x14ac:dyDescent="0.3">
      <c r="A1804" t="s">
        <v>95</v>
      </c>
      <c r="B1804" t="s">
        <v>30</v>
      </c>
      <c r="C1804" t="s">
        <v>13</v>
      </c>
      <c r="D1804" t="s">
        <v>14</v>
      </c>
      <c r="E1804" t="s">
        <v>24</v>
      </c>
      <c r="F1804">
        <v>1942.34</v>
      </c>
      <c r="G1804">
        <f>INDEX(Operational[Production Volume (units)],MATCH(Emission8[[#This Row],[Facility ID]],Operational[Facility ID],0))</f>
        <v>51800</v>
      </c>
      <c r="H1804">
        <f>INDEX(Operational[Energy Consumption (MWh)],MATCH(Emission8[[#This Row],[Facility ID]],Operational[Facility ID],0))</f>
        <v>3042.95</v>
      </c>
      <c r="I1804">
        <f>INDEX(Operational[Waste (tons)],MATCH(Emission8[[#This Row],[Facility ID]],Operational[Facility ID],0))</f>
        <v>71.87</v>
      </c>
    </row>
    <row r="1805" spans="1:9" x14ac:dyDescent="0.3">
      <c r="A1805" t="s">
        <v>170</v>
      </c>
      <c r="B1805" t="s">
        <v>12</v>
      </c>
      <c r="C1805" t="s">
        <v>34</v>
      </c>
      <c r="D1805" t="s">
        <v>14</v>
      </c>
      <c r="E1805" t="s">
        <v>10</v>
      </c>
      <c r="F1805">
        <v>4550.1099999999997</v>
      </c>
      <c r="G1805">
        <f>INDEX(Operational[Production Volume (units)],MATCH(Emission8[[#This Row],[Facility ID]],Operational[Facility ID],0))</f>
        <v>54133</v>
      </c>
      <c r="H1805">
        <f>INDEX(Operational[Energy Consumption (MWh)],MATCH(Emission8[[#This Row],[Facility ID]],Operational[Facility ID],0))</f>
        <v>8543.68</v>
      </c>
      <c r="I1805">
        <f>INDEX(Operational[Waste (tons)],MATCH(Emission8[[#This Row],[Facility ID]],Operational[Facility ID],0))</f>
        <v>24</v>
      </c>
    </row>
    <row r="1806" spans="1:9" x14ac:dyDescent="0.3">
      <c r="A1806" t="s">
        <v>208</v>
      </c>
      <c r="B1806" t="s">
        <v>19</v>
      </c>
      <c r="C1806" t="s">
        <v>8</v>
      </c>
      <c r="D1806" t="s">
        <v>9</v>
      </c>
      <c r="E1806" t="s">
        <v>15</v>
      </c>
      <c r="F1806">
        <v>3667.99</v>
      </c>
      <c r="G1806">
        <f>INDEX(Operational[Production Volume (units)],MATCH(Emission8[[#This Row],[Facility ID]],Operational[Facility ID],0))</f>
        <v>40553</v>
      </c>
      <c r="H1806">
        <f>INDEX(Operational[Energy Consumption (MWh)],MATCH(Emission8[[#This Row],[Facility ID]],Operational[Facility ID],0))</f>
        <v>4875.2299999999996</v>
      </c>
      <c r="I1806">
        <f>INDEX(Operational[Waste (tons)],MATCH(Emission8[[#This Row],[Facility ID]],Operational[Facility ID],0))</f>
        <v>23.33</v>
      </c>
    </row>
    <row r="1807" spans="1:9" x14ac:dyDescent="0.3">
      <c r="A1807" t="s">
        <v>167</v>
      </c>
      <c r="B1807" t="s">
        <v>30</v>
      </c>
      <c r="C1807" t="s">
        <v>23</v>
      </c>
      <c r="D1807" t="s">
        <v>14</v>
      </c>
      <c r="E1807" t="s">
        <v>24</v>
      </c>
      <c r="F1807">
        <v>4318.42</v>
      </c>
      <c r="G1807">
        <f>INDEX(Operational[Production Volume (units)],MATCH(Emission8[[#This Row],[Facility ID]],Operational[Facility ID],0))</f>
        <v>67213</v>
      </c>
      <c r="H1807">
        <f>INDEX(Operational[Energy Consumption (MWh)],MATCH(Emission8[[#This Row],[Facility ID]],Operational[Facility ID],0))</f>
        <v>5533.81</v>
      </c>
      <c r="I1807">
        <f>INDEX(Operational[Waste (tons)],MATCH(Emission8[[#This Row],[Facility ID]],Operational[Facility ID],0))</f>
        <v>90.88</v>
      </c>
    </row>
    <row r="1808" spans="1:9" x14ac:dyDescent="0.3">
      <c r="A1808" t="s">
        <v>52</v>
      </c>
      <c r="B1808" t="s">
        <v>19</v>
      </c>
      <c r="C1808" t="s">
        <v>23</v>
      </c>
      <c r="D1808" t="s">
        <v>14</v>
      </c>
      <c r="E1808" t="s">
        <v>10</v>
      </c>
      <c r="F1808">
        <v>3660.75</v>
      </c>
      <c r="G1808">
        <f>INDEX(Operational[Production Volume (units)],MATCH(Emission8[[#This Row],[Facility ID]],Operational[Facility ID],0))</f>
        <v>94949</v>
      </c>
      <c r="H1808">
        <f>INDEX(Operational[Energy Consumption (MWh)],MATCH(Emission8[[#This Row],[Facility ID]],Operational[Facility ID],0))</f>
        <v>9714.76</v>
      </c>
      <c r="I1808">
        <f>INDEX(Operational[Waste (tons)],MATCH(Emission8[[#This Row],[Facility ID]],Operational[Facility ID],0))</f>
        <v>64.900000000000006</v>
      </c>
    </row>
    <row r="1809" spans="1:9" x14ac:dyDescent="0.3">
      <c r="A1809" t="s">
        <v>154</v>
      </c>
      <c r="B1809" t="s">
        <v>12</v>
      </c>
      <c r="C1809" t="s">
        <v>13</v>
      </c>
      <c r="D1809" t="s">
        <v>14</v>
      </c>
      <c r="E1809" t="s">
        <v>15</v>
      </c>
      <c r="F1809">
        <v>1074.46</v>
      </c>
      <c r="G1809">
        <f>INDEX(Operational[Production Volume (units)],MATCH(Emission8[[#This Row],[Facility ID]],Operational[Facility ID],0))</f>
        <v>87012</v>
      </c>
      <c r="H1809">
        <f>INDEX(Operational[Energy Consumption (MWh)],MATCH(Emission8[[#This Row],[Facility ID]],Operational[Facility ID],0))</f>
        <v>7478.13</v>
      </c>
      <c r="I1809">
        <f>INDEX(Operational[Waste (tons)],MATCH(Emission8[[#This Row],[Facility ID]],Operational[Facility ID],0))</f>
        <v>27.22</v>
      </c>
    </row>
    <row r="1810" spans="1:9" x14ac:dyDescent="0.3">
      <c r="A1810" t="s">
        <v>113</v>
      </c>
      <c r="B1810" t="s">
        <v>30</v>
      </c>
      <c r="C1810" t="s">
        <v>23</v>
      </c>
      <c r="D1810" t="s">
        <v>14</v>
      </c>
      <c r="E1810" t="s">
        <v>24</v>
      </c>
      <c r="F1810">
        <v>4228.88</v>
      </c>
      <c r="G1810">
        <f>INDEX(Operational[Production Volume (units)],MATCH(Emission8[[#This Row],[Facility ID]],Operational[Facility ID],0))</f>
        <v>90679</v>
      </c>
      <c r="H1810">
        <f>INDEX(Operational[Energy Consumption (MWh)],MATCH(Emission8[[#This Row],[Facility ID]],Operational[Facility ID],0))</f>
        <v>7266.82</v>
      </c>
      <c r="I1810">
        <f>INDEX(Operational[Waste (tons)],MATCH(Emission8[[#This Row],[Facility ID]],Operational[Facility ID],0))</f>
        <v>23.3</v>
      </c>
    </row>
    <row r="1811" spans="1:9" x14ac:dyDescent="0.3">
      <c r="A1811" t="s">
        <v>111</v>
      </c>
      <c r="B1811" t="s">
        <v>19</v>
      </c>
      <c r="C1811" t="s">
        <v>34</v>
      </c>
      <c r="D1811" t="s">
        <v>14</v>
      </c>
      <c r="E1811" t="s">
        <v>24</v>
      </c>
      <c r="F1811">
        <v>2827.96</v>
      </c>
      <c r="G1811">
        <f>INDEX(Operational[Production Volume (units)],MATCH(Emission8[[#This Row],[Facility ID]],Operational[Facility ID],0))</f>
        <v>37309</v>
      </c>
      <c r="H1811">
        <f>INDEX(Operational[Energy Consumption (MWh)],MATCH(Emission8[[#This Row],[Facility ID]],Operational[Facility ID],0))</f>
        <v>4508.54</v>
      </c>
      <c r="I1811">
        <f>INDEX(Operational[Waste (tons)],MATCH(Emission8[[#This Row],[Facility ID]],Operational[Facility ID],0))</f>
        <v>47.15</v>
      </c>
    </row>
    <row r="1812" spans="1:9" x14ac:dyDescent="0.3">
      <c r="A1812" t="s">
        <v>70</v>
      </c>
      <c r="B1812" t="s">
        <v>19</v>
      </c>
      <c r="C1812" t="s">
        <v>8</v>
      </c>
      <c r="D1812" t="s">
        <v>9</v>
      </c>
      <c r="E1812" t="s">
        <v>10</v>
      </c>
      <c r="F1812">
        <v>1375.52</v>
      </c>
      <c r="G1812">
        <f>INDEX(Operational[Production Volume (units)],MATCH(Emission8[[#This Row],[Facility ID]],Operational[Facility ID],0))</f>
        <v>42485</v>
      </c>
      <c r="H1812">
        <f>INDEX(Operational[Energy Consumption (MWh)],MATCH(Emission8[[#This Row],[Facility ID]],Operational[Facility ID],0))</f>
        <v>4755.75</v>
      </c>
      <c r="I1812">
        <f>INDEX(Operational[Waste (tons)],MATCH(Emission8[[#This Row],[Facility ID]],Operational[Facility ID],0))</f>
        <v>10.19</v>
      </c>
    </row>
    <row r="1813" spans="1:9" x14ac:dyDescent="0.3">
      <c r="A1813" t="s">
        <v>76</v>
      </c>
      <c r="B1813" t="s">
        <v>17</v>
      </c>
      <c r="C1813" t="s">
        <v>13</v>
      </c>
      <c r="D1813" t="s">
        <v>9</v>
      </c>
      <c r="E1813" t="s">
        <v>15</v>
      </c>
      <c r="F1813">
        <v>3501.6</v>
      </c>
      <c r="G1813">
        <f>INDEX(Operational[Production Volume (units)],MATCH(Emission8[[#This Row],[Facility ID]],Operational[Facility ID],0))</f>
        <v>59617</v>
      </c>
      <c r="H1813">
        <f>INDEX(Operational[Energy Consumption (MWh)],MATCH(Emission8[[#This Row],[Facility ID]],Operational[Facility ID],0))</f>
        <v>5000.95</v>
      </c>
      <c r="I1813">
        <f>INDEX(Operational[Waste (tons)],MATCH(Emission8[[#This Row],[Facility ID]],Operational[Facility ID],0))</f>
        <v>80.36</v>
      </c>
    </row>
    <row r="1814" spans="1:9" x14ac:dyDescent="0.3">
      <c r="A1814" t="s">
        <v>40</v>
      </c>
      <c r="B1814" t="s">
        <v>19</v>
      </c>
      <c r="C1814" t="s">
        <v>23</v>
      </c>
      <c r="D1814" t="s">
        <v>9</v>
      </c>
      <c r="E1814" t="s">
        <v>15</v>
      </c>
      <c r="F1814">
        <v>3492.98</v>
      </c>
      <c r="G1814">
        <f>INDEX(Operational[Production Volume (units)],MATCH(Emission8[[#This Row],[Facility ID]],Operational[Facility ID],0))</f>
        <v>96474</v>
      </c>
      <c r="H1814">
        <f>INDEX(Operational[Energy Consumption (MWh)],MATCH(Emission8[[#This Row],[Facility ID]],Operational[Facility ID],0))</f>
        <v>7574.39</v>
      </c>
      <c r="I1814">
        <f>INDEX(Operational[Waste (tons)],MATCH(Emission8[[#This Row],[Facility ID]],Operational[Facility ID],0))</f>
        <v>95.54</v>
      </c>
    </row>
    <row r="1815" spans="1:9" x14ac:dyDescent="0.3">
      <c r="A1815" t="s">
        <v>204</v>
      </c>
      <c r="B1815" t="s">
        <v>30</v>
      </c>
      <c r="C1815" t="s">
        <v>13</v>
      </c>
      <c r="D1815" t="s">
        <v>9</v>
      </c>
      <c r="E1815" t="s">
        <v>24</v>
      </c>
      <c r="F1815">
        <v>1594.78</v>
      </c>
      <c r="G1815">
        <f>INDEX(Operational[Production Volume (units)],MATCH(Emission8[[#This Row],[Facility ID]],Operational[Facility ID],0))</f>
        <v>36423</v>
      </c>
      <c r="H1815">
        <f>INDEX(Operational[Energy Consumption (MWh)],MATCH(Emission8[[#This Row],[Facility ID]],Operational[Facility ID],0))</f>
        <v>589.96</v>
      </c>
      <c r="I1815">
        <f>INDEX(Operational[Waste (tons)],MATCH(Emission8[[#This Row],[Facility ID]],Operational[Facility ID],0))</f>
        <v>30.9</v>
      </c>
    </row>
    <row r="1816" spans="1:9" x14ac:dyDescent="0.3">
      <c r="A1816" t="s">
        <v>53</v>
      </c>
      <c r="B1816" t="s">
        <v>7</v>
      </c>
      <c r="C1816" t="s">
        <v>8</v>
      </c>
      <c r="D1816" t="s">
        <v>9</v>
      </c>
      <c r="E1816" t="s">
        <v>15</v>
      </c>
      <c r="F1816">
        <v>4328.83</v>
      </c>
      <c r="G1816">
        <f>INDEX(Operational[Production Volume (units)],MATCH(Emission8[[#This Row],[Facility ID]],Operational[Facility ID],0))</f>
        <v>90632</v>
      </c>
      <c r="H1816">
        <f>INDEX(Operational[Energy Consumption (MWh)],MATCH(Emission8[[#This Row],[Facility ID]],Operational[Facility ID],0))</f>
        <v>5292.17</v>
      </c>
      <c r="I1816">
        <f>INDEX(Operational[Waste (tons)],MATCH(Emission8[[#This Row],[Facility ID]],Operational[Facility ID],0))</f>
        <v>78.45</v>
      </c>
    </row>
    <row r="1817" spans="1:9" x14ac:dyDescent="0.3">
      <c r="A1817" t="s">
        <v>88</v>
      </c>
      <c r="B1817" t="s">
        <v>7</v>
      </c>
      <c r="C1817" t="s">
        <v>34</v>
      </c>
      <c r="D1817" t="s">
        <v>9</v>
      </c>
      <c r="E1817" t="s">
        <v>10</v>
      </c>
      <c r="F1817">
        <v>3820.76</v>
      </c>
      <c r="G1817">
        <f>INDEX(Operational[Production Volume (units)],MATCH(Emission8[[#This Row],[Facility ID]],Operational[Facility ID],0))</f>
        <v>44825</v>
      </c>
      <c r="H1817">
        <f>INDEX(Operational[Energy Consumption (MWh)],MATCH(Emission8[[#This Row],[Facility ID]],Operational[Facility ID],0))</f>
        <v>6023.03</v>
      </c>
      <c r="I1817">
        <f>INDEX(Operational[Waste (tons)],MATCH(Emission8[[#This Row],[Facility ID]],Operational[Facility ID],0))</f>
        <v>27.2</v>
      </c>
    </row>
    <row r="1818" spans="1:9" x14ac:dyDescent="0.3">
      <c r="A1818" t="s">
        <v>210</v>
      </c>
      <c r="B1818" t="s">
        <v>7</v>
      </c>
      <c r="C1818" t="s">
        <v>8</v>
      </c>
      <c r="D1818" t="s">
        <v>14</v>
      </c>
      <c r="E1818" t="s">
        <v>10</v>
      </c>
      <c r="F1818">
        <v>2495.33</v>
      </c>
      <c r="G1818">
        <f>INDEX(Operational[Production Volume (units)],MATCH(Emission8[[#This Row],[Facility ID]],Operational[Facility ID],0))</f>
        <v>65666</v>
      </c>
      <c r="H1818">
        <f>INDEX(Operational[Energy Consumption (MWh)],MATCH(Emission8[[#This Row],[Facility ID]],Operational[Facility ID],0))</f>
        <v>7269.98</v>
      </c>
      <c r="I1818">
        <f>INDEX(Operational[Waste (tons)],MATCH(Emission8[[#This Row],[Facility ID]],Operational[Facility ID],0))</f>
        <v>75.62</v>
      </c>
    </row>
    <row r="1819" spans="1:9" x14ac:dyDescent="0.3">
      <c r="A1819" t="s">
        <v>197</v>
      </c>
      <c r="B1819" t="s">
        <v>30</v>
      </c>
      <c r="C1819" t="s">
        <v>23</v>
      </c>
      <c r="D1819" t="s">
        <v>28</v>
      </c>
      <c r="E1819" t="s">
        <v>10</v>
      </c>
      <c r="F1819">
        <v>286.39</v>
      </c>
      <c r="G1819">
        <f>INDEX(Operational[Production Volume (units)],MATCH(Emission8[[#This Row],[Facility ID]],Operational[Facility ID],0))</f>
        <v>56752</v>
      </c>
      <c r="H1819">
        <f>INDEX(Operational[Energy Consumption (MWh)],MATCH(Emission8[[#This Row],[Facility ID]],Operational[Facility ID],0))</f>
        <v>4177.68</v>
      </c>
      <c r="I1819">
        <f>INDEX(Operational[Waste (tons)],MATCH(Emission8[[#This Row],[Facility ID]],Operational[Facility ID],0))</f>
        <v>10.96</v>
      </c>
    </row>
    <row r="1820" spans="1:9" x14ac:dyDescent="0.3">
      <c r="A1820" t="s">
        <v>65</v>
      </c>
      <c r="B1820" t="s">
        <v>30</v>
      </c>
      <c r="C1820" t="s">
        <v>34</v>
      </c>
      <c r="D1820" t="s">
        <v>14</v>
      </c>
      <c r="E1820" t="s">
        <v>10</v>
      </c>
      <c r="F1820">
        <v>1994.05</v>
      </c>
      <c r="G1820">
        <f>INDEX(Operational[Production Volume (units)],MATCH(Emission8[[#This Row],[Facility ID]],Operational[Facility ID],0))</f>
        <v>99026</v>
      </c>
      <c r="H1820">
        <f>INDEX(Operational[Energy Consumption (MWh)],MATCH(Emission8[[#This Row],[Facility ID]],Operational[Facility ID],0))</f>
        <v>5453.2</v>
      </c>
      <c r="I1820">
        <f>INDEX(Operational[Waste (tons)],MATCH(Emission8[[#This Row],[Facility ID]],Operational[Facility ID],0))</f>
        <v>57.49</v>
      </c>
    </row>
    <row r="1821" spans="1:9" x14ac:dyDescent="0.3">
      <c r="A1821" t="s">
        <v>213</v>
      </c>
      <c r="B1821" t="s">
        <v>12</v>
      </c>
      <c r="C1821" t="s">
        <v>13</v>
      </c>
      <c r="D1821" t="s">
        <v>14</v>
      </c>
      <c r="E1821" t="s">
        <v>10</v>
      </c>
      <c r="F1821">
        <v>2165.4299999999998</v>
      </c>
      <c r="G1821">
        <f>INDEX(Operational[Production Volume (units)],MATCH(Emission8[[#This Row],[Facility ID]],Operational[Facility ID],0))</f>
        <v>58622</v>
      </c>
      <c r="H1821">
        <f>INDEX(Operational[Energy Consumption (MWh)],MATCH(Emission8[[#This Row],[Facility ID]],Operational[Facility ID],0))</f>
        <v>7795.36</v>
      </c>
      <c r="I1821">
        <f>INDEX(Operational[Waste (tons)],MATCH(Emission8[[#This Row],[Facility ID]],Operational[Facility ID],0))</f>
        <v>59.81</v>
      </c>
    </row>
    <row r="1822" spans="1:9" x14ac:dyDescent="0.3">
      <c r="A1822" t="s">
        <v>16</v>
      </c>
      <c r="B1822" t="s">
        <v>17</v>
      </c>
      <c r="C1822" t="s">
        <v>23</v>
      </c>
      <c r="D1822" t="s">
        <v>28</v>
      </c>
      <c r="E1822" t="s">
        <v>15</v>
      </c>
      <c r="F1822">
        <v>4197.01</v>
      </c>
      <c r="G1822">
        <f>INDEX(Operational[Production Volume (units)],MATCH(Emission8[[#This Row],[Facility ID]],Operational[Facility ID],0))</f>
        <v>43512</v>
      </c>
      <c r="H1822">
        <f>INDEX(Operational[Energy Consumption (MWh)],MATCH(Emission8[[#This Row],[Facility ID]],Operational[Facility ID],0))</f>
        <v>5352.18</v>
      </c>
      <c r="I1822">
        <f>INDEX(Operational[Waste (tons)],MATCH(Emission8[[#This Row],[Facility ID]],Operational[Facility ID],0))</f>
        <v>6.17</v>
      </c>
    </row>
    <row r="1823" spans="1:9" x14ac:dyDescent="0.3">
      <c r="A1823" t="s">
        <v>78</v>
      </c>
      <c r="B1823" t="s">
        <v>7</v>
      </c>
      <c r="C1823" t="s">
        <v>34</v>
      </c>
      <c r="D1823" t="s">
        <v>9</v>
      </c>
      <c r="E1823" t="s">
        <v>10</v>
      </c>
      <c r="F1823">
        <v>1921.28</v>
      </c>
      <c r="G1823">
        <f>INDEX(Operational[Production Volume (units)],MATCH(Emission8[[#This Row],[Facility ID]],Operational[Facility ID],0))</f>
        <v>86557</v>
      </c>
      <c r="H1823">
        <f>INDEX(Operational[Energy Consumption (MWh)],MATCH(Emission8[[#This Row],[Facility ID]],Operational[Facility ID],0))</f>
        <v>8631.2800000000007</v>
      </c>
      <c r="I1823">
        <f>INDEX(Operational[Waste (tons)],MATCH(Emission8[[#This Row],[Facility ID]],Operational[Facility ID],0))</f>
        <v>69.53</v>
      </c>
    </row>
    <row r="1824" spans="1:9" x14ac:dyDescent="0.3">
      <c r="A1824" t="s">
        <v>89</v>
      </c>
      <c r="B1824" t="s">
        <v>17</v>
      </c>
      <c r="C1824" t="s">
        <v>13</v>
      </c>
      <c r="D1824" t="s">
        <v>28</v>
      </c>
      <c r="E1824" t="s">
        <v>24</v>
      </c>
      <c r="F1824">
        <v>3491.72</v>
      </c>
      <c r="G1824">
        <f>INDEX(Operational[Production Volume (units)],MATCH(Emission8[[#This Row],[Facility ID]],Operational[Facility ID],0))</f>
        <v>36171</v>
      </c>
      <c r="H1824">
        <f>INDEX(Operational[Energy Consumption (MWh)],MATCH(Emission8[[#This Row],[Facility ID]],Operational[Facility ID],0))</f>
        <v>6864.38</v>
      </c>
      <c r="I1824">
        <f>INDEX(Operational[Waste (tons)],MATCH(Emission8[[#This Row],[Facility ID]],Operational[Facility ID],0))</f>
        <v>37.03</v>
      </c>
    </row>
    <row r="1825" spans="1:9" x14ac:dyDescent="0.3">
      <c r="A1825" t="s">
        <v>81</v>
      </c>
      <c r="B1825" t="s">
        <v>12</v>
      </c>
      <c r="C1825" t="s">
        <v>34</v>
      </c>
      <c r="D1825" t="s">
        <v>9</v>
      </c>
      <c r="E1825" t="s">
        <v>10</v>
      </c>
      <c r="F1825">
        <v>2500.0700000000002</v>
      </c>
      <c r="G1825">
        <f>INDEX(Operational[Production Volume (units)],MATCH(Emission8[[#This Row],[Facility ID]],Operational[Facility ID],0))</f>
        <v>93661</v>
      </c>
      <c r="H1825">
        <f>INDEX(Operational[Energy Consumption (MWh)],MATCH(Emission8[[#This Row],[Facility ID]],Operational[Facility ID],0))</f>
        <v>7324.58</v>
      </c>
      <c r="I1825">
        <f>INDEX(Operational[Waste (tons)],MATCH(Emission8[[#This Row],[Facility ID]],Operational[Facility ID],0))</f>
        <v>23.55</v>
      </c>
    </row>
    <row r="1826" spans="1:9" x14ac:dyDescent="0.3">
      <c r="A1826" t="s">
        <v>212</v>
      </c>
      <c r="B1826" t="s">
        <v>7</v>
      </c>
      <c r="C1826" t="s">
        <v>13</v>
      </c>
      <c r="D1826" t="s">
        <v>28</v>
      </c>
      <c r="E1826" t="s">
        <v>10</v>
      </c>
      <c r="F1826">
        <v>818.77</v>
      </c>
      <c r="G1826">
        <f>INDEX(Operational[Production Volume (units)],MATCH(Emission8[[#This Row],[Facility ID]],Operational[Facility ID],0))</f>
        <v>67820</v>
      </c>
      <c r="H1826">
        <f>INDEX(Operational[Energy Consumption (MWh)],MATCH(Emission8[[#This Row],[Facility ID]],Operational[Facility ID],0))</f>
        <v>8177.95</v>
      </c>
      <c r="I1826">
        <f>INDEX(Operational[Waste (tons)],MATCH(Emission8[[#This Row],[Facility ID]],Operational[Facility ID],0))</f>
        <v>40.69</v>
      </c>
    </row>
    <row r="1827" spans="1:9" x14ac:dyDescent="0.3">
      <c r="A1827" t="s">
        <v>185</v>
      </c>
      <c r="B1827" t="s">
        <v>30</v>
      </c>
      <c r="C1827" t="s">
        <v>8</v>
      </c>
      <c r="D1827" t="s">
        <v>28</v>
      </c>
      <c r="E1827" t="s">
        <v>15</v>
      </c>
      <c r="F1827">
        <v>316.76</v>
      </c>
      <c r="G1827">
        <f>INDEX(Operational[Production Volume (units)],MATCH(Emission8[[#This Row],[Facility ID]],Operational[Facility ID],0))</f>
        <v>24913</v>
      </c>
      <c r="H1827">
        <f>INDEX(Operational[Energy Consumption (MWh)],MATCH(Emission8[[#This Row],[Facility ID]],Operational[Facility ID],0))</f>
        <v>5727.27</v>
      </c>
      <c r="I1827">
        <f>INDEX(Operational[Waste (tons)],MATCH(Emission8[[#This Row],[Facility ID]],Operational[Facility ID],0))</f>
        <v>78.849999999999994</v>
      </c>
    </row>
    <row r="1828" spans="1:9" x14ac:dyDescent="0.3">
      <c r="A1828" t="s">
        <v>202</v>
      </c>
      <c r="B1828" t="s">
        <v>12</v>
      </c>
      <c r="C1828" t="s">
        <v>13</v>
      </c>
      <c r="D1828" t="s">
        <v>28</v>
      </c>
      <c r="E1828" t="s">
        <v>15</v>
      </c>
      <c r="F1828">
        <v>2524.56</v>
      </c>
      <c r="G1828">
        <f>INDEX(Operational[Production Volume (units)],MATCH(Emission8[[#This Row],[Facility ID]],Operational[Facility ID],0))</f>
        <v>28400</v>
      </c>
      <c r="H1828">
        <f>INDEX(Operational[Energy Consumption (MWh)],MATCH(Emission8[[#This Row],[Facility ID]],Operational[Facility ID],0))</f>
        <v>3056.67</v>
      </c>
      <c r="I1828">
        <f>INDEX(Operational[Waste (tons)],MATCH(Emission8[[#This Row],[Facility ID]],Operational[Facility ID],0))</f>
        <v>52.68</v>
      </c>
    </row>
    <row r="1829" spans="1:9" x14ac:dyDescent="0.3">
      <c r="A1829" t="s">
        <v>207</v>
      </c>
      <c r="B1829" t="s">
        <v>17</v>
      </c>
      <c r="C1829" t="s">
        <v>34</v>
      </c>
      <c r="D1829" t="s">
        <v>9</v>
      </c>
      <c r="E1829" t="s">
        <v>15</v>
      </c>
      <c r="F1829">
        <v>1374.22</v>
      </c>
      <c r="G1829">
        <f>INDEX(Operational[Production Volume (units)],MATCH(Emission8[[#This Row],[Facility ID]],Operational[Facility ID],0))</f>
        <v>99115</v>
      </c>
      <c r="H1829">
        <f>INDEX(Operational[Energy Consumption (MWh)],MATCH(Emission8[[#This Row],[Facility ID]],Operational[Facility ID],0))</f>
        <v>827.26</v>
      </c>
      <c r="I1829">
        <f>INDEX(Operational[Waste (tons)],MATCH(Emission8[[#This Row],[Facility ID]],Operational[Facility ID],0))</f>
        <v>28.88</v>
      </c>
    </row>
    <row r="1830" spans="1:9" x14ac:dyDescent="0.3">
      <c r="A1830" t="s">
        <v>161</v>
      </c>
      <c r="B1830" t="s">
        <v>7</v>
      </c>
      <c r="C1830" t="s">
        <v>13</v>
      </c>
      <c r="D1830" t="s">
        <v>28</v>
      </c>
      <c r="E1830" t="s">
        <v>10</v>
      </c>
      <c r="F1830">
        <v>3494.63</v>
      </c>
      <c r="G1830">
        <f>INDEX(Operational[Production Volume (units)],MATCH(Emission8[[#This Row],[Facility ID]],Operational[Facility ID],0))</f>
        <v>15788</v>
      </c>
      <c r="H1830">
        <f>INDEX(Operational[Energy Consumption (MWh)],MATCH(Emission8[[#This Row],[Facility ID]],Operational[Facility ID],0))</f>
        <v>1824.14</v>
      </c>
      <c r="I1830">
        <f>INDEX(Operational[Waste (tons)],MATCH(Emission8[[#This Row],[Facility ID]],Operational[Facility ID],0))</f>
        <v>52.78</v>
      </c>
    </row>
    <row r="1831" spans="1:9" x14ac:dyDescent="0.3">
      <c r="A1831" t="s">
        <v>119</v>
      </c>
      <c r="B1831" t="s">
        <v>30</v>
      </c>
      <c r="C1831" t="s">
        <v>13</v>
      </c>
      <c r="D1831" t="s">
        <v>9</v>
      </c>
      <c r="E1831" t="s">
        <v>24</v>
      </c>
      <c r="F1831">
        <v>1436.94</v>
      </c>
      <c r="G1831">
        <f>INDEX(Operational[Production Volume (units)],MATCH(Emission8[[#This Row],[Facility ID]],Operational[Facility ID],0))</f>
        <v>80488</v>
      </c>
      <c r="H1831">
        <f>INDEX(Operational[Energy Consumption (MWh)],MATCH(Emission8[[#This Row],[Facility ID]],Operational[Facility ID],0))</f>
        <v>7629.95</v>
      </c>
      <c r="I1831">
        <f>INDEX(Operational[Waste (tons)],MATCH(Emission8[[#This Row],[Facility ID]],Operational[Facility ID],0))</f>
        <v>63.83</v>
      </c>
    </row>
    <row r="1832" spans="1:9" x14ac:dyDescent="0.3">
      <c r="A1832" t="s">
        <v>217</v>
      </c>
      <c r="B1832" t="s">
        <v>19</v>
      </c>
      <c r="C1832" t="s">
        <v>13</v>
      </c>
      <c r="D1832" t="s">
        <v>28</v>
      </c>
      <c r="E1832" t="s">
        <v>10</v>
      </c>
      <c r="F1832">
        <v>1993.57</v>
      </c>
      <c r="G1832">
        <f>INDEX(Operational[Production Volume (units)],MATCH(Emission8[[#This Row],[Facility ID]],Operational[Facility ID],0))</f>
        <v>80824</v>
      </c>
      <c r="H1832">
        <f>INDEX(Operational[Energy Consumption (MWh)],MATCH(Emission8[[#This Row],[Facility ID]],Operational[Facility ID],0))</f>
        <v>2858.92</v>
      </c>
      <c r="I1832">
        <f>INDEX(Operational[Waste (tons)],MATCH(Emission8[[#This Row],[Facility ID]],Operational[Facility ID],0))</f>
        <v>13.97</v>
      </c>
    </row>
    <row r="1833" spans="1:9" x14ac:dyDescent="0.3">
      <c r="A1833" t="s">
        <v>95</v>
      </c>
      <c r="B1833" t="s">
        <v>30</v>
      </c>
      <c r="C1833" t="s">
        <v>8</v>
      </c>
      <c r="D1833" t="s">
        <v>14</v>
      </c>
      <c r="E1833" t="s">
        <v>15</v>
      </c>
      <c r="F1833">
        <v>2563.0100000000002</v>
      </c>
      <c r="G1833">
        <f>INDEX(Operational[Production Volume (units)],MATCH(Emission8[[#This Row],[Facility ID]],Operational[Facility ID],0))</f>
        <v>51800</v>
      </c>
      <c r="H1833">
        <f>INDEX(Operational[Energy Consumption (MWh)],MATCH(Emission8[[#This Row],[Facility ID]],Operational[Facility ID],0))</f>
        <v>3042.95</v>
      </c>
      <c r="I1833">
        <f>INDEX(Operational[Waste (tons)],MATCH(Emission8[[#This Row],[Facility ID]],Operational[Facility ID],0))</f>
        <v>71.87</v>
      </c>
    </row>
    <row r="1834" spans="1:9" x14ac:dyDescent="0.3">
      <c r="A1834" t="s">
        <v>118</v>
      </c>
      <c r="B1834" t="s">
        <v>30</v>
      </c>
      <c r="C1834" t="s">
        <v>13</v>
      </c>
      <c r="D1834" t="s">
        <v>28</v>
      </c>
      <c r="E1834" t="s">
        <v>10</v>
      </c>
      <c r="F1834">
        <v>3772.31</v>
      </c>
      <c r="G1834">
        <f>INDEX(Operational[Production Volume (units)],MATCH(Emission8[[#This Row],[Facility ID]],Operational[Facility ID],0))</f>
        <v>68492</v>
      </c>
      <c r="H1834">
        <f>INDEX(Operational[Energy Consumption (MWh)],MATCH(Emission8[[#This Row],[Facility ID]],Operational[Facility ID],0))</f>
        <v>3533.88</v>
      </c>
      <c r="I1834">
        <f>INDEX(Operational[Waste (tons)],MATCH(Emission8[[#This Row],[Facility ID]],Operational[Facility ID],0))</f>
        <v>52.99</v>
      </c>
    </row>
    <row r="1835" spans="1:9" x14ac:dyDescent="0.3">
      <c r="A1835" t="s">
        <v>197</v>
      </c>
      <c r="B1835" t="s">
        <v>30</v>
      </c>
      <c r="C1835" t="s">
        <v>8</v>
      </c>
      <c r="D1835" t="s">
        <v>28</v>
      </c>
      <c r="E1835" t="s">
        <v>15</v>
      </c>
      <c r="F1835">
        <v>1624.65</v>
      </c>
      <c r="G1835">
        <f>INDEX(Operational[Production Volume (units)],MATCH(Emission8[[#This Row],[Facility ID]],Operational[Facility ID],0))</f>
        <v>56752</v>
      </c>
      <c r="H1835">
        <f>INDEX(Operational[Energy Consumption (MWh)],MATCH(Emission8[[#This Row],[Facility ID]],Operational[Facility ID],0))</f>
        <v>4177.68</v>
      </c>
      <c r="I1835">
        <f>INDEX(Operational[Waste (tons)],MATCH(Emission8[[#This Row],[Facility ID]],Operational[Facility ID],0))</f>
        <v>10.96</v>
      </c>
    </row>
    <row r="1836" spans="1:9" x14ac:dyDescent="0.3">
      <c r="A1836" t="s">
        <v>179</v>
      </c>
      <c r="B1836" t="s">
        <v>7</v>
      </c>
      <c r="C1836" t="s">
        <v>13</v>
      </c>
      <c r="D1836" t="s">
        <v>28</v>
      </c>
      <c r="E1836" t="s">
        <v>10</v>
      </c>
      <c r="F1836">
        <v>4535.0200000000004</v>
      </c>
      <c r="G1836">
        <f>INDEX(Operational[Production Volume (units)],MATCH(Emission8[[#This Row],[Facility ID]],Operational[Facility ID],0))</f>
        <v>94393</v>
      </c>
      <c r="H1836">
        <f>INDEX(Operational[Energy Consumption (MWh)],MATCH(Emission8[[#This Row],[Facility ID]],Operational[Facility ID],0))</f>
        <v>6691.7</v>
      </c>
      <c r="I1836">
        <f>INDEX(Operational[Waste (tons)],MATCH(Emission8[[#This Row],[Facility ID]],Operational[Facility ID],0))</f>
        <v>74.790000000000006</v>
      </c>
    </row>
    <row r="1837" spans="1:9" x14ac:dyDescent="0.3">
      <c r="A1837" t="s">
        <v>175</v>
      </c>
      <c r="B1837" t="s">
        <v>7</v>
      </c>
      <c r="C1837" t="s">
        <v>13</v>
      </c>
      <c r="D1837" t="s">
        <v>9</v>
      </c>
      <c r="E1837" t="s">
        <v>24</v>
      </c>
      <c r="F1837">
        <v>3532.27</v>
      </c>
      <c r="G1837">
        <f>INDEX(Operational[Production Volume (units)],MATCH(Emission8[[#This Row],[Facility ID]],Operational[Facility ID],0))</f>
        <v>83923</v>
      </c>
      <c r="H1837">
        <f>INDEX(Operational[Energy Consumption (MWh)],MATCH(Emission8[[#This Row],[Facility ID]],Operational[Facility ID],0))</f>
        <v>8768.7999999999993</v>
      </c>
      <c r="I1837">
        <f>INDEX(Operational[Waste (tons)],MATCH(Emission8[[#This Row],[Facility ID]],Operational[Facility ID],0))</f>
        <v>65.290000000000006</v>
      </c>
    </row>
    <row r="1838" spans="1:9" x14ac:dyDescent="0.3">
      <c r="A1838" t="s">
        <v>153</v>
      </c>
      <c r="B1838" t="s">
        <v>7</v>
      </c>
      <c r="C1838" t="s">
        <v>13</v>
      </c>
      <c r="D1838" t="s">
        <v>14</v>
      </c>
      <c r="E1838" t="s">
        <v>15</v>
      </c>
      <c r="F1838">
        <v>2581.0300000000002</v>
      </c>
      <c r="G1838">
        <f>INDEX(Operational[Production Volume (units)],MATCH(Emission8[[#This Row],[Facility ID]],Operational[Facility ID],0))</f>
        <v>21388</v>
      </c>
      <c r="H1838">
        <f>INDEX(Operational[Energy Consumption (MWh)],MATCH(Emission8[[#This Row],[Facility ID]],Operational[Facility ID],0))</f>
        <v>5249.39</v>
      </c>
      <c r="I1838">
        <f>INDEX(Operational[Waste (tons)],MATCH(Emission8[[#This Row],[Facility ID]],Operational[Facility ID],0))</f>
        <v>64.2</v>
      </c>
    </row>
    <row r="1839" spans="1:9" x14ac:dyDescent="0.3">
      <c r="A1839" t="s">
        <v>194</v>
      </c>
      <c r="B1839" t="s">
        <v>17</v>
      </c>
      <c r="C1839" t="s">
        <v>34</v>
      </c>
      <c r="D1839" t="s">
        <v>9</v>
      </c>
      <c r="E1839" t="s">
        <v>15</v>
      </c>
      <c r="F1839">
        <v>4518.38</v>
      </c>
      <c r="G1839">
        <f>INDEX(Operational[Production Volume (units)],MATCH(Emission8[[#This Row],[Facility ID]],Operational[Facility ID],0))</f>
        <v>95165</v>
      </c>
      <c r="H1839">
        <f>INDEX(Operational[Energy Consumption (MWh)],MATCH(Emission8[[#This Row],[Facility ID]],Operational[Facility ID],0))</f>
        <v>8562.76</v>
      </c>
      <c r="I1839">
        <f>INDEX(Operational[Waste (tons)],MATCH(Emission8[[#This Row],[Facility ID]],Operational[Facility ID],0))</f>
        <v>37.54</v>
      </c>
    </row>
    <row r="1840" spans="1:9" x14ac:dyDescent="0.3">
      <c r="A1840" t="s">
        <v>168</v>
      </c>
      <c r="B1840" t="s">
        <v>17</v>
      </c>
      <c r="C1840" t="s">
        <v>13</v>
      </c>
      <c r="D1840" t="s">
        <v>28</v>
      </c>
      <c r="E1840" t="s">
        <v>24</v>
      </c>
      <c r="F1840">
        <v>4506.08</v>
      </c>
      <c r="G1840">
        <f>INDEX(Operational[Production Volume (units)],MATCH(Emission8[[#This Row],[Facility ID]],Operational[Facility ID],0))</f>
        <v>41050</v>
      </c>
      <c r="H1840">
        <f>INDEX(Operational[Energy Consumption (MWh)],MATCH(Emission8[[#This Row],[Facility ID]],Operational[Facility ID],0))</f>
        <v>6025.84</v>
      </c>
      <c r="I1840">
        <f>INDEX(Operational[Waste (tons)],MATCH(Emission8[[#This Row],[Facility ID]],Operational[Facility ID],0))</f>
        <v>53.53</v>
      </c>
    </row>
    <row r="1841" spans="1:9" x14ac:dyDescent="0.3">
      <c r="A1841" t="s">
        <v>164</v>
      </c>
      <c r="B1841" t="s">
        <v>19</v>
      </c>
      <c r="C1841" t="s">
        <v>8</v>
      </c>
      <c r="D1841" t="s">
        <v>9</v>
      </c>
      <c r="E1841" t="s">
        <v>15</v>
      </c>
      <c r="F1841">
        <v>3055.51</v>
      </c>
      <c r="G1841">
        <f>INDEX(Operational[Production Volume (units)],MATCH(Emission8[[#This Row],[Facility ID]],Operational[Facility ID],0))</f>
        <v>69636</v>
      </c>
      <c r="H1841">
        <f>INDEX(Operational[Energy Consumption (MWh)],MATCH(Emission8[[#This Row],[Facility ID]],Operational[Facility ID],0))</f>
        <v>4246.55</v>
      </c>
      <c r="I1841">
        <f>INDEX(Operational[Waste (tons)],MATCH(Emission8[[#This Row],[Facility ID]],Operational[Facility ID],0))</f>
        <v>69.290000000000006</v>
      </c>
    </row>
    <row r="1842" spans="1:9" x14ac:dyDescent="0.3">
      <c r="A1842" t="s">
        <v>85</v>
      </c>
      <c r="B1842" t="s">
        <v>30</v>
      </c>
      <c r="C1842" t="s">
        <v>8</v>
      </c>
      <c r="D1842" t="s">
        <v>14</v>
      </c>
      <c r="E1842" t="s">
        <v>15</v>
      </c>
      <c r="F1842">
        <v>1376.96</v>
      </c>
      <c r="G1842">
        <f>INDEX(Operational[Production Volume (units)],MATCH(Emission8[[#This Row],[Facility ID]],Operational[Facility ID],0))</f>
        <v>45519</v>
      </c>
      <c r="H1842">
        <f>INDEX(Operational[Energy Consumption (MWh)],MATCH(Emission8[[#This Row],[Facility ID]],Operational[Facility ID],0))</f>
        <v>7987.69</v>
      </c>
      <c r="I1842">
        <f>INDEX(Operational[Waste (tons)],MATCH(Emission8[[#This Row],[Facility ID]],Operational[Facility ID],0))</f>
        <v>10.86</v>
      </c>
    </row>
    <row r="1843" spans="1:9" x14ac:dyDescent="0.3">
      <c r="A1843" t="s">
        <v>103</v>
      </c>
      <c r="B1843" t="s">
        <v>19</v>
      </c>
      <c r="C1843" t="s">
        <v>8</v>
      </c>
      <c r="D1843" t="s">
        <v>9</v>
      </c>
      <c r="E1843" t="s">
        <v>15</v>
      </c>
      <c r="F1843">
        <v>3798.95</v>
      </c>
      <c r="G1843">
        <f>INDEX(Operational[Production Volume (units)],MATCH(Emission8[[#This Row],[Facility ID]],Operational[Facility ID],0))</f>
        <v>38869</v>
      </c>
      <c r="H1843">
        <f>INDEX(Operational[Energy Consumption (MWh)],MATCH(Emission8[[#This Row],[Facility ID]],Operational[Facility ID],0))</f>
        <v>5109.76</v>
      </c>
      <c r="I1843">
        <f>INDEX(Operational[Waste (tons)],MATCH(Emission8[[#This Row],[Facility ID]],Operational[Facility ID],0))</f>
        <v>35.270000000000003</v>
      </c>
    </row>
    <row r="1844" spans="1:9" x14ac:dyDescent="0.3">
      <c r="A1844" t="s">
        <v>159</v>
      </c>
      <c r="B1844" t="s">
        <v>7</v>
      </c>
      <c r="C1844" t="s">
        <v>8</v>
      </c>
      <c r="D1844" t="s">
        <v>28</v>
      </c>
      <c r="E1844" t="s">
        <v>15</v>
      </c>
      <c r="F1844">
        <v>1881.41</v>
      </c>
      <c r="G1844">
        <f>INDEX(Operational[Production Volume (units)],MATCH(Emission8[[#This Row],[Facility ID]],Operational[Facility ID],0))</f>
        <v>47727</v>
      </c>
      <c r="H1844">
        <f>INDEX(Operational[Energy Consumption (MWh)],MATCH(Emission8[[#This Row],[Facility ID]],Operational[Facility ID],0))</f>
        <v>8907.33</v>
      </c>
      <c r="I1844">
        <f>INDEX(Operational[Waste (tons)],MATCH(Emission8[[#This Row],[Facility ID]],Operational[Facility ID],0))</f>
        <v>47.4</v>
      </c>
    </row>
    <row r="1845" spans="1:9" x14ac:dyDescent="0.3">
      <c r="A1845" t="s">
        <v>118</v>
      </c>
      <c r="B1845" t="s">
        <v>30</v>
      </c>
      <c r="C1845" t="s">
        <v>34</v>
      </c>
      <c r="D1845" t="s">
        <v>14</v>
      </c>
      <c r="E1845" t="s">
        <v>24</v>
      </c>
      <c r="F1845">
        <v>1308.54</v>
      </c>
      <c r="G1845">
        <f>INDEX(Operational[Production Volume (units)],MATCH(Emission8[[#This Row],[Facility ID]],Operational[Facility ID],0))</f>
        <v>68492</v>
      </c>
      <c r="H1845">
        <f>INDEX(Operational[Energy Consumption (MWh)],MATCH(Emission8[[#This Row],[Facility ID]],Operational[Facility ID],0))</f>
        <v>3533.88</v>
      </c>
      <c r="I1845">
        <f>INDEX(Operational[Waste (tons)],MATCH(Emission8[[#This Row],[Facility ID]],Operational[Facility ID],0))</f>
        <v>52.99</v>
      </c>
    </row>
    <row r="1846" spans="1:9" x14ac:dyDescent="0.3">
      <c r="A1846" t="s">
        <v>65</v>
      </c>
      <c r="B1846" t="s">
        <v>30</v>
      </c>
      <c r="C1846" t="s">
        <v>13</v>
      </c>
      <c r="D1846" t="s">
        <v>28</v>
      </c>
      <c r="E1846" t="s">
        <v>15</v>
      </c>
      <c r="F1846">
        <v>706.73</v>
      </c>
      <c r="G1846">
        <f>INDEX(Operational[Production Volume (units)],MATCH(Emission8[[#This Row],[Facility ID]],Operational[Facility ID],0))</f>
        <v>99026</v>
      </c>
      <c r="H1846">
        <f>INDEX(Operational[Energy Consumption (MWh)],MATCH(Emission8[[#This Row],[Facility ID]],Operational[Facility ID],0))</f>
        <v>5453.2</v>
      </c>
      <c r="I1846">
        <f>INDEX(Operational[Waste (tons)],MATCH(Emission8[[#This Row],[Facility ID]],Operational[Facility ID],0))</f>
        <v>57.49</v>
      </c>
    </row>
    <row r="1847" spans="1:9" x14ac:dyDescent="0.3">
      <c r="A1847" t="s">
        <v>197</v>
      </c>
      <c r="B1847" t="s">
        <v>30</v>
      </c>
      <c r="C1847" t="s">
        <v>23</v>
      </c>
      <c r="D1847" t="s">
        <v>9</v>
      </c>
      <c r="E1847" t="s">
        <v>24</v>
      </c>
      <c r="F1847">
        <v>3595.4</v>
      </c>
      <c r="G1847">
        <f>INDEX(Operational[Production Volume (units)],MATCH(Emission8[[#This Row],[Facility ID]],Operational[Facility ID],0))</f>
        <v>56752</v>
      </c>
      <c r="H1847">
        <f>INDEX(Operational[Energy Consumption (MWh)],MATCH(Emission8[[#This Row],[Facility ID]],Operational[Facility ID],0))</f>
        <v>4177.68</v>
      </c>
      <c r="I1847">
        <f>INDEX(Operational[Waste (tons)],MATCH(Emission8[[#This Row],[Facility ID]],Operational[Facility ID],0))</f>
        <v>10.96</v>
      </c>
    </row>
    <row r="1848" spans="1:9" x14ac:dyDescent="0.3">
      <c r="A1848" t="s">
        <v>131</v>
      </c>
      <c r="B1848" t="s">
        <v>17</v>
      </c>
      <c r="C1848" t="s">
        <v>23</v>
      </c>
      <c r="D1848" t="s">
        <v>14</v>
      </c>
      <c r="E1848" t="s">
        <v>10</v>
      </c>
      <c r="F1848">
        <v>1990.59</v>
      </c>
      <c r="G1848">
        <f>INDEX(Operational[Production Volume (units)],MATCH(Emission8[[#This Row],[Facility ID]],Operational[Facility ID],0))</f>
        <v>94128</v>
      </c>
      <c r="H1848">
        <f>INDEX(Operational[Energy Consumption (MWh)],MATCH(Emission8[[#This Row],[Facility ID]],Operational[Facility ID],0))</f>
        <v>8117.82</v>
      </c>
      <c r="I1848">
        <f>INDEX(Operational[Waste (tons)],MATCH(Emission8[[#This Row],[Facility ID]],Operational[Facility ID],0))</f>
        <v>73.83</v>
      </c>
    </row>
    <row r="1849" spans="1:9" x14ac:dyDescent="0.3">
      <c r="A1849" t="s">
        <v>178</v>
      </c>
      <c r="B1849" t="s">
        <v>30</v>
      </c>
      <c r="C1849" t="s">
        <v>8</v>
      </c>
      <c r="D1849" t="s">
        <v>9</v>
      </c>
      <c r="E1849" t="s">
        <v>24</v>
      </c>
      <c r="F1849">
        <v>4212.5</v>
      </c>
      <c r="G1849">
        <f>INDEX(Operational[Production Volume (units)],MATCH(Emission8[[#This Row],[Facility ID]],Operational[Facility ID],0))</f>
        <v>88188</v>
      </c>
      <c r="H1849">
        <f>INDEX(Operational[Energy Consumption (MWh)],MATCH(Emission8[[#This Row],[Facility ID]],Operational[Facility ID],0))</f>
        <v>815.86</v>
      </c>
      <c r="I1849">
        <f>INDEX(Operational[Waste (tons)],MATCH(Emission8[[#This Row],[Facility ID]],Operational[Facility ID],0))</f>
        <v>57.53</v>
      </c>
    </row>
    <row r="1850" spans="1:9" x14ac:dyDescent="0.3">
      <c r="A1850" t="s">
        <v>45</v>
      </c>
      <c r="B1850" t="s">
        <v>7</v>
      </c>
      <c r="C1850" t="s">
        <v>8</v>
      </c>
      <c r="D1850" t="s">
        <v>9</v>
      </c>
      <c r="E1850" t="s">
        <v>15</v>
      </c>
      <c r="F1850">
        <v>2388.2399999999998</v>
      </c>
      <c r="G1850">
        <f>INDEX(Operational[Production Volume (units)],MATCH(Emission8[[#This Row],[Facility ID]],Operational[Facility ID],0))</f>
        <v>49924</v>
      </c>
      <c r="H1850">
        <f>INDEX(Operational[Energy Consumption (MWh)],MATCH(Emission8[[#This Row],[Facility ID]],Operational[Facility ID],0))</f>
        <v>2199.16</v>
      </c>
      <c r="I1850">
        <f>INDEX(Operational[Waste (tons)],MATCH(Emission8[[#This Row],[Facility ID]],Operational[Facility ID],0))</f>
        <v>75.48</v>
      </c>
    </row>
    <row r="1851" spans="1:9" x14ac:dyDescent="0.3">
      <c r="A1851" t="s">
        <v>70</v>
      </c>
      <c r="B1851" t="s">
        <v>19</v>
      </c>
      <c r="C1851" t="s">
        <v>34</v>
      </c>
      <c r="D1851" t="s">
        <v>9</v>
      </c>
      <c r="E1851" t="s">
        <v>24</v>
      </c>
      <c r="F1851">
        <v>318.92</v>
      </c>
      <c r="G1851">
        <f>INDEX(Operational[Production Volume (units)],MATCH(Emission8[[#This Row],[Facility ID]],Operational[Facility ID],0))</f>
        <v>42485</v>
      </c>
      <c r="H1851">
        <f>INDEX(Operational[Energy Consumption (MWh)],MATCH(Emission8[[#This Row],[Facility ID]],Operational[Facility ID],0))</f>
        <v>4755.75</v>
      </c>
      <c r="I1851">
        <f>INDEX(Operational[Waste (tons)],MATCH(Emission8[[#This Row],[Facility ID]],Operational[Facility ID],0))</f>
        <v>10.19</v>
      </c>
    </row>
    <row r="1852" spans="1:9" x14ac:dyDescent="0.3">
      <c r="A1852" t="s">
        <v>16</v>
      </c>
      <c r="B1852" t="s">
        <v>17</v>
      </c>
      <c r="C1852" t="s">
        <v>13</v>
      </c>
      <c r="D1852" t="s">
        <v>14</v>
      </c>
      <c r="E1852" t="s">
        <v>10</v>
      </c>
      <c r="F1852">
        <v>365.96</v>
      </c>
      <c r="G1852">
        <f>INDEX(Operational[Production Volume (units)],MATCH(Emission8[[#This Row],[Facility ID]],Operational[Facility ID],0))</f>
        <v>43512</v>
      </c>
      <c r="H1852">
        <f>INDEX(Operational[Energy Consumption (MWh)],MATCH(Emission8[[#This Row],[Facility ID]],Operational[Facility ID],0))</f>
        <v>5352.18</v>
      </c>
      <c r="I1852">
        <f>INDEX(Operational[Waste (tons)],MATCH(Emission8[[#This Row],[Facility ID]],Operational[Facility ID],0))</f>
        <v>6.17</v>
      </c>
    </row>
    <row r="1853" spans="1:9" x14ac:dyDescent="0.3">
      <c r="A1853" t="s">
        <v>211</v>
      </c>
      <c r="B1853" t="s">
        <v>7</v>
      </c>
      <c r="C1853" t="s">
        <v>34</v>
      </c>
      <c r="D1853" t="s">
        <v>28</v>
      </c>
      <c r="E1853" t="s">
        <v>10</v>
      </c>
      <c r="F1853">
        <v>1353.72</v>
      </c>
      <c r="G1853">
        <f>INDEX(Operational[Production Volume (units)],MATCH(Emission8[[#This Row],[Facility ID]],Operational[Facility ID],0))</f>
        <v>27028</v>
      </c>
      <c r="H1853">
        <f>INDEX(Operational[Energy Consumption (MWh)],MATCH(Emission8[[#This Row],[Facility ID]],Operational[Facility ID],0))</f>
        <v>4617.92</v>
      </c>
      <c r="I1853">
        <f>INDEX(Operational[Waste (tons)],MATCH(Emission8[[#This Row],[Facility ID]],Operational[Facility ID],0))</f>
        <v>57.62</v>
      </c>
    </row>
    <row r="1854" spans="1:9" x14ac:dyDescent="0.3">
      <c r="A1854" t="s">
        <v>213</v>
      </c>
      <c r="B1854" t="s">
        <v>12</v>
      </c>
      <c r="C1854" t="s">
        <v>34</v>
      </c>
      <c r="D1854" t="s">
        <v>14</v>
      </c>
      <c r="E1854" t="s">
        <v>24</v>
      </c>
      <c r="F1854">
        <v>3026.73</v>
      </c>
      <c r="G1854">
        <f>INDEX(Operational[Production Volume (units)],MATCH(Emission8[[#This Row],[Facility ID]],Operational[Facility ID],0))</f>
        <v>58622</v>
      </c>
      <c r="H1854">
        <f>INDEX(Operational[Energy Consumption (MWh)],MATCH(Emission8[[#This Row],[Facility ID]],Operational[Facility ID],0))</f>
        <v>7795.36</v>
      </c>
      <c r="I1854">
        <f>INDEX(Operational[Waste (tons)],MATCH(Emission8[[#This Row],[Facility ID]],Operational[Facility ID],0))</f>
        <v>59.81</v>
      </c>
    </row>
    <row r="1855" spans="1:9" x14ac:dyDescent="0.3">
      <c r="A1855" t="s">
        <v>179</v>
      </c>
      <c r="B1855" t="s">
        <v>7</v>
      </c>
      <c r="C1855" t="s">
        <v>13</v>
      </c>
      <c r="D1855" t="s">
        <v>14</v>
      </c>
      <c r="E1855" t="s">
        <v>10</v>
      </c>
      <c r="F1855">
        <v>4344.96</v>
      </c>
      <c r="G1855">
        <f>INDEX(Operational[Production Volume (units)],MATCH(Emission8[[#This Row],[Facility ID]],Operational[Facility ID],0))</f>
        <v>94393</v>
      </c>
      <c r="H1855">
        <f>INDEX(Operational[Energy Consumption (MWh)],MATCH(Emission8[[#This Row],[Facility ID]],Operational[Facility ID],0))</f>
        <v>6691.7</v>
      </c>
      <c r="I1855">
        <f>INDEX(Operational[Waste (tons)],MATCH(Emission8[[#This Row],[Facility ID]],Operational[Facility ID],0))</f>
        <v>74.790000000000006</v>
      </c>
    </row>
    <row r="1856" spans="1:9" x14ac:dyDescent="0.3">
      <c r="A1856" t="s">
        <v>95</v>
      </c>
      <c r="B1856" t="s">
        <v>30</v>
      </c>
      <c r="C1856" t="s">
        <v>8</v>
      </c>
      <c r="D1856" t="s">
        <v>9</v>
      </c>
      <c r="E1856" t="s">
        <v>10</v>
      </c>
      <c r="F1856">
        <v>2412.9</v>
      </c>
      <c r="G1856">
        <f>INDEX(Operational[Production Volume (units)],MATCH(Emission8[[#This Row],[Facility ID]],Operational[Facility ID],0))</f>
        <v>51800</v>
      </c>
      <c r="H1856">
        <f>INDEX(Operational[Energy Consumption (MWh)],MATCH(Emission8[[#This Row],[Facility ID]],Operational[Facility ID],0))</f>
        <v>3042.95</v>
      </c>
      <c r="I1856">
        <f>INDEX(Operational[Waste (tons)],MATCH(Emission8[[#This Row],[Facility ID]],Operational[Facility ID],0))</f>
        <v>71.87</v>
      </c>
    </row>
    <row r="1857" spans="1:9" x14ac:dyDescent="0.3">
      <c r="A1857" t="s">
        <v>110</v>
      </c>
      <c r="B1857" t="s">
        <v>12</v>
      </c>
      <c r="C1857" t="s">
        <v>13</v>
      </c>
      <c r="D1857" t="s">
        <v>28</v>
      </c>
      <c r="E1857" t="s">
        <v>24</v>
      </c>
      <c r="F1857">
        <v>4239.84</v>
      </c>
      <c r="G1857">
        <f>INDEX(Operational[Production Volume (units)],MATCH(Emission8[[#This Row],[Facility ID]],Operational[Facility ID],0))</f>
        <v>70481</v>
      </c>
      <c r="H1857">
        <f>INDEX(Operational[Energy Consumption (MWh)],MATCH(Emission8[[#This Row],[Facility ID]],Operational[Facility ID],0))</f>
        <v>4452.83</v>
      </c>
      <c r="I1857">
        <f>INDEX(Operational[Waste (tons)],MATCH(Emission8[[#This Row],[Facility ID]],Operational[Facility ID],0))</f>
        <v>91.26</v>
      </c>
    </row>
    <row r="1858" spans="1:9" x14ac:dyDescent="0.3">
      <c r="A1858" t="s">
        <v>161</v>
      </c>
      <c r="B1858" t="s">
        <v>7</v>
      </c>
      <c r="C1858" t="s">
        <v>13</v>
      </c>
      <c r="D1858" t="s">
        <v>9</v>
      </c>
      <c r="E1858" t="s">
        <v>15</v>
      </c>
      <c r="F1858">
        <v>3759.01</v>
      </c>
      <c r="G1858">
        <f>INDEX(Operational[Production Volume (units)],MATCH(Emission8[[#This Row],[Facility ID]],Operational[Facility ID],0))</f>
        <v>15788</v>
      </c>
      <c r="H1858">
        <f>INDEX(Operational[Energy Consumption (MWh)],MATCH(Emission8[[#This Row],[Facility ID]],Operational[Facility ID],0))</f>
        <v>1824.14</v>
      </c>
      <c r="I1858">
        <f>INDEX(Operational[Waste (tons)],MATCH(Emission8[[#This Row],[Facility ID]],Operational[Facility ID],0))</f>
        <v>52.78</v>
      </c>
    </row>
    <row r="1859" spans="1:9" x14ac:dyDescent="0.3">
      <c r="A1859" t="s">
        <v>137</v>
      </c>
      <c r="B1859" t="s">
        <v>17</v>
      </c>
      <c r="C1859" t="s">
        <v>23</v>
      </c>
      <c r="D1859" t="s">
        <v>14</v>
      </c>
      <c r="E1859" t="s">
        <v>10</v>
      </c>
      <c r="F1859">
        <v>3558.82</v>
      </c>
      <c r="G1859">
        <f>INDEX(Operational[Production Volume (units)],MATCH(Emission8[[#This Row],[Facility ID]],Operational[Facility ID],0))</f>
        <v>19265</v>
      </c>
      <c r="H1859">
        <f>INDEX(Operational[Energy Consumption (MWh)],MATCH(Emission8[[#This Row],[Facility ID]],Operational[Facility ID],0))</f>
        <v>776.6</v>
      </c>
      <c r="I1859">
        <f>INDEX(Operational[Waste (tons)],MATCH(Emission8[[#This Row],[Facility ID]],Operational[Facility ID],0))</f>
        <v>39.75</v>
      </c>
    </row>
    <row r="1860" spans="1:9" x14ac:dyDescent="0.3">
      <c r="A1860" t="s">
        <v>143</v>
      </c>
      <c r="B1860" t="s">
        <v>17</v>
      </c>
      <c r="C1860" t="s">
        <v>13</v>
      </c>
      <c r="D1860" t="s">
        <v>28</v>
      </c>
      <c r="E1860" t="s">
        <v>15</v>
      </c>
      <c r="F1860">
        <v>2610.12</v>
      </c>
      <c r="G1860">
        <f>INDEX(Operational[Production Volume (units)],MATCH(Emission8[[#This Row],[Facility ID]],Operational[Facility ID],0))</f>
        <v>94704</v>
      </c>
      <c r="H1860">
        <f>INDEX(Operational[Energy Consumption (MWh)],MATCH(Emission8[[#This Row],[Facility ID]],Operational[Facility ID],0))</f>
        <v>6632.95</v>
      </c>
      <c r="I1860">
        <f>INDEX(Operational[Waste (tons)],MATCH(Emission8[[#This Row],[Facility ID]],Operational[Facility ID],0))</f>
        <v>14.76</v>
      </c>
    </row>
    <row r="1861" spans="1:9" x14ac:dyDescent="0.3">
      <c r="A1861" t="s">
        <v>180</v>
      </c>
      <c r="B1861" t="s">
        <v>30</v>
      </c>
      <c r="C1861" t="s">
        <v>34</v>
      </c>
      <c r="D1861" t="s">
        <v>28</v>
      </c>
      <c r="E1861" t="s">
        <v>10</v>
      </c>
      <c r="F1861">
        <v>2651.33</v>
      </c>
      <c r="G1861">
        <f>INDEX(Operational[Production Volume (units)],MATCH(Emission8[[#This Row],[Facility ID]],Operational[Facility ID],0))</f>
        <v>72846</v>
      </c>
      <c r="H1861">
        <f>INDEX(Operational[Energy Consumption (MWh)],MATCH(Emission8[[#This Row],[Facility ID]],Operational[Facility ID],0))</f>
        <v>5169.53</v>
      </c>
      <c r="I1861">
        <f>INDEX(Operational[Waste (tons)],MATCH(Emission8[[#This Row],[Facility ID]],Operational[Facility ID],0))</f>
        <v>76.709999999999994</v>
      </c>
    </row>
    <row r="1862" spans="1:9" x14ac:dyDescent="0.3">
      <c r="A1862" t="s">
        <v>93</v>
      </c>
      <c r="B1862" t="s">
        <v>30</v>
      </c>
      <c r="C1862" t="s">
        <v>23</v>
      </c>
      <c r="D1862" t="s">
        <v>28</v>
      </c>
      <c r="E1862" t="s">
        <v>24</v>
      </c>
      <c r="F1862">
        <v>1018.53</v>
      </c>
      <c r="G1862">
        <f>INDEX(Operational[Production Volume (units)],MATCH(Emission8[[#This Row],[Facility ID]],Operational[Facility ID],0))</f>
        <v>26378</v>
      </c>
      <c r="H1862">
        <f>INDEX(Operational[Energy Consumption (MWh)],MATCH(Emission8[[#This Row],[Facility ID]],Operational[Facility ID],0))</f>
        <v>2915.44</v>
      </c>
      <c r="I1862">
        <f>INDEX(Operational[Waste (tons)],MATCH(Emission8[[#This Row],[Facility ID]],Operational[Facility ID],0))</f>
        <v>29.84</v>
      </c>
    </row>
    <row r="1863" spans="1:9" x14ac:dyDescent="0.3">
      <c r="A1863" t="s">
        <v>110</v>
      </c>
      <c r="B1863" t="s">
        <v>12</v>
      </c>
      <c r="C1863" t="s">
        <v>23</v>
      </c>
      <c r="D1863" t="s">
        <v>9</v>
      </c>
      <c r="E1863" t="s">
        <v>15</v>
      </c>
      <c r="F1863">
        <v>503.93</v>
      </c>
      <c r="G1863">
        <f>INDEX(Operational[Production Volume (units)],MATCH(Emission8[[#This Row],[Facility ID]],Operational[Facility ID],0))</f>
        <v>70481</v>
      </c>
      <c r="H1863">
        <f>INDEX(Operational[Energy Consumption (MWh)],MATCH(Emission8[[#This Row],[Facility ID]],Operational[Facility ID],0))</f>
        <v>4452.83</v>
      </c>
      <c r="I1863">
        <f>INDEX(Operational[Waste (tons)],MATCH(Emission8[[#This Row],[Facility ID]],Operational[Facility ID],0))</f>
        <v>91.26</v>
      </c>
    </row>
    <row r="1864" spans="1:9" x14ac:dyDescent="0.3">
      <c r="A1864" t="s">
        <v>38</v>
      </c>
      <c r="B1864" t="s">
        <v>30</v>
      </c>
      <c r="C1864" t="s">
        <v>13</v>
      </c>
      <c r="D1864" t="s">
        <v>9</v>
      </c>
      <c r="E1864" t="s">
        <v>10</v>
      </c>
      <c r="F1864">
        <v>3013.45</v>
      </c>
      <c r="G1864">
        <f>INDEX(Operational[Production Volume (units)],MATCH(Emission8[[#This Row],[Facility ID]],Operational[Facility ID],0))</f>
        <v>57215</v>
      </c>
      <c r="H1864">
        <f>INDEX(Operational[Energy Consumption (MWh)],MATCH(Emission8[[#This Row],[Facility ID]],Operational[Facility ID],0))</f>
        <v>3227.1</v>
      </c>
      <c r="I1864">
        <f>INDEX(Operational[Waste (tons)],MATCH(Emission8[[#This Row],[Facility ID]],Operational[Facility ID],0))</f>
        <v>32.909999999999997</v>
      </c>
    </row>
    <row r="1865" spans="1:9" x14ac:dyDescent="0.3">
      <c r="A1865" t="s">
        <v>81</v>
      </c>
      <c r="B1865" t="s">
        <v>12</v>
      </c>
      <c r="C1865" t="s">
        <v>13</v>
      </c>
      <c r="D1865" t="s">
        <v>28</v>
      </c>
      <c r="E1865" t="s">
        <v>10</v>
      </c>
      <c r="F1865">
        <v>1639.95</v>
      </c>
      <c r="G1865">
        <f>INDEX(Operational[Production Volume (units)],MATCH(Emission8[[#This Row],[Facility ID]],Operational[Facility ID],0))</f>
        <v>93661</v>
      </c>
      <c r="H1865">
        <f>INDEX(Operational[Energy Consumption (MWh)],MATCH(Emission8[[#This Row],[Facility ID]],Operational[Facility ID],0))</f>
        <v>7324.58</v>
      </c>
      <c r="I1865">
        <f>INDEX(Operational[Waste (tons)],MATCH(Emission8[[#This Row],[Facility ID]],Operational[Facility ID],0))</f>
        <v>23.55</v>
      </c>
    </row>
    <row r="1866" spans="1:9" x14ac:dyDescent="0.3">
      <c r="A1866" t="s">
        <v>125</v>
      </c>
      <c r="B1866" t="s">
        <v>7</v>
      </c>
      <c r="C1866" t="s">
        <v>23</v>
      </c>
      <c r="D1866" t="s">
        <v>14</v>
      </c>
      <c r="E1866" t="s">
        <v>24</v>
      </c>
      <c r="F1866">
        <v>4092.48</v>
      </c>
      <c r="G1866">
        <f>INDEX(Operational[Production Volume (units)],MATCH(Emission8[[#This Row],[Facility ID]],Operational[Facility ID],0))</f>
        <v>56392</v>
      </c>
      <c r="H1866">
        <f>INDEX(Operational[Energy Consumption (MWh)],MATCH(Emission8[[#This Row],[Facility ID]],Operational[Facility ID],0))</f>
        <v>5703.76</v>
      </c>
      <c r="I1866">
        <f>INDEX(Operational[Waste (tons)],MATCH(Emission8[[#This Row],[Facility ID]],Operational[Facility ID],0))</f>
        <v>23.04</v>
      </c>
    </row>
    <row r="1867" spans="1:9" x14ac:dyDescent="0.3">
      <c r="A1867" t="s">
        <v>185</v>
      </c>
      <c r="B1867" t="s">
        <v>30</v>
      </c>
      <c r="C1867" t="s">
        <v>13</v>
      </c>
      <c r="D1867" t="s">
        <v>14</v>
      </c>
      <c r="E1867" t="s">
        <v>15</v>
      </c>
      <c r="F1867">
        <v>730.62</v>
      </c>
      <c r="G1867">
        <f>INDEX(Operational[Production Volume (units)],MATCH(Emission8[[#This Row],[Facility ID]],Operational[Facility ID],0))</f>
        <v>24913</v>
      </c>
      <c r="H1867">
        <f>INDEX(Operational[Energy Consumption (MWh)],MATCH(Emission8[[#This Row],[Facility ID]],Operational[Facility ID],0))</f>
        <v>5727.27</v>
      </c>
      <c r="I1867">
        <f>INDEX(Operational[Waste (tons)],MATCH(Emission8[[#This Row],[Facility ID]],Operational[Facility ID],0))</f>
        <v>78.849999999999994</v>
      </c>
    </row>
    <row r="1868" spans="1:9" x14ac:dyDescent="0.3">
      <c r="A1868" t="s">
        <v>128</v>
      </c>
      <c r="B1868" t="s">
        <v>12</v>
      </c>
      <c r="C1868" t="s">
        <v>8</v>
      </c>
      <c r="D1868" t="s">
        <v>9</v>
      </c>
      <c r="E1868" t="s">
        <v>24</v>
      </c>
      <c r="F1868">
        <v>5247.89</v>
      </c>
      <c r="G1868">
        <f>INDEX(Operational[Production Volume (units)],MATCH(Emission8[[#This Row],[Facility ID]],Operational[Facility ID],0))</f>
        <v>29406</v>
      </c>
      <c r="H1868">
        <f>INDEX(Operational[Energy Consumption (MWh)],MATCH(Emission8[[#This Row],[Facility ID]],Operational[Facility ID],0))</f>
        <v>5281.69</v>
      </c>
      <c r="I1868">
        <f>INDEX(Operational[Waste (tons)],MATCH(Emission8[[#This Row],[Facility ID]],Operational[Facility ID],0))</f>
        <v>27.01</v>
      </c>
    </row>
    <row r="1869" spans="1:9" x14ac:dyDescent="0.3">
      <c r="A1869" t="s">
        <v>201</v>
      </c>
      <c r="B1869" t="s">
        <v>12</v>
      </c>
      <c r="C1869" t="s">
        <v>34</v>
      </c>
      <c r="D1869" t="s">
        <v>14</v>
      </c>
      <c r="E1869" t="s">
        <v>24</v>
      </c>
      <c r="F1869">
        <v>2947.53</v>
      </c>
      <c r="G1869">
        <f>INDEX(Operational[Production Volume (units)],MATCH(Emission8[[#This Row],[Facility ID]],Operational[Facility ID],0))</f>
        <v>58439</v>
      </c>
      <c r="H1869">
        <f>INDEX(Operational[Energy Consumption (MWh)],MATCH(Emission8[[#This Row],[Facility ID]],Operational[Facility ID],0))</f>
        <v>5817.93</v>
      </c>
      <c r="I1869">
        <f>INDEX(Operational[Waste (tons)],MATCH(Emission8[[#This Row],[Facility ID]],Operational[Facility ID],0))</f>
        <v>63.77</v>
      </c>
    </row>
    <row r="1870" spans="1:9" x14ac:dyDescent="0.3">
      <c r="A1870" t="s">
        <v>129</v>
      </c>
      <c r="B1870" t="s">
        <v>17</v>
      </c>
      <c r="C1870" t="s">
        <v>8</v>
      </c>
      <c r="D1870" t="s">
        <v>28</v>
      </c>
      <c r="E1870" t="s">
        <v>24</v>
      </c>
      <c r="F1870">
        <v>571.92999999999995</v>
      </c>
      <c r="G1870">
        <f>INDEX(Operational[Production Volume (units)],MATCH(Emission8[[#This Row],[Facility ID]],Operational[Facility ID],0))</f>
        <v>95292</v>
      </c>
      <c r="H1870">
        <f>INDEX(Operational[Energy Consumption (MWh)],MATCH(Emission8[[#This Row],[Facility ID]],Operational[Facility ID],0))</f>
        <v>697.47</v>
      </c>
      <c r="I1870">
        <f>INDEX(Operational[Waste (tons)],MATCH(Emission8[[#This Row],[Facility ID]],Operational[Facility ID],0))</f>
        <v>88.35</v>
      </c>
    </row>
    <row r="1871" spans="1:9" x14ac:dyDescent="0.3">
      <c r="A1871" t="s">
        <v>102</v>
      </c>
      <c r="B1871" t="s">
        <v>19</v>
      </c>
      <c r="C1871" t="s">
        <v>8</v>
      </c>
      <c r="D1871" t="s">
        <v>9</v>
      </c>
      <c r="E1871" t="s">
        <v>15</v>
      </c>
      <c r="F1871">
        <v>4065.74</v>
      </c>
      <c r="G1871">
        <f>INDEX(Operational[Production Volume (units)],MATCH(Emission8[[#This Row],[Facility ID]],Operational[Facility ID],0))</f>
        <v>86263</v>
      </c>
      <c r="H1871">
        <f>INDEX(Operational[Energy Consumption (MWh)],MATCH(Emission8[[#This Row],[Facility ID]],Operational[Facility ID],0))</f>
        <v>3213.71</v>
      </c>
      <c r="I1871">
        <f>INDEX(Operational[Waste (tons)],MATCH(Emission8[[#This Row],[Facility ID]],Operational[Facility ID],0))</f>
        <v>98.39</v>
      </c>
    </row>
    <row r="1872" spans="1:9" x14ac:dyDescent="0.3">
      <c r="A1872" t="s">
        <v>39</v>
      </c>
      <c r="B1872" t="s">
        <v>7</v>
      </c>
      <c r="C1872" t="s">
        <v>8</v>
      </c>
      <c r="D1872" t="s">
        <v>9</v>
      </c>
      <c r="E1872" t="s">
        <v>10</v>
      </c>
      <c r="F1872">
        <v>1983.3</v>
      </c>
      <c r="G1872">
        <f>INDEX(Operational[Production Volume (units)],MATCH(Emission8[[#This Row],[Facility ID]],Operational[Facility ID],0))</f>
        <v>80904</v>
      </c>
      <c r="H1872">
        <f>INDEX(Operational[Energy Consumption (MWh)],MATCH(Emission8[[#This Row],[Facility ID]],Operational[Facility ID],0))</f>
        <v>3263.09</v>
      </c>
      <c r="I1872">
        <f>INDEX(Operational[Waste (tons)],MATCH(Emission8[[#This Row],[Facility ID]],Operational[Facility ID],0))</f>
        <v>58.37</v>
      </c>
    </row>
    <row r="1873" spans="1:9" x14ac:dyDescent="0.3">
      <c r="A1873" t="s">
        <v>134</v>
      </c>
      <c r="B1873" t="s">
        <v>7</v>
      </c>
      <c r="C1873" t="s">
        <v>34</v>
      </c>
      <c r="D1873" t="s">
        <v>14</v>
      </c>
      <c r="E1873" t="s">
        <v>24</v>
      </c>
      <c r="F1873">
        <v>3226.08</v>
      </c>
      <c r="G1873">
        <f>INDEX(Operational[Production Volume (units)],MATCH(Emission8[[#This Row],[Facility ID]],Operational[Facility ID],0))</f>
        <v>39568</v>
      </c>
      <c r="H1873">
        <f>INDEX(Operational[Energy Consumption (MWh)],MATCH(Emission8[[#This Row],[Facility ID]],Operational[Facility ID],0))</f>
        <v>3580.54</v>
      </c>
      <c r="I1873">
        <f>INDEX(Operational[Waste (tons)],MATCH(Emission8[[#This Row],[Facility ID]],Operational[Facility ID],0))</f>
        <v>78.08</v>
      </c>
    </row>
    <row r="1874" spans="1:9" x14ac:dyDescent="0.3">
      <c r="A1874" t="s">
        <v>95</v>
      </c>
      <c r="B1874" t="s">
        <v>30</v>
      </c>
      <c r="C1874" t="s">
        <v>8</v>
      </c>
      <c r="D1874" t="s">
        <v>9</v>
      </c>
      <c r="E1874" t="s">
        <v>15</v>
      </c>
      <c r="F1874">
        <v>885.44</v>
      </c>
      <c r="G1874">
        <f>INDEX(Operational[Production Volume (units)],MATCH(Emission8[[#This Row],[Facility ID]],Operational[Facility ID],0))</f>
        <v>51800</v>
      </c>
      <c r="H1874">
        <f>INDEX(Operational[Energy Consumption (MWh)],MATCH(Emission8[[#This Row],[Facility ID]],Operational[Facility ID],0))</f>
        <v>3042.95</v>
      </c>
      <c r="I1874">
        <f>INDEX(Operational[Waste (tons)],MATCH(Emission8[[#This Row],[Facility ID]],Operational[Facility ID],0))</f>
        <v>71.87</v>
      </c>
    </row>
    <row r="1875" spans="1:9" x14ac:dyDescent="0.3">
      <c r="A1875" t="s">
        <v>196</v>
      </c>
      <c r="B1875" t="s">
        <v>30</v>
      </c>
      <c r="C1875" t="s">
        <v>13</v>
      </c>
      <c r="D1875" t="s">
        <v>14</v>
      </c>
      <c r="E1875" t="s">
        <v>15</v>
      </c>
      <c r="F1875">
        <v>3998.24</v>
      </c>
      <c r="G1875">
        <f>INDEX(Operational[Production Volume (units)],MATCH(Emission8[[#This Row],[Facility ID]],Operational[Facility ID],0))</f>
        <v>12262</v>
      </c>
      <c r="H1875">
        <f>INDEX(Operational[Energy Consumption (MWh)],MATCH(Emission8[[#This Row],[Facility ID]],Operational[Facility ID],0))</f>
        <v>7106.18</v>
      </c>
      <c r="I1875">
        <f>INDEX(Operational[Waste (tons)],MATCH(Emission8[[#This Row],[Facility ID]],Operational[Facility ID],0))</f>
        <v>45.69</v>
      </c>
    </row>
    <row r="1876" spans="1:9" x14ac:dyDescent="0.3">
      <c r="A1876" t="s">
        <v>164</v>
      </c>
      <c r="B1876" t="s">
        <v>19</v>
      </c>
      <c r="C1876" t="s">
        <v>23</v>
      </c>
      <c r="D1876" t="s">
        <v>14</v>
      </c>
      <c r="E1876" t="s">
        <v>15</v>
      </c>
      <c r="F1876">
        <v>2639.81</v>
      </c>
      <c r="G1876">
        <f>INDEX(Operational[Production Volume (units)],MATCH(Emission8[[#This Row],[Facility ID]],Operational[Facility ID],0))</f>
        <v>69636</v>
      </c>
      <c r="H1876">
        <f>INDEX(Operational[Energy Consumption (MWh)],MATCH(Emission8[[#This Row],[Facility ID]],Operational[Facility ID],0))</f>
        <v>4246.55</v>
      </c>
      <c r="I1876">
        <f>INDEX(Operational[Waste (tons)],MATCH(Emission8[[#This Row],[Facility ID]],Operational[Facility ID],0))</f>
        <v>69.290000000000006</v>
      </c>
    </row>
    <row r="1877" spans="1:9" x14ac:dyDescent="0.3">
      <c r="A1877" t="s">
        <v>199</v>
      </c>
      <c r="B1877" t="s">
        <v>17</v>
      </c>
      <c r="C1877" t="s">
        <v>34</v>
      </c>
      <c r="D1877" t="s">
        <v>14</v>
      </c>
      <c r="E1877" t="s">
        <v>10</v>
      </c>
      <c r="F1877">
        <v>2835.04</v>
      </c>
      <c r="G1877">
        <f>INDEX(Operational[Production Volume (units)],MATCH(Emission8[[#This Row],[Facility ID]],Operational[Facility ID],0))</f>
        <v>77317</v>
      </c>
      <c r="H1877">
        <f>INDEX(Operational[Energy Consumption (MWh)],MATCH(Emission8[[#This Row],[Facility ID]],Operational[Facility ID],0))</f>
        <v>4862.95</v>
      </c>
      <c r="I1877">
        <f>INDEX(Operational[Waste (tons)],MATCH(Emission8[[#This Row],[Facility ID]],Operational[Facility ID],0))</f>
        <v>89.78</v>
      </c>
    </row>
    <row r="1878" spans="1:9" x14ac:dyDescent="0.3">
      <c r="A1878" t="s">
        <v>21</v>
      </c>
      <c r="B1878" t="s">
        <v>19</v>
      </c>
      <c r="C1878" t="s">
        <v>23</v>
      </c>
      <c r="D1878" t="s">
        <v>14</v>
      </c>
      <c r="E1878" t="s">
        <v>10</v>
      </c>
      <c r="F1878">
        <v>2182.6999999999998</v>
      </c>
      <c r="G1878">
        <f>INDEX(Operational[Production Volume (units)],MATCH(Emission8[[#This Row],[Facility ID]],Operational[Facility ID],0))</f>
        <v>61157</v>
      </c>
      <c r="H1878">
        <f>INDEX(Operational[Energy Consumption (MWh)],MATCH(Emission8[[#This Row],[Facility ID]],Operational[Facility ID],0))</f>
        <v>7331.54</v>
      </c>
      <c r="I1878">
        <f>INDEX(Operational[Waste (tons)],MATCH(Emission8[[#This Row],[Facility ID]],Operational[Facility ID],0))</f>
        <v>55.52</v>
      </c>
    </row>
    <row r="1879" spans="1:9" x14ac:dyDescent="0.3">
      <c r="A1879" t="s">
        <v>55</v>
      </c>
      <c r="B1879" t="s">
        <v>12</v>
      </c>
      <c r="C1879" t="s">
        <v>13</v>
      </c>
      <c r="D1879" t="s">
        <v>28</v>
      </c>
      <c r="E1879" t="s">
        <v>10</v>
      </c>
      <c r="F1879">
        <v>3507.39</v>
      </c>
      <c r="G1879">
        <f>INDEX(Operational[Production Volume (units)],MATCH(Emission8[[#This Row],[Facility ID]],Operational[Facility ID],0))</f>
        <v>38181</v>
      </c>
      <c r="H1879">
        <f>INDEX(Operational[Energy Consumption (MWh)],MATCH(Emission8[[#This Row],[Facility ID]],Operational[Facility ID],0))</f>
        <v>691.84</v>
      </c>
      <c r="I1879">
        <f>INDEX(Operational[Waste (tons)],MATCH(Emission8[[#This Row],[Facility ID]],Operational[Facility ID],0))</f>
        <v>33.53</v>
      </c>
    </row>
    <row r="1880" spans="1:9" x14ac:dyDescent="0.3">
      <c r="A1880" t="s">
        <v>209</v>
      </c>
      <c r="B1880" t="s">
        <v>7</v>
      </c>
      <c r="C1880" t="s">
        <v>13</v>
      </c>
      <c r="D1880" t="s">
        <v>14</v>
      </c>
      <c r="E1880" t="s">
        <v>24</v>
      </c>
      <c r="F1880">
        <v>4743.79</v>
      </c>
      <c r="G1880">
        <f>INDEX(Operational[Production Volume (units)],MATCH(Emission8[[#This Row],[Facility ID]],Operational[Facility ID],0))</f>
        <v>52357</v>
      </c>
      <c r="H1880">
        <f>INDEX(Operational[Energy Consumption (MWh)],MATCH(Emission8[[#This Row],[Facility ID]],Operational[Facility ID],0))</f>
        <v>5643.16</v>
      </c>
      <c r="I1880">
        <f>INDEX(Operational[Waste (tons)],MATCH(Emission8[[#This Row],[Facility ID]],Operational[Facility ID],0))</f>
        <v>37.130000000000003</v>
      </c>
    </row>
    <row r="1881" spans="1:9" x14ac:dyDescent="0.3">
      <c r="A1881" t="s">
        <v>194</v>
      </c>
      <c r="B1881" t="s">
        <v>17</v>
      </c>
      <c r="C1881" t="s">
        <v>13</v>
      </c>
      <c r="D1881" t="s">
        <v>28</v>
      </c>
      <c r="E1881" t="s">
        <v>10</v>
      </c>
      <c r="F1881">
        <v>2798.51</v>
      </c>
      <c r="G1881">
        <f>INDEX(Operational[Production Volume (units)],MATCH(Emission8[[#This Row],[Facility ID]],Operational[Facility ID],0))</f>
        <v>95165</v>
      </c>
      <c r="H1881">
        <f>INDEX(Operational[Energy Consumption (MWh)],MATCH(Emission8[[#This Row],[Facility ID]],Operational[Facility ID],0))</f>
        <v>8562.76</v>
      </c>
      <c r="I1881">
        <f>INDEX(Operational[Waste (tons)],MATCH(Emission8[[#This Row],[Facility ID]],Operational[Facility ID],0))</f>
        <v>37.54</v>
      </c>
    </row>
    <row r="1882" spans="1:9" x14ac:dyDescent="0.3">
      <c r="A1882" t="s">
        <v>179</v>
      </c>
      <c r="B1882" t="s">
        <v>7</v>
      </c>
      <c r="C1882" t="s">
        <v>8</v>
      </c>
      <c r="D1882" t="s">
        <v>14</v>
      </c>
      <c r="E1882" t="s">
        <v>15</v>
      </c>
      <c r="F1882">
        <v>2111.5100000000002</v>
      </c>
      <c r="G1882">
        <f>INDEX(Operational[Production Volume (units)],MATCH(Emission8[[#This Row],[Facility ID]],Operational[Facility ID],0))</f>
        <v>94393</v>
      </c>
      <c r="H1882">
        <f>INDEX(Operational[Energy Consumption (MWh)],MATCH(Emission8[[#This Row],[Facility ID]],Operational[Facility ID],0))</f>
        <v>6691.7</v>
      </c>
      <c r="I1882">
        <f>INDEX(Operational[Waste (tons)],MATCH(Emission8[[#This Row],[Facility ID]],Operational[Facility ID],0))</f>
        <v>74.790000000000006</v>
      </c>
    </row>
    <row r="1883" spans="1:9" x14ac:dyDescent="0.3">
      <c r="A1883" t="s">
        <v>107</v>
      </c>
      <c r="B1883" t="s">
        <v>30</v>
      </c>
      <c r="C1883" t="s">
        <v>8</v>
      </c>
      <c r="D1883" t="s">
        <v>28</v>
      </c>
      <c r="E1883" t="s">
        <v>15</v>
      </c>
      <c r="F1883">
        <v>440.45</v>
      </c>
      <c r="G1883">
        <f>INDEX(Operational[Production Volume (units)],MATCH(Emission8[[#This Row],[Facility ID]],Operational[Facility ID],0))</f>
        <v>69305</v>
      </c>
      <c r="H1883">
        <f>INDEX(Operational[Energy Consumption (MWh)],MATCH(Emission8[[#This Row],[Facility ID]],Operational[Facility ID],0))</f>
        <v>3203.67</v>
      </c>
      <c r="I1883">
        <f>INDEX(Operational[Waste (tons)],MATCH(Emission8[[#This Row],[Facility ID]],Operational[Facility ID],0))</f>
        <v>83.65</v>
      </c>
    </row>
    <row r="1884" spans="1:9" x14ac:dyDescent="0.3">
      <c r="A1884" t="s">
        <v>75</v>
      </c>
      <c r="B1884" t="s">
        <v>19</v>
      </c>
      <c r="C1884" t="s">
        <v>13</v>
      </c>
      <c r="D1884" t="s">
        <v>14</v>
      </c>
      <c r="E1884" t="s">
        <v>15</v>
      </c>
      <c r="F1884">
        <v>2532.06</v>
      </c>
      <c r="G1884">
        <f>INDEX(Operational[Production Volume (units)],MATCH(Emission8[[#This Row],[Facility ID]],Operational[Facility ID],0))</f>
        <v>54136</v>
      </c>
      <c r="H1884">
        <f>INDEX(Operational[Energy Consumption (MWh)],MATCH(Emission8[[#This Row],[Facility ID]],Operational[Facility ID],0))</f>
        <v>2775.38</v>
      </c>
      <c r="I1884">
        <f>INDEX(Operational[Waste (tons)],MATCH(Emission8[[#This Row],[Facility ID]],Operational[Facility ID],0))</f>
        <v>75.459999999999994</v>
      </c>
    </row>
    <row r="1885" spans="1:9" x14ac:dyDescent="0.3">
      <c r="A1885" t="s">
        <v>133</v>
      </c>
      <c r="B1885" t="s">
        <v>17</v>
      </c>
      <c r="C1885" t="s">
        <v>13</v>
      </c>
      <c r="D1885" t="s">
        <v>9</v>
      </c>
      <c r="E1885" t="s">
        <v>15</v>
      </c>
      <c r="F1885">
        <v>3682.33</v>
      </c>
      <c r="G1885">
        <f>INDEX(Operational[Production Volume (units)],MATCH(Emission8[[#This Row],[Facility ID]],Operational[Facility ID],0))</f>
        <v>48501</v>
      </c>
      <c r="H1885">
        <f>INDEX(Operational[Energy Consumption (MWh)],MATCH(Emission8[[#This Row],[Facility ID]],Operational[Facility ID],0))</f>
        <v>7209.77</v>
      </c>
      <c r="I1885">
        <f>INDEX(Operational[Waste (tons)],MATCH(Emission8[[#This Row],[Facility ID]],Operational[Facility ID],0))</f>
        <v>92.51</v>
      </c>
    </row>
    <row r="1886" spans="1:9" x14ac:dyDescent="0.3">
      <c r="A1886" t="s">
        <v>189</v>
      </c>
      <c r="B1886" t="s">
        <v>19</v>
      </c>
      <c r="C1886" t="s">
        <v>23</v>
      </c>
      <c r="D1886" t="s">
        <v>28</v>
      </c>
      <c r="E1886" t="s">
        <v>15</v>
      </c>
      <c r="F1886">
        <v>1546.78</v>
      </c>
      <c r="G1886">
        <f>INDEX(Operational[Production Volume (units)],MATCH(Emission8[[#This Row],[Facility ID]],Operational[Facility ID],0))</f>
        <v>27681</v>
      </c>
      <c r="H1886">
        <f>INDEX(Operational[Energy Consumption (MWh)],MATCH(Emission8[[#This Row],[Facility ID]],Operational[Facility ID],0))</f>
        <v>928.26</v>
      </c>
      <c r="I1886">
        <f>INDEX(Operational[Waste (tons)],MATCH(Emission8[[#This Row],[Facility ID]],Operational[Facility ID],0))</f>
        <v>44.97</v>
      </c>
    </row>
    <row r="1887" spans="1:9" x14ac:dyDescent="0.3">
      <c r="A1887" t="s">
        <v>125</v>
      </c>
      <c r="B1887" t="s">
        <v>7</v>
      </c>
      <c r="C1887" t="s">
        <v>23</v>
      </c>
      <c r="D1887" t="s">
        <v>28</v>
      </c>
      <c r="E1887" t="s">
        <v>15</v>
      </c>
      <c r="F1887">
        <v>2135.9699999999998</v>
      </c>
      <c r="G1887">
        <f>INDEX(Operational[Production Volume (units)],MATCH(Emission8[[#This Row],[Facility ID]],Operational[Facility ID],0))</f>
        <v>56392</v>
      </c>
      <c r="H1887">
        <f>INDEX(Operational[Energy Consumption (MWh)],MATCH(Emission8[[#This Row],[Facility ID]],Operational[Facility ID],0))</f>
        <v>5703.76</v>
      </c>
      <c r="I1887">
        <f>INDEX(Operational[Waste (tons)],MATCH(Emission8[[#This Row],[Facility ID]],Operational[Facility ID],0))</f>
        <v>23.04</v>
      </c>
    </row>
    <row r="1888" spans="1:9" x14ac:dyDescent="0.3">
      <c r="A1888" t="s">
        <v>180</v>
      </c>
      <c r="B1888" t="s">
        <v>30</v>
      </c>
      <c r="C1888" t="s">
        <v>13</v>
      </c>
      <c r="D1888" t="s">
        <v>28</v>
      </c>
      <c r="E1888" t="s">
        <v>10</v>
      </c>
      <c r="F1888">
        <v>1344</v>
      </c>
      <c r="G1888">
        <f>INDEX(Operational[Production Volume (units)],MATCH(Emission8[[#This Row],[Facility ID]],Operational[Facility ID],0))</f>
        <v>72846</v>
      </c>
      <c r="H1888">
        <f>INDEX(Operational[Energy Consumption (MWh)],MATCH(Emission8[[#This Row],[Facility ID]],Operational[Facility ID],0))</f>
        <v>5169.53</v>
      </c>
      <c r="I1888">
        <f>INDEX(Operational[Waste (tons)],MATCH(Emission8[[#This Row],[Facility ID]],Operational[Facility ID],0))</f>
        <v>76.709999999999994</v>
      </c>
    </row>
    <row r="1889" spans="1:9" x14ac:dyDescent="0.3">
      <c r="A1889" t="s">
        <v>143</v>
      </c>
      <c r="B1889" t="s">
        <v>17</v>
      </c>
      <c r="C1889" t="s">
        <v>23</v>
      </c>
      <c r="D1889" t="s">
        <v>28</v>
      </c>
      <c r="E1889" t="s">
        <v>10</v>
      </c>
      <c r="F1889">
        <v>1009.35</v>
      </c>
      <c r="G1889">
        <f>INDEX(Operational[Production Volume (units)],MATCH(Emission8[[#This Row],[Facility ID]],Operational[Facility ID],0))</f>
        <v>94704</v>
      </c>
      <c r="H1889">
        <f>INDEX(Operational[Energy Consumption (MWh)],MATCH(Emission8[[#This Row],[Facility ID]],Operational[Facility ID],0))</f>
        <v>6632.95</v>
      </c>
      <c r="I1889">
        <f>INDEX(Operational[Waste (tons)],MATCH(Emission8[[#This Row],[Facility ID]],Operational[Facility ID],0))</f>
        <v>14.76</v>
      </c>
    </row>
    <row r="1890" spans="1:9" x14ac:dyDescent="0.3">
      <c r="A1890" t="s">
        <v>38</v>
      </c>
      <c r="B1890" t="s">
        <v>30</v>
      </c>
      <c r="C1890" t="s">
        <v>8</v>
      </c>
      <c r="D1890" t="s">
        <v>28</v>
      </c>
      <c r="E1890" t="s">
        <v>24</v>
      </c>
      <c r="F1890">
        <v>1620.64</v>
      </c>
      <c r="G1890">
        <f>INDEX(Operational[Production Volume (units)],MATCH(Emission8[[#This Row],[Facility ID]],Operational[Facility ID],0))</f>
        <v>57215</v>
      </c>
      <c r="H1890">
        <f>INDEX(Operational[Energy Consumption (MWh)],MATCH(Emission8[[#This Row],[Facility ID]],Operational[Facility ID],0))</f>
        <v>3227.1</v>
      </c>
      <c r="I1890">
        <f>INDEX(Operational[Waste (tons)],MATCH(Emission8[[#This Row],[Facility ID]],Operational[Facility ID],0))</f>
        <v>32.909999999999997</v>
      </c>
    </row>
    <row r="1891" spans="1:9" x14ac:dyDescent="0.3">
      <c r="A1891" t="s">
        <v>85</v>
      </c>
      <c r="B1891" t="s">
        <v>30</v>
      </c>
      <c r="C1891" t="s">
        <v>34</v>
      </c>
      <c r="D1891" t="s">
        <v>14</v>
      </c>
      <c r="E1891" t="s">
        <v>10</v>
      </c>
      <c r="F1891">
        <v>3874.19</v>
      </c>
      <c r="G1891">
        <f>INDEX(Operational[Production Volume (units)],MATCH(Emission8[[#This Row],[Facility ID]],Operational[Facility ID],0))</f>
        <v>45519</v>
      </c>
      <c r="H1891">
        <f>INDEX(Operational[Energy Consumption (MWh)],MATCH(Emission8[[#This Row],[Facility ID]],Operational[Facility ID],0))</f>
        <v>7987.69</v>
      </c>
      <c r="I1891">
        <f>INDEX(Operational[Waste (tons)],MATCH(Emission8[[#This Row],[Facility ID]],Operational[Facility ID],0))</f>
        <v>10.86</v>
      </c>
    </row>
    <row r="1892" spans="1:9" x14ac:dyDescent="0.3">
      <c r="A1892" t="s">
        <v>92</v>
      </c>
      <c r="B1892" t="s">
        <v>30</v>
      </c>
      <c r="C1892" t="s">
        <v>8</v>
      </c>
      <c r="D1892" t="s">
        <v>28</v>
      </c>
      <c r="E1892" t="s">
        <v>15</v>
      </c>
      <c r="F1892">
        <v>3045.93</v>
      </c>
      <c r="G1892">
        <f>INDEX(Operational[Production Volume (units)],MATCH(Emission8[[#This Row],[Facility ID]],Operational[Facility ID],0))</f>
        <v>18726</v>
      </c>
      <c r="H1892">
        <f>INDEX(Operational[Energy Consumption (MWh)],MATCH(Emission8[[#This Row],[Facility ID]],Operational[Facility ID],0))</f>
        <v>5099.54</v>
      </c>
      <c r="I1892">
        <f>INDEX(Operational[Waste (tons)],MATCH(Emission8[[#This Row],[Facility ID]],Operational[Facility ID],0))</f>
        <v>71.05</v>
      </c>
    </row>
    <row r="1893" spans="1:9" x14ac:dyDescent="0.3">
      <c r="A1893" t="s">
        <v>60</v>
      </c>
      <c r="B1893" t="s">
        <v>12</v>
      </c>
      <c r="C1893" t="s">
        <v>8</v>
      </c>
      <c r="D1893" t="s">
        <v>28</v>
      </c>
      <c r="E1893" t="s">
        <v>24</v>
      </c>
      <c r="F1893">
        <v>1476.28</v>
      </c>
      <c r="G1893">
        <f>INDEX(Operational[Production Volume (units)],MATCH(Emission8[[#This Row],[Facility ID]],Operational[Facility ID],0))</f>
        <v>25148</v>
      </c>
      <c r="H1893">
        <f>INDEX(Operational[Energy Consumption (MWh)],MATCH(Emission8[[#This Row],[Facility ID]],Operational[Facility ID],0))</f>
        <v>9604.5499999999993</v>
      </c>
      <c r="I1893">
        <f>INDEX(Operational[Waste (tons)],MATCH(Emission8[[#This Row],[Facility ID]],Operational[Facility ID],0))</f>
        <v>63.47</v>
      </c>
    </row>
    <row r="1894" spans="1:9" x14ac:dyDescent="0.3">
      <c r="A1894" t="s">
        <v>117</v>
      </c>
      <c r="B1894" t="s">
        <v>7</v>
      </c>
      <c r="C1894" t="s">
        <v>23</v>
      </c>
      <c r="D1894" t="s">
        <v>9</v>
      </c>
      <c r="E1894" t="s">
        <v>15</v>
      </c>
      <c r="F1894">
        <v>3862.25</v>
      </c>
      <c r="G1894">
        <f>INDEX(Operational[Production Volume (units)],MATCH(Emission8[[#This Row],[Facility ID]],Operational[Facility ID],0))</f>
        <v>89321</v>
      </c>
      <c r="H1894">
        <f>INDEX(Operational[Energy Consumption (MWh)],MATCH(Emission8[[#This Row],[Facility ID]],Operational[Facility ID],0))</f>
        <v>9836.34</v>
      </c>
      <c r="I1894">
        <f>INDEX(Operational[Waste (tons)],MATCH(Emission8[[#This Row],[Facility ID]],Operational[Facility ID],0))</f>
        <v>16.989999999999998</v>
      </c>
    </row>
    <row r="1895" spans="1:9" x14ac:dyDescent="0.3">
      <c r="A1895" t="s">
        <v>133</v>
      </c>
      <c r="B1895" t="s">
        <v>17</v>
      </c>
      <c r="C1895" t="s">
        <v>13</v>
      </c>
      <c r="D1895" t="s">
        <v>14</v>
      </c>
      <c r="E1895" t="s">
        <v>24</v>
      </c>
      <c r="F1895">
        <v>2517.98</v>
      </c>
      <c r="G1895">
        <f>INDEX(Operational[Production Volume (units)],MATCH(Emission8[[#This Row],[Facility ID]],Operational[Facility ID],0))</f>
        <v>48501</v>
      </c>
      <c r="H1895">
        <f>INDEX(Operational[Energy Consumption (MWh)],MATCH(Emission8[[#This Row],[Facility ID]],Operational[Facility ID],0))</f>
        <v>7209.77</v>
      </c>
      <c r="I1895">
        <f>INDEX(Operational[Waste (tons)],MATCH(Emission8[[#This Row],[Facility ID]],Operational[Facility ID],0))</f>
        <v>92.51</v>
      </c>
    </row>
    <row r="1896" spans="1:9" x14ac:dyDescent="0.3">
      <c r="A1896" t="s">
        <v>158</v>
      </c>
      <c r="B1896" t="s">
        <v>30</v>
      </c>
      <c r="C1896" t="s">
        <v>23</v>
      </c>
      <c r="D1896" t="s">
        <v>14</v>
      </c>
      <c r="E1896" t="s">
        <v>10</v>
      </c>
      <c r="F1896">
        <v>3737.89</v>
      </c>
      <c r="G1896">
        <f>INDEX(Operational[Production Volume (units)],MATCH(Emission8[[#This Row],[Facility ID]],Operational[Facility ID],0))</f>
        <v>85488</v>
      </c>
      <c r="H1896">
        <f>INDEX(Operational[Energy Consumption (MWh)],MATCH(Emission8[[#This Row],[Facility ID]],Operational[Facility ID],0))</f>
        <v>9691.57</v>
      </c>
      <c r="I1896">
        <f>INDEX(Operational[Waste (tons)],MATCH(Emission8[[#This Row],[Facility ID]],Operational[Facility ID],0))</f>
        <v>96.98</v>
      </c>
    </row>
    <row r="1897" spans="1:9" x14ac:dyDescent="0.3">
      <c r="A1897" t="s">
        <v>141</v>
      </c>
      <c r="B1897" t="s">
        <v>7</v>
      </c>
      <c r="C1897" t="s">
        <v>13</v>
      </c>
      <c r="D1897" t="s">
        <v>14</v>
      </c>
      <c r="E1897" t="s">
        <v>10</v>
      </c>
      <c r="F1897">
        <v>1111.82</v>
      </c>
      <c r="G1897">
        <f>INDEX(Operational[Production Volume (units)],MATCH(Emission8[[#This Row],[Facility ID]],Operational[Facility ID],0))</f>
        <v>45644</v>
      </c>
      <c r="H1897">
        <f>INDEX(Operational[Energy Consumption (MWh)],MATCH(Emission8[[#This Row],[Facility ID]],Operational[Facility ID],0))</f>
        <v>7724.73</v>
      </c>
      <c r="I1897">
        <f>INDEX(Operational[Waste (tons)],MATCH(Emission8[[#This Row],[Facility ID]],Operational[Facility ID],0))</f>
        <v>31</v>
      </c>
    </row>
    <row r="1898" spans="1:9" x14ac:dyDescent="0.3">
      <c r="A1898" t="s">
        <v>103</v>
      </c>
      <c r="B1898" t="s">
        <v>19</v>
      </c>
      <c r="C1898" t="s">
        <v>23</v>
      </c>
      <c r="D1898" t="s">
        <v>14</v>
      </c>
      <c r="E1898" t="s">
        <v>24</v>
      </c>
      <c r="F1898">
        <v>4547.9799999999996</v>
      </c>
      <c r="G1898">
        <f>INDEX(Operational[Production Volume (units)],MATCH(Emission8[[#This Row],[Facility ID]],Operational[Facility ID],0))</f>
        <v>38869</v>
      </c>
      <c r="H1898">
        <f>INDEX(Operational[Energy Consumption (MWh)],MATCH(Emission8[[#This Row],[Facility ID]],Operational[Facility ID],0))</f>
        <v>5109.76</v>
      </c>
      <c r="I1898">
        <f>INDEX(Operational[Waste (tons)],MATCH(Emission8[[#This Row],[Facility ID]],Operational[Facility ID],0))</f>
        <v>35.270000000000003</v>
      </c>
    </row>
    <row r="1899" spans="1:9" x14ac:dyDescent="0.3">
      <c r="A1899" t="s">
        <v>216</v>
      </c>
      <c r="B1899" t="s">
        <v>17</v>
      </c>
      <c r="C1899" t="s">
        <v>13</v>
      </c>
      <c r="D1899" t="s">
        <v>9</v>
      </c>
      <c r="E1899" t="s">
        <v>24</v>
      </c>
      <c r="F1899">
        <v>5035.87</v>
      </c>
      <c r="G1899">
        <f>INDEX(Operational[Production Volume (units)],MATCH(Emission8[[#This Row],[Facility ID]],Operational[Facility ID],0))</f>
        <v>13302</v>
      </c>
      <c r="H1899">
        <f>INDEX(Operational[Energy Consumption (MWh)],MATCH(Emission8[[#This Row],[Facility ID]],Operational[Facility ID],0))</f>
        <v>821.51</v>
      </c>
      <c r="I1899">
        <f>INDEX(Operational[Waste (tons)],MATCH(Emission8[[#This Row],[Facility ID]],Operational[Facility ID],0))</f>
        <v>69.599999999999994</v>
      </c>
    </row>
    <row r="1900" spans="1:9" x14ac:dyDescent="0.3">
      <c r="A1900" t="s">
        <v>106</v>
      </c>
      <c r="B1900" t="s">
        <v>12</v>
      </c>
      <c r="C1900" t="s">
        <v>8</v>
      </c>
      <c r="D1900" t="s">
        <v>14</v>
      </c>
      <c r="E1900" t="s">
        <v>15</v>
      </c>
      <c r="F1900">
        <v>666.62</v>
      </c>
      <c r="G1900">
        <f>INDEX(Operational[Production Volume (units)],MATCH(Emission8[[#This Row],[Facility ID]],Operational[Facility ID],0))</f>
        <v>21386</v>
      </c>
      <c r="H1900">
        <f>INDEX(Operational[Energy Consumption (MWh)],MATCH(Emission8[[#This Row],[Facility ID]],Operational[Facility ID],0))</f>
        <v>2271.92</v>
      </c>
      <c r="I1900">
        <f>INDEX(Operational[Waste (tons)],MATCH(Emission8[[#This Row],[Facility ID]],Operational[Facility ID],0))</f>
        <v>49.67</v>
      </c>
    </row>
    <row r="1901" spans="1:9" x14ac:dyDescent="0.3">
      <c r="A1901" t="s">
        <v>104</v>
      </c>
      <c r="B1901" t="s">
        <v>17</v>
      </c>
      <c r="C1901" t="s">
        <v>8</v>
      </c>
      <c r="D1901" t="s">
        <v>28</v>
      </c>
      <c r="E1901" t="s">
        <v>24</v>
      </c>
      <c r="F1901">
        <v>4848.67</v>
      </c>
      <c r="G1901">
        <f>INDEX(Operational[Production Volume (units)],MATCH(Emission8[[#This Row],[Facility ID]],Operational[Facility ID],0))</f>
        <v>16868</v>
      </c>
      <c r="H1901">
        <f>INDEX(Operational[Energy Consumption (MWh)],MATCH(Emission8[[#This Row],[Facility ID]],Operational[Facility ID],0))</f>
        <v>1378.01</v>
      </c>
      <c r="I1901">
        <f>INDEX(Operational[Waste (tons)],MATCH(Emission8[[#This Row],[Facility ID]],Operational[Facility ID],0))</f>
        <v>47.52</v>
      </c>
    </row>
    <row r="1902" spans="1:9" x14ac:dyDescent="0.3">
      <c r="A1902" t="s">
        <v>181</v>
      </c>
      <c r="B1902" t="s">
        <v>30</v>
      </c>
      <c r="C1902" t="s">
        <v>13</v>
      </c>
      <c r="D1902" t="s">
        <v>28</v>
      </c>
      <c r="E1902" t="s">
        <v>24</v>
      </c>
      <c r="F1902">
        <v>965.26</v>
      </c>
      <c r="G1902">
        <f>INDEX(Operational[Production Volume (units)],MATCH(Emission8[[#This Row],[Facility ID]],Operational[Facility ID],0))</f>
        <v>28704</v>
      </c>
      <c r="H1902">
        <f>INDEX(Operational[Energy Consumption (MWh)],MATCH(Emission8[[#This Row],[Facility ID]],Operational[Facility ID],0))</f>
        <v>6009.24</v>
      </c>
      <c r="I1902">
        <f>INDEX(Operational[Waste (tons)],MATCH(Emission8[[#This Row],[Facility ID]],Operational[Facility ID],0))</f>
        <v>39.31</v>
      </c>
    </row>
    <row r="1903" spans="1:9" x14ac:dyDescent="0.3">
      <c r="A1903" t="s">
        <v>102</v>
      </c>
      <c r="B1903" t="s">
        <v>19</v>
      </c>
      <c r="C1903" t="s">
        <v>34</v>
      </c>
      <c r="D1903" t="s">
        <v>9</v>
      </c>
      <c r="E1903" t="s">
        <v>24</v>
      </c>
      <c r="F1903">
        <v>3352.88</v>
      </c>
      <c r="G1903">
        <f>INDEX(Operational[Production Volume (units)],MATCH(Emission8[[#This Row],[Facility ID]],Operational[Facility ID],0))</f>
        <v>86263</v>
      </c>
      <c r="H1903">
        <f>INDEX(Operational[Energy Consumption (MWh)],MATCH(Emission8[[#This Row],[Facility ID]],Operational[Facility ID],0))</f>
        <v>3213.71</v>
      </c>
      <c r="I1903">
        <f>INDEX(Operational[Waste (tons)],MATCH(Emission8[[#This Row],[Facility ID]],Operational[Facility ID],0))</f>
        <v>98.39</v>
      </c>
    </row>
    <row r="1904" spans="1:9" x14ac:dyDescent="0.3">
      <c r="A1904" t="s">
        <v>220</v>
      </c>
      <c r="B1904" t="s">
        <v>12</v>
      </c>
      <c r="C1904" t="s">
        <v>23</v>
      </c>
      <c r="D1904" t="s">
        <v>9</v>
      </c>
      <c r="E1904" t="s">
        <v>24</v>
      </c>
      <c r="F1904">
        <v>3960.69</v>
      </c>
      <c r="G1904">
        <f>INDEX(Operational[Production Volume (units)],MATCH(Emission8[[#This Row],[Facility ID]],Operational[Facility ID],0))</f>
        <v>97040</v>
      </c>
      <c r="H1904">
        <f>INDEX(Operational[Energy Consumption (MWh)],MATCH(Emission8[[#This Row],[Facility ID]],Operational[Facility ID],0))</f>
        <v>5727.14</v>
      </c>
      <c r="I1904">
        <f>INDEX(Operational[Waste (tons)],MATCH(Emission8[[#This Row],[Facility ID]],Operational[Facility ID],0))</f>
        <v>38.19</v>
      </c>
    </row>
    <row r="1905" spans="1:9" x14ac:dyDescent="0.3">
      <c r="A1905" t="s">
        <v>185</v>
      </c>
      <c r="B1905" t="s">
        <v>30</v>
      </c>
      <c r="C1905" t="s">
        <v>8</v>
      </c>
      <c r="D1905" t="s">
        <v>28</v>
      </c>
      <c r="E1905" t="s">
        <v>24</v>
      </c>
      <c r="F1905">
        <v>4162.58</v>
      </c>
      <c r="G1905">
        <f>INDEX(Operational[Production Volume (units)],MATCH(Emission8[[#This Row],[Facility ID]],Operational[Facility ID],0))</f>
        <v>24913</v>
      </c>
      <c r="H1905">
        <f>INDEX(Operational[Energy Consumption (MWh)],MATCH(Emission8[[#This Row],[Facility ID]],Operational[Facility ID],0))</f>
        <v>5727.27</v>
      </c>
      <c r="I1905">
        <f>INDEX(Operational[Waste (tons)],MATCH(Emission8[[#This Row],[Facility ID]],Operational[Facility ID],0))</f>
        <v>78.849999999999994</v>
      </c>
    </row>
    <row r="1906" spans="1:9" x14ac:dyDescent="0.3">
      <c r="A1906" t="s">
        <v>132</v>
      </c>
      <c r="B1906" t="s">
        <v>19</v>
      </c>
      <c r="C1906" t="s">
        <v>13</v>
      </c>
      <c r="D1906" t="s">
        <v>28</v>
      </c>
      <c r="E1906" t="s">
        <v>24</v>
      </c>
      <c r="F1906">
        <v>3555.25</v>
      </c>
      <c r="G1906">
        <f>INDEX(Operational[Production Volume (units)],MATCH(Emission8[[#This Row],[Facility ID]],Operational[Facility ID],0))</f>
        <v>29860</v>
      </c>
      <c r="H1906">
        <f>INDEX(Operational[Energy Consumption (MWh)],MATCH(Emission8[[#This Row],[Facility ID]],Operational[Facility ID],0))</f>
        <v>3956.23</v>
      </c>
      <c r="I1906">
        <f>INDEX(Operational[Waste (tons)],MATCH(Emission8[[#This Row],[Facility ID]],Operational[Facility ID],0))</f>
        <v>57.5</v>
      </c>
    </row>
    <row r="1907" spans="1:9" x14ac:dyDescent="0.3">
      <c r="A1907" t="s">
        <v>55</v>
      </c>
      <c r="B1907" t="s">
        <v>12</v>
      </c>
      <c r="C1907" t="s">
        <v>34</v>
      </c>
      <c r="D1907" t="s">
        <v>9</v>
      </c>
      <c r="E1907" t="s">
        <v>24</v>
      </c>
      <c r="F1907">
        <v>4585.8900000000003</v>
      </c>
      <c r="G1907">
        <f>INDEX(Operational[Production Volume (units)],MATCH(Emission8[[#This Row],[Facility ID]],Operational[Facility ID],0))</f>
        <v>38181</v>
      </c>
      <c r="H1907">
        <f>INDEX(Operational[Energy Consumption (MWh)],MATCH(Emission8[[#This Row],[Facility ID]],Operational[Facility ID],0))</f>
        <v>691.84</v>
      </c>
      <c r="I1907">
        <f>INDEX(Operational[Waste (tons)],MATCH(Emission8[[#This Row],[Facility ID]],Operational[Facility ID],0))</f>
        <v>33.53</v>
      </c>
    </row>
    <row r="1908" spans="1:9" x14ac:dyDescent="0.3">
      <c r="A1908" t="s">
        <v>116</v>
      </c>
      <c r="B1908" t="s">
        <v>17</v>
      </c>
      <c r="C1908" t="s">
        <v>8</v>
      </c>
      <c r="D1908" t="s">
        <v>9</v>
      </c>
      <c r="E1908" t="s">
        <v>24</v>
      </c>
      <c r="F1908">
        <v>875.53</v>
      </c>
      <c r="G1908">
        <f>INDEX(Operational[Production Volume (units)],MATCH(Emission8[[#This Row],[Facility ID]],Operational[Facility ID],0))</f>
        <v>68216</v>
      </c>
      <c r="H1908">
        <f>INDEX(Operational[Energy Consumption (MWh)],MATCH(Emission8[[#This Row],[Facility ID]],Operational[Facility ID],0))</f>
        <v>9562.33</v>
      </c>
      <c r="I1908">
        <f>INDEX(Operational[Waste (tons)],MATCH(Emission8[[#This Row],[Facility ID]],Operational[Facility ID],0))</f>
        <v>63.59</v>
      </c>
    </row>
    <row r="1909" spans="1:9" x14ac:dyDescent="0.3">
      <c r="A1909" t="s">
        <v>198</v>
      </c>
      <c r="B1909" t="s">
        <v>12</v>
      </c>
      <c r="C1909" t="s">
        <v>8</v>
      </c>
      <c r="D1909" t="s">
        <v>9</v>
      </c>
      <c r="E1909" t="s">
        <v>24</v>
      </c>
      <c r="F1909">
        <v>3686.68</v>
      </c>
      <c r="G1909">
        <f>INDEX(Operational[Production Volume (units)],MATCH(Emission8[[#This Row],[Facility ID]],Operational[Facility ID],0))</f>
        <v>58113</v>
      </c>
      <c r="H1909">
        <f>INDEX(Operational[Energy Consumption (MWh)],MATCH(Emission8[[#This Row],[Facility ID]],Operational[Facility ID],0))</f>
        <v>6382.12</v>
      </c>
      <c r="I1909">
        <f>INDEX(Operational[Waste (tons)],MATCH(Emission8[[#This Row],[Facility ID]],Operational[Facility ID],0))</f>
        <v>56.66</v>
      </c>
    </row>
    <row r="1910" spans="1:9" x14ac:dyDescent="0.3">
      <c r="A1910" t="s">
        <v>173</v>
      </c>
      <c r="B1910" t="s">
        <v>30</v>
      </c>
      <c r="C1910" t="s">
        <v>8</v>
      </c>
      <c r="D1910" t="s">
        <v>14</v>
      </c>
      <c r="E1910" t="s">
        <v>24</v>
      </c>
      <c r="F1910">
        <v>2899.46</v>
      </c>
      <c r="G1910">
        <f>INDEX(Operational[Production Volume (units)],MATCH(Emission8[[#This Row],[Facility ID]],Operational[Facility ID],0))</f>
        <v>49620</v>
      </c>
      <c r="H1910">
        <f>INDEX(Operational[Energy Consumption (MWh)],MATCH(Emission8[[#This Row],[Facility ID]],Operational[Facility ID],0))</f>
        <v>2424.31</v>
      </c>
      <c r="I1910">
        <f>INDEX(Operational[Waste (tons)],MATCH(Emission8[[#This Row],[Facility ID]],Operational[Facility ID],0))</f>
        <v>62.09</v>
      </c>
    </row>
    <row r="1911" spans="1:9" x14ac:dyDescent="0.3">
      <c r="A1911" t="s">
        <v>29</v>
      </c>
      <c r="B1911" t="s">
        <v>30</v>
      </c>
      <c r="C1911" t="s">
        <v>23</v>
      </c>
      <c r="D1911" t="s">
        <v>28</v>
      </c>
      <c r="E1911" t="s">
        <v>15</v>
      </c>
      <c r="F1911">
        <v>429.01</v>
      </c>
      <c r="G1911">
        <f>INDEX(Operational[Production Volume (units)],MATCH(Emission8[[#This Row],[Facility ID]],Operational[Facility ID],0))</f>
        <v>32131</v>
      </c>
      <c r="H1911">
        <f>INDEX(Operational[Energy Consumption (MWh)],MATCH(Emission8[[#This Row],[Facility ID]],Operational[Facility ID],0))</f>
        <v>1474.23</v>
      </c>
      <c r="I1911">
        <f>INDEX(Operational[Waste (tons)],MATCH(Emission8[[#This Row],[Facility ID]],Operational[Facility ID],0))</f>
        <v>45.47</v>
      </c>
    </row>
    <row r="1912" spans="1:9" x14ac:dyDescent="0.3">
      <c r="A1912" t="s">
        <v>116</v>
      </c>
      <c r="B1912" t="s">
        <v>17</v>
      </c>
      <c r="C1912" t="s">
        <v>13</v>
      </c>
      <c r="D1912" t="s">
        <v>9</v>
      </c>
      <c r="E1912" t="s">
        <v>10</v>
      </c>
      <c r="F1912">
        <v>1770.19</v>
      </c>
      <c r="G1912">
        <f>INDEX(Operational[Production Volume (units)],MATCH(Emission8[[#This Row],[Facility ID]],Operational[Facility ID],0))</f>
        <v>68216</v>
      </c>
      <c r="H1912">
        <f>INDEX(Operational[Energy Consumption (MWh)],MATCH(Emission8[[#This Row],[Facility ID]],Operational[Facility ID],0))</f>
        <v>9562.33</v>
      </c>
      <c r="I1912">
        <f>INDEX(Operational[Waste (tons)],MATCH(Emission8[[#This Row],[Facility ID]],Operational[Facility ID],0))</f>
        <v>63.59</v>
      </c>
    </row>
    <row r="1913" spans="1:9" x14ac:dyDescent="0.3">
      <c r="A1913" t="s">
        <v>71</v>
      </c>
      <c r="B1913" t="s">
        <v>7</v>
      </c>
      <c r="C1913" t="s">
        <v>23</v>
      </c>
      <c r="D1913" t="s">
        <v>28</v>
      </c>
      <c r="E1913" t="s">
        <v>15</v>
      </c>
      <c r="F1913">
        <v>2143.0300000000002</v>
      </c>
      <c r="G1913">
        <f>INDEX(Operational[Production Volume (units)],MATCH(Emission8[[#This Row],[Facility ID]],Operational[Facility ID],0))</f>
        <v>68018</v>
      </c>
      <c r="H1913">
        <f>INDEX(Operational[Energy Consumption (MWh)],MATCH(Emission8[[#This Row],[Facility ID]],Operational[Facility ID],0))</f>
        <v>3523.4</v>
      </c>
      <c r="I1913">
        <f>INDEX(Operational[Waste (tons)],MATCH(Emission8[[#This Row],[Facility ID]],Operational[Facility ID],0))</f>
        <v>92.26</v>
      </c>
    </row>
    <row r="1914" spans="1:9" x14ac:dyDescent="0.3">
      <c r="A1914" t="s">
        <v>40</v>
      </c>
      <c r="B1914" t="s">
        <v>19</v>
      </c>
      <c r="C1914" t="s">
        <v>8</v>
      </c>
      <c r="D1914" t="s">
        <v>14</v>
      </c>
      <c r="E1914" t="s">
        <v>15</v>
      </c>
      <c r="F1914">
        <v>81.83</v>
      </c>
      <c r="G1914">
        <f>INDEX(Operational[Production Volume (units)],MATCH(Emission8[[#This Row],[Facility ID]],Operational[Facility ID],0))</f>
        <v>96474</v>
      </c>
      <c r="H1914">
        <f>INDEX(Operational[Energy Consumption (MWh)],MATCH(Emission8[[#This Row],[Facility ID]],Operational[Facility ID],0))</f>
        <v>7574.39</v>
      </c>
      <c r="I1914">
        <f>INDEX(Operational[Waste (tons)],MATCH(Emission8[[#This Row],[Facility ID]],Operational[Facility ID],0))</f>
        <v>95.54</v>
      </c>
    </row>
    <row r="1915" spans="1:9" x14ac:dyDescent="0.3">
      <c r="A1915" t="s">
        <v>133</v>
      </c>
      <c r="B1915" t="s">
        <v>17</v>
      </c>
      <c r="C1915" t="s">
        <v>23</v>
      </c>
      <c r="D1915" t="s">
        <v>9</v>
      </c>
      <c r="E1915" t="s">
        <v>24</v>
      </c>
      <c r="F1915">
        <v>2577.6</v>
      </c>
      <c r="G1915">
        <f>INDEX(Operational[Production Volume (units)],MATCH(Emission8[[#This Row],[Facility ID]],Operational[Facility ID],0))</f>
        <v>48501</v>
      </c>
      <c r="H1915">
        <f>INDEX(Operational[Energy Consumption (MWh)],MATCH(Emission8[[#This Row],[Facility ID]],Operational[Facility ID],0))</f>
        <v>7209.77</v>
      </c>
      <c r="I1915">
        <f>INDEX(Operational[Waste (tons)],MATCH(Emission8[[#This Row],[Facility ID]],Operational[Facility ID],0))</f>
        <v>92.51</v>
      </c>
    </row>
    <row r="1916" spans="1:9" x14ac:dyDescent="0.3">
      <c r="A1916" t="s">
        <v>60</v>
      </c>
      <c r="B1916" t="s">
        <v>12</v>
      </c>
      <c r="C1916" t="s">
        <v>8</v>
      </c>
      <c r="D1916" t="s">
        <v>9</v>
      </c>
      <c r="E1916" t="s">
        <v>15</v>
      </c>
      <c r="F1916">
        <v>5027.8599999999997</v>
      </c>
      <c r="G1916">
        <f>INDEX(Operational[Production Volume (units)],MATCH(Emission8[[#This Row],[Facility ID]],Operational[Facility ID],0))</f>
        <v>25148</v>
      </c>
      <c r="H1916">
        <f>INDEX(Operational[Energy Consumption (MWh)],MATCH(Emission8[[#This Row],[Facility ID]],Operational[Facility ID],0))</f>
        <v>9604.5499999999993</v>
      </c>
      <c r="I1916">
        <f>INDEX(Operational[Waste (tons)],MATCH(Emission8[[#This Row],[Facility ID]],Operational[Facility ID],0))</f>
        <v>63.47</v>
      </c>
    </row>
    <row r="1917" spans="1:9" x14ac:dyDescent="0.3">
      <c r="A1917" t="s">
        <v>124</v>
      </c>
      <c r="B1917" t="s">
        <v>12</v>
      </c>
      <c r="C1917" t="s">
        <v>23</v>
      </c>
      <c r="D1917" t="s">
        <v>28</v>
      </c>
      <c r="E1917" t="s">
        <v>15</v>
      </c>
      <c r="F1917">
        <v>3269.61</v>
      </c>
      <c r="G1917">
        <f>INDEX(Operational[Production Volume (units)],MATCH(Emission8[[#This Row],[Facility ID]],Operational[Facility ID],0))</f>
        <v>47491</v>
      </c>
      <c r="H1917">
        <f>INDEX(Operational[Energy Consumption (MWh)],MATCH(Emission8[[#This Row],[Facility ID]],Operational[Facility ID],0))</f>
        <v>5781.05</v>
      </c>
      <c r="I1917">
        <f>INDEX(Operational[Waste (tons)],MATCH(Emission8[[#This Row],[Facility ID]],Operational[Facility ID],0))</f>
        <v>92.18</v>
      </c>
    </row>
    <row r="1918" spans="1:9" x14ac:dyDescent="0.3">
      <c r="A1918" t="s">
        <v>198</v>
      </c>
      <c r="B1918" t="s">
        <v>12</v>
      </c>
      <c r="C1918" t="s">
        <v>13</v>
      </c>
      <c r="D1918" t="s">
        <v>9</v>
      </c>
      <c r="E1918" t="s">
        <v>10</v>
      </c>
      <c r="F1918">
        <v>3769.66</v>
      </c>
      <c r="G1918">
        <f>INDEX(Operational[Production Volume (units)],MATCH(Emission8[[#This Row],[Facility ID]],Operational[Facility ID],0))</f>
        <v>58113</v>
      </c>
      <c r="H1918">
        <f>INDEX(Operational[Energy Consumption (MWh)],MATCH(Emission8[[#This Row],[Facility ID]],Operational[Facility ID],0))</f>
        <v>6382.12</v>
      </c>
      <c r="I1918">
        <f>INDEX(Operational[Waste (tons)],MATCH(Emission8[[#This Row],[Facility ID]],Operational[Facility ID],0))</f>
        <v>56.66</v>
      </c>
    </row>
    <row r="1919" spans="1:9" x14ac:dyDescent="0.3">
      <c r="A1919" t="s">
        <v>180</v>
      </c>
      <c r="B1919" t="s">
        <v>30</v>
      </c>
      <c r="C1919" t="s">
        <v>23</v>
      </c>
      <c r="D1919" t="s">
        <v>14</v>
      </c>
      <c r="E1919" t="s">
        <v>10</v>
      </c>
      <c r="F1919">
        <v>3970.3</v>
      </c>
      <c r="G1919">
        <f>INDEX(Operational[Production Volume (units)],MATCH(Emission8[[#This Row],[Facility ID]],Operational[Facility ID],0))</f>
        <v>72846</v>
      </c>
      <c r="H1919">
        <f>INDEX(Operational[Energy Consumption (MWh)],MATCH(Emission8[[#This Row],[Facility ID]],Operational[Facility ID],0))</f>
        <v>5169.53</v>
      </c>
      <c r="I1919">
        <f>INDEX(Operational[Waste (tons)],MATCH(Emission8[[#This Row],[Facility ID]],Operational[Facility ID],0))</f>
        <v>76.709999999999994</v>
      </c>
    </row>
    <row r="1920" spans="1:9" x14ac:dyDescent="0.3">
      <c r="A1920" t="s">
        <v>131</v>
      </c>
      <c r="B1920" t="s">
        <v>17</v>
      </c>
      <c r="C1920" t="s">
        <v>23</v>
      </c>
      <c r="D1920" t="s">
        <v>14</v>
      </c>
      <c r="E1920" t="s">
        <v>10</v>
      </c>
      <c r="F1920">
        <v>2665.16</v>
      </c>
      <c r="G1920">
        <f>INDEX(Operational[Production Volume (units)],MATCH(Emission8[[#This Row],[Facility ID]],Operational[Facility ID],0))</f>
        <v>94128</v>
      </c>
      <c r="H1920">
        <f>INDEX(Operational[Energy Consumption (MWh)],MATCH(Emission8[[#This Row],[Facility ID]],Operational[Facility ID],0))</f>
        <v>8117.82</v>
      </c>
      <c r="I1920">
        <f>INDEX(Operational[Waste (tons)],MATCH(Emission8[[#This Row],[Facility ID]],Operational[Facility ID],0))</f>
        <v>73.83</v>
      </c>
    </row>
    <row r="1921" spans="1:9" x14ac:dyDescent="0.3">
      <c r="A1921" t="s">
        <v>182</v>
      </c>
      <c r="B1921" t="s">
        <v>12</v>
      </c>
      <c r="C1921" t="s">
        <v>23</v>
      </c>
      <c r="D1921" t="s">
        <v>14</v>
      </c>
      <c r="E1921" t="s">
        <v>24</v>
      </c>
      <c r="F1921">
        <v>374.88</v>
      </c>
      <c r="G1921">
        <f>INDEX(Operational[Production Volume (units)],MATCH(Emission8[[#This Row],[Facility ID]],Operational[Facility ID],0))</f>
        <v>21081</v>
      </c>
      <c r="H1921">
        <f>INDEX(Operational[Energy Consumption (MWh)],MATCH(Emission8[[#This Row],[Facility ID]],Operational[Facility ID],0))</f>
        <v>9001.77</v>
      </c>
      <c r="I1921">
        <f>INDEX(Operational[Waste (tons)],MATCH(Emission8[[#This Row],[Facility ID]],Operational[Facility ID],0))</f>
        <v>49.27</v>
      </c>
    </row>
    <row r="1922" spans="1:9" x14ac:dyDescent="0.3">
      <c r="A1922" t="s">
        <v>214</v>
      </c>
      <c r="B1922" t="s">
        <v>30</v>
      </c>
      <c r="C1922" t="s">
        <v>13</v>
      </c>
      <c r="D1922" t="s">
        <v>9</v>
      </c>
      <c r="E1922" t="s">
        <v>10</v>
      </c>
      <c r="F1922">
        <v>1106.08</v>
      </c>
      <c r="G1922">
        <f>INDEX(Operational[Production Volume (units)],MATCH(Emission8[[#This Row],[Facility ID]],Operational[Facility ID],0))</f>
        <v>79330</v>
      </c>
      <c r="H1922">
        <f>INDEX(Operational[Energy Consumption (MWh)],MATCH(Emission8[[#This Row],[Facility ID]],Operational[Facility ID],0))</f>
        <v>6075.23</v>
      </c>
      <c r="I1922">
        <f>INDEX(Operational[Waste (tons)],MATCH(Emission8[[#This Row],[Facility ID]],Operational[Facility ID],0))</f>
        <v>83.97</v>
      </c>
    </row>
    <row r="1923" spans="1:9" x14ac:dyDescent="0.3">
      <c r="A1923" t="s">
        <v>207</v>
      </c>
      <c r="B1923" t="s">
        <v>17</v>
      </c>
      <c r="C1923" t="s">
        <v>8</v>
      </c>
      <c r="D1923" t="s">
        <v>9</v>
      </c>
      <c r="E1923" t="s">
        <v>15</v>
      </c>
      <c r="F1923">
        <v>2876.48</v>
      </c>
      <c r="G1923">
        <f>INDEX(Operational[Production Volume (units)],MATCH(Emission8[[#This Row],[Facility ID]],Operational[Facility ID],0))</f>
        <v>99115</v>
      </c>
      <c r="H1923">
        <f>INDEX(Operational[Energy Consumption (MWh)],MATCH(Emission8[[#This Row],[Facility ID]],Operational[Facility ID],0))</f>
        <v>827.26</v>
      </c>
      <c r="I1923">
        <f>INDEX(Operational[Waste (tons)],MATCH(Emission8[[#This Row],[Facility ID]],Operational[Facility ID],0))</f>
        <v>28.88</v>
      </c>
    </row>
    <row r="1924" spans="1:9" x14ac:dyDescent="0.3">
      <c r="A1924" t="s">
        <v>67</v>
      </c>
      <c r="B1924" t="s">
        <v>7</v>
      </c>
      <c r="C1924" t="s">
        <v>34</v>
      </c>
      <c r="D1924" t="s">
        <v>14</v>
      </c>
      <c r="E1924" t="s">
        <v>24</v>
      </c>
      <c r="F1924">
        <v>4394.3599999999997</v>
      </c>
      <c r="G1924">
        <f>INDEX(Operational[Production Volume (units)],MATCH(Emission8[[#This Row],[Facility ID]],Operational[Facility ID],0))</f>
        <v>70582</v>
      </c>
      <c r="H1924">
        <f>INDEX(Operational[Energy Consumption (MWh)],MATCH(Emission8[[#This Row],[Facility ID]],Operational[Facility ID],0))</f>
        <v>7517.59</v>
      </c>
      <c r="I1924">
        <f>INDEX(Operational[Waste (tons)],MATCH(Emission8[[#This Row],[Facility ID]],Operational[Facility ID],0))</f>
        <v>95.71</v>
      </c>
    </row>
    <row r="1925" spans="1:9" x14ac:dyDescent="0.3">
      <c r="A1925" t="s">
        <v>191</v>
      </c>
      <c r="B1925" t="s">
        <v>12</v>
      </c>
      <c r="C1925" t="s">
        <v>34</v>
      </c>
      <c r="D1925" t="s">
        <v>28</v>
      </c>
      <c r="E1925" t="s">
        <v>10</v>
      </c>
      <c r="F1925">
        <v>3682.56</v>
      </c>
      <c r="G1925">
        <f>INDEX(Operational[Production Volume (units)],MATCH(Emission8[[#This Row],[Facility ID]],Operational[Facility ID],0))</f>
        <v>43346</v>
      </c>
      <c r="H1925">
        <f>INDEX(Operational[Energy Consumption (MWh)],MATCH(Emission8[[#This Row],[Facility ID]],Operational[Facility ID],0))</f>
        <v>5559.12</v>
      </c>
      <c r="I1925">
        <f>INDEX(Operational[Waste (tons)],MATCH(Emission8[[#This Row],[Facility ID]],Operational[Facility ID],0))</f>
        <v>39.4</v>
      </c>
    </row>
    <row r="1926" spans="1:9" x14ac:dyDescent="0.3">
      <c r="A1926" t="s">
        <v>179</v>
      </c>
      <c r="B1926" t="s">
        <v>7</v>
      </c>
      <c r="C1926" t="s">
        <v>23</v>
      </c>
      <c r="D1926" t="s">
        <v>14</v>
      </c>
      <c r="E1926" t="s">
        <v>24</v>
      </c>
      <c r="F1926">
        <v>2576.87</v>
      </c>
      <c r="G1926">
        <f>INDEX(Operational[Production Volume (units)],MATCH(Emission8[[#This Row],[Facility ID]],Operational[Facility ID],0))</f>
        <v>94393</v>
      </c>
      <c r="H1926">
        <f>INDEX(Operational[Energy Consumption (MWh)],MATCH(Emission8[[#This Row],[Facility ID]],Operational[Facility ID],0))</f>
        <v>6691.7</v>
      </c>
      <c r="I1926">
        <f>INDEX(Operational[Waste (tons)],MATCH(Emission8[[#This Row],[Facility ID]],Operational[Facility ID],0))</f>
        <v>74.790000000000006</v>
      </c>
    </row>
    <row r="1927" spans="1:9" x14ac:dyDescent="0.3">
      <c r="A1927" t="s">
        <v>217</v>
      </c>
      <c r="B1927" t="s">
        <v>19</v>
      </c>
      <c r="C1927" t="s">
        <v>23</v>
      </c>
      <c r="D1927" t="s">
        <v>14</v>
      </c>
      <c r="E1927" t="s">
        <v>15</v>
      </c>
      <c r="F1927">
        <v>4625.6000000000004</v>
      </c>
      <c r="G1927">
        <f>INDEX(Operational[Production Volume (units)],MATCH(Emission8[[#This Row],[Facility ID]],Operational[Facility ID],0))</f>
        <v>80824</v>
      </c>
      <c r="H1927">
        <f>INDEX(Operational[Energy Consumption (MWh)],MATCH(Emission8[[#This Row],[Facility ID]],Operational[Facility ID],0))</f>
        <v>2858.92</v>
      </c>
      <c r="I1927">
        <f>INDEX(Operational[Waste (tons)],MATCH(Emission8[[#This Row],[Facility ID]],Operational[Facility ID],0))</f>
        <v>13.97</v>
      </c>
    </row>
    <row r="1928" spans="1:9" x14ac:dyDescent="0.3">
      <c r="A1928" t="s">
        <v>161</v>
      </c>
      <c r="B1928" t="s">
        <v>7</v>
      </c>
      <c r="C1928" t="s">
        <v>23</v>
      </c>
      <c r="D1928" t="s">
        <v>14</v>
      </c>
      <c r="E1928" t="s">
        <v>24</v>
      </c>
      <c r="F1928">
        <v>3554.21</v>
      </c>
      <c r="G1928">
        <f>INDEX(Operational[Production Volume (units)],MATCH(Emission8[[#This Row],[Facility ID]],Operational[Facility ID],0))</f>
        <v>15788</v>
      </c>
      <c r="H1928">
        <f>INDEX(Operational[Energy Consumption (MWh)],MATCH(Emission8[[#This Row],[Facility ID]],Operational[Facility ID],0))</f>
        <v>1824.14</v>
      </c>
      <c r="I1928">
        <f>INDEX(Operational[Waste (tons)],MATCH(Emission8[[#This Row],[Facility ID]],Operational[Facility ID],0))</f>
        <v>52.78</v>
      </c>
    </row>
    <row r="1929" spans="1:9" x14ac:dyDescent="0.3">
      <c r="A1929" t="s">
        <v>209</v>
      </c>
      <c r="B1929" t="s">
        <v>7</v>
      </c>
      <c r="C1929" t="s">
        <v>34</v>
      </c>
      <c r="D1929" t="s">
        <v>14</v>
      </c>
      <c r="E1929" t="s">
        <v>24</v>
      </c>
      <c r="F1929">
        <v>2525.88</v>
      </c>
      <c r="G1929">
        <f>INDEX(Operational[Production Volume (units)],MATCH(Emission8[[#This Row],[Facility ID]],Operational[Facility ID],0))</f>
        <v>52357</v>
      </c>
      <c r="H1929">
        <f>INDEX(Operational[Energy Consumption (MWh)],MATCH(Emission8[[#This Row],[Facility ID]],Operational[Facility ID],0))</f>
        <v>5643.16</v>
      </c>
      <c r="I1929">
        <f>INDEX(Operational[Waste (tons)],MATCH(Emission8[[#This Row],[Facility ID]],Operational[Facility ID],0))</f>
        <v>37.130000000000003</v>
      </c>
    </row>
    <row r="1930" spans="1:9" x14ac:dyDescent="0.3">
      <c r="A1930" t="s">
        <v>76</v>
      </c>
      <c r="B1930" t="s">
        <v>17</v>
      </c>
      <c r="C1930" t="s">
        <v>8</v>
      </c>
      <c r="D1930" t="s">
        <v>9</v>
      </c>
      <c r="E1930" t="s">
        <v>15</v>
      </c>
      <c r="F1930">
        <v>2134.8000000000002</v>
      </c>
      <c r="G1930">
        <f>INDEX(Operational[Production Volume (units)],MATCH(Emission8[[#This Row],[Facility ID]],Operational[Facility ID],0))</f>
        <v>59617</v>
      </c>
      <c r="H1930">
        <f>INDEX(Operational[Energy Consumption (MWh)],MATCH(Emission8[[#This Row],[Facility ID]],Operational[Facility ID],0))</f>
        <v>5000.95</v>
      </c>
      <c r="I1930">
        <f>INDEX(Operational[Waste (tons)],MATCH(Emission8[[#This Row],[Facility ID]],Operational[Facility ID],0))</f>
        <v>80.36</v>
      </c>
    </row>
    <row r="1931" spans="1:9" x14ac:dyDescent="0.3">
      <c r="A1931" t="s">
        <v>80</v>
      </c>
      <c r="B1931" t="s">
        <v>17</v>
      </c>
      <c r="C1931" t="s">
        <v>34</v>
      </c>
      <c r="D1931" t="s">
        <v>28</v>
      </c>
      <c r="E1931" t="s">
        <v>10</v>
      </c>
      <c r="F1931">
        <v>798.55</v>
      </c>
      <c r="G1931">
        <f>INDEX(Operational[Production Volume (units)],MATCH(Emission8[[#This Row],[Facility ID]],Operational[Facility ID],0))</f>
        <v>75508</v>
      </c>
      <c r="H1931">
        <f>INDEX(Operational[Energy Consumption (MWh)],MATCH(Emission8[[#This Row],[Facility ID]],Operational[Facility ID],0))</f>
        <v>6856.22</v>
      </c>
      <c r="I1931">
        <f>INDEX(Operational[Waste (tons)],MATCH(Emission8[[#This Row],[Facility ID]],Operational[Facility ID],0))</f>
        <v>18.2</v>
      </c>
    </row>
    <row r="1932" spans="1:9" x14ac:dyDescent="0.3">
      <c r="A1932" t="s">
        <v>207</v>
      </c>
      <c r="B1932" t="s">
        <v>17</v>
      </c>
      <c r="C1932" t="s">
        <v>8</v>
      </c>
      <c r="D1932" t="s">
        <v>28</v>
      </c>
      <c r="E1932" t="s">
        <v>24</v>
      </c>
      <c r="F1932">
        <v>4426.58</v>
      </c>
      <c r="G1932">
        <f>INDEX(Operational[Production Volume (units)],MATCH(Emission8[[#This Row],[Facility ID]],Operational[Facility ID],0))</f>
        <v>99115</v>
      </c>
      <c r="H1932">
        <f>INDEX(Operational[Energy Consumption (MWh)],MATCH(Emission8[[#This Row],[Facility ID]],Operational[Facility ID],0))</f>
        <v>827.26</v>
      </c>
      <c r="I1932">
        <f>INDEX(Operational[Waste (tons)],MATCH(Emission8[[#This Row],[Facility ID]],Operational[Facility ID],0))</f>
        <v>28.88</v>
      </c>
    </row>
    <row r="1933" spans="1:9" x14ac:dyDescent="0.3">
      <c r="A1933" t="s">
        <v>84</v>
      </c>
      <c r="B1933" t="s">
        <v>30</v>
      </c>
      <c r="C1933" t="s">
        <v>34</v>
      </c>
      <c r="D1933" t="s">
        <v>14</v>
      </c>
      <c r="E1933" t="s">
        <v>15</v>
      </c>
      <c r="F1933">
        <v>2921.55</v>
      </c>
      <c r="G1933">
        <f>INDEX(Operational[Production Volume (units)],MATCH(Emission8[[#This Row],[Facility ID]],Operational[Facility ID],0))</f>
        <v>85444</v>
      </c>
      <c r="H1933">
        <f>INDEX(Operational[Energy Consumption (MWh)],MATCH(Emission8[[#This Row],[Facility ID]],Operational[Facility ID],0))</f>
        <v>852.57</v>
      </c>
      <c r="I1933">
        <f>INDEX(Operational[Waste (tons)],MATCH(Emission8[[#This Row],[Facility ID]],Operational[Facility ID],0))</f>
        <v>72.650000000000006</v>
      </c>
    </row>
    <row r="1934" spans="1:9" x14ac:dyDescent="0.3">
      <c r="A1934" t="s">
        <v>176</v>
      </c>
      <c r="B1934" t="s">
        <v>19</v>
      </c>
      <c r="C1934" t="s">
        <v>34</v>
      </c>
      <c r="D1934" t="s">
        <v>14</v>
      </c>
      <c r="E1934" t="s">
        <v>24</v>
      </c>
      <c r="F1934">
        <v>1534.55</v>
      </c>
      <c r="G1934">
        <f>INDEX(Operational[Production Volume (units)],MATCH(Emission8[[#This Row],[Facility ID]],Operational[Facility ID],0))</f>
        <v>10907</v>
      </c>
      <c r="H1934">
        <f>INDEX(Operational[Energy Consumption (MWh)],MATCH(Emission8[[#This Row],[Facility ID]],Operational[Facility ID],0))</f>
        <v>4748.66</v>
      </c>
      <c r="I1934">
        <f>INDEX(Operational[Waste (tons)],MATCH(Emission8[[#This Row],[Facility ID]],Operational[Facility ID],0))</f>
        <v>39.36</v>
      </c>
    </row>
    <row r="1935" spans="1:9" x14ac:dyDescent="0.3">
      <c r="A1935" t="s">
        <v>11</v>
      </c>
      <c r="B1935" t="s">
        <v>12</v>
      </c>
      <c r="C1935" t="s">
        <v>13</v>
      </c>
      <c r="D1935" t="s">
        <v>9</v>
      </c>
      <c r="E1935" t="s">
        <v>15</v>
      </c>
      <c r="F1935">
        <v>3062.35</v>
      </c>
      <c r="G1935">
        <f>INDEX(Operational[Production Volume (units)],MATCH(Emission8[[#This Row],[Facility ID]],Operational[Facility ID],0))</f>
        <v>44657</v>
      </c>
      <c r="H1935">
        <f>INDEX(Operational[Energy Consumption (MWh)],MATCH(Emission8[[#This Row],[Facility ID]],Operational[Facility ID],0))</f>
        <v>7867.98</v>
      </c>
      <c r="I1935">
        <f>INDEX(Operational[Waste (tons)],MATCH(Emission8[[#This Row],[Facility ID]],Operational[Facility ID],0))</f>
        <v>96.01</v>
      </c>
    </row>
    <row r="1936" spans="1:9" x14ac:dyDescent="0.3">
      <c r="A1936" t="s">
        <v>185</v>
      </c>
      <c r="B1936" t="s">
        <v>30</v>
      </c>
      <c r="C1936" t="s">
        <v>8</v>
      </c>
      <c r="D1936" t="s">
        <v>9</v>
      </c>
      <c r="E1936" t="s">
        <v>15</v>
      </c>
      <c r="F1936">
        <v>1828.37</v>
      </c>
      <c r="G1936">
        <f>INDEX(Operational[Production Volume (units)],MATCH(Emission8[[#This Row],[Facility ID]],Operational[Facility ID],0))</f>
        <v>24913</v>
      </c>
      <c r="H1936">
        <f>INDEX(Operational[Energy Consumption (MWh)],MATCH(Emission8[[#This Row],[Facility ID]],Operational[Facility ID],0))</f>
        <v>5727.27</v>
      </c>
      <c r="I1936">
        <f>INDEX(Operational[Waste (tons)],MATCH(Emission8[[#This Row],[Facility ID]],Operational[Facility ID],0))</f>
        <v>78.849999999999994</v>
      </c>
    </row>
    <row r="1937" spans="1:9" x14ac:dyDescent="0.3">
      <c r="A1937" t="s">
        <v>181</v>
      </c>
      <c r="B1937" t="s">
        <v>30</v>
      </c>
      <c r="C1937" t="s">
        <v>8</v>
      </c>
      <c r="D1937" t="s">
        <v>9</v>
      </c>
      <c r="E1937" t="s">
        <v>15</v>
      </c>
      <c r="F1937">
        <v>2945.04</v>
      </c>
      <c r="G1937">
        <f>INDEX(Operational[Production Volume (units)],MATCH(Emission8[[#This Row],[Facility ID]],Operational[Facility ID],0))</f>
        <v>28704</v>
      </c>
      <c r="H1937">
        <f>INDEX(Operational[Energy Consumption (MWh)],MATCH(Emission8[[#This Row],[Facility ID]],Operational[Facility ID],0))</f>
        <v>6009.24</v>
      </c>
      <c r="I1937">
        <f>INDEX(Operational[Waste (tons)],MATCH(Emission8[[#This Row],[Facility ID]],Operational[Facility ID],0))</f>
        <v>39.31</v>
      </c>
    </row>
    <row r="1938" spans="1:9" x14ac:dyDescent="0.3">
      <c r="A1938" t="s">
        <v>29</v>
      </c>
      <c r="B1938" t="s">
        <v>30</v>
      </c>
      <c r="C1938" t="s">
        <v>34</v>
      </c>
      <c r="D1938" t="s">
        <v>28</v>
      </c>
      <c r="E1938" t="s">
        <v>10</v>
      </c>
      <c r="F1938">
        <v>2905.61</v>
      </c>
      <c r="G1938">
        <f>INDEX(Operational[Production Volume (units)],MATCH(Emission8[[#This Row],[Facility ID]],Operational[Facility ID],0))</f>
        <v>32131</v>
      </c>
      <c r="H1938">
        <f>INDEX(Operational[Energy Consumption (MWh)],MATCH(Emission8[[#This Row],[Facility ID]],Operational[Facility ID],0))</f>
        <v>1474.23</v>
      </c>
      <c r="I1938">
        <f>INDEX(Operational[Waste (tons)],MATCH(Emission8[[#This Row],[Facility ID]],Operational[Facility ID],0))</f>
        <v>45.47</v>
      </c>
    </row>
    <row r="1939" spans="1:9" x14ac:dyDescent="0.3">
      <c r="A1939" t="s">
        <v>199</v>
      </c>
      <c r="B1939" t="s">
        <v>17</v>
      </c>
      <c r="C1939" t="s">
        <v>23</v>
      </c>
      <c r="D1939" t="s">
        <v>28</v>
      </c>
      <c r="E1939" t="s">
        <v>24</v>
      </c>
      <c r="F1939">
        <v>3354.34</v>
      </c>
      <c r="G1939">
        <f>INDEX(Operational[Production Volume (units)],MATCH(Emission8[[#This Row],[Facility ID]],Operational[Facility ID],0))</f>
        <v>77317</v>
      </c>
      <c r="H1939">
        <f>INDEX(Operational[Energy Consumption (MWh)],MATCH(Emission8[[#This Row],[Facility ID]],Operational[Facility ID],0))</f>
        <v>4862.95</v>
      </c>
      <c r="I1939">
        <f>INDEX(Operational[Waste (tons)],MATCH(Emission8[[#This Row],[Facility ID]],Operational[Facility ID],0))</f>
        <v>89.78</v>
      </c>
    </row>
    <row r="1940" spans="1:9" x14ac:dyDescent="0.3">
      <c r="A1940" t="s">
        <v>168</v>
      </c>
      <c r="B1940" t="s">
        <v>17</v>
      </c>
      <c r="C1940" t="s">
        <v>23</v>
      </c>
      <c r="D1940" t="s">
        <v>14</v>
      </c>
      <c r="E1940" t="s">
        <v>10</v>
      </c>
      <c r="F1940">
        <v>4622.8599999999997</v>
      </c>
      <c r="G1940">
        <f>INDEX(Operational[Production Volume (units)],MATCH(Emission8[[#This Row],[Facility ID]],Operational[Facility ID],0))</f>
        <v>41050</v>
      </c>
      <c r="H1940">
        <f>INDEX(Operational[Energy Consumption (MWh)],MATCH(Emission8[[#This Row],[Facility ID]],Operational[Facility ID],0))</f>
        <v>6025.84</v>
      </c>
      <c r="I1940">
        <f>INDEX(Operational[Waste (tons)],MATCH(Emission8[[#This Row],[Facility ID]],Operational[Facility ID],0))</f>
        <v>53.53</v>
      </c>
    </row>
    <row r="1941" spans="1:9" x14ac:dyDescent="0.3">
      <c r="A1941" t="s">
        <v>97</v>
      </c>
      <c r="B1941" t="s">
        <v>7</v>
      </c>
      <c r="C1941" t="s">
        <v>13</v>
      </c>
      <c r="D1941" t="s">
        <v>9</v>
      </c>
      <c r="E1941" t="s">
        <v>24</v>
      </c>
      <c r="F1941">
        <v>4374</v>
      </c>
      <c r="G1941">
        <f>INDEX(Operational[Production Volume (units)],MATCH(Emission8[[#This Row],[Facility ID]],Operational[Facility ID],0))</f>
        <v>78624</v>
      </c>
      <c r="H1941">
        <f>INDEX(Operational[Energy Consumption (MWh)],MATCH(Emission8[[#This Row],[Facility ID]],Operational[Facility ID],0))</f>
        <v>2373.27</v>
      </c>
      <c r="I1941">
        <f>INDEX(Operational[Waste (tons)],MATCH(Emission8[[#This Row],[Facility ID]],Operational[Facility ID],0))</f>
        <v>25.07</v>
      </c>
    </row>
    <row r="1942" spans="1:9" x14ac:dyDescent="0.3">
      <c r="A1942" t="s">
        <v>95</v>
      </c>
      <c r="B1942" t="s">
        <v>30</v>
      </c>
      <c r="C1942" t="s">
        <v>34</v>
      </c>
      <c r="D1942" t="s">
        <v>28</v>
      </c>
      <c r="E1942" t="s">
        <v>10</v>
      </c>
      <c r="F1942">
        <v>1375.43</v>
      </c>
      <c r="G1942">
        <f>INDEX(Operational[Production Volume (units)],MATCH(Emission8[[#This Row],[Facility ID]],Operational[Facility ID],0))</f>
        <v>51800</v>
      </c>
      <c r="H1942">
        <f>INDEX(Operational[Energy Consumption (MWh)],MATCH(Emission8[[#This Row],[Facility ID]],Operational[Facility ID],0))</f>
        <v>3042.95</v>
      </c>
      <c r="I1942">
        <f>INDEX(Operational[Waste (tons)],MATCH(Emission8[[#This Row],[Facility ID]],Operational[Facility ID],0))</f>
        <v>71.87</v>
      </c>
    </row>
    <row r="1943" spans="1:9" x14ac:dyDescent="0.3">
      <c r="A1943" t="s">
        <v>129</v>
      </c>
      <c r="B1943" t="s">
        <v>17</v>
      </c>
      <c r="C1943" t="s">
        <v>8</v>
      </c>
      <c r="D1943" t="s">
        <v>9</v>
      </c>
      <c r="E1943" t="s">
        <v>24</v>
      </c>
      <c r="F1943">
        <v>4136.82</v>
      </c>
      <c r="G1943">
        <f>INDEX(Operational[Production Volume (units)],MATCH(Emission8[[#This Row],[Facility ID]],Operational[Facility ID],0))</f>
        <v>95292</v>
      </c>
      <c r="H1943">
        <f>INDEX(Operational[Energy Consumption (MWh)],MATCH(Emission8[[#This Row],[Facility ID]],Operational[Facility ID],0))</f>
        <v>697.47</v>
      </c>
      <c r="I1943">
        <f>INDEX(Operational[Waste (tons)],MATCH(Emission8[[#This Row],[Facility ID]],Operational[Facility ID],0))</f>
        <v>88.35</v>
      </c>
    </row>
    <row r="1944" spans="1:9" x14ac:dyDescent="0.3">
      <c r="A1944" t="s">
        <v>100</v>
      </c>
      <c r="B1944" t="s">
        <v>7</v>
      </c>
      <c r="C1944" t="s">
        <v>13</v>
      </c>
      <c r="D1944" t="s">
        <v>9</v>
      </c>
      <c r="E1944" t="s">
        <v>10</v>
      </c>
      <c r="F1944">
        <v>2988.46</v>
      </c>
      <c r="G1944">
        <f>INDEX(Operational[Production Volume (units)],MATCH(Emission8[[#This Row],[Facility ID]],Operational[Facility ID],0))</f>
        <v>17468</v>
      </c>
      <c r="H1944">
        <f>INDEX(Operational[Energy Consumption (MWh)],MATCH(Emission8[[#This Row],[Facility ID]],Operational[Facility ID],0))</f>
        <v>6359.73</v>
      </c>
      <c r="I1944">
        <f>INDEX(Operational[Waste (tons)],MATCH(Emission8[[#This Row],[Facility ID]],Operational[Facility ID],0))</f>
        <v>5.22</v>
      </c>
    </row>
    <row r="1945" spans="1:9" x14ac:dyDescent="0.3">
      <c r="A1945" t="s">
        <v>119</v>
      </c>
      <c r="B1945" t="s">
        <v>30</v>
      </c>
      <c r="C1945" t="s">
        <v>23</v>
      </c>
      <c r="D1945" t="s">
        <v>9</v>
      </c>
      <c r="E1945" t="s">
        <v>15</v>
      </c>
      <c r="F1945">
        <v>724.74</v>
      </c>
      <c r="G1945">
        <f>INDEX(Operational[Production Volume (units)],MATCH(Emission8[[#This Row],[Facility ID]],Operational[Facility ID],0))</f>
        <v>80488</v>
      </c>
      <c r="H1945">
        <f>INDEX(Operational[Energy Consumption (MWh)],MATCH(Emission8[[#This Row],[Facility ID]],Operational[Facility ID],0))</f>
        <v>7629.95</v>
      </c>
      <c r="I1945">
        <f>INDEX(Operational[Waste (tons)],MATCH(Emission8[[#This Row],[Facility ID]],Operational[Facility ID],0))</f>
        <v>63.83</v>
      </c>
    </row>
    <row r="1946" spans="1:9" x14ac:dyDescent="0.3">
      <c r="A1946" t="s">
        <v>86</v>
      </c>
      <c r="B1946" t="s">
        <v>19</v>
      </c>
      <c r="C1946" t="s">
        <v>8</v>
      </c>
      <c r="D1946" t="s">
        <v>28</v>
      </c>
      <c r="E1946" t="s">
        <v>15</v>
      </c>
      <c r="F1946">
        <v>4727.37</v>
      </c>
      <c r="G1946">
        <f>INDEX(Operational[Production Volume (units)],MATCH(Emission8[[#This Row],[Facility ID]],Operational[Facility ID],0))</f>
        <v>56531</v>
      </c>
      <c r="H1946">
        <f>INDEX(Operational[Energy Consumption (MWh)],MATCH(Emission8[[#This Row],[Facility ID]],Operational[Facility ID],0))</f>
        <v>8958.07</v>
      </c>
      <c r="I1946">
        <f>INDEX(Operational[Waste (tons)],MATCH(Emission8[[#This Row],[Facility ID]],Operational[Facility ID],0))</f>
        <v>83.44</v>
      </c>
    </row>
    <row r="1947" spans="1:9" x14ac:dyDescent="0.3">
      <c r="A1947" t="s">
        <v>202</v>
      </c>
      <c r="B1947" t="s">
        <v>12</v>
      </c>
      <c r="C1947" t="s">
        <v>13</v>
      </c>
      <c r="D1947" t="s">
        <v>28</v>
      </c>
      <c r="E1947" t="s">
        <v>24</v>
      </c>
      <c r="F1947">
        <v>78.44</v>
      </c>
      <c r="G1947">
        <f>INDEX(Operational[Production Volume (units)],MATCH(Emission8[[#This Row],[Facility ID]],Operational[Facility ID],0))</f>
        <v>28400</v>
      </c>
      <c r="H1947">
        <f>INDEX(Operational[Energy Consumption (MWh)],MATCH(Emission8[[#This Row],[Facility ID]],Operational[Facility ID],0))</f>
        <v>3056.67</v>
      </c>
      <c r="I1947">
        <f>INDEX(Operational[Waste (tons)],MATCH(Emission8[[#This Row],[Facility ID]],Operational[Facility ID],0))</f>
        <v>52.68</v>
      </c>
    </row>
    <row r="1948" spans="1:9" x14ac:dyDescent="0.3">
      <c r="A1948" t="s">
        <v>213</v>
      </c>
      <c r="B1948" t="s">
        <v>12</v>
      </c>
      <c r="C1948" t="s">
        <v>8</v>
      </c>
      <c r="D1948" t="s">
        <v>14</v>
      </c>
      <c r="E1948" t="s">
        <v>24</v>
      </c>
      <c r="F1948">
        <v>4289.21</v>
      </c>
      <c r="G1948">
        <f>INDEX(Operational[Production Volume (units)],MATCH(Emission8[[#This Row],[Facility ID]],Operational[Facility ID],0))</f>
        <v>58622</v>
      </c>
      <c r="H1948">
        <f>INDEX(Operational[Energy Consumption (MWh)],MATCH(Emission8[[#This Row],[Facility ID]],Operational[Facility ID],0))</f>
        <v>7795.36</v>
      </c>
      <c r="I1948">
        <f>INDEX(Operational[Waste (tons)],MATCH(Emission8[[#This Row],[Facility ID]],Operational[Facility ID],0))</f>
        <v>59.81</v>
      </c>
    </row>
    <row r="1949" spans="1:9" x14ac:dyDescent="0.3">
      <c r="A1949" t="s">
        <v>220</v>
      </c>
      <c r="B1949" t="s">
        <v>12</v>
      </c>
      <c r="C1949" t="s">
        <v>34</v>
      </c>
      <c r="D1949" t="s">
        <v>14</v>
      </c>
      <c r="E1949" t="s">
        <v>15</v>
      </c>
      <c r="F1949">
        <v>1666.98</v>
      </c>
      <c r="G1949">
        <f>INDEX(Operational[Production Volume (units)],MATCH(Emission8[[#This Row],[Facility ID]],Operational[Facility ID],0))</f>
        <v>97040</v>
      </c>
      <c r="H1949">
        <f>INDEX(Operational[Energy Consumption (MWh)],MATCH(Emission8[[#This Row],[Facility ID]],Operational[Facility ID],0))</f>
        <v>5727.14</v>
      </c>
      <c r="I1949">
        <f>INDEX(Operational[Waste (tons)],MATCH(Emission8[[#This Row],[Facility ID]],Operational[Facility ID],0))</f>
        <v>38.19</v>
      </c>
    </row>
    <row r="1950" spans="1:9" x14ac:dyDescent="0.3">
      <c r="A1950" t="s">
        <v>35</v>
      </c>
      <c r="B1950" t="s">
        <v>19</v>
      </c>
      <c r="C1950" t="s">
        <v>13</v>
      </c>
      <c r="D1950" t="s">
        <v>14</v>
      </c>
      <c r="E1950" t="s">
        <v>15</v>
      </c>
      <c r="F1950">
        <v>1277.3399999999999</v>
      </c>
      <c r="G1950">
        <f>INDEX(Operational[Production Volume (units)],MATCH(Emission8[[#This Row],[Facility ID]],Operational[Facility ID],0))</f>
        <v>42382</v>
      </c>
      <c r="H1950">
        <f>INDEX(Operational[Energy Consumption (MWh)],MATCH(Emission8[[#This Row],[Facility ID]],Operational[Facility ID],0))</f>
        <v>5116.6899999999996</v>
      </c>
      <c r="I1950">
        <f>INDEX(Operational[Waste (tons)],MATCH(Emission8[[#This Row],[Facility ID]],Operational[Facility ID],0))</f>
        <v>80.42</v>
      </c>
    </row>
    <row r="1951" spans="1:9" x14ac:dyDescent="0.3">
      <c r="A1951" t="s">
        <v>118</v>
      </c>
      <c r="B1951" t="s">
        <v>30</v>
      </c>
      <c r="C1951" t="s">
        <v>13</v>
      </c>
      <c r="D1951" t="s">
        <v>28</v>
      </c>
      <c r="E1951" t="s">
        <v>24</v>
      </c>
      <c r="F1951">
        <v>371.36</v>
      </c>
      <c r="G1951">
        <f>INDEX(Operational[Production Volume (units)],MATCH(Emission8[[#This Row],[Facility ID]],Operational[Facility ID],0))</f>
        <v>68492</v>
      </c>
      <c r="H1951">
        <f>INDEX(Operational[Energy Consumption (MWh)],MATCH(Emission8[[#This Row],[Facility ID]],Operational[Facility ID],0))</f>
        <v>3533.88</v>
      </c>
      <c r="I1951">
        <f>INDEX(Operational[Waste (tons)],MATCH(Emission8[[#This Row],[Facility ID]],Operational[Facility ID],0))</f>
        <v>52.99</v>
      </c>
    </row>
    <row r="1952" spans="1:9" x14ac:dyDescent="0.3">
      <c r="A1952" t="s">
        <v>143</v>
      </c>
      <c r="B1952" t="s">
        <v>17</v>
      </c>
      <c r="C1952" t="s">
        <v>13</v>
      </c>
      <c r="D1952" t="s">
        <v>9</v>
      </c>
      <c r="E1952" t="s">
        <v>15</v>
      </c>
      <c r="F1952">
        <v>4247.17</v>
      </c>
      <c r="G1952">
        <f>INDEX(Operational[Production Volume (units)],MATCH(Emission8[[#This Row],[Facility ID]],Operational[Facility ID],0))</f>
        <v>94704</v>
      </c>
      <c r="H1952">
        <f>INDEX(Operational[Energy Consumption (MWh)],MATCH(Emission8[[#This Row],[Facility ID]],Operational[Facility ID],0))</f>
        <v>6632.95</v>
      </c>
      <c r="I1952">
        <f>INDEX(Operational[Waste (tons)],MATCH(Emission8[[#This Row],[Facility ID]],Operational[Facility ID],0))</f>
        <v>14.76</v>
      </c>
    </row>
    <row r="1953" spans="1:9" x14ac:dyDescent="0.3">
      <c r="A1953" t="s">
        <v>125</v>
      </c>
      <c r="B1953" t="s">
        <v>7</v>
      </c>
      <c r="C1953" t="s">
        <v>13</v>
      </c>
      <c r="D1953" t="s">
        <v>14</v>
      </c>
      <c r="E1953" t="s">
        <v>15</v>
      </c>
      <c r="F1953">
        <v>3150.39</v>
      </c>
      <c r="G1953">
        <f>INDEX(Operational[Production Volume (units)],MATCH(Emission8[[#This Row],[Facility ID]],Operational[Facility ID],0))</f>
        <v>56392</v>
      </c>
      <c r="H1953">
        <f>INDEX(Operational[Energy Consumption (MWh)],MATCH(Emission8[[#This Row],[Facility ID]],Operational[Facility ID],0))</f>
        <v>5703.76</v>
      </c>
      <c r="I1953">
        <f>INDEX(Operational[Waste (tons)],MATCH(Emission8[[#This Row],[Facility ID]],Operational[Facility ID],0))</f>
        <v>23.04</v>
      </c>
    </row>
    <row r="1954" spans="1:9" x14ac:dyDescent="0.3">
      <c r="A1954" t="s">
        <v>127</v>
      </c>
      <c r="B1954" t="s">
        <v>17</v>
      </c>
      <c r="C1954" t="s">
        <v>13</v>
      </c>
      <c r="D1954" t="s">
        <v>9</v>
      </c>
      <c r="E1954" t="s">
        <v>15</v>
      </c>
      <c r="F1954">
        <v>3071.44</v>
      </c>
      <c r="G1954">
        <f>INDEX(Operational[Production Volume (units)],MATCH(Emission8[[#This Row],[Facility ID]],Operational[Facility ID],0))</f>
        <v>17416</v>
      </c>
      <c r="H1954">
        <f>INDEX(Operational[Energy Consumption (MWh)],MATCH(Emission8[[#This Row],[Facility ID]],Operational[Facility ID],0))</f>
        <v>812.06</v>
      </c>
      <c r="I1954">
        <f>INDEX(Operational[Waste (tons)],MATCH(Emission8[[#This Row],[Facility ID]],Operational[Facility ID],0))</f>
        <v>5.7</v>
      </c>
    </row>
    <row r="1955" spans="1:9" x14ac:dyDescent="0.3">
      <c r="A1955" t="s">
        <v>58</v>
      </c>
      <c r="B1955" t="s">
        <v>17</v>
      </c>
      <c r="C1955" t="s">
        <v>13</v>
      </c>
      <c r="D1955" t="s">
        <v>14</v>
      </c>
      <c r="E1955" t="s">
        <v>15</v>
      </c>
      <c r="F1955">
        <v>341.64</v>
      </c>
      <c r="G1955">
        <f>INDEX(Operational[Production Volume (units)],MATCH(Emission8[[#This Row],[Facility ID]],Operational[Facility ID],0))</f>
        <v>32246</v>
      </c>
      <c r="H1955">
        <f>INDEX(Operational[Energy Consumption (MWh)],MATCH(Emission8[[#This Row],[Facility ID]],Operational[Facility ID],0))</f>
        <v>7903.93</v>
      </c>
      <c r="I1955">
        <f>INDEX(Operational[Waste (tons)],MATCH(Emission8[[#This Row],[Facility ID]],Operational[Facility ID],0))</f>
        <v>42.12</v>
      </c>
    </row>
    <row r="1956" spans="1:9" x14ac:dyDescent="0.3">
      <c r="A1956" t="s">
        <v>69</v>
      </c>
      <c r="B1956" t="s">
        <v>7</v>
      </c>
      <c r="C1956" t="s">
        <v>13</v>
      </c>
      <c r="D1956" t="s">
        <v>28</v>
      </c>
      <c r="E1956" t="s">
        <v>24</v>
      </c>
      <c r="F1956">
        <v>4075.39</v>
      </c>
      <c r="G1956">
        <f>INDEX(Operational[Production Volume (units)],MATCH(Emission8[[#This Row],[Facility ID]],Operational[Facility ID],0))</f>
        <v>34725</v>
      </c>
      <c r="H1956">
        <f>INDEX(Operational[Energy Consumption (MWh)],MATCH(Emission8[[#This Row],[Facility ID]],Operational[Facility ID],0))</f>
        <v>3269.89</v>
      </c>
      <c r="I1956">
        <f>INDEX(Operational[Waste (tons)],MATCH(Emission8[[#This Row],[Facility ID]],Operational[Facility ID],0))</f>
        <v>78.86</v>
      </c>
    </row>
    <row r="1957" spans="1:9" x14ac:dyDescent="0.3">
      <c r="A1957" t="s">
        <v>142</v>
      </c>
      <c r="B1957" t="s">
        <v>17</v>
      </c>
      <c r="C1957" t="s">
        <v>8</v>
      </c>
      <c r="D1957" t="s">
        <v>28</v>
      </c>
      <c r="E1957" t="s">
        <v>24</v>
      </c>
      <c r="F1957">
        <v>4062.72</v>
      </c>
      <c r="G1957">
        <f>INDEX(Operational[Production Volume (units)],MATCH(Emission8[[#This Row],[Facility ID]],Operational[Facility ID],0))</f>
        <v>75736</v>
      </c>
      <c r="H1957">
        <f>INDEX(Operational[Energy Consumption (MWh)],MATCH(Emission8[[#This Row],[Facility ID]],Operational[Facility ID],0))</f>
        <v>6287.07</v>
      </c>
      <c r="I1957">
        <f>INDEX(Operational[Waste (tons)],MATCH(Emission8[[#This Row],[Facility ID]],Operational[Facility ID],0))</f>
        <v>63.11</v>
      </c>
    </row>
    <row r="1958" spans="1:9" x14ac:dyDescent="0.3">
      <c r="A1958" t="s">
        <v>64</v>
      </c>
      <c r="B1958" t="s">
        <v>30</v>
      </c>
      <c r="C1958" t="s">
        <v>13</v>
      </c>
      <c r="D1958" t="s">
        <v>28</v>
      </c>
      <c r="E1958" t="s">
        <v>15</v>
      </c>
      <c r="F1958">
        <v>3930.54</v>
      </c>
      <c r="G1958">
        <f>INDEX(Operational[Production Volume (units)],MATCH(Emission8[[#This Row],[Facility ID]],Operational[Facility ID],0))</f>
        <v>52836</v>
      </c>
      <c r="H1958">
        <f>INDEX(Operational[Energy Consumption (MWh)],MATCH(Emission8[[#This Row],[Facility ID]],Operational[Facility ID],0))</f>
        <v>9330.2999999999993</v>
      </c>
      <c r="I1958">
        <f>INDEX(Operational[Waste (tons)],MATCH(Emission8[[#This Row],[Facility ID]],Operational[Facility ID],0))</f>
        <v>87.27</v>
      </c>
    </row>
    <row r="1959" spans="1:9" x14ac:dyDescent="0.3">
      <c r="A1959" t="s">
        <v>201</v>
      </c>
      <c r="B1959" t="s">
        <v>12</v>
      </c>
      <c r="C1959" t="s">
        <v>23</v>
      </c>
      <c r="D1959" t="s">
        <v>14</v>
      </c>
      <c r="E1959" t="s">
        <v>10</v>
      </c>
      <c r="F1959">
        <v>1919.26</v>
      </c>
      <c r="G1959">
        <f>INDEX(Operational[Production Volume (units)],MATCH(Emission8[[#This Row],[Facility ID]],Operational[Facility ID],0))</f>
        <v>58439</v>
      </c>
      <c r="H1959">
        <f>INDEX(Operational[Energy Consumption (MWh)],MATCH(Emission8[[#This Row],[Facility ID]],Operational[Facility ID],0))</f>
        <v>5817.93</v>
      </c>
      <c r="I1959">
        <f>INDEX(Operational[Waste (tons)],MATCH(Emission8[[#This Row],[Facility ID]],Operational[Facility ID],0))</f>
        <v>63.77</v>
      </c>
    </row>
    <row r="1960" spans="1:9" x14ac:dyDescent="0.3">
      <c r="A1960" t="s">
        <v>210</v>
      </c>
      <c r="B1960" t="s">
        <v>7</v>
      </c>
      <c r="C1960" t="s">
        <v>13</v>
      </c>
      <c r="D1960" t="s">
        <v>14</v>
      </c>
      <c r="E1960" t="s">
        <v>10</v>
      </c>
      <c r="F1960">
        <v>3554.23</v>
      </c>
      <c r="G1960">
        <f>INDEX(Operational[Production Volume (units)],MATCH(Emission8[[#This Row],[Facility ID]],Operational[Facility ID],0))</f>
        <v>65666</v>
      </c>
      <c r="H1960">
        <f>INDEX(Operational[Energy Consumption (MWh)],MATCH(Emission8[[#This Row],[Facility ID]],Operational[Facility ID],0))</f>
        <v>7269.98</v>
      </c>
      <c r="I1960">
        <f>INDEX(Operational[Waste (tons)],MATCH(Emission8[[#This Row],[Facility ID]],Operational[Facility ID],0))</f>
        <v>75.62</v>
      </c>
    </row>
    <row r="1961" spans="1:9" x14ac:dyDescent="0.3">
      <c r="A1961" t="s">
        <v>169</v>
      </c>
      <c r="B1961" t="s">
        <v>12</v>
      </c>
      <c r="C1961" t="s">
        <v>13</v>
      </c>
      <c r="D1961" t="s">
        <v>9</v>
      </c>
      <c r="E1961" t="s">
        <v>24</v>
      </c>
      <c r="F1961">
        <v>493.58</v>
      </c>
      <c r="G1961">
        <f>INDEX(Operational[Production Volume (units)],MATCH(Emission8[[#This Row],[Facility ID]],Operational[Facility ID],0))</f>
        <v>82377</v>
      </c>
      <c r="H1961">
        <f>INDEX(Operational[Energy Consumption (MWh)],MATCH(Emission8[[#This Row],[Facility ID]],Operational[Facility ID],0))</f>
        <v>7974.74</v>
      </c>
      <c r="I1961">
        <f>INDEX(Operational[Waste (tons)],MATCH(Emission8[[#This Row],[Facility ID]],Operational[Facility ID],0))</f>
        <v>9.17</v>
      </c>
    </row>
    <row r="1962" spans="1:9" x14ac:dyDescent="0.3">
      <c r="A1962" t="s">
        <v>87</v>
      </c>
      <c r="B1962" t="s">
        <v>12</v>
      </c>
      <c r="C1962" t="s">
        <v>23</v>
      </c>
      <c r="D1962" t="s">
        <v>9</v>
      </c>
      <c r="E1962" t="s">
        <v>10</v>
      </c>
      <c r="F1962">
        <v>2362.16</v>
      </c>
      <c r="G1962">
        <f>INDEX(Operational[Production Volume (units)],MATCH(Emission8[[#This Row],[Facility ID]],Operational[Facility ID],0))</f>
        <v>15333</v>
      </c>
      <c r="H1962">
        <f>INDEX(Operational[Energy Consumption (MWh)],MATCH(Emission8[[#This Row],[Facility ID]],Operational[Facility ID],0))</f>
        <v>2570.54</v>
      </c>
      <c r="I1962">
        <f>INDEX(Operational[Waste (tons)],MATCH(Emission8[[#This Row],[Facility ID]],Operational[Facility ID],0))</f>
        <v>41.07</v>
      </c>
    </row>
    <row r="1963" spans="1:9" x14ac:dyDescent="0.3">
      <c r="A1963" t="s">
        <v>203</v>
      </c>
      <c r="B1963" t="s">
        <v>12</v>
      </c>
      <c r="C1963" t="s">
        <v>13</v>
      </c>
      <c r="D1963" t="s">
        <v>14</v>
      </c>
      <c r="E1963" t="s">
        <v>15</v>
      </c>
      <c r="F1963">
        <v>984.26</v>
      </c>
      <c r="G1963">
        <f>INDEX(Operational[Production Volume (units)],MATCH(Emission8[[#This Row],[Facility ID]],Operational[Facility ID],0))</f>
        <v>66398</v>
      </c>
      <c r="H1963">
        <f>INDEX(Operational[Energy Consumption (MWh)],MATCH(Emission8[[#This Row],[Facility ID]],Operational[Facility ID],0))</f>
        <v>8713.61</v>
      </c>
      <c r="I1963">
        <f>INDEX(Operational[Waste (tons)],MATCH(Emission8[[#This Row],[Facility ID]],Operational[Facility ID],0))</f>
        <v>83.44</v>
      </c>
    </row>
    <row r="1964" spans="1:9" x14ac:dyDescent="0.3">
      <c r="A1964" t="s">
        <v>163</v>
      </c>
      <c r="B1964" t="s">
        <v>19</v>
      </c>
      <c r="C1964" t="s">
        <v>23</v>
      </c>
      <c r="D1964" t="s">
        <v>28</v>
      </c>
      <c r="E1964" t="s">
        <v>24</v>
      </c>
      <c r="F1964">
        <v>2223.0500000000002</v>
      </c>
      <c r="G1964">
        <f>INDEX(Operational[Production Volume (units)],MATCH(Emission8[[#This Row],[Facility ID]],Operational[Facility ID],0))</f>
        <v>87482</v>
      </c>
      <c r="H1964">
        <f>INDEX(Operational[Energy Consumption (MWh)],MATCH(Emission8[[#This Row],[Facility ID]],Operational[Facility ID],0))</f>
        <v>2231.7399999999998</v>
      </c>
      <c r="I1964">
        <f>INDEX(Operational[Waste (tons)],MATCH(Emission8[[#This Row],[Facility ID]],Operational[Facility ID],0))</f>
        <v>45.43</v>
      </c>
    </row>
    <row r="1965" spans="1:9" x14ac:dyDescent="0.3">
      <c r="A1965" t="s">
        <v>54</v>
      </c>
      <c r="B1965" t="s">
        <v>12</v>
      </c>
      <c r="C1965" t="s">
        <v>34</v>
      </c>
      <c r="D1965" t="s">
        <v>9</v>
      </c>
      <c r="E1965" t="s">
        <v>24</v>
      </c>
      <c r="F1965">
        <v>2498.85</v>
      </c>
      <c r="G1965">
        <f>INDEX(Operational[Production Volume (units)],MATCH(Emission8[[#This Row],[Facility ID]],Operational[Facility ID],0))</f>
        <v>58111</v>
      </c>
      <c r="H1965">
        <f>INDEX(Operational[Energy Consumption (MWh)],MATCH(Emission8[[#This Row],[Facility ID]],Operational[Facility ID],0))</f>
        <v>4610.8999999999996</v>
      </c>
      <c r="I1965">
        <f>INDEX(Operational[Waste (tons)],MATCH(Emission8[[#This Row],[Facility ID]],Operational[Facility ID],0))</f>
        <v>21.53</v>
      </c>
    </row>
    <row r="1966" spans="1:9" x14ac:dyDescent="0.3">
      <c r="A1966" t="s">
        <v>21</v>
      </c>
      <c r="B1966" t="s">
        <v>19</v>
      </c>
      <c r="C1966" t="s">
        <v>8</v>
      </c>
      <c r="D1966" t="s">
        <v>9</v>
      </c>
      <c r="E1966" t="s">
        <v>10</v>
      </c>
      <c r="F1966">
        <v>857.66</v>
      </c>
      <c r="G1966">
        <f>INDEX(Operational[Production Volume (units)],MATCH(Emission8[[#This Row],[Facility ID]],Operational[Facility ID],0))</f>
        <v>61157</v>
      </c>
      <c r="H1966">
        <f>INDEX(Operational[Energy Consumption (MWh)],MATCH(Emission8[[#This Row],[Facility ID]],Operational[Facility ID],0))</f>
        <v>7331.54</v>
      </c>
      <c r="I1966">
        <f>INDEX(Operational[Waste (tons)],MATCH(Emission8[[#This Row],[Facility ID]],Operational[Facility ID],0))</f>
        <v>55.52</v>
      </c>
    </row>
    <row r="1967" spans="1:9" x14ac:dyDescent="0.3">
      <c r="A1967" t="s">
        <v>53</v>
      </c>
      <c r="B1967" t="s">
        <v>7</v>
      </c>
      <c r="C1967" t="s">
        <v>8</v>
      </c>
      <c r="D1967" t="s">
        <v>14</v>
      </c>
      <c r="E1967" t="s">
        <v>15</v>
      </c>
      <c r="F1967">
        <v>2079.4</v>
      </c>
      <c r="G1967">
        <f>INDEX(Operational[Production Volume (units)],MATCH(Emission8[[#This Row],[Facility ID]],Operational[Facility ID],0))</f>
        <v>90632</v>
      </c>
      <c r="H1967">
        <f>INDEX(Operational[Energy Consumption (MWh)],MATCH(Emission8[[#This Row],[Facility ID]],Operational[Facility ID],0))</f>
        <v>5292.17</v>
      </c>
      <c r="I1967">
        <f>INDEX(Operational[Waste (tons)],MATCH(Emission8[[#This Row],[Facility ID]],Operational[Facility ID],0))</f>
        <v>78.45</v>
      </c>
    </row>
    <row r="1968" spans="1:9" x14ac:dyDescent="0.3">
      <c r="A1968" t="s">
        <v>36</v>
      </c>
      <c r="B1968" t="s">
        <v>12</v>
      </c>
      <c r="C1968" t="s">
        <v>13</v>
      </c>
      <c r="D1968" t="s">
        <v>28</v>
      </c>
      <c r="E1968" t="s">
        <v>15</v>
      </c>
      <c r="F1968">
        <v>2644.71</v>
      </c>
      <c r="G1968">
        <f>INDEX(Operational[Production Volume (units)],MATCH(Emission8[[#This Row],[Facility ID]],Operational[Facility ID],0))</f>
        <v>40226</v>
      </c>
      <c r="H1968">
        <f>INDEX(Operational[Energy Consumption (MWh)],MATCH(Emission8[[#This Row],[Facility ID]],Operational[Facility ID],0))</f>
        <v>7868.86</v>
      </c>
      <c r="I1968">
        <f>INDEX(Operational[Waste (tons)],MATCH(Emission8[[#This Row],[Facility ID]],Operational[Facility ID],0))</f>
        <v>80.53</v>
      </c>
    </row>
    <row r="1969" spans="1:9" x14ac:dyDescent="0.3">
      <c r="A1969" t="s">
        <v>110</v>
      </c>
      <c r="B1969" t="s">
        <v>12</v>
      </c>
      <c r="C1969" t="s">
        <v>8</v>
      </c>
      <c r="D1969" t="s">
        <v>14</v>
      </c>
      <c r="E1969" t="s">
        <v>15</v>
      </c>
      <c r="F1969">
        <v>813.42</v>
      </c>
      <c r="G1969">
        <f>INDEX(Operational[Production Volume (units)],MATCH(Emission8[[#This Row],[Facility ID]],Operational[Facility ID],0))</f>
        <v>70481</v>
      </c>
      <c r="H1969">
        <f>INDEX(Operational[Energy Consumption (MWh)],MATCH(Emission8[[#This Row],[Facility ID]],Operational[Facility ID],0))</f>
        <v>4452.83</v>
      </c>
      <c r="I1969">
        <f>INDEX(Operational[Waste (tons)],MATCH(Emission8[[#This Row],[Facility ID]],Operational[Facility ID],0))</f>
        <v>91.26</v>
      </c>
    </row>
    <row r="1970" spans="1:9" x14ac:dyDescent="0.3">
      <c r="A1970" t="s">
        <v>77</v>
      </c>
      <c r="B1970" t="s">
        <v>30</v>
      </c>
      <c r="C1970" t="s">
        <v>23</v>
      </c>
      <c r="D1970" t="s">
        <v>9</v>
      </c>
      <c r="E1970" t="s">
        <v>15</v>
      </c>
      <c r="F1970">
        <v>1500.74</v>
      </c>
      <c r="G1970">
        <f>INDEX(Operational[Production Volume (units)],MATCH(Emission8[[#This Row],[Facility ID]],Operational[Facility ID],0))</f>
        <v>61942</v>
      </c>
      <c r="H1970">
        <f>INDEX(Operational[Energy Consumption (MWh)],MATCH(Emission8[[#This Row],[Facility ID]],Operational[Facility ID],0))</f>
        <v>4891.32</v>
      </c>
      <c r="I1970">
        <f>INDEX(Operational[Waste (tons)],MATCH(Emission8[[#This Row],[Facility ID]],Operational[Facility ID],0))</f>
        <v>91.59</v>
      </c>
    </row>
    <row r="1971" spans="1:9" x14ac:dyDescent="0.3">
      <c r="A1971" t="s">
        <v>117</v>
      </c>
      <c r="B1971" t="s">
        <v>7</v>
      </c>
      <c r="C1971" t="s">
        <v>34</v>
      </c>
      <c r="D1971" t="s">
        <v>14</v>
      </c>
      <c r="E1971" t="s">
        <v>24</v>
      </c>
      <c r="F1971">
        <v>2099.7800000000002</v>
      </c>
      <c r="G1971">
        <f>INDEX(Operational[Production Volume (units)],MATCH(Emission8[[#This Row],[Facility ID]],Operational[Facility ID],0))</f>
        <v>89321</v>
      </c>
      <c r="H1971">
        <f>INDEX(Operational[Energy Consumption (MWh)],MATCH(Emission8[[#This Row],[Facility ID]],Operational[Facility ID],0))</f>
        <v>9836.34</v>
      </c>
      <c r="I1971">
        <f>INDEX(Operational[Waste (tons)],MATCH(Emission8[[#This Row],[Facility ID]],Operational[Facility ID],0))</f>
        <v>16.989999999999998</v>
      </c>
    </row>
    <row r="1972" spans="1:9" x14ac:dyDescent="0.3">
      <c r="A1972" t="s">
        <v>125</v>
      </c>
      <c r="B1972" t="s">
        <v>7</v>
      </c>
      <c r="C1972" t="s">
        <v>13</v>
      </c>
      <c r="D1972" t="s">
        <v>9</v>
      </c>
      <c r="E1972" t="s">
        <v>10</v>
      </c>
      <c r="F1972">
        <v>3573.18</v>
      </c>
      <c r="G1972">
        <f>INDEX(Operational[Production Volume (units)],MATCH(Emission8[[#This Row],[Facility ID]],Operational[Facility ID],0))</f>
        <v>56392</v>
      </c>
      <c r="H1972">
        <f>INDEX(Operational[Energy Consumption (MWh)],MATCH(Emission8[[#This Row],[Facility ID]],Operational[Facility ID],0))</f>
        <v>5703.76</v>
      </c>
      <c r="I1972">
        <f>INDEX(Operational[Waste (tons)],MATCH(Emission8[[#This Row],[Facility ID]],Operational[Facility ID],0))</f>
        <v>23.04</v>
      </c>
    </row>
    <row r="1973" spans="1:9" x14ac:dyDescent="0.3">
      <c r="A1973" t="s">
        <v>136</v>
      </c>
      <c r="B1973" t="s">
        <v>17</v>
      </c>
      <c r="C1973" t="s">
        <v>23</v>
      </c>
      <c r="D1973" t="s">
        <v>9</v>
      </c>
      <c r="E1973" t="s">
        <v>15</v>
      </c>
      <c r="F1973">
        <v>3666.98</v>
      </c>
      <c r="G1973">
        <f>INDEX(Operational[Production Volume (units)],MATCH(Emission8[[#This Row],[Facility ID]],Operational[Facility ID],0))</f>
        <v>15128</v>
      </c>
      <c r="H1973">
        <f>INDEX(Operational[Energy Consumption (MWh)],MATCH(Emission8[[#This Row],[Facility ID]],Operational[Facility ID],0))</f>
        <v>8847.09</v>
      </c>
      <c r="I1973">
        <f>INDEX(Operational[Waste (tons)],MATCH(Emission8[[#This Row],[Facility ID]],Operational[Facility ID],0))</f>
        <v>5.25</v>
      </c>
    </row>
    <row r="1974" spans="1:9" x14ac:dyDescent="0.3">
      <c r="A1974" t="s">
        <v>40</v>
      </c>
      <c r="B1974" t="s">
        <v>19</v>
      </c>
      <c r="C1974" t="s">
        <v>13</v>
      </c>
      <c r="D1974" t="s">
        <v>28</v>
      </c>
      <c r="E1974" t="s">
        <v>15</v>
      </c>
      <c r="F1974">
        <v>4772.12</v>
      </c>
      <c r="G1974">
        <f>INDEX(Operational[Production Volume (units)],MATCH(Emission8[[#This Row],[Facility ID]],Operational[Facility ID],0))</f>
        <v>96474</v>
      </c>
      <c r="H1974">
        <f>INDEX(Operational[Energy Consumption (MWh)],MATCH(Emission8[[#This Row],[Facility ID]],Operational[Facility ID],0))</f>
        <v>7574.39</v>
      </c>
      <c r="I1974">
        <f>INDEX(Operational[Waste (tons)],MATCH(Emission8[[#This Row],[Facility ID]],Operational[Facility ID],0))</f>
        <v>95.54</v>
      </c>
    </row>
    <row r="1975" spans="1:9" x14ac:dyDescent="0.3">
      <c r="A1975" t="s">
        <v>98</v>
      </c>
      <c r="B1975" t="s">
        <v>19</v>
      </c>
      <c r="C1975" t="s">
        <v>23</v>
      </c>
      <c r="D1975" t="s">
        <v>9</v>
      </c>
      <c r="E1975" t="s">
        <v>24</v>
      </c>
      <c r="F1975">
        <v>4691.37</v>
      </c>
      <c r="G1975">
        <f>INDEX(Operational[Production Volume (units)],MATCH(Emission8[[#This Row],[Facility ID]],Operational[Facility ID],0))</f>
        <v>26170</v>
      </c>
      <c r="H1975">
        <f>INDEX(Operational[Energy Consumption (MWh)],MATCH(Emission8[[#This Row],[Facility ID]],Operational[Facility ID],0))</f>
        <v>8057.54</v>
      </c>
      <c r="I1975">
        <f>INDEX(Operational[Waste (tons)],MATCH(Emission8[[#This Row],[Facility ID]],Operational[Facility ID],0))</f>
        <v>63.71</v>
      </c>
    </row>
    <row r="1976" spans="1:9" x14ac:dyDescent="0.3">
      <c r="A1976" t="s">
        <v>160</v>
      </c>
      <c r="B1976" t="s">
        <v>30</v>
      </c>
      <c r="C1976" t="s">
        <v>23</v>
      </c>
      <c r="D1976" t="s">
        <v>14</v>
      </c>
      <c r="E1976" t="s">
        <v>15</v>
      </c>
      <c r="F1976">
        <v>2731.04</v>
      </c>
      <c r="G1976">
        <f>INDEX(Operational[Production Volume (units)],MATCH(Emission8[[#This Row],[Facility ID]],Operational[Facility ID],0))</f>
        <v>18341</v>
      </c>
      <c r="H1976">
        <f>INDEX(Operational[Energy Consumption (MWh)],MATCH(Emission8[[#This Row],[Facility ID]],Operational[Facility ID],0))</f>
        <v>8465.57</v>
      </c>
      <c r="I1976">
        <f>INDEX(Operational[Waste (tons)],MATCH(Emission8[[#This Row],[Facility ID]],Operational[Facility ID],0))</f>
        <v>38.39</v>
      </c>
    </row>
    <row r="1977" spans="1:9" x14ac:dyDescent="0.3">
      <c r="A1977" t="s">
        <v>42</v>
      </c>
      <c r="B1977" t="s">
        <v>30</v>
      </c>
      <c r="C1977" t="s">
        <v>8</v>
      </c>
      <c r="D1977" t="s">
        <v>14</v>
      </c>
      <c r="E1977" t="s">
        <v>24</v>
      </c>
      <c r="F1977">
        <v>3020.79</v>
      </c>
      <c r="G1977">
        <f>INDEX(Operational[Production Volume (units)],MATCH(Emission8[[#This Row],[Facility ID]],Operational[Facility ID],0))</f>
        <v>41539</v>
      </c>
      <c r="H1977">
        <f>INDEX(Operational[Energy Consumption (MWh)],MATCH(Emission8[[#This Row],[Facility ID]],Operational[Facility ID],0))</f>
        <v>982.8</v>
      </c>
      <c r="I1977">
        <f>INDEX(Operational[Waste (tons)],MATCH(Emission8[[#This Row],[Facility ID]],Operational[Facility ID],0))</f>
        <v>79.7</v>
      </c>
    </row>
    <row r="1978" spans="1:9" x14ac:dyDescent="0.3">
      <c r="A1978" t="s">
        <v>112</v>
      </c>
      <c r="B1978" t="s">
        <v>30</v>
      </c>
      <c r="C1978" t="s">
        <v>34</v>
      </c>
      <c r="D1978" t="s">
        <v>28</v>
      </c>
      <c r="E1978" t="s">
        <v>24</v>
      </c>
      <c r="F1978">
        <v>1086.79</v>
      </c>
      <c r="G1978">
        <f>INDEX(Operational[Production Volume (units)],MATCH(Emission8[[#This Row],[Facility ID]],Operational[Facility ID],0))</f>
        <v>43294</v>
      </c>
      <c r="H1978">
        <f>INDEX(Operational[Energy Consumption (MWh)],MATCH(Emission8[[#This Row],[Facility ID]],Operational[Facility ID],0))</f>
        <v>3802.13</v>
      </c>
      <c r="I1978">
        <f>INDEX(Operational[Waste (tons)],MATCH(Emission8[[#This Row],[Facility ID]],Operational[Facility ID],0))</f>
        <v>45.84</v>
      </c>
    </row>
    <row r="1979" spans="1:9" x14ac:dyDescent="0.3">
      <c r="A1979" t="s">
        <v>130</v>
      </c>
      <c r="B1979" t="s">
        <v>12</v>
      </c>
      <c r="C1979" t="s">
        <v>23</v>
      </c>
      <c r="D1979" t="s">
        <v>9</v>
      </c>
      <c r="E1979" t="s">
        <v>24</v>
      </c>
      <c r="F1979">
        <v>5115.13</v>
      </c>
      <c r="G1979">
        <f>INDEX(Operational[Production Volume (units)],MATCH(Emission8[[#This Row],[Facility ID]],Operational[Facility ID],0))</f>
        <v>82332</v>
      </c>
      <c r="H1979">
        <f>INDEX(Operational[Energy Consumption (MWh)],MATCH(Emission8[[#This Row],[Facility ID]],Operational[Facility ID],0))</f>
        <v>7134.86</v>
      </c>
      <c r="I1979">
        <f>INDEX(Operational[Waste (tons)],MATCH(Emission8[[#This Row],[Facility ID]],Operational[Facility ID],0))</f>
        <v>22.44</v>
      </c>
    </row>
    <row r="1980" spans="1:9" x14ac:dyDescent="0.3">
      <c r="A1980" t="s">
        <v>116</v>
      </c>
      <c r="B1980" t="s">
        <v>17</v>
      </c>
      <c r="C1980" t="s">
        <v>23</v>
      </c>
      <c r="D1980" t="s">
        <v>14</v>
      </c>
      <c r="E1980" t="s">
        <v>10</v>
      </c>
      <c r="F1980">
        <v>2958.7</v>
      </c>
      <c r="G1980">
        <f>INDEX(Operational[Production Volume (units)],MATCH(Emission8[[#This Row],[Facility ID]],Operational[Facility ID],0))</f>
        <v>68216</v>
      </c>
      <c r="H1980">
        <f>INDEX(Operational[Energy Consumption (MWh)],MATCH(Emission8[[#This Row],[Facility ID]],Operational[Facility ID],0))</f>
        <v>9562.33</v>
      </c>
      <c r="I1980">
        <f>INDEX(Operational[Waste (tons)],MATCH(Emission8[[#This Row],[Facility ID]],Operational[Facility ID],0))</f>
        <v>63.59</v>
      </c>
    </row>
    <row r="1981" spans="1:9" x14ac:dyDescent="0.3">
      <c r="A1981" t="s">
        <v>93</v>
      </c>
      <c r="B1981" t="s">
        <v>30</v>
      </c>
      <c r="C1981" t="s">
        <v>23</v>
      </c>
      <c r="D1981" t="s">
        <v>9</v>
      </c>
      <c r="E1981" t="s">
        <v>10</v>
      </c>
      <c r="F1981">
        <v>1571.97</v>
      </c>
      <c r="G1981">
        <f>INDEX(Operational[Production Volume (units)],MATCH(Emission8[[#This Row],[Facility ID]],Operational[Facility ID],0))</f>
        <v>26378</v>
      </c>
      <c r="H1981">
        <f>INDEX(Operational[Energy Consumption (MWh)],MATCH(Emission8[[#This Row],[Facility ID]],Operational[Facility ID],0))</f>
        <v>2915.44</v>
      </c>
      <c r="I1981">
        <f>INDEX(Operational[Waste (tons)],MATCH(Emission8[[#This Row],[Facility ID]],Operational[Facility ID],0))</f>
        <v>29.84</v>
      </c>
    </row>
    <row r="1982" spans="1:9" x14ac:dyDescent="0.3">
      <c r="A1982" t="s">
        <v>141</v>
      </c>
      <c r="B1982" t="s">
        <v>7</v>
      </c>
      <c r="C1982" t="s">
        <v>13</v>
      </c>
      <c r="D1982" t="s">
        <v>28</v>
      </c>
      <c r="E1982" t="s">
        <v>15</v>
      </c>
      <c r="F1982">
        <v>2745.85</v>
      </c>
      <c r="G1982">
        <f>INDEX(Operational[Production Volume (units)],MATCH(Emission8[[#This Row],[Facility ID]],Operational[Facility ID],0))</f>
        <v>45644</v>
      </c>
      <c r="H1982">
        <f>INDEX(Operational[Energy Consumption (MWh)],MATCH(Emission8[[#This Row],[Facility ID]],Operational[Facility ID],0))</f>
        <v>7724.73</v>
      </c>
      <c r="I1982">
        <f>INDEX(Operational[Waste (tons)],MATCH(Emission8[[#This Row],[Facility ID]],Operational[Facility ID],0))</f>
        <v>31</v>
      </c>
    </row>
    <row r="1983" spans="1:9" x14ac:dyDescent="0.3">
      <c r="A1983" t="s">
        <v>156</v>
      </c>
      <c r="B1983" t="s">
        <v>17</v>
      </c>
      <c r="C1983" t="s">
        <v>23</v>
      </c>
      <c r="D1983" t="s">
        <v>28</v>
      </c>
      <c r="E1983" t="s">
        <v>24</v>
      </c>
      <c r="F1983">
        <v>1531</v>
      </c>
      <c r="G1983">
        <f>INDEX(Operational[Production Volume (units)],MATCH(Emission8[[#This Row],[Facility ID]],Operational[Facility ID],0))</f>
        <v>81057</v>
      </c>
      <c r="H1983">
        <f>INDEX(Operational[Energy Consumption (MWh)],MATCH(Emission8[[#This Row],[Facility ID]],Operational[Facility ID],0))</f>
        <v>675.41</v>
      </c>
      <c r="I1983">
        <f>INDEX(Operational[Waste (tons)],MATCH(Emission8[[#This Row],[Facility ID]],Operational[Facility ID],0))</f>
        <v>55.44</v>
      </c>
    </row>
    <row r="1984" spans="1:9" x14ac:dyDescent="0.3">
      <c r="A1984" t="s">
        <v>207</v>
      </c>
      <c r="B1984" t="s">
        <v>17</v>
      </c>
      <c r="C1984" t="s">
        <v>8</v>
      </c>
      <c r="D1984" t="s">
        <v>9</v>
      </c>
      <c r="E1984" t="s">
        <v>10</v>
      </c>
      <c r="F1984">
        <v>4709.8</v>
      </c>
      <c r="G1984">
        <f>INDEX(Operational[Production Volume (units)],MATCH(Emission8[[#This Row],[Facility ID]],Operational[Facility ID],0))</f>
        <v>99115</v>
      </c>
      <c r="H1984">
        <f>INDEX(Operational[Energy Consumption (MWh)],MATCH(Emission8[[#This Row],[Facility ID]],Operational[Facility ID],0))</f>
        <v>827.26</v>
      </c>
      <c r="I1984">
        <f>INDEX(Operational[Waste (tons)],MATCH(Emission8[[#This Row],[Facility ID]],Operational[Facility ID],0))</f>
        <v>28.88</v>
      </c>
    </row>
    <row r="1985" spans="1:9" x14ac:dyDescent="0.3">
      <c r="A1985" t="s">
        <v>171</v>
      </c>
      <c r="B1985" t="s">
        <v>17</v>
      </c>
      <c r="C1985" t="s">
        <v>34</v>
      </c>
      <c r="D1985" t="s">
        <v>28</v>
      </c>
      <c r="E1985" t="s">
        <v>24</v>
      </c>
      <c r="F1985">
        <v>830.08</v>
      </c>
      <c r="G1985">
        <f>INDEX(Operational[Production Volume (units)],MATCH(Emission8[[#This Row],[Facility ID]],Operational[Facility ID],0))</f>
        <v>24502</v>
      </c>
      <c r="H1985">
        <f>INDEX(Operational[Energy Consumption (MWh)],MATCH(Emission8[[#This Row],[Facility ID]],Operational[Facility ID],0))</f>
        <v>7466.86</v>
      </c>
      <c r="I1985">
        <f>INDEX(Operational[Waste (tons)],MATCH(Emission8[[#This Row],[Facility ID]],Operational[Facility ID],0))</f>
        <v>88.83</v>
      </c>
    </row>
    <row r="1986" spans="1:9" x14ac:dyDescent="0.3">
      <c r="A1986" t="s">
        <v>203</v>
      </c>
      <c r="B1986" t="s">
        <v>12</v>
      </c>
      <c r="C1986" t="s">
        <v>8</v>
      </c>
      <c r="D1986" t="s">
        <v>28</v>
      </c>
      <c r="E1986" t="s">
        <v>15</v>
      </c>
      <c r="F1986">
        <v>4453.8999999999996</v>
      </c>
      <c r="G1986">
        <f>INDEX(Operational[Production Volume (units)],MATCH(Emission8[[#This Row],[Facility ID]],Operational[Facility ID],0))</f>
        <v>66398</v>
      </c>
      <c r="H1986">
        <f>INDEX(Operational[Energy Consumption (MWh)],MATCH(Emission8[[#This Row],[Facility ID]],Operational[Facility ID],0))</f>
        <v>8713.61</v>
      </c>
      <c r="I1986">
        <f>INDEX(Operational[Waste (tons)],MATCH(Emission8[[#This Row],[Facility ID]],Operational[Facility ID],0))</f>
        <v>83.44</v>
      </c>
    </row>
    <row r="1987" spans="1:9" x14ac:dyDescent="0.3">
      <c r="A1987" t="s">
        <v>70</v>
      </c>
      <c r="B1987" t="s">
        <v>19</v>
      </c>
      <c r="C1987" t="s">
        <v>13</v>
      </c>
      <c r="D1987" t="s">
        <v>28</v>
      </c>
      <c r="E1987" t="s">
        <v>24</v>
      </c>
      <c r="F1987">
        <v>4791.93</v>
      </c>
      <c r="G1987">
        <f>INDEX(Operational[Production Volume (units)],MATCH(Emission8[[#This Row],[Facility ID]],Operational[Facility ID],0))</f>
        <v>42485</v>
      </c>
      <c r="H1987">
        <f>INDEX(Operational[Energy Consumption (MWh)],MATCH(Emission8[[#This Row],[Facility ID]],Operational[Facility ID],0))</f>
        <v>4755.75</v>
      </c>
      <c r="I1987">
        <f>INDEX(Operational[Waste (tons)],MATCH(Emission8[[#This Row],[Facility ID]],Operational[Facility ID],0))</f>
        <v>10.19</v>
      </c>
    </row>
    <row r="1988" spans="1:9" x14ac:dyDescent="0.3">
      <c r="A1988" t="s">
        <v>137</v>
      </c>
      <c r="B1988" t="s">
        <v>17</v>
      </c>
      <c r="C1988" t="s">
        <v>13</v>
      </c>
      <c r="D1988" t="s">
        <v>9</v>
      </c>
      <c r="E1988" t="s">
        <v>10</v>
      </c>
      <c r="F1988">
        <v>2280.11</v>
      </c>
      <c r="G1988">
        <f>INDEX(Operational[Production Volume (units)],MATCH(Emission8[[#This Row],[Facility ID]],Operational[Facility ID],0))</f>
        <v>19265</v>
      </c>
      <c r="H1988">
        <f>INDEX(Operational[Energy Consumption (MWh)],MATCH(Emission8[[#This Row],[Facility ID]],Operational[Facility ID],0))</f>
        <v>776.6</v>
      </c>
      <c r="I1988">
        <f>INDEX(Operational[Waste (tons)],MATCH(Emission8[[#This Row],[Facility ID]],Operational[Facility ID],0))</f>
        <v>39.75</v>
      </c>
    </row>
    <row r="1989" spans="1:9" x14ac:dyDescent="0.3">
      <c r="A1989" t="s">
        <v>101</v>
      </c>
      <c r="B1989" t="s">
        <v>19</v>
      </c>
      <c r="C1989" t="s">
        <v>34</v>
      </c>
      <c r="D1989" t="s">
        <v>9</v>
      </c>
      <c r="E1989" t="s">
        <v>24</v>
      </c>
      <c r="F1989">
        <v>4839.8100000000004</v>
      </c>
      <c r="G1989">
        <f>INDEX(Operational[Production Volume (units)],MATCH(Emission8[[#This Row],[Facility ID]],Operational[Facility ID],0))</f>
        <v>39050</v>
      </c>
      <c r="H1989">
        <f>INDEX(Operational[Energy Consumption (MWh)],MATCH(Emission8[[#This Row],[Facility ID]],Operational[Facility ID],0))</f>
        <v>5885.73</v>
      </c>
      <c r="I1989">
        <f>INDEX(Operational[Waste (tons)],MATCH(Emission8[[#This Row],[Facility ID]],Operational[Facility ID],0))</f>
        <v>93.04</v>
      </c>
    </row>
    <row r="1990" spans="1:9" x14ac:dyDescent="0.3">
      <c r="A1990" t="s">
        <v>84</v>
      </c>
      <c r="B1990" t="s">
        <v>30</v>
      </c>
      <c r="C1990" t="s">
        <v>13</v>
      </c>
      <c r="D1990" t="s">
        <v>14</v>
      </c>
      <c r="E1990" t="s">
        <v>24</v>
      </c>
      <c r="F1990">
        <v>506.81</v>
      </c>
      <c r="G1990">
        <f>INDEX(Operational[Production Volume (units)],MATCH(Emission8[[#This Row],[Facility ID]],Operational[Facility ID],0))</f>
        <v>85444</v>
      </c>
      <c r="H1990">
        <f>INDEX(Operational[Energy Consumption (MWh)],MATCH(Emission8[[#This Row],[Facility ID]],Operational[Facility ID],0))</f>
        <v>852.57</v>
      </c>
      <c r="I1990">
        <f>INDEX(Operational[Waste (tons)],MATCH(Emission8[[#This Row],[Facility ID]],Operational[Facility ID],0))</f>
        <v>72.650000000000006</v>
      </c>
    </row>
    <row r="1991" spans="1:9" x14ac:dyDescent="0.3">
      <c r="A1991" t="s">
        <v>35</v>
      </c>
      <c r="B1991" t="s">
        <v>19</v>
      </c>
      <c r="C1991" t="s">
        <v>13</v>
      </c>
      <c r="D1991" t="s">
        <v>9</v>
      </c>
      <c r="E1991" t="s">
        <v>15</v>
      </c>
      <c r="F1991">
        <v>3907.24</v>
      </c>
      <c r="G1991">
        <f>INDEX(Operational[Production Volume (units)],MATCH(Emission8[[#This Row],[Facility ID]],Operational[Facility ID],0))</f>
        <v>42382</v>
      </c>
      <c r="H1991">
        <f>INDEX(Operational[Energy Consumption (MWh)],MATCH(Emission8[[#This Row],[Facility ID]],Operational[Facility ID],0))</f>
        <v>5116.6899999999996</v>
      </c>
      <c r="I1991">
        <f>INDEX(Operational[Waste (tons)],MATCH(Emission8[[#This Row],[Facility ID]],Operational[Facility ID],0))</f>
        <v>80.42</v>
      </c>
    </row>
    <row r="1992" spans="1:9" x14ac:dyDescent="0.3">
      <c r="A1992" t="s">
        <v>216</v>
      </c>
      <c r="B1992" t="s">
        <v>17</v>
      </c>
      <c r="C1992" t="s">
        <v>13</v>
      </c>
      <c r="D1992" t="s">
        <v>9</v>
      </c>
      <c r="E1992" t="s">
        <v>15</v>
      </c>
      <c r="F1992">
        <v>2483.8200000000002</v>
      </c>
      <c r="G1992">
        <f>INDEX(Operational[Production Volume (units)],MATCH(Emission8[[#This Row],[Facility ID]],Operational[Facility ID],0))</f>
        <v>13302</v>
      </c>
      <c r="H1992">
        <f>INDEX(Operational[Energy Consumption (MWh)],MATCH(Emission8[[#This Row],[Facility ID]],Operational[Facility ID],0))</f>
        <v>821.51</v>
      </c>
      <c r="I1992">
        <f>INDEX(Operational[Waste (tons)],MATCH(Emission8[[#This Row],[Facility ID]],Operational[Facility ID],0))</f>
        <v>69.599999999999994</v>
      </c>
    </row>
    <row r="1993" spans="1:9" x14ac:dyDescent="0.3">
      <c r="A1993" t="s">
        <v>133</v>
      </c>
      <c r="B1993" t="s">
        <v>17</v>
      </c>
      <c r="C1993" t="s">
        <v>23</v>
      </c>
      <c r="D1993" t="s">
        <v>28</v>
      </c>
      <c r="E1993" t="s">
        <v>10</v>
      </c>
      <c r="F1993">
        <v>139.57</v>
      </c>
      <c r="G1993">
        <f>INDEX(Operational[Production Volume (units)],MATCH(Emission8[[#This Row],[Facility ID]],Operational[Facility ID],0))</f>
        <v>48501</v>
      </c>
      <c r="H1993">
        <f>INDEX(Operational[Energy Consumption (MWh)],MATCH(Emission8[[#This Row],[Facility ID]],Operational[Facility ID],0))</f>
        <v>7209.77</v>
      </c>
      <c r="I1993">
        <f>INDEX(Operational[Waste (tons)],MATCH(Emission8[[#This Row],[Facility ID]],Operational[Facility ID],0))</f>
        <v>92.51</v>
      </c>
    </row>
    <row r="1994" spans="1:9" x14ac:dyDescent="0.3">
      <c r="A1994" t="s">
        <v>184</v>
      </c>
      <c r="B1994" t="s">
        <v>30</v>
      </c>
      <c r="C1994" t="s">
        <v>13</v>
      </c>
      <c r="D1994" t="s">
        <v>9</v>
      </c>
      <c r="E1994" t="s">
        <v>15</v>
      </c>
      <c r="F1994">
        <v>2912.66</v>
      </c>
      <c r="G1994">
        <f>INDEX(Operational[Production Volume (units)],MATCH(Emission8[[#This Row],[Facility ID]],Operational[Facility ID],0))</f>
        <v>13543</v>
      </c>
      <c r="H1994">
        <f>INDEX(Operational[Energy Consumption (MWh)],MATCH(Emission8[[#This Row],[Facility ID]],Operational[Facility ID],0))</f>
        <v>7854.96</v>
      </c>
      <c r="I1994">
        <f>INDEX(Operational[Waste (tons)],MATCH(Emission8[[#This Row],[Facility ID]],Operational[Facility ID],0))</f>
        <v>85.57</v>
      </c>
    </row>
    <row r="1995" spans="1:9" x14ac:dyDescent="0.3">
      <c r="A1995" t="s">
        <v>106</v>
      </c>
      <c r="B1995" t="s">
        <v>12</v>
      </c>
      <c r="C1995" t="s">
        <v>34</v>
      </c>
      <c r="D1995" t="s">
        <v>14</v>
      </c>
      <c r="E1995" t="s">
        <v>15</v>
      </c>
      <c r="F1995">
        <v>479.83</v>
      </c>
      <c r="G1995">
        <f>INDEX(Operational[Production Volume (units)],MATCH(Emission8[[#This Row],[Facility ID]],Operational[Facility ID],0))</f>
        <v>21386</v>
      </c>
      <c r="H1995">
        <f>INDEX(Operational[Energy Consumption (MWh)],MATCH(Emission8[[#This Row],[Facility ID]],Operational[Facility ID],0))</f>
        <v>2271.92</v>
      </c>
      <c r="I1995">
        <f>INDEX(Operational[Waste (tons)],MATCH(Emission8[[#This Row],[Facility ID]],Operational[Facility ID],0))</f>
        <v>49.67</v>
      </c>
    </row>
    <row r="1996" spans="1:9" x14ac:dyDescent="0.3">
      <c r="A1996" t="s">
        <v>118</v>
      </c>
      <c r="B1996" t="s">
        <v>30</v>
      </c>
      <c r="C1996" t="s">
        <v>34</v>
      </c>
      <c r="D1996" t="s">
        <v>9</v>
      </c>
      <c r="E1996" t="s">
        <v>15</v>
      </c>
      <c r="F1996">
        <v>5275.24</v>
      </c>
      <c r="G1996">
        <f>INDEX(Operational[Production Volume (units)],MATCH(Emission8[[#This Row],[Facility ID]],Operational[Facility ID],0))</f>
        <v>68492</v>
      </c>
      <c r="H1996">
        <f>INDEX(Operational[Energy Consumption (MWh)],MATCH(Emission8[[#This Row],[Facility ID]],Operational[Facility ID],0))</f>
        <v>3533.88</v>
      </c>
      <c r="I1996">
        <f>INDEX(Operational[Waste (tons)],MATCH(Emission8[[#This Row],[Facility ID]],Operational[Facility ID],0))</f>
        <v>52.99</v>
      </c>
    </row>
    <row r="1997" spans="1:9" x14ac:dyDescent="0.3">
      <c r="A1997" t="s">
        <v>116</v>
      </c>
      <c r="B1997" t="s">
        <v>17</v>
      </c>
      <c r="C1997" t="s">
        <v>8</v>
      </c>
      <c r="D1997" t="s">
        <v>14</v>
      </c>
      <c r="E1997" t="s">
        <v>15</v>
      </c>
      <c r="F1997">
        <v>3515.66</v>
      </c>
      <c r="G1997">
        <f>INDEX(Operational[Production Volume (units)],MATCH(Emission8[[#This Row],[Facility ID]],Operational[Facility ID],0))</f>
        <v>68216</v>
      </c>
      <c r="H1997">
        <f>INDEX(Operational[Energy Consumption (MWh)],MATCH(Emission8[[#This Row],[Facility ID]],Operational[Facility ID],0))</f>
        <v>9562.33</v>
      </c>
      <c r="I1997">
        <f>INDEX(Operational[Waste (tons)],MATCH(Emission8[[#This Row],[Facility ID]],Operational[Facility ID],0))</f>
        <v>63.59</v>
      </c>
    </row>
    <row r="1998" spans="1:9" x14ac:dyDescent="0.3">
      <c r="A1998" t="s">
        <v>110</v>
      </c>
      <c r="B1998" t="s">
        <v>12</v>
      </c>
      <c r="C1998" t="s">
        <v>34</v>
      </c>
      <c r="D1998" t="s">
        <v>9</v>
      </c>
      <c r="E1998" t="s">
        <v>15</v>
      </c>
      <c r="F1998">
        <v>771.45</v>
      </c>
      <c r="G1998">
        <f>INDEX(Operational[Production Volume (units)],MATCH(Emission8[[#This Row],[Facility ID]],Operational[Facility ID],0))</f>
        <v>70481</v>
      </c>
      <c r="H1998">
        <f>INDEX(Operational[Energy Consumption (MWh)],MATCH(Emission8[[#This Row],[Facility ID]],Operational[Facility ID],0))</f>
        <v>4452.83</v>
      </c>
      <c r="I1998">
        <f>INDEX(Operational[Waste (tons)],MATCH(Emission8[[#This Row],[Facility ID]],Operational[Facility ID],0))</f>
        <v>91.26</v>
      </c>
    </row>
    <row r="1999" spans="1:9" x14ac:dyDescent="0.3">
      <c r="A1999" t="s">
        <v>172</v>
      </c>
      <c r="B1999" t="s">
        <v>7</v>
      </c>
      <c r="C1999" t="s">
        <v>34</v>
      </c>
      <c r="D1999" t="s">
        <v>28</v>
      </c>
      <c r="E1999" t="s">
        <v>15</v>
      </c>
      <c r="F1999">
        <v>705.84</v>
      </c>
      <c r="G1999">
        <f>INDEX(Operational[Production Volume (units)],MATCH(Emission8[[#This Row],[Facility ID]],Operational[Facility ID],0))</f>
        <v>68820</v>
      </c>
      <c r="H1999">
        <f>INDEX(Operational[Energy Consumption (MWh)],MATCH(Emission8[[#This Row],[Facility ID]],Operational[Facility ID],0))</f>
        <v>9612.25</v>
      </c>
      <c r="I1999">
        <f>INDEX(Operational[Waste (tons)],MATCH(Emission8[[#This Row],[Facility ID]],Operational[Facility ID],0))</f>
        <v>83.51</v>
      </c>
    </row>
    <row r="2000" spans="1:9" x14ac:dyDescent="0.3">
      <c r="A2000" t="s">
        <v>126</v>
      </c>
      <c r="B2000" t="s">
        <v>30</v>
      </c>
      <c r="C2000" t="s">
        <v>23</v>
      </c>
      <c r="D2000" t="s">
        <v>9</v>
      </c>
      <c r="E2000" t="s">
        <v>10</v>
      </c>
      <c r="F2000">
        <v>3398.71</v>
      </c>
      <c r="G2000">
        <f>INDEX(Operational[Production Volume (units)],MATCH(Emission8[[#This Row],[Facility ID]],Operational[Facility ID],0))</f>
        <v>35506</v>
      </c>
      <c r="H2000">
        <f>INDEX(Operational[Energy Consumption (MWh)],MATCH(Emission8[[#This Row],[Facility ID]],Operational[Facility ID],0))</f>
        <v>1892.04</v>
      </c>
      <c r="I2000">
        <f>INDEX(Operational[Waste (tons)],MATCH(Emission8[[#This Row],[Facility ID]],Operational[Facility ID],0))</f>
        <v>61.53</v>
      </c>
    </row>
    <row r="2001" spans="1:9" x14ac:dyDescent="0.3">
      <c r="A2001" t="s">
        <v>107</v>
      </c>
      <c r="B2001" t="s">
        <v>30</v>
      </c>
      <c r="C2001" t="s">
        <v>34</v>
      </c>
      <c r="D2001" t="s">
        <v>28</v>
      </c>
      <c r="E2001" t="s">
        <v>24</v>
      </c>
      <c r="F2001">
        <v>2433.04</v>
      </c>
      <c r="G2001">
        <f>INDEX(Operational[Production Volume (units)],MATCH(Emission8[[#This Row],[Facility ID]],Operational[Facility ID],0))</f>
        <v>69305</v>
      </c>
      <c r="H2001">
        <f>INDEX(Operational[Energy Consumption (MWh)],MATCH(Emission8[[#This Row],[Facility ID]],Operational[Facility ID],0))</f>
        <v>3203.67</v>
      </c>
      <c r="I2001">
        <f>INDEX(Operational[Waste (tons)],MATCH(Emission8[[#This Row],[Facility ID]],Operational[Facility ID],0))</f>
        <v>83.65</v>
      </c>
    </row>
  </sheetData>
  <autoFilter ref="K30" xr:uid="{22411BDE-D240-4101-B9AD-05EC724B1BDC}"/>
  <conditionalFormatting sqref="F2:F2001">
    <cfRule type="expression" dxfId="12" priority="4">
      <formula>OR(F2&lt;$L$6,F2&gt;$L$7)</formula>
    </cfRule>
  </conditionalFormatting>
  <conditionalFormatting sqref="G2:G2001">
    <cfRule type="expression" dxfId="11" priority="3">
      <formula>OR(G2&lt;$L$13,G2&gt;$L$14)</formula>
    </cfRule>
  </conditionalFormatting>
  <conditionalFormatting sqref="H2:H2001">
    <cfRule type="expression" dxfId="10" priority="2">
      <formula>OR(H2&lt;$L$20,H2&gt;$L$21)</formula>
    </cfRule>
  </conditionalFormatting>
  <conditionalFormatting sqref="I2:I2001">
    <cfRule type="expression" dxfId="9" priority="1">
      <formula>OR(I2&lt;$L$27,I2&gt;$L$28)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136B-BFAC-453E-8141-5ED0617E162D}">
  <sheetPr>
    <tabColor rgb="FFF541E4"/>
  </sheetPr>
  <dimension ref="A1:K2001"/>
  <sheetViews>
    <sheetView workbookViewId="0"/>
  </sheetViews>
  <sheetFormatPr defaultRowHeight="14" x14ac:dyDescent="0.3"/>
  <cols>
    <col min="2" max="2" width="16.5" customWidth="1"/>
    <col min="3" max="3" width="14.75" customWidth="1"/>
    <col min="4" max="4" width="7.1640625" customWidth="1"/>
    <col min="5" max="5" width="9" customWidth="1"/>
    <col min="6" max="6" width="14.4140625" customWidth="1"/>
    <col min="7" max="7" width="22.75" customWidth="1"/>
    <col min="8" max="8" width="24.6640625" customWidth="1"/>
    <col min="9" max="9" width="11.4140625" customWidth="1"/>
    <col min="10" max="10" width="34.25" customWidth="1"/>
    <col min="11" max="11" width="20.58203125" customWidth="1"/>
  </cols>
  <sheetData>
    <row r="1" spans="1:1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221</v>
      </c>
      <c r="H1" s="12" t="s">
        <v>222</v>
      </c>
      <c r="I1" s="12" t="s">
        <v>223</v>
      </c>
      <c r="J1" s="12" t="s">
        <v>225</v>
      </c>
      <c r="K1" s="12" t="s">
        <v>226</v>
      </c>
    </row>
    <row r="2" spans="1:1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2435.6</v>
      </c>
      <c r="G2">
        <v>77330</v>
      </c>
      <c r="H2">
        <v>6936.58</v>
      </c>
      <c r="I2">
        <v>82.3</v>
      </c>
      <c r="J2">
        <f>IFERROR(INDEX(Suppliar[Estimated Carbon Footprint (tons CO₂e)],MATCH('Merge operational &amp; suppliar'!A2,Suppliar[Facility ID],0)),"")</f>
        <v>264.23</v>
      </c>
      <c r="K2">
        <f>IFERROR(INDEX(Suppliar[Income Distribution (%)],MATCH('Merge operational &amp; suppliar'!A2,Suppliar[Facility ID],0)),"")</f>
        <v>28.19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835.45</v>
      </c>
      <c r="G3">
        <v>44657</v>
      </c>
      <c r="H3">
        <v>7867.98</v>
      </c>
      <c r="I3">
        <v>96.01</v>
      </c>
      <c r="J3">
        <f>IFERROR(INDEX(Suppliar[Estimated Carbon Footprint (tons CO₂e)],MATCH('Merge operational &amp; suppliar'!A3,Suppliar[Facility ID],0)),"")</f>
        <v>694.92</v>
      </c>
      <c r="K3">
        <f>IFERROR(INDEX(Suppliar[Income Distribution (%)],MATCH('Merge operational &amp; suppliar'!A3,Suppliar[Facility ID],0)),"")</f>
        <v>26.24</v>
      </c>
    </row>
    <row r="4" spans="1:11" x14ac:dyDescent="0.3">
      <c r="A4" t="s">
        <v>16</v>
      </c>
      <c r="B4" t="s">
        <v>17</v>
      </c>
      <c r="C4" t="s">
        <v>13</v>
      </c>
      <c r="D4" t="s">
        <v>14</v>
      </c>
      <c r="E4" t="s">
        <v>15</v>
      </c>
      <c r="F4">
        <v>3430.45</v>
      </c>
      <c r="G4">
        <v>43512</v>
      </c>
      <c r="H4">
        <v>5352.18</v>
      </c>
      <c r="I4">
        <v>6.17</v>
      </c>
      <c r="J4">
        <f>IFERROR(INDEX(Suppliar[Estimated Carbon Footprint (tons CO₂e)],MATCH('Merge operational &amp; suppliar'!A4,Suppliar[Facility ID],0)),"")</f>
        <v>311.36</v>
      </c>
      <c r="K4">
        <f>IFERROR(INDEX(Suppliar[Income Distribution (%)],MATCH('Merge operational &amp; suppliar'!A4,Suppliar[Facility ID],0)),"")</f>
        <v>28.72</v>
      </c>
    </row>
    <row r="5" spans="1:11" x14ac:dyDescent="0.3">
      <c r="A5" t="s">
        <v>18</v>
      </c>
      <c r="B5" t="s">
        <v>19</v>
      </c>
      <c r="C5" t="s">
        <v>8</v>
      </c>
      <c r="D5" t="s">
        <v>14</v>
      </c>
      <c r="E5" t="s">
        <v>15</v>
      </c>
      <c r="F5">
        <v>4214.24</v>
      </c>
      <c r="G5">
        <v>98682</v>
      </c>
      <c r="H5">
        <v>6220.56</v>
      </c>
      <c r="I5">
        <v>70.099999999999994</v>
      </c>
      <c r="J5">
        <f>IFERROR(INDEX(Suppliar[Estimated Carbon Footprint (tons CO₂e)],MATCH('Merge operational &amp; suppliar'!A5,Suppliar[Facility ID],0)),"")</f>
        <v>724.63</v>
      </c>
      <c r="K5">
        <f>IFERROR(INDEX(Suppliar[Income Distribution (%)],MATCH('Merge operational &amp; suppliar'!A5,Suppliar[Facility ID],0)),"")</f>
        <v>27.81</v>
      </c>
    </row>
    <row r="6" spans="1:11" x14ac:dyDescent="0.3">
      <c r="A6" t="s">
        <v>20</v>
      </c>
      <c r="B6" t="s">
        <v>17</v>
      </c>
      <c r="C6" t="s">
        <v>13</v>
      </c>
      <c r="D6" t="s">
        <v>9</v>
      </c>
      <c r="E6" t="s">
        <v>10</v>
      </c>
      <c r="F6">
        <v>605.59</v>
      </c>
      <c r="G6">
        <v>29895</v>
      </c>
      <c r="H6">
        <v>1631.08</v>
      </c>
      <c r="I6">
        <v>39.93</v>
      </c>
      <c r="J6">
        <f>IFERROR(INDEX(Suppliar[Estimated Carbon Footprint (tons CO₂e)],MATCH('Merge operational &amp; suppliar'!A6,Suppliar[Facility ID],0)),"")</f>
        <v>959.2</v>
      </c>
      <c r="K6">
        <f>IFERROR(INDEX(Suppliar[Income Distribution (%)],MATCH('Merge operational &amp; suppliar'!A6,Suppliar[Facility ID],0)),"")</f>
        <v>38.840000000000003</v>
      </c>
    </row>
    <row r="7" spans="1:11" x14ac:dyDescent="0.3">
      <c r="A7" t="s">
        <v>21</v>
      </c>
      <c r="B7" t="s">
        <v>19</v>
      </c>
      <c r="C7" t="s">
        <v>13</v>
      </c>
      <c r="D7" t="s">
        <v>14</v>
      </c>
      <c r="E7" t="s">
        <v>10</v>
      </c>
      <c r="F7">
        <v>656.33</v>
      </c>
      <c r="G7">
        <v>61157</v>
      </c>
      <c r="H7">
        <v>7331.54</v>
      </c>
      <c r="I7">
        <v>55.52</v>
      </c>
      <c r="J7">
        <f>IFERROR(INDEX(Suppliar[Estimated Carbon Footprint (tons CO₂e)],MATCH('Merge operational &amp; suppliar'!A7,Suppliar[Facility ID],0)),"")</f>
        <v>783.77</v>
      </c>
      <c r="K7">
        <f>IFERROR(INDEX(Suppliar[Income Distribution (%)],MATCH('Merge operational &amp; suppliar'!A7,Suppliar[Facility ID],0)),"")</f>
        <v>31.59</v>
      </c>
    </row>
    <row r="8" spans="1:11" x14ac:dyDescent="0.3">
      <c r="A8" t="s">
        <v>22</v>
      </c>
      <c r="B8" t="s">
        <v>12</v>
      </c>
      <c r="C8" t="s">
        <v>23</v>
      </c>
      <c r="D8" t="s">
        <v>9</v>
      </c>
      <c r="E8" t="s">
        <v>24</v>
      </c>
      <c r="F8">
        <v>4455.93</v>
      </c>
      <c r="G8">
        <v>47484</v>
      </c>
      <c r="H8">
        <v>3396.39</v>
      </c>
      <c r="I8">
        <v>19.510000000000002</v>
      </c>
      <c r="J8">
        <f>IFERROR(INDEX(Suppliar[Estimated Carbon Footprint (tons CO₂e)],MATCH('Merge operational &amp; suppliar'!A8,Suppliar[Facility ID],0)),"")</f>
        <v>790.74</v>
      </c>
      <c r="K8">
        <f>IFERROR(INDEX(Suppliar[Income Distribution (%)],MATCH('Merge operational &amp; suppliar'!A8,Suppliar[Facility ID],0)),"")</f>
        <v>12.77</v>
      </c>
    </row>
    <row r="9" spans="1:11" x14ac:dyDescent="0.3">
      <c r="A9" t="s">
        <v>25</v>
      </c>
      <c r="B9" t="s">
        <v>19</v>
      </c>
      <c r="C9" t="s">
        <v>13</v>
      </c>
      <c r="D9" t="s">
        <v>9</v>
      </c>
      <c r="E9" t="s">
        <v>10</v>
      </c>
      <c r="F9">
        <v>660.2</v>
      </c>
      <c r="G9">
        <v>95306</v>
      </c>
      <c r="H9">
        <v>9037.76</v>
      </c>
      <c r="I9">
        <v>13.35</v>
      </c>
      <c r="J9">
        <f>IFERROR(INDEX(Suppliar[Estimated Carbon Footprint (tons CO₂e)],MATCH('Merge operational &amp; suppliar'!A9,Suppliar[Facility ID],0)),"")</f>
        <v>724.63</v>
      </c>
      <c r="K9">
        <f>IFERROR(INDEX(Suppliar[Income Distribution (%)],MATCH('Merge operational &amp; suppliar'!A9,Suppliar[Facility ID],0)),"")</f>
        <v>21.2</v>
      </c>
    </row>
    <row r="10" spans="1:11" x14ac:dyDescent="0.3">
      <c r="A10" t="s">
        <v>26</v>
      </c>
      <c r="B10" t="s">
        <v>17</v>
      </c>
      <c r="C10" t="s">
        <v>23</v>
      </c>
      <c r="D10" t="s">
        <v>9</v>
      </c>
      <c r="E10" t="s">
        <v>10</v>
      </c>
      <c r="F10">
        <v>1883.3</v>
      </c>
      <c r="G10">
        <v>17311</v>
      </c>
      <c r="H10">
        <v>2257.38</v>
      </c>
      <c r="I10">
        <v>91.07</v>
      </c>
      <c r="J10">
        <f>IFERROR(INDEX(Suppliar[Estimated Carbon Footprint (tons CO₂e)],MATCH('Merge operational &amp; suppliar'!A10,Suppliar[Facility ID],0)),"")</f>
        <v>341.24</v>
      </c>
      <c r="K10">
        <f>IFERROR(INDEX(Suppliar[Income Distribution (%)],MATCH('Merge operational &amp; suppliar'!A10,Suppliar[Facility ID],0)),"")</f>
        <v>80.69</v>
      </c>
    </row>
    <row r="11" spans="1:11" x14ac:dyDescent="0.3">
      <c r="A11" t="s">
        <v>27</v>
      </c>
      <c r="B11" t="s">
        <v>12</v>
      </c>
      <c r="C11" t="s">
        <v>8</v>
      </c>
      <c r="D11" t="s">
        <v>28</v>
      </c>
      <c r="E11" t="s">
        <v>24</v>
      </c>
      <c r="F11">
        <v>221.01</v>
      </c>
      <c r="G11">
        <v>91031</v>
      </c>
      <c r="H11">
        <v>1783.57</v>
      </c>
      <c r="I11">
        <v>32.049999999999997</v>
      </c>
      <c r="J11">
        <f>IFERROR(INDEX(Suppliar[Estimated Carbon Footprint (tons CO₂e)],MATCH('Merge operational &amp; suppliar'!A11,Suppliar[Facility ID],0)),"")</f>
        <v>532.27</v>
      </c>
      <c r="K11">
        <f>IFERROR(INDEX(Suppliar[Income Distribution (%)],MATCH('Merge operational &amp; suppliar'!A11,Suppliar[Facility ID],0)),"")</f>
        <v>15.2</v>
      </c>
    </row>
    <row r="12" spans="1:11" x14ac:dyDescent="0.3">
      <c r="A12" t="s">
        <v>29</v>
      </c>
      <c r="B12" t="s">
        <v>30</v>
      </c>
      <c r="C12" t="s">
        <v>8</v>
      </c>
      <c r="D12" t="s">
        <v>28</v>
      </c>
      <c r="E12" t="s">
        <v>10</v>
      </c>
      <c r="F12">
        <v>4737.0600000000004</v>
      </c>
      <c r="G12">
        <v>32131</v>
      </c>
      <c r="H12">
        <v>1474.23</v>
      </c>
      <c r="I12">
        <v>45.47</v>
      </c>
      <c r="J12">
        <f>IFERROR(INDEX(Suppliar[Estimated Carbon Footprint (tons CO₂e)],MATCH('Merge operational &amp; suppliar'!A12,Suppliar[Facility ID],0)),"")</f>
        <v>830.73</v>
      </c>
      <c r="K12">
        <f>IFERROR(INDEX(Suppliar[Income Distribution (%)],MATCH('Merge operational &amp; suppliar'!A12,Suppliar[Facility ID],0)),"")</f>
        <v>17.97</v>
      </c>
    </row>
    <row r="13" spans="1:11" x14ac:dyDescent="0.3">
      <c r="A13" t="s">
        <v>31</v>
      </c>
      <c r="B13" t="s">
        <v>30</v>
      </c>
      <c r="C13" t="s">
        <v>8</v>
      </c>
      <c r="D13" t="s">
        <v>9</v>
      </c>
      <c r="E13" t="s">
        <v>24</v>
      </c>
      <c r="F13">
        <v>1951.28</v>
      </c>
      <c r="G13">
        <v>84851</v>
      </c>
      <c r="H13">
        <v>560.75</v>
      </c>
      <c r="I13">
        <v>80.23</v>
      </c>
      <c r="J13">
        <f>IFERROR(INDEX(Suppliar[Estimated Carbon Footprint (tons CO₂e)],MATCH('Merge operational &amp; suppliar'!A13,Suppliar[Facility ID],0)),"")</f>
        <v>610.79999999999995</v>
      </c>
      <c r="K13">
        <f>IFERROR(INDEX(Suppliar[Income Distribution (%)],MATCH('Merge operational &amp; suppliar'!A13,Suppliar[Facility ID],0)),"")</f>
        <v>26.58</v>
      </c>
    </row>
    <row r="14" spans="1:11" x14ac:dyDescent="0.3">
      <c r="A14" t="s">
        <v>32</v>
      </c>
      <c r="B14" t="s">
        <v>7</v>
      </c>
      <c r="C14" t="s">
        <v>13</v>
      </c>
      <c r="D14" t="s">
        <v>28</v>
      </c>
      <c r="E14" t="s">
        <v>10</v>
      </c>
      <c r="F14">
        <v>4320.1099999999997</v>
      </c>
      <c r="G14">
        <v>10933</v>
      </c>
      <c r="H14">
        <v>9004.3700000000008</v>
      </c>
      <c r="I14">
        <v>26.84</v>
      </c>
      <c r="J14" t="str">
        <f>IFERROR(INDEX(Suppliar[Estimated Carbon Footprint (tons CO₂e)],MATCH('Merge operational &amp; suppliar'!A14,Suppliar[Facility ID],0)),"")</f>
        <v/>
      </c>
      <c r="K14" t="str">
        <f>IFERROR(INDEX(Suppliar[Income Distribution (%)],MATCH('Merge operational &amp; suppliar'!A14,Suppliar[Facility ID],0)),"")</f>
        <v/>
      </c>
    </row>
    <row r="15" spans="1:11" x14ac:dyDescent="0.3">
      <c r="A15" t="s">
        <v>21</v>
      </c>
      <c r="B15" t="s">
        <v>19</v>
      </c>
      <c r="C15" t="s">
        <v>8</v>
      </c>
      <c r="D15" t="s">
        <v>28</v>
      </c>
      <c r="E15" t="s">
        <v>15</v>
      </c>
      <c r="F15">
        <v>2179.33</v>
      </c>
      <c r="G15">
        <v>61157</v>
      </c>
      <c r="H15">
        <v>7331.54</v>
      </c>
      <c r="I15">
        <v>55.52</v>
      </c>
      <c r="J15">
        <f>IFERROR(INDEX(Suppliar[Estimated Carbon Footprint (tons CO₂e)],MATCH('Merge operational &amp; suppliar'!A15,Suppliar[Facility ID],0)),"")</f>
        <v>783.77</v>
      </c>
      <c r="K15">
        <f>IFERROR(INDEX(Suppliar[Income Distribution (%)],MATCH('Merge operational &amp; suppliar'!A15,Suppliar[Facility ID],0)),"")</f>
        <v>31.59</v>
      </c>
    </row>
    <row r="16" spans="1:11" x14ac:dyDescent="0.3">
      <c r="A16" t="s">
        <v>33</v>
      </c>
      <c r="B16" t="s">
        <v>19</v>
      </c>
      <c r="C16" t="s">
        <v>34</v>
      </c>
      <c r="D16" t="s">
        <v>14</v>
      </c>
      <c r="E16" t="s">
        <v>10</v>
      </c>
      <c r="F16">
        <v>3612.19</v>
      </c>
      <c r="G16">
        <v>65719</v>
      </c>
      <c r="H16">
        <v>9362.41</v>
      </c>
      <c r="I16">
        <v>86.55</v>
      </c>
      <c r="J16">
        <f>IFERROR(INDEX(Suppliar[Estimated Carbon Footprint (tons CO₂e)],MATCH('Merge operational &amp; suppliar'!A16,Suppliar[Facility ID],0)),"")</f>
        <v>932.3</v>
      </c>
      <c r="K16">
        <f>IFERROR(INDEX(Suppliar[Income Distribution (%)],MATCH('Merge operational &amp; suppliar'!A16,Suppliar[Facility ID],0)),"")</f>
        <v>28.9</v>
      </c>
    </row>
    <row r="17" spans="1:11" x14ac:dyDescent="0.3">
      <c r="A17" t="s">
        <v>35</v>
      </c>
      <c r="B17" t="s">
        <v>19</v>
      </c>
      <c r="C17" t="s">
        <v>8</v>
      </c>
      <c r="D17" t="s">
        <v>28</v>
      </c>
      <c r="E17" t="s">
        <v>24</v>
      </c>
      <c r="F17">
        <v>1270.3599999999999</v>
      </c>
      <c r="G17">
        <v>42382</v>
      </c>
      <c r="H17">
        <v>5116.6899999999996</v>
      </c>
      <c r="I17">
        <v>80.42</v>
      </c>
      <c r="J17">
        <f>IFERROR(INDEX(Suppliar[Estimated Carbon Footprint (tons CO₂e)],MATCH('Merge operational &amp; suppliar'!A17,Suppliar[Facility ID],0)),"")</f>
        <v>626.54</v>
      </c>
      <c r="K17">
        <f>IFERROR(INDEX(Suppliar[Income Distribution (%)],MATCH('Merge operational &amp; suppliar'!A17,Suppliar[Facility ID],0)),"")</f>
        <v>70.540000000000006</v>
      </c>
    </row>
    <row r="18" spans="1:11" x14ac:dyDescent="0.3">
      <c r="A18" t="s">
        <v>36</v>
      </c>
      <c r="B18" t="s">
        <v>12</v>
      </c>
      <c r="C18" t="s">
        <v>23</v>
      </c>
      <c r="D18" t="s">
        <v>28</v>
      </c>
      <c r="E18" t="s">
        <v>10</v>
      </c>
      <c r="F18">
        <v>1630.06</v>
      </c>
      <c r="G18">
        <v>40226</v>
      </c>
      <c r="H18">
        <v>7868.86</v>
      </c>
      <c r="I18">
        <v>80.53</v>
      </c>
      <c r="J18">
        <f>IFERROR(INDEX(Suppliar[Estimated Carbon Footprint (tons CO₂e)],MATCH('Merge operational &amp; suppliar'!A18,Suppliar[Facility ID],0)),"")</f>
        <v>231.68</v>
      </c>
      <c r="K18">
        <f>IFERROR(INDEX(Suppliar[Income Distribution (%)],MATCH('Merge operational &amp; suppliar'!A18,Suppliar[Facility ID],0)),"")</f>
        <v>15.92</v>
      </c>
    </row>
    <row r="19" spans="1:11" x14ac:dyDescent="0.3">
      <c r="A19" t="s">
        <v>37</v>
      </c>
      <c r="B19" t="s">
        <v>17</v>
      </c>
      <c r="C19" t="s">
        <v>34</v>
      </c>
      <c r="D19" t="s">
        <v>9</v>
      </c>
      <c r="E19" t="s">
        <v>24</v>
      </c>
      <c r="F19">
        <v>3063.61</v>
      </c>
      <c r="G19">
        <v>71747</v>
      </c>
      <c r="H19">
        <v>9838.66</v>
      </c>
      <c r="I19">
        <v>7.25</v>
      </c>
      <c r="J19">
        <f>IFERROR(INDEX(Suppliar[Estimated Carbon Footprint (tons CO₂e)],MATCH('Merge operational &amp; suppliar'!A19,Suppliar[Facility ID],0)),"")</f>
        <v>224.5</v>
      </c>
      <c r="K19">
        <f>IFERROR(INDEX(Suppliar[Income Distribution (%)],MATCH('Merge operational &amp; suppliar'!A19,Suppliar[Facility ID],0)),"")</f>
        <v>39.29</v>
      </c>
    </row>
    <row r="20" spans="1:11" x14ac:dyDescent="0.3">
      <c r="A20" t="s">
        <v>38</v>
      </c>
      <c r="B20" t="s">
        <v>30</v>
      </c>
      <c r="C20" t="s">
        <v>8</v>
      </c>
      <c r="D20" t="s">
        <v>9</v>
      </c>
      <c r="E20" t="s">
        <v>24</v>
      </c>
      <c r="F20">
        <v>2447.42</v>
      </c>
      <c r="G20">
        <v>57215</v>
      </c>
      <c r="H20">
        <v>3227.1</v>
      </c>
      <c r="I20">
        <v>32.909999999999997</v>
      </c>
      <c r="J20">
        <f>IFERROR(INDEX(Suppliar[Estimated Carbon Footprint (tons CO₂e)],MATCH('Merge operational &amp; suppliar'!A20,Suppliar[Facility ID],0)),"")</f>
        <v>951.35</v>
      </c>
      <c r="K20">
        <f>IFERROR(INDEX(Suppliar[Income Distribution (%)],MATCH('Merge operational &amp; suppliar'!A20,Suppliar[Facility ID],0)),"")</f>
        <v>33.299999999999997</v>
      </c>
    </row>
    <row r="21" spans="1:11" x14ac:dyDescent="0.3">
      <c r="A21" t="s">
        <v>39</v>
      </c>
      <c r="B21" t="s">
        <v>7</v>
      </c>
      <c r="C21" t="s">
        <v>13</v>
      </c>
      <c r="D21" t="s">
        <v>28</v>
      </c>
      <c r="E21" t="s">
        <v>24</v>
      </c>
      <c r="F21">
        <v>4170.13</v>
      </c>
      <c r="G21">
        <v>80904</v>
      </c>
      <c r="H21">
        <v>3263.09</v>
      </c>
      <c r="I21">
        <v>58.37</v>
      </c>
      <c r="J21">
        <f>IFERROR(INDEX(Suppliar[Estimated Carbon Footprint (tons CO₂e)],MATCH('Merge operational &amp; suppliar'!A21,Suppliar[Facility ID],0)),"")</f>
        <v>756.78</v>
      </c>
      <c r="K21">
        <f>IFERROR(INDEX(Suppliar[Income Distribution (%)],MATCH('Merge operational &amp; suppliar'!A21,Suppliar[Facility ID],0)),"")</f>
        <v>35.950000000000003</v>
      </c>
    </row>
    <row r="22" spans="1:11" x14ac:dyDescent="0.3">
      <c r="A22" t="s">
        <v>40</v>
      </c>
      <c r="B22" t="s">
        <v>19</v>
      </c>
      <c r="C22" t="s">
        <v>23</v>
      </c>
      <c r="D22" t="s">
        <v>9</v>
      </c>
      <c r="E22" t="s">
        <v>15</v>
      </c>
      <c r="F22">
        <v>2099.64</v>
      </c>
      <c r="G22">
        <v>96474</v>
      </c>
      <c r="H22">
        <v>7574.39</v>
      </c>
      <c r="I22">
        <v>95.54</v>
      </c>
      <c r="J22">
        <f>IFERROR(INDEX(Suppliar[Estimated Carbon Footprint (tons CO₂e)],MATCH('Merge operational &amp; suppliar'!A22,Suppliar[Facility ID],0)),"")</f>
        <v>886.71</v>
      </c>
      <c r="K22">
        <f>IFERROR(INDEX(Suppliar[Income Distribution (%)],MATCH('Merge operational &amp; suppliar'!A22,Suppliar[Facility ID],0)),"")</f>
        <v>24.84</v>
      </c>
    </row>
    <row r="23" spans="1:11" x14ac:dyDescent="0.3">
      <c r="A23" t="s">
        <v>41</v>
      </c>
      <c r="B23" t="s">
        <v>30</v>
      </c>
      <c r="C23" t="s">
        <v>23</v>
      </c>
      <c r="D23" t="s">
        <v>28</v>
      </c>
      <c r="E23" t="s">
        <v>15</v>
      </c>
      <c r="F23">
        <v>3701.02</v>
      </c>
      <c r="G23">
        <v>61743</v>
      </c>
      <c r="H23">
        <v>7426.75</v>
      </c>
      <c r="I23">
        <v>26.39</v>
      </c>
      <c r="J23">
        <f>IFERROR(INDEX(Suppliar[Estimated Carbon Footprint (tons CO₂e)],MATCH('Merge operational &amp; suppliar'!A23,Suppliar[Facility ID],0)),"")</f>
        <v>527.37</v>
      </c>
      <c r="K23">
        <f>IFERROR(INDEX(Suppliar[Income Distribution (%)],MATCH('Merge operational &amp; suppliar'!A23,Suppliar[Facility ID],0)),"")</f>
        <v>39.28</v>
      </c>
    </row>
    <row r="24" spans="1:11" x14ac:dyDescent="0.3">
      <c r="A24" t="s">
        <v>42</v>
      </c>
      <c r="B24" t="s">
        <v>30</v>
      </c>
      <c r="C24" t="s">
        <v>23</v>
      </c>
      <c r="D24" t="s">
        <v>28</v>
      </c>
      <c r="E24" t="s">
        <v>10</v>
      </c>
      <c r="F24">
        <v>1262.77</v>
      </c>
      <c r="G24">
        <v>41539</v>
      </c>
      <c r="H24">
        <v>982.8</v>
      </c>
      <c r="I24">
        <v>79.7</v>
      </c>
      <c r="J24">
        <f>IFERROR(INDEX(Suppliar[Estimated Carbon Footprint (tons CO₂e)],MATCH('Merge operational &amp; suppliar'!A24,Suppliar[Facility ID],0)),"")</f>
        <v>851.48</v>
      </c>
      <c r="K24">
        <f>IFERROR(INDEX(Suppliar[Income Distribution (%)],MATCH('Merge operational &amp; suppliar'!A24,Suppliar[Facility ID],0)),"")</f>
        <v>13.07</v>
      </c>
    </row>
    <row r="25" spans="1:11" x14ac:dyDescent="0.3">
      <c r="A25" t="s">
        <v>43</v>
      </c>
      <c r="B25" t="s">
        <v>17</v>
      </c>
      <c r="C25" t="s">
        <v>8</v>
      </c>
      <c r="D25" t="s">
        <v>14</v>
      </c>
      <c r="E25" t="s">
        <v>24</v>
      </c>
      <c r="F25">
        <v>2741.92</v>
      </c>
      <c r="G25">
        <v>41168</v>
      </c>
      <c r="H25">
        <v>8226.77</v>
      </c>
      <c r="I25">
        <v>42.55</v>
      </c>
      <c r="J25">
        <f>IFERROR(INDEX(Suppliar[Estimated Carbon Footprint (tons CO₂e)],MATCH('Merge operational &amp; suppliar'!A25,Suppliar[Facility ID],0)),"")</f>
        <v>724.63</v>
      </c>
      <c r="K25">
        <f>IFERROR(INDEX(Suppliar[Income Distribution (%)],MATCH('Merge operational &amp; suppliar'!A25,Suppliar[Facility ID],0)),"")</f>
        <v>12.64</v>
      </c>
    </row>
    <row r="26" spans="1:11" x14ac:dyDescent="0.3">
      <c r="A26" t="s">
        <v>29</v>
      </c>
      <c r="B26" t="s">
        <v>30</v>
      </c>
      <c r="C26" t="s">
        <v>8</v>
      </c>
      <c r="D26" t="s">
        <v>14</v>
      </c>
      <c r="E26" t="s">
        <v>24</v>
      </c>
      <c r="F26">
        <v>1824.14</v>
      </c>
      <c r="G26">
        <v>32131</v>
      </c>
      <c r="H26">
        <v>1474.23</v>
      </c>
      <c r="I26">
        <v>45.47</v>
      </c>
      <c r="J26">
        <f>IFERROR(INDEX(Suppliar[Estimated Carbon Footprint (tons CO₂e)],MATCH('Merge operational &amp; suppliar'!A26,Suppliar[Facility ID],0)),"")</f>
        <v>830.73</v>
      </c>
      <c r="K26">
        <f>IFERROR(INDEX(Suppliar[Income Distribution (%)],MATCH('Merge operational &amp; suppliar'!A26,Suppliar[Facility ID],0)),"")</f>
        <v>17.97</v>
      </c>
    </row>
    <row r="27" spans="1:11" x14ac:dyDescent="0.3">
      <c r="A27" t="s">
        <v>44</v>
      </c>
      <c r="B27" t="s">
        <v>19</v>
      </c>
      <c r="C27" t="s">
        <v>23</v>
      </c>
      <c r="D27" t="s">
        <v>9</v>
      </c>
      <c r="E27" t="s">
        <v>10</v>
      </c>
      <c r="F27">
        <v>738.44</v>
      </c>
      <c r="G27">
        <v>16256</v>
      </c>
      <c r="H27">
        <v>2127.1799999999998</v>
      </c>
      <c r="I27">
        <v>38.94</v>
      </c>
      <c r="J27">
        <f>IFERROR(INDEX(Suppliar[Estimated Carbon Footprint (tons CO₂e)],MATCH('Merge operational &amp; suppliar'!A27,Suppliar[Facility ID],0)),"")</f>
        <v>796.34</v>
      </c>
      <c r="K27">
        <f>IFERROR(INDEX(Suppliar[Income Distribution (%)],MATCH('Merge operational &amp; suppliar'!A27,Suppliar[Facility ID],0)),"")</f>
        <v>66.41</v>
      </c>
    </row>
    <row r="28" spans="1:11" x14ac:dyDescent="0.3">
      <c r="A28" t="s">
        <v>45</v>
      </c>
      <c r="B28" t="s">
        <v>7</v>
      </c>
      <c r="C28" t="s">
        <v>13</v>
      </c>
      <c r="D28" t="s">
        <v>9</v>
      </c>
      <c r="E28" t="s">
        <v>15</v>
      </c>
      <c r="F28">
        <v>2856.76</v>
      </c>
      <c r="G28">
        <v>49924</v>
      </c>
      <c r="H28">
        <v>2199.16</v>
      </c>
      <c r="I28">
        <v>75.48</v>
      </c>
      <c r="J28">
        <f>IFERROR(INDEX(Suppliar[Estimated Carbon Footprint (tons CO₂e)],MATCH('Merge operational &amp; suppliar'!A28,Suppliar[Facility ID],0)),"")</f>
        <v>432.23</v>
      </c>
      <c r="K28">
        <f>IFERROR(INDEX(Suppliar[Income Distribution (%)],MATCH('Merge operational &amp; suppliar'!A28,Suppliar[Facility ID],0)),"")</f>
        <v>13.54</v>
      </c>
    </row>
    <row r="29" spans="1:11" x14ac:dyDescent="0.3">
      <c r="A29" t="s">
        <v>46</v>
      </c>
      <c r="B29" t="s">
        <v>30</v>
      </c>
      <c r="C29" t="s">
        <v>13</v>
      </c>
      <c r="D29" t="s">
        <v>14</v>
      </c>
      <c r="E29" t="s">
        <v>24</v>
      </c>
      <c r="F29">
        <v>1787.35</v>
      </c>
      <c r="G29">
        <v>43490</v>
      </c>
      <c r="H29">
        <v>9300.8799999999992</v>
      </c>
      <c r="I29">
        <v>58.43</v>
      </c>
      <c r="J29">
        <f>IFERROR(INDEX(Suppliar[Estimated Carbon Footprint (tons CO₂e)],MATCH('Merge operational &amp; suppliar'!A29,Suppliar[Facility ID],0)),"")</f>
        <v>264.23</v>
      </c>
      <c r="K29">
        <f>IFERROR(INDEX(Suppliar[Income Distribution (%)],MATCH('Merge operational &amp; suppliar'!A29,Suppliar[Facility ID],0)),"")</f>
        <v>11.71</v>
      </c>
    </row>
    <row r="30" spans="1:11" x14ac:dyDescent="0.3">
      <c r="A30" t="s">
        <v>47</v>
      </c>
      <c r="B30" t="s">
        <v>30</v>
      </c>
      <c r="C30" t="s">
        <v>23</v>
      </c>
      <c r="D30" t="s">
        <v>9</v>
      </c>
      <c r="E30" t="s">
        <v>15</v>
      </c>
      <c r="F30">
        <v>5138.83</v>
      </c>
      <c r="G30">
        <v>53661</v>
      </c>
      <c r="H30">
        <v>6965.81</v>
      </c>
      <c r="I30">
        <v>69.400000000000006</v>
      </c>
      <c r="J30">
        <f>IFERROR(INDEX(Suppliar[Estimated Carbon Footprint (tons CO₂e)],MATCH('Merge operational &amp; suppliar'!A30,Suppliar[Facility ID],0)),"")</f>
        <v>610.79999999999995</v>
      </c>
      <c r="K30">
        <f>IFERROR(INDEX(Suppliar[Income Distribution (%)],MATCH('Merge operational &amp; suppliar'!A30,Suppliar[Facility ID],0)),"")</f>
        <v>29.15</v>
      </c>
    </row>
    <row r="31" spans="1:11" x14ac:dyDescent="0.3">
      <c r="A31" t="s">
        <v>48</v>
      </c>
      <c r="B31" t="s">
        <v>19</v>
      </c>
      <c r="C31" t="s">
        <v>8</v>
      </c>
      <c r="D31" t="s">
        <v>9</v>
      </c>
      <c r="E31" t="s">
        <v>10</v>
      </c>
      <c r="F31">
        <v>5005.4399999999996</v>
      </c>
      <c r="G31">
        <v>11952</v>
      </c>
      <c r="H31">
        <v>4637.74</v>
      </c>
      <c r="I31">
        <v>63.78</v>
      </c>
      <c r="J31">
        <f>IFERROR(INDEX(Suppliar[Estimated Carbon Footprint (tons CO₂e)],MATCH('Merge operational &amp; suppliar'!A31,Suppliar[Facility ID],0)),"")</f>
        <v>886.71</v>
      </c>
      <c r="K31">
        <f>IFERROR(INDEX(Suppliar[Income Distribution (%)],MATCH('Merge operational &amp; suppliar'!A31,Suppliar[Facility ID],0)),"")</f>
        <v>29.53</v>
      </c>
    </row>
    <row r="32" spans="1:11" x14ac:dyDescent="0.3">
      <c r="A32" t="s">
        <v>49</v>
      </c>
      <c r="B32" t="s">
        <v>19</v>
      </c>
      <c r="C32" t="s">
        <v>23</v>
      </c>
      <c r="D32" t="s">
        <v>28</v>
      </c>
      <c r="E32" t="s">
        <v>24</v>
      </c>
      <c r="F32">
        <v>4053.3</v>
      </c>
      <c r="G32">
        <v>50306</v>
      </c>
      <c r="H32">
        <v>7031.37</v>
      </c>
      <c r="I32">
        <v>13.27</v>
      </c>
      <c r="J32" t="str">
        <f>IFERROR(INDEX(Suppliar[Estimated Carbon Footprint (tons CO₂e)],MATCH('Merge operational &amp; suppliar'!A32,Suppliar[Facility ID],0)),"")</f>
        <v/>
      </c>
      <c r="K32" t="str">
        <f>IFERROR(INDEX(Suppliar[Income Distribution (%)],MATCH('Merge operational &amp; suppliar'!A32,Suppliar[Facility ID],0)),"")</f>
        <v/>
      </c>
    </row>
    <row r="33" spans="1:11" x14ac:dyDescent="0.3">
      <c r="A33" t="s">
        <v>50</v>
      </c>
      <c r="B33" t="s">
        <v>19</v>
      </c>
      <c r="C33" t="s">
        <v>23</v>
      </c>
      <c r="D33" t="s">
        <v>28</v>
      </c>
      <c r="E33" t="s">
        <v>24</v>
      </c>
      <c r="F33">
        <v>280.72000000000003</v>
      </c>
      <c r="G33">
        <v>40577</v>
      </c>
      <c r="H33">
        <v>4280.82</v>
      </c>
      <c r="I33">
        <v>79.88</v>
      </c>
      <c r="J33">
        <f>IFERROR(INDEX(Suppliar[Estimated Carbon Footprint (tons CO₂e)],MATCH('Merge operational &amp; suppliar'!A33,Suppliar[Facility ID],0)),"")</f>
        <v>932.3</v>
      </c>
      <c r="K33">
        <f>IFERROR(INDEX(Suppliar[Income Distribution (%)],MATCH('Merge operational &amp; suppliar'!A33,Suppliar[Facility ID],0)),"")</f>
        <v>10.19</v>
      </c>
    </row>
    <row r="34" spans="1:11" x14ac:dyDescent="0.3">
      <c r="A34" t="s">
        <v>51</v>
      </c>
      <c r="B34" t="s">
        <v>30</v>
      </c>
      <c r="C34" t="s">
        <v>23</v>
      </c>
      <c r="D34" t="s">
        <v>14</v>
      </c>
      <c r="E34" t="s">
        <v>24</v>
      </c>
      <c r="F34">
        <v>329.41</v>
      </c>
      <c r="G34">
        <v>44164</v>
      </c>
      <c r="H34">
        <v>3869.32</v>
      </c>
      <c r="I34">
        <v>13.81</v>
      </c>
      <c r="J34">
        <f>IFERROR(INDEX(Suppliar[Estimated Carbon Footprint (tons CO₂e)],MATCH('Merge operational &amp; suppliar'!A34,Suppliar[Facility ID],0)),"")</f>
        <v>943.59</v>
      </c>
      <c r="K34">
        <f>IFERROR(INDEX(Suppliar[Income Distribution (%)],MATCH('Merge operational &amp; suppliar'!A34,Suppliar[Facility ID],0)),"")</f>
        <v>16.02</v>
      </c>
    </row>
    <row r="35" spans="1:11" x14ac:dyDescent="0.3">
      <c r="A35" t="s">
        <v>52</v>
      </c>
      <c r="B35" t="s">
        <v>19</v>
      </c>
      <c r="C35" t="s">
        <v>13</v>
      </c>
      <c r="D35" t="s">
        <v>14</v>
      </c>
      <c r="E35" t="s">
        <v>15</v>
      </c>
      <c r="F35">
        <v>4133.74</v>
      </c>
      <c r="G35">
        <v>94949</v>
      </c>
      <c r="H35">
        <v>9714.76</v>
      </c>
      <c r="I35">
        <v>64.900000000000006</v>
      </c>
      <c r="J35">
        <f>IFERROR(INDEX(Suppliar[Estimated Carbon Footprint (tons CO₂e)],MATCH('Merge operational &amp; suppliar'!A35,Suppliar[Facility ID],0)),"")</f>
        <v>241.41</v>
      </c>
      <c r="K35">
        <f>IFERROR(INDEX(Suppliar[Income Distribution (%)],MATCH('Merge operational &amp; suppliar'!A35,Suppliar[Facility ID],0)),"")</f>
        <v>20.62</v>
      </c>
    </row>
    <row r="36" spans="1:11" x14ac:dyDescent="0.3">
      <c r="A36" t="s">
        <v>53</v>
      </c>
      <c r="B36" t="s">
        <v>7</v>
      </c>
      <c r="C36" t="s">
        <v>34</v>
      </c>
      <c r="D36" t="s">
        <v>28</v>
      </c>
      <c r="E36" t="s">
        <v>15</v>
      </c>
      <c r="F36">
        <v>2773.3</v>
      </c>
      <c r="G36">
        <v>90632</v>
      </c>
      <c r="H36">
        <v>5292.17</v>
      </c>
      <c r="I36">
        <v>78.45</v>
      </c>
      <c r="J36">
        <f>IFERROR(INDEX(Suppliar[Estimated Carbon Footprint (tons CO₂e)],MATCH('Merge operational &amp; suppliar'!A36,Suppliar[Facility ID],0)),"")</f>
        <v>571.88</v>
      </c>
      <c r="K36">
        <f>IFERROR(INDEX(Suppliar[Income Distribution (%)],MATCH('Merge operational &amp; suppliar'!A36,Suppliar[Facility ID],0)),"")</f>
        <v>20.93</v>
      </c>
    </row>
    <row r="37" spans="1:11" x14ac:dyDescent="0.3">
      <c r="A37" t="s">
        <v>54</v>
      </c>
      <c r="B37" t="s">
        <v>12</v>
      </c>
      <c r="C37" t="s">
        <v>13</v>
      </c>
      <c r="D37" t="s">
        <v>9</v>
      </c>
      <c r="E37" t="s">
        <v>10</v>
      </c>
      <c r="F37">
        <v>3482.08</v>
      </c>
      <c r="G37">
        <v>58111</v>
      </c>
      <c r="H37">
        <v>4610.8999999999996</v>
      </c>
      <c r="I37">
        <v>21.53</v>
      </c>
      <c r="J37">
        <f>IFERROR(INDEX(Suppliar[Estimated Carbon Footprint (tons CO₂e)],MATCH('Merge operational &amp; suppliar'!A37,Suppliar[Facility ID],0)),"")</f>
        <v>268.16000000000003</v>
      </c>
      <c r="K37">
        <f>IFERROR(INDEX(Suppliar[Income Distribution (%)],MATCH('Merge operational &amp; suppliar'!A37,Suppliar[Facility ID],0)),"")</f>
        <v>13.78</v>
      </c>
    </row>
    <row r="38" spans="1:11" x14ac:dyDescent="0.3">
      <c r="A38" t="s">
        <v>55</v>
      </c>
      <c r="B38" t="s">
        <v>12</v>
      </c>
      <c r="C38" t="s">
        <v>34</v>
      </c>
      <c r="D38" t="s">
        <v>9</v>
      </c>
      <c r="E38" t="s">
        <v>10</v>
      </c>
      <c r="F38">
        <v>1953.71</v>
      </c>
      <c r="G38">
        <v>38181</v>
      </c>
      <c r="H38">
        <v>691.84</v>
      </c>
      <c r="I38">
        <v>33.53</v>
      </c>
      <c r="J38">
        <f>IFERROR(INDEX(Suppliar[Estimated Carbon Footprint (tons CO₂e)],MATCH('Merge operational &amp; suppliar'!A38,Suppliar[Facility ID],0)),"")</f>
        <v>114.57</v>
      </c>
      <c r="K38">
        <f>IFERROR(INDEX(Suppliar[Income Distribution (%)],MATCH('Merge operational &amp; suppliar'!A38,Suppliar[Facility ID],0)),"")</f>
        <v>9.9600000000000009</v>
      </c>
    </row>
    <row r="39" spans="1:11" x14ac:dyDescent="0.3">
      <c r="A39" t="s">
        <v>29</v>
      </c>
      <c r="B39" t="s">
        <v>30</v>
      </c>
      <c r="C39" t="s">
        <v>34</v>
      </c>
      <c r="D39" t="s">
        <v>14</v>
      </c>
      <c r="E39" t="s">
        <v>15</v>
      </c>
      <c r="F39">
        <v>4444.76</v>
      </c>
      <c r="G39">
        <v>32131</v>
      </c>
      <c r="H39">
        <v>1474.23</v>
      </c>
      <c r="I39">
        <v>45.47</v>
      </c>
      <c r="J39">
        <f>IFERROR(INDEX(Suppliar[Estimated Carbon Footprint (tons CO₂e)],MATCH('Merge operational &amp; suppliar'!A39,Suppliar[Facility ID],0)),"")</f>
        <v>830.73</v>
      </c>
      <c r="K39">
        <f>IFERROR(INDEX(Suppliar[Income Distribution (%)],MATCH('Merge operational &amp; suppliar'!A39,Suppliar[Facility ID],0)),"")</f>
        <v>17.97</v>
      </c>
    </row>
    <row r="40" spans="1:11" x14ac:dyDescent="0.3">
      <c r="A40" t="s">
        <v>55</v>
      </c>
      <c r="B40" t="s">
        <v>12</v>
      </c>
      <c r="C40" t="s">
        <v>23</v>
      </c>
      <c r="D40" t="s">
        <v>28</v>
      </c>
      <c r="E40" t="s">
        <v>15</v>
      </c>
      <c r="F40">
        <v>1836.99</v>
      </c>
      <c r="G40">
        <v>38181</v>
      </c>
      <c r="H40">
        <v>691.84</v>
      </c>
      <c r="I40">
        <v>33.53</v>
      </c>
      <c r="J40">
        <f>IFERROR(INDEX(Suppliar[Estimated Carbon Footprint (tons CO₂e)],MATCH('Merge operational &amp; suppliar'!A40,Suppliar[Facility ID],0)),"")</f>
        <v>114.57</v>
      </c>
      <c r="K40">
        <f>IFERROR(INDEX(Suppliar[Income Distribution (%)],MATCH('Merge operational &amp; suppliar'!A40,Suppliar[Facility ID],0)),"")</f>
        <v>9.9600000000000009</v>
      </c>
    </row>
    <row r="41" spans="1:11" x14ac:dyDescent="0.3">
      <c r="A41" t="s">
        <v>56</v>
      </c>
      <c r="B41" t="s">
        <v>19</v>
      </c>
      <c r="C41" t="s">
        <v>8</v>
      </c>
      <c r="D41" t="s">
        <v>14</v>
      </c>
      <c r="E41" t="s">
        <v>15</v>
      </c>
      <c r="F41">
        <v>793.9</v>
      </c>
      <c r="G41">
        <v>43747</v>
      </c>
      <c r="H41">
        <v>3453.48</v>
      </c>
      <c r="I41">
        <v>98.78</v>
      </c>
      <c r="J41">
        <f>IFERROR(INDEX(Suppliar[Estimated Carbon Footprint (tons CO₂e)],MATCH('Merge operational &amp; suppliar'!A41,Suppliar[Facility ID],0)),"")</f>
        <v>459.56</v>
      </c>
      <c r="K41">
        <f>IFERROR(INDEX(Suppliar[Income Distribution (%)],MATCH('Merge operational &amp; suppliar'!A41,Suppliar[Facility ID],0)),"")</f>
        <v>23.81</v>
      </c>
    </row>
    <row r="42" spans="1:11" x14ac:dyDescent="0.3">
      <c r="A42" t="s">
        <v>57</v>
      </c>
      <c r="B42" t="s">
        <v>19</v>
      </c>
      <c r="C42" t="s">
        <v>34</v>
      </c>
      <c r="D42" t="s">
        <v>28</v>
      </c>
      <c r="E42" t="s">
        <v>24</v>
      </c>
      <c r="F42">
        <v>1445.28</v>
      </c>
      <c r="G42">
        <v>41027</v>
      </c>
      <c r="H42">
        <v>7285.85</v>
      </c>
      <c r="I42">
        <v>59.87</v>
      </c>
      <c r="J42">
        <f>IFERROR(INDEX(Suppliar[Estimated Carbon Footprint (tons CO₂e)],MATCH('Merge operational &amp; suppliar'!A42,Suppliar[Facility ID],0)),"")</f>
        <v>763.97</v>
      </c>
      <c r="K42">
        <f>IFERROR(INDEX(Suppliar[Income Distribution (%)],MATCH('Merge operational &amp; suppliar'!A42,Suppliar[Facility ID],0)),"")</f>
        <v>34.14</v>
      </c>
    </row>
    <row r="43" spans="1:11" x14ac:dyDescent="0.3">
      <c r="A43" t="s">
        <v>58</v>
      </c>
      <c r="B43" t="s">
        <v>17</v>
      </c>
      <c r="C43" t="s">
        <v>34</v>
      </c>
      <c r="D43" t="s">
        <v>9</v>
      </c>
      <c r="E43" t="s">
        <v>24</v>
      </c>
      <c r="F43">
        <v>1246.73</v>
      </c>
      <c r="G43">
        <v>32246</v>
      </c>
      <c r="H43">
        <v>7903.93</v>
      </c>
      <c r="I43">
        <v>42.12</v>
      </c>
      <c r="J43">
        <f>IFERROR(INDEX(Suppliar[Estimated Carbon Footprint (tons CO₂e)],MATCH('Merge operational &amp; suppliar'!A43,Suppliar[Facility ID],0)),"")</f>
        <v>459.56</v>
      </c>
      <c r="K43">
        <f>IFERROR(INDEX(Suppliar[Income Distribution (%)],MATCH('Merge operational &amp; suppliar'!A43,Suppliar[Facility ID],0)),"")</f>
        <v>28.62</v>
      </c>
    </row>
    <row r="44" spans="1:11" x14ac:dyDescent="0.3">
      <c r="A44" t="s">
        <v>59</v>
      </c>
      <c r="B44" t="s">
        <v>17</v>
      </c>
      <c r="C44" t="s">
        <v>34</v>
      </c>
      <c r="D44" t="s">
        <v>14</v>
      </c>
      <c r="E44" t="s">
        <v>10</v>
      </c>
      <c r="F44">
        <v>527.16999999999996</v>
      </c>
      <c r="G44">
        <v>15553</v>
      </c>
      <c r="H44">
        <v>3909.51</v>
      </c>
      <c r="I44">
        <v>46.44</v>
      </c>
      <c r="J44" t="str">
        <f>IFERROR(INDEX(Suppliar[Estimated Carbon Footprint (tons CO₂e)],MATCH('Merge operational &amp; suppliar'!A44,Suppliar[Facility ID],0)),"")</f>
        <v/>
      </c>
      <c r="K44" t="str">
        <f>IFERROR(INDEX(Suppliar[Income Distribution (%)],MATCH('Merge operational &amp; suppliar'!A44,Suppliar[Facility ID],0)),"")</f>
        <v/>
      </c>
    </row>
    <row r="45" spans="1:11" x14ac:dyDescent="0.3">
      <c r="A45" t="s">
        <v>60</v>
      </c>
      <c r="B45" t="s">
        <v>12</v>
      </c>
      <c r="C45" t="s">
        <v>34</v>
      </c>
      <c r="D45" t="s">
        <v>14</v>
      </c>
      <c r="E45" t="s">
        <v>15</v>
      </c>
      <c r="F45">
        <v>542.33000000000004</v>
      </c>
      <c r="G45">
        <v>25148</v>
      </c>
      <c r="H45">
        <v>9604.5499999999993</v>
      </c>
      <c r="I45">
        <v>63.47</v>
      </c>
      <c r="J45">
        <f>IFERROR(INDEX(Suppliar[Estimated Carbon Footprint (tons CO₂e)],MATCH('Merge operational &amp; suppliar'!A45,Suppliar[Facility ID],0)),"")</f>
        <v>209.33</v>
      </c>
      <c r="K45">
        <f>IFERROR(INDEX(Suppliar[Income Distribution (%)],MATCH('Merge operational &amp; suppliar'!A45,Suppliar[Facility ID],0)),"")</f>
        <v>30.01</v>
      </c>
    </row>
    <row r="46" spans="1:11" x14ac:dyDescent="0.3">
      <c r="A46" t="s">
        <v>61</v>
      </c>
      <c r="B46" t="s">
        <v>30</v>
      </c>
      <c r="C46" t="s">
        <v>34</v>
      </c>
      <c r="D46" t="s">
        <v>28</v>
      </c>
      <c r="E46" t="s">
        <v>24</v>
      </c>
      <c r="F46">
        <v>636.07000000000005</v>
      </c>
      <c r="G46">
        <v>95718</v>
      </c>
      <c r="H46">
        <v>2443.12</v>
      </c>
      <c r="I46">
        <v>35.49</v>
      </c>
      <c r="J46">
        <f>IFERROR(INDEX(Suppliar[Estimated Carbon Footprint (tons CO₂e)],MATCH('Merge operational &amp; suppliar'!A46,Suppliar[Facility ID],0)),"")</f>
        <v>818.45</v>
      </c>
      <c r="K46">
        <f>IFERROR(INDEX(Suppliar[Income Distribution (%)],MATCH('Merge operational &amp; suppliar'!A46,Suppliar[Facility ID],0)),"")</f>
        <v>9.9499999999999993</v>
      </c>
    </row>
    <row r="47" spans="1:11" x14ac:dyDescent="0.3">
      <c r="A47" t="s">
        <v>62</v>
      </c>
      <c r="B47" t="s">
        <v>30</v>
      </c>
      <c r="C47" t="s">
        <v>34</v>
      </c>
      <c r="D47" t="s">
        <v>9</v>
      </c>
      <c r="E47" t="s">
        <v>15</v>
      </c>
      <c r="F47">
        <v>3898.2</v>
      </c>
      <c r="G47">
        <v>22309</v>
      </c>
      <c r="H47">
        <v>3656.29</v>
      </c>
      <c r="I47">
        <v>75.25</v>
      </c>
      <c r="J47">
        <f>IFERROR(INDEX(Suppliar[Estimated Carbon Footprint (tons CO₂e)],MATCH('Merge operational &amp; suppliar'!A47,Suppliar[Facility ID],0)),"")</f>
        <v>795.74</v>
      </c>
      <c r="K47">
        <f>IFERROR(INDEX(Suppliar[Income Distribution (%)],MATCH('Merge operational &amp; suppliar'!A47,Suppliar[Facility ID],0)),"")</f>
        <v>26.99</v>
      </c>
    </row>
    <row r="48" spans="1:11" x14ac:dyDescent="0.3">
      <c r="A48" t="s">
        <v>63</v>
      </c>
      <c r="B48" t="s">
        <v>12</v>
      </c>
      <c r="C48" t="s">
        <v>34</v>
      </c>
      <c r="D48" t="s">
        <v>9</v>
      </c>
      <c r="E48" t="s">
        <v>24</v>
      </c>
      <c r="F48">
        <v>525.25</v>
      </c>
      <c r="G48">
        <v>33688</v>
      </c>
      <c r="H48">
        <v>9495.48</v>
      </c>
      <c r="I48">
        <v>55.55</v>
      </c>
      <c r="J48">
        <f>IFERROR(INDEX(Suppliar[Estimated Carbon Footprint (tons CO₂e)],MATCH('Merge operational &amp; suppliar'!A48,Suppliar[Facility ID],0)),"")</f>
        <v>780.4</v>
      </c>
      <c r="K48">
        <f>IFERROR(INDEX(Suppliar[Income Distribution (%)],MATCH('Merge operational &amp; suppliar'!A48,Suppliar[Facility ID],0)),"")</f>
        <v>30.98</v>
      </c>
    </row>
    <row r="49" spans="1:11" x14ac:dyDescent="0.3">
      <c r="A49" t="s">
        <v>64</v>
      </c>
      <c r="B49" t="s">
        <v>30</v>
      </c>
      <c r="C49" t="s">
        <v>8</v>
      </c>
      <c r="D49" t="s">
        <v>14</v>
      </c>
      <c r="E49" t="s">
        <v>15</v>
      </c>
      <c r="F49">
        <v>1135.03</v>
      </c>
      <c r="G49">
        <v>52836</v>
      </c>
      <c r="H49">
        <v>9330.2999999999993</v>
      </c>
      <c r="I49">
        <v>87.27</v>
      </c>
      <c r="J49" t="str">
        <f>IFERROR(INDEX(Suppliar[Estimated Carbon Footprint (tons CO₂e)],MATCH('Merge operational &amp; suppliar'!A49,Suppliar[Facility ID],0)),"")</f>
        <v/>
      </c>
      <c r="K49" t="str">
        <f>IFERROR(INDEX(Suppliar[Income Distribution (%)],MATCH('Merge operational &amp; suppliar'!A49,Suppliar[Facility ID],0)),"")</f>
        <v/>
      </c>
    </row>
    <row r="50" spans="1:11" x14ac:dyDescent="0.3">
      <c r="A50" t="s">
        <v>37</v>
      </c>
      <c r="B50" t="s">
        <v>17</v>
      </c>
      <c r="C50" t="s">
        <v>23</v>
      </c>
      <c r="D50" t="s">
        <v>9</v>
      </c>
      <c r="E50" t="s">
        <v>24</v>
      </c>
      <c r="F50">
        <v>1670.51</v>
      </c>
      <c r="G50">
        <v>71747</v>
      </c>
      <c r="H50">
        <v>9838.66</v>
      </c>
      <c r="I50">
        <v>7.25</v>
      </c>
      <c r="J50">
        <f>IFERROR(INDEX(Suppliar[Estimated Carbon Footprint (tons CO₂e)],MATCH('Merge operational &amp; suppliar'!A50,Suppliar[Facility ID],0)),"")</f>
        <v>224.5</v>
      </c>
      <c r="K50">
        <f>IFERROR(INDEX(Suppliar[Income Distribution (%)],MATCH('Merge operational &amp; suppliar'!A50,Suppliar[Facility ID],0)),"")</f>
        <v>39.29</v>
      </c>
    </row>
    <row r="51" spans="1:11" x14ac:dyDescent="0.3">
      <c r="A51" t="s">
        <v>65</v>
      </c>
      <c r="B51" t="s">
        <v>30</v>
      </c>
      <c r="C51" t="s">
        <v>13</v>
      </c>
      <c r="D51" t="s">
        <v>9</v>
      </c>
      <c r="E51" t="s">
        <v>10</v>
      </c>
      <c r="F51">
        <v>939.61</v>
      </c>
      <c r="G51">
        <v>99026</v>
      </c>
      <c r="H51">
        <v>5453.2</v>
      </c>
      <c r="I51">
        <v>57.49</v>
      </c>
      <c r="J51">
        <f>IFERROR(INDEX(Suppliar[Estimated Carbon Footprint (tons CO₂e)],MATCH('Merge operational &amp; suppliar'!A51,Suppliar[Facility ID],0)),"")</f>
        <v>231.68</v>
      </c>
      <c r="K51">
        <f>IFERROR(INDEX(Suppliar[Income Distribution (%)],MATCH('Merge operational &amp; suppliar'!A51,Suppliar[Facility ID],0)),"")</f>
        <v>24.26</v>
      </c>
    </row>
    <row r="52" spans="1:11" x14ac:dyDescent="0.3">
      <c r="A52" t="s">
        <v>49</v>
      </c>
      <c r="B52" t="s">
        <v>19</v>
      </c>
      <c r="C52" t="s">
        <v>34</v>
      </c>
      <c r="D52" t="s">
        <v>28</v>
      </c>
      <c r="E52" t="s">
        <v>10</v>
      </c>
      <c r="F52">
        <v>1436.13</v>
      </c>
      <c r="G52">
        <v>50306</v>
      </c>
      <c r="H52">
        <v>7031.37</v>
      </c>
      <c r="I52">
        <v>13.27</v>
      </c>
      <c r="J52" t="str">
        <f>IFERROR(INDEX(Suppliar[Estimated Carbon Footprint (tons CO₂e)],MATCH('Merge operational &amp; suppliar'!A52,Suppliar[Facility ID],0)),"")</f>
        <v/>
      </c>
      <c r="K52" t="str">
        <f>IFERROR(INDEX(Suppliar[Income Distribution (%)],MATCH('Merge operational &amp; suppliar'!A52,Suppliar[Facility ID],0)),"")</f>
        <v/>
      </c>
    </row>
    <row r="53" spans="1:11" x14ac:dyDescent="0.3">
      <c r="A53" t="s">
        <v>66</v>
      </c>
      <c r="B53" t="s">
        <v>30</v>
      </c>
      <c r="C53" t="s">
        <v>34</v>
      </c>
      <c r="D53" t="s">
        <v>9</v>
      </c>
      <c r="E53" t="s">
        <v>24</v>
      </c>
      <c r="F53">
        <v>3950</v>
      </c>
      <c r="G53">
        <v>98396</v>
      </c>
      <c r="H53">
        <v>5174.07</v>
      </c>
      <c r="I53">
        <v>63.38</v>
      </c>
      <c r="J53">
        <f>IFERROR(INDEX(Suppliar[Estimated Carbon Footprint (tons CO₂e)],MATCH('Merge operational &amp; suppliar'!A53,Suppliar[Facility ID],0)),"")</f>
        <v>714.03</v>
      </c>
      <c r="K53">
        <f>IFERROR(INDEX(Suppliar[Income Distribution (%)],MATCH('Merge operational &amp; suppliar'!A53,Suppliar[Facility ID],0)),"")</f>
        <v>36.89</v>
      </c>
    </row>
    <row r="54" spans="1:11" x14ac:dyDescent="0.3">
      <c r="A54" t="s">
        <v>67</v>
      </c>
      <c r="B54" t="s">
        <v>7</v>
      </c>
      <c r="C54" t="s">
        <v>8</v>
      </c>
      <c r="D54" t="s">
        <v>9</v>
      </c>
      <c r="E54" t="s">
        <v>10</v>
      </c>
      <c r="F54">
        <v>4777.7700000000004</v>
      </c>
      <c r="G54">
        <v>70582</v>
      </c>
      <c r="H54">
        <v>7517.59</v>
      </c>
      <c r="I54">
        <v>95.71</v>
      </c>
      <c r="J54" t="str">
        <f>IFERROR(INDEX(Suppliar[Estimated Carbon Footprint (tons CO₂e)],MATCH('Merge operational &amp; suppliar'!A54,Suppliar[Facility ID],0)),"")</f>
        <v/>
      </c>
      <c r="K54" t="str">
        <f>IFERROR(INDEX(Suppliar[Income Distribution (%)],MATCH('Merge operational &amp; suppliar'!A54,Suppliar[Facility ID],0)),"")</f>
        <v/>
      </c>
    </row>
    <row r="55" spans="1:11" x14ac:dyDescent="0.3">
      <c r="A55" t="s">
        <v>68</v>
      </c>
      <c r="B55" t="s">
        <v>12</v>
      </c>
      <c r="C55" t="s">
        <v>13</v>
      </c>
      <c r="D55" t="s">
        <v>9</v>
      </c>
      <c r="E55" t="s">
        <v>10</v>
      </c>
      <c r="F55">
        <v>739.48</v>
      </c>
      <c r="G55">
        <v>69100</v>
      </c>
      <c r="H55">
        <v>9356.02</v>
      </c>
      <c r="I55">
        <v>16.5</v>
      </c>
      <c r="J55">
        <f>IFERROR(INDEX(Suppliar[Estimated Carbon Footprint (tons CO₂e)],MATCH('Merge operational &amp; suppliar'!A55,Suppliar[Facility ID],0)),"")</f>
        <v>694.92</v>
      </c>
      <c r="K55">
        <f>IFERROR(INDEX(Suppliar[Income Distribution (%)],MATCH('Merge operational &amp; suppliar'!A55,Suppliar[Facility ID],0)),"")</f>
        <v>23.67</v>
      </c>
    </row>
    <row r="56" spans="1:11" x14ac:dyDescent="0.3">
      <c r="A56" t="s">
        <v>69</v>
      </c>
      <c r="B56" t="s">
        <v>7</v>
      </c>
      <c r="C56" t="s">
        <v>23</v>
      </c>
      <c r="D56" t="s">
        <v>14</v>
      </c>
      <c r="E56" t="s">
        <v>10</v>
      </c>
      <c r="F56">
        <v>2957.08</v>
      </c>
      <c r="G56">
        <v>34725</v>
      </c>
      <c r="H56">
        <v>3269.89</v>
      </c>
      <c r="I56">
        <v>78.86</v>
      </c>
      <c r="J56">
        <f>IFERROR(INDEX(Suppliar[Estimated Carbon Footprint (tons CO₂e)],MATCH('Merge operational &amp; suppliar'!A56,Suppliar[Facility ID],0)),"")</f>
        <v>436.04</v>
      </c>
      <c r="K56">
        <f>IFERROR(INDEX(Suppliar[Income Distribution (%)],MATCH('Merge operational &amp; suppliar'!A56,Suppliar[Facility ID],0)),"")</f>
        <v>31.8</v>
      </c>
    </row>
    <row r="57" spans="1:11" x14ac:dyDescent="0.3">
      <c r="A57" t="s">
        <v>70</v>
      </c>
      <c r="B57" t="s">
        <v>19</v>
      </c>
      <c r="C57" t="s">
        <v>13</v>
      </c>
      <c r="D57" t="s">
        <v>28</v>
      </c>
      <c r="E57" t="s">
        <v>24</v>
      </c>
      <c r="F57">
        <v>4782.28</v>
      </c>
      <c r="G57">
        <v>42485</v>
      </c>
      <c r="H57">
        <v>4755.75</v>
      </c>
      <c r="I57">
        <v>10.19</v>
      </c>
      <c r="J57">
        <f>IFERROR(INDEX(Suppliar[Estimated Carbon Footprint (tons CO₂e)],MATCH('Merge operational &amp; suppliar'!A57,Suppliar[Facility ID],0)),"")</f>
        <v>662.74</v>
      </c>
      <c r="K57">
        <f>IFERROR(INDEX(Suppliar[Income Distribution (%)],MATCH('Merge operational &amp; suppliar'!A57,Suppliar[Facility ID],0)),"")</f>
        <v>36.79</v>
      </c>
    </row>
    <row r="58" spans="1:11" x14ac:dyDescent="0.3">
      <c r="A58" t="s">
        <v>53</v>
      </c>
      <c r="B58" t="s">
        <v>7</v>
      </c>
      <c r="C58" t="s">
        <v>34</v>
      </c>
      <c r="D58" t="s">
        <v>14</v>
      </c>
      <c r="E58" t="s">
        <v>15</v>
      </c>
      <c r="F58">
        <v>3836.23</v>
      </c>
      <c r="G58">
        <v>90632</v>
      </c>
      <c r="H58">
        <v>5292.17</v>
      </c>
      <c r="I58">
        <v>78.45</v>
      </c>
      <c r="J58">
        <f>IFERROR(INDEX(Suppliar[Estimated Carbon Footprint (tons CO₂e)],MATCH('Merge operational &amp; suppliar'!A58,Suppliar[Facility ID],0)),"")</f>
        <v>571.88</v>
      </c>
      <c r="K58">
        <f>IFERROR(INDEX(Suppliar[Income Distribution (%)],MATCH('Merge operational &amp; suppliar'!A58,Suppliar[Facility ID],0)),"")</f>
        <v>20.93</v>
      </c>
    </row>
    <row r="59" spans="1:11" x14ac:dyDescent="0.3">
      <c r="A59" t="s">
        <v>71</v>
      </c>
      <c r="B59" t="s">
        <v>7</v>
      </c>
      <c r="C59" t="s">
        <v>13</v>
      </c>
      <c r="D59" t="s">
        <v>28</v>
      </c>
      <c r="E59" t="s">
        <v>10</v>
      </c>
      <c r="F59">
        <v>4410.6400000000003</v>
      </c>
      <c r="G59">
        <v>68018</v>
      </c>
      <c r="H59">
        <v>3523.4</v>
      </c>
      <c r="I59">
        <v>92.26</v>
      </c>
      <c r="J59">
        <f>IFERROR(INDEX(Suppliar[Estimated Carbon Footprint (tons CO₂e)],MATCH('Merge operational &amp; suppliar'!A59,Suppliar[Facility ID],0)),"")</f>
        <v>111.84</v>
      </c>
      <c r="K59">
        <f>IFERROR(INDEX(Suppliar[Income Distribution (%)],MATCH('Merge operational &amp; suppliar'!A59,Suppliar[Facility ID],0)),"")</f>
        <v>15.85</v>
      </c>
    </row>
    <row r="60" spans="1:11" x14ac:dyDescent="0.3">
      <c r="A60" t="s">
        <v>70</v>
      </c>
      <c r="B60" t="s">
        <v>19</v>
      </c>
      <c r="C60" t="s">
        <v>34</v>
      </c>
      <c r="D60" t="s">
        <v>28</v>
      </c>
      <c r="E60" t="s">
        <v>24</v>
      </c>
      <c r="F60">
        <v>1861.93</v>
      </c>
      <c r="G60">
        <v>42485</v>
      </c>
      <c r="H60">
        <v>4755.75</v>
      </c>
      <c r="I60">
        <v>10.19</v>
      </c>
      <c r="J60">
        <f>IFERROR(INDEX(Suppliar[Estimated Carbon Footprint (tons CO₂e)],MATCH('Merge operational &amp; suppliar'!A60,Suppliar[Facility ID],0)),"")</f>
        <v>662.74</v>
      </c>
      <c r="K60">
        <f>IFERROR(INDEX(Suppliar[Income Distribution (%)],MATCH('Merge operational &amp; suppliar'!A60,Suppliar[Facility ID],0)),"")</f>
        <v>36.79</v>
      </c>
    </row>
    <row r="61" spans="1:11" x14ac:dyDescent="0.3">
      <c r="A61" t="s">
        <v>72</v>
      </c>
      <c r="B61" t="s">
        <v>19</v>
      </c>
      <c r="C61" t="s">
        <v>8</v>
      </c>
      <c r="D61" t="s">
        <v>14</v>
      </c>
      <c r="E61" t="s">
        <v>10</v>
      </c>
      <c r="F61">
        <v>3332.83</v>
      </c>
      <c r="G61">
        <v>29318</v>
      </c>
      <c r="H61">
        <v>9860.6200000000008</v>
      </c>
      <c r="I61">
        <v>14.58</v>
      </c>
      <c r="J61">
        <f>IFERROR(INDEX(Suppliar[Estimated Carbon Footprint (tons CO₂e)],MATCH('Merge operational &amp; suppliar'!A61,Suppliar[Facility ID],0)),"")</f>
        <v>571.66</v>
      </c>
      <c r="K61">
        <f>IFERROR(INDEX(Suppliar[Income Distribution (%)],MATCH('Merge operational &amp; suppliar'!A61,Suppliar[Facility ID],0)),"")</f>
        <v>6.78</v>
      </c>
    </row>
    <row r="62" spans="1:11" x14ac:dyDescent="0.3">
      <c r="A62" t="s">
        <v>73</v>
      </c>
      <c r="B62" t="s">
        <v>30</v>
      </c>
      <c r="C62" t="s">
        <v>34</v>
      </c>
      <c r="D62" t="s">
        <v>28</v>
      </c>
      <c r="E62" t="s">
        <v>24</v>
      </c>
      <c r="F62">
        <v>2649.83</v>
      </c>
      <c r="G62">
        <v>55974</v>
      </c>
      <c r="H62">
        <v>7542.28</v>
      </c>
      <c r="I62">
        <v>72.430000000000007</v>
      </c>
      <c r="J62">
        <f>IFERROR(INDEX(Suppliar[Estimated Carbon Footprint (tons CO₂e)],MATCH('Merge operational &amp; suppliar'!A62,Suppliar[Facility ID],0)),"")</f>
        <v>626.54</v>
      </c>
      <c r="K62">
        <f>IFERROR(INDEX(Suppliar[Income Distribution (%)],MATCH('Merge operational &amp; suppliar'!A62,Suppliar[Facility ID],0)),"")</f>
        <v>29.46</v>
      </c>
    </row>
    <row r="63" spans="1:11" x14ac:dyDescent="0.3">
      <c r="A63" t="s">
        <v>74</v>
      </c>
      <c r="B63" t="s">
        <v>19</v>
      </c>
      <c r="C63" t="s">
        <v>8</v>
      </c>
      <c r="D63" t="s">
        <v>14</v>
      </c>
      <c r="E63" t="s">
        <v>24</v>
      </c>
      <c r="F63">
        <v>3224.33</v>
      </c>
      <c r="G63">
        <v>18175</v>
      </c>
      <c r="H63">
        <v>8349.49</v>
      </c>
      <c r="I63">
        <v>39.97</v>
      </c>
      <c r="J63">
        <f>IFERROR(INDEX(Suppliar[Estimated Carbon Footprint (tons CO₂e)],MATCH('Merge operational &amp; suppliar'!A63,Suppliar[Facility ID],0)),"")</f>
        <v>818.45</v>
      </c>
      <c r="K63">
        <f>IFERROR(INDEX(Suppliar[Income Distribution (%)],MATCH('Merge operational &amp; suppliar'!A63,Suppliar[Facility ID],0)),"")</f>
        <v>19.04</v>
      </c>
    </row>
    <row r="64" spans="1:11" x14ac:dyDescent="0.3">
      <c r="A64" t="s">
        <v>22</v>
      </c>
      <c r="B64" t="s">
        <v>12</v>
      </c>
      <c r="C64" t="s">
        <v>23</v>
      </c>
      <c r="D64" t="s">
        <v>9</v>
      </c>
      <c r="E64" t="s">
        <v>10</v>
      </c>
      <c r="F64">
        <v>881.22</v>
      </c>
      <c r="G64">
        <v>47484</v>
      </c>
      <c r="H64">
        <v>3396.39</v>
      </c>
      <c r="I64">
        <v>19.510000000000002</v>
      </c>
      <c r="J64">
        <f>IFERROR(INDEX(Suppliar[Estimated Carbon Footprint (tons CO₂e)],MATCH('Merge operational &amp; suppliar'!A64,Suppliar[Facility ID],0)),"")</f>
        <v>790.74</v>
      </c>
      <c r="K64">
        <f>IFERROR(INDEX(Suppliar[Income Distribution (%)],MATCH('Merge operational &amp; suppliar'!A64,Suppliar[Facility ID],0)),"")</f>
        <v>12.77</v>
      </c>
    </row>
    <row r="65" spans="1:11" x14ac:dyDescent="0.3">
      <c r="A65" t="s">
        <v>75</v>
      </c>
      <c r="B65" t="s">
        <v>19</v>
      </c>
      <c r="C65" t="s">
        <v>13</v>
      </c>
      <c r="D65" t="s">
        <v>9</v>
      </c>
      <c r="E65" t="s">
        <v>15</v>
      </c>
      <c r="F65">
        <v>5563.32</v>
      </c>
      <c r="G65">
        <v>54136</v>
      </c>
      <c r="H65">
        <v>2775.38</v>
      </c>
      <c r="I65">
        <v>75.459999999999994</v>
      </c>
      <c r="J65">
        <f>IFERROR(INDEX(Suppliar[Estimated Carbon Footprint (tons CO₂e)],MATCH('Merge operational &amp; suppliar'!A65,Suppliar[Facility ID],0)),"")</f>
        <v>932.3</v>
      </c>
      <c r="K65">
        <f>IFERROR(INDEX(Suppliar[Income Distribution (%)],MATCH('Merge operational &amp; suppliar'!A65,Suppliar[Facility ID],0)),"")</f>
        <v>16.93</v>
      </c>
    </row>
    <row r="66" spans="1:11" x14ac:dyDescent="0.3">
      <c r="A66" t="s">
        <v>76</v>
      </c>
      <c r="B66" t="s">
        <v>17</v>
      </c>
      <c r="C66" t="s">
        <v>34</v>
      </c>
      <c r="D66" t="s">
        <v>28</v>
      </c>
      <c r="E66" t="s">
        <v>24</v>
      </c>
      <c r="F66">
        <v>2558.1799999999998</v>
      </c>
      <c r="G66">
        <v>59617</v>
      </c>
      <c r="H66">
        <v>5000.95</v>
      </c>
      <c r="I66">
        <v>80.36</v>
      </c>
      <c r="J66">
        <f>IFERROR(INDEX(Suppliar[Estimated Carbon Footprint (tons CO₂e)],MATCH('Merge operational &amp; suppliar'!A66,Suppliar[Facility ID],0)),"")</f>
        <v>532.27</v>
      </c>
      <c r="K66">
        <f>IFERROR(INDEX(Suppliar[Income Distribution (%)],MATCH('Merge operational &amp; suppliar'!A66,Suppliar[Facility ID],0)),"")</f>
        <v>25.24</v>
      </c>
    </row>
    <row r="67" spans="1:11" x14ac:dyDescent="0.3">
      <c r="A67" t="s">
        <v>77</v>
      </c>
      <c r="B67" t="s">
        <v>30</v>
      </c>
      <c r="C67" t="s">
        <v>23</v>
      </c>
      <c r="D67" t="s">
        <v>9</v>
      </c>
      <c r="E67" t="s">
        <v>10</v>
      </c>
      <c r="F67">
        <v>2013.87</v>
      </c>
      <c r="G67">
        <v>61942</v>
      </c>
      <c r="H67">
        <v>4891.32</v>
      </c>
      <c r="I67">
        <v>91.59</v>
      </c>
      <c r="J67">
        <f>IFERROR(INDEX(Suppliar[Estimated Carbon Footprint (tons CO₂e)],MATCH('Merge operational &amp; suppliar'!A67,Suppliar[Facility ID],0)),"")</f>
        <v>785.8</v>
      </c>
      <c r="K67">
        <f>IFERROR(INDEX(Suppliar[Income Distribution (%)],MATCH('Merge operational &amp; suppliar'!A67,Suppliar[Facility ID],0)),"")</f>
        <v>8.84</v>
      </c>
    </row>
    <row r="68" spans="1:11" x14ac:dyDescent="0.3">
      <c r="A68" t="s">
        <v>78</v>
      </c>
      <c r="B68" t="s">
        <v>7</v>
      </c>
      <c r="C68" t="s">
        <v>23</v>
      </c>
      <c r="D68" t="s">
        <v>28</v>
      </c>
      <c r="E68" t="s">
        <v>15</v>
      </c>
      <c r="F68">
        <v>1752.18</v>
      </c>
      <c r="G68">
        <v>86557</v>
      </c>
      <c r="H68">
        <v>8631.2800000000007</v>
      </c>
      <c r="I68">
        <v>69.53</v>
      </c>
      <c r="J68" t="str">
        <f>IFERROR(INDEX(Suppliar[Estimated Carbon Footprint (tons CO₂e)],MATCH('Merge operational &amp; suppliar'!A68,Suppliar[Facility ID],0)),"")</f>
        <v/>
      </c>
      <c r="K68" t="str">
        <f>IFERROR(INDEX(Suppliar[Income Distribution (%)],MATCH('Merge operational &amp; suppliar'!A68,Suppliar[Facility ID],0)),"")</f>
        <v/>
      </c>
    </row>
    <row r="69" spans="1:11" x14ac:dyDescent="0.3">
      <c r="A69" t="s">
        <v>79</v>
      </c>
      <c r="B69" t="s">
        <v>17</v>
      </c>
      <c r="C69" t="s">
        <v>13</v>
      </c>
      <c r="D69" t="s">
        <v>28</v>
      </c>
      <c r="E69" t="s">
        <v>24</v>
      </c>
      <c r="F69">
        <v>4152.92</v>
      </c>
      <c r="G69">
        <v>40503</v>
      </c>
      <c r="H69">
        <v>7447.46</v>
      </c>
      <c r="I69">
        <v>98.27</v>
      </c>
      <c r="J69">
        <f>IFERROR(INDEX(Suppliar[Estimated Carbon Footprint (tons CO₂e)],MATCH('Merge operational &amp; suppliar'!A69,Suppliar[Facility ID],0)),"")</f>
        <v>209.33</v>
      </c>
      <c r="K69">
        <f>IFERROR(INDEX(Suppliar[Income Distribution (%)],MATCH('Merge operational &amp; suppliar'!A69,Suppliar[Facility ID],0)),"")</f>
        <v>39.549999999999997</v>
      </c>
    </row>
    <row r="70" spans="1:11" x14ac:dyDescent="0.3">
      <c r="A70" t="s">
        <v>80</v>
      </c>
      <c r="B70" t="s">
        <v>17</v>
      </c>
      <c r="C70" t="s">
        <v>13</v>
      </c>
      <c r="D70" t="s">
        <v>28</v>
      </c>
      <c r="E70" t="s">
        <v>15</v>
      </c>
      <c r="F70">
        <v>61.94</v>
      </c>
      <c r="G70">
        <v>75508</v>
      </c>
      <c r="H70">
        <v>6856.22</v>
      </c>
      <c r="I70">
        <v>18.2</v>
      </c>
      <c r="J70">
        <f>IFERROR(INDEX(Suppliar[Estimated Carbon Footprint (tons CO₂e)],MATCH('Merge operational &amp; suppliar'!A70,Suppliar[Facility ID],0)),"")</f>
        <v>991.03</v>
      </c>
      <c r="K70">
        <f>IFERROR(INDEX(Suppliar[Income Distribution (%)],MATCH('Merge operational &amp; suppliar'!A70,Suppliar[Facility ID],0)),"")</f>
        <v>13.32</v>
      </c>
    </row>
    <row r="71" spans="1:11" x14ac:dyDescent="0.3">
      <c r="A71" t="s">
        <v>66</v>
      </c>
      <c r="B71" t="s">
        <v>30</v>
      </c>
      <c r="C71" t="s">
        <v>34</v>
      </c>
      <c r="D71" t="s">
        <v>9</v>
      </c>
      <c r="E71" t="s">
        <v>15</v>
      </c>
      <c r="F71">
        <v>4862.4399999999996</v>
      </c>
      <c r="G71">
        <v>98396</v>
      </c>
      <c r="H71">
        <v>5174.07</v>
      </c>
      <c r="I71">
        <v>63.38</v>
      </c>
      <c r="J71">
        <f>IFERROR(INDEX(Suppliar[Estimated Carbon Footprint (tons CO₂e)],MATCH('Merge operational &amp; suppliar'!A71,Suppliar[Facility ID],0)),"")</f>
        <v>714.03</v>
      </c>
      <c r="K71">
        <f>IFERROR(INDEX(Suppliar[Income Distribution (%)],MATCH('Merge operational &amp; suppliar'!A71,Suppliar[Facility ID],0)),"")</f>
        <v>36.89</v>
      </c>
    </row>
    <row r="72" spans="1:11" x14ac:dyDescent="0.3">
      <c r="A72" t="s">
        <v>81</v>
      </c>
      <c r="B72" t="s">
        <v>12</v>
      </c>
      <c r="C72" t="s">
        <v>23</v>
      </c>
      <c r="D72" t="s">
        <v>9</v>
      </c>
      <c r="E72" t="s">
        <v>10</v>
      </c>
      <c r="F72">
        <v>1930.13</v>
      </c>
      <c r="G72">
        <v>93661</v>
      </c>
      <c r="H72">
        <v>7324.58</v>
      </c>
      <c r="I72">
        <v>23.55</v>
      </c>
      <c r="J72">
        <f>IFERROR(INDEX(Suppliar[Estimated Carbon Footprint (tons CO₂e)],MATCH('Merge operational &amp; suppliar'!A72,Suppliar[Facility ID],0)),"")</f>
        <v>390.06</v>
      </c>
      <c r="K72">
        <f>IFERROR(INDEX(Suppliar[Income Distribution (%)],MATCH('Merge operational &amp; suppliar'!A72,Suppliar[Facility ID],0)),"")</f>
        <v>23.14</v>
      </c>
    </row>
    <row r="73" spans="1:11" x14ac:dyDescent="0.3">
      <c r="A73" t="s">
        <v>82</v>
      </c>
      <c r="B73" t="s">
        <v>17</v>
      </c>
      <c r="C73" t="s">
        <v>34</v>
      </c>
      <c r="D73" t="s">
        <v>28</v>
      </c>
      <c r="E73" t="s">
        <v>24</v>
      </c>
      <c r="F73">
        <v>2818.75</v>
      </c>
      <c r="G73">
        <v>93409</v>
      </c>
      <c r="H73">
        <v>2375.83</v>
      </c>
      <c r="I73">
        <v>5.83</v>
      </c>
      <c r="J73" t="str">
        <f>IFERROR(INDEX(Suppliar[Estimated Carbon Footprint (tons CO₂e)],MATCH('Merge operational &amp; suppliar'!A73,Suppliar[Facility ID],0)),"")</f>
        <v/>
      </c>
      <c r="K73" t="str">
        <f>IFERROR(INDEX(Suppliar[Income Distribution (%)],MATCH('Merge operational &amp; suppliar'!A73,Suppliar[Facility ID],0)),"")</f>
        <v/>
      </c>
    </row>
    <row r="74" spans="1:11" x14ac:dyDescent="0.3">
      <c r="A74" t="s">
        <v>83</v>
      </c>
      <c r="B74" t="s">
        <v>17</v>
      </c>
      <c r="C74" t="s">
        <v>8</v>
      </c>
      <c r="D74" t="s">
        <v>9</v>
      </c>
      <c r="E74" t="s">
        <v>24</v>
      </c>
      <c r="F74">
        <v>2368.67</v>
      </c>
      <c r="G74">
        <v>30934</v>
      </c>
      <c r="H74">
        <v>4175.6499999999996</v>
      </c>
      <c r="I74">
        <v>77.290000000000006</v>
      </c>
      <c r="J74">
        <f>IFERROR(INDEX(Suppliar[Estimated Carbon Footprint (tons CO₂e)],MATCH('Merge operational &amp; suppliar'!A74,Suppliar[Facility ID],0)),"")</f>
        <v>610.79999999999995</v>
      </c>
      <c r="K74">
        <f>IFERROR(INDEX(Suppliar[Income Distribution (%)],MATCH('Merge operational &amp; suppliar'!A74,Suppliar[Facility ID],0)),"")</f>
        <v>14.23</v>
      </c>
    </row>
    <row r="75" spans="1:11" x14ac:dyDescent="0.3">
      <c r="A75" t="s">
        <v>54</v>
      </c>
      <c r="B75" t="s">
        <v>12</v>
      </c>
      <c r="C75" t="s">
        <v>34</v>
      </c>
      <c r="D75" t="s">
        <v>14</v>
      </c>
      <c r="E75" t="s">
        <v>15</v>
      </c>
      <c r="F75">
        <v>1533.98</v>
      </c>
      <c r="G75">
        <v>58111</v>
      </c>
      <c r="H75">
        <v>4610.8999999999996</v>
      </c>
      <c r="I75">
        <v>21.53</v>
      </c>
      <c r="J75">
        <f>IFERROR(INDEX(Suppliar[Estimated Carbon Footprint (tons CO₂e)],MATCH('Merge operational &amp; suppliar'!A75,Suppliar[Facility ID],0)),"")</f>
        <v>268.16000000000003</v>
      </c>
      <c r="K75">
        <f>IFERROR(INDEX(Suppliar[Income Distribution (%)],MATCH('Merge operational &amp; suppliar'!A75,Suppliar[Facility ID],0)),"")</f>
        <v>13.78</v>
      </c>
    </row>
    <row r="76" spans="1:11" x14ac:dyDescent="0.3">
      <c r="A76" t="s">
        <v>68</v>
      </c>
      <c r="B76" t="s">
        <v>12</v>
      </c>
      <c r="C76" t="s">
        <v>34</v>
      </c>
      <c r="D76" t="s">
        <v>14</v>
      </c>
      <c r="E76" t="s">
        <v>24</v>
      </c>
      <c r="F76">
        <v>249.89</v>
      </c>
      <c r="G76">
        <v>69100</v>
      </c>
      <c r="H76">
        <v>9356.02</v>
      </c>
      <c r="I76">
        <v>16.5</v>
      </c>
      <c r="J76">
        <f>IFERROR(INDEX(Suppliar[Estimated Carbon Footprint (tons CO₂e)],MATCH('Merge operational &amp; suppliar'!A76,Suppliar[Facility ID],0)),"")</f>
        <v>694.92</v>
      </c>
      <c r="K76">
        <f>IFERROR(INDEX(Suppliar[Income Distribution (%)],MATCH('Merge operational &amp; suppliar'!A76,Suppliar[Facility ID],0)),"")</f>
        <v>23.67</v>
      </c>
    </row>
    <row r="77" spans="1:11" x14ac:dyDescent="0.3">
      <c r="A77" t="s">
        <v>84</v>
      </c>
      <c r="B77" t="s">
        <v>30</v>
      </c>
      <c r="C77" t="s">
        <v>13</v>
      </c>
      <c r="D77" t="s">
        <v>9</v>
      </c>
      <c r="E77" t="s">
        <v>15</v>
      </c>
      <c r="F77">
        <v>4797.88</v>
      </c>
      <c r="G77">
        <v>85444</v>
      </c>
      <c r="H77">
        <v>852.57</v>
      </c>
      <c r="I77">
        <v>72.650000000000006</v>
      </c>
      <c r="J77">
        <f>IFERROR(INDEX(Suppliar[Estimated Carbon Footprint (tons CO₂e)],MATCH('Merge operational &amp; suppliar'!A77,Suppliar[Facility ID],0)),"")</f>
        <v>319.93</v>
      </c>
      <c r="K77">
        <f>IFERROR(INDEX(Suppliar[Income Distribution (%)],MATCH('Merge operational &amp; suppliar'!A77,Suppliar[Facility ID],0)),"")</f>
        <v>34.35</v>
      </c>
    </row>
    <row r="78" spans="1:11" x14ac:dyDescent="0.3">
      <c r="A78" t="s">
        <v>85</v>
      </c>
      <c r="B78" t="s">
        <v>30</v>
      </c>
      <c r="C78" t="s">
        <v>23</v>
      </c>
      <c r="D78" t="s">
        <v>14</v>
      </c>
      <c r="E78" t="s">
        <v>24</v>
      </c>
      <c r="F78">
        <v>534.05999999999995</v>
      </c>
      <c r="G78">
        <v>45519</v>
      </c>
      <c r="H78">
        <v>7987.69</v>
      </c>
      <c r="I78">
        <v>10.86</v>
      </c>
      <c r="J78">
        <f>IFERROR(INDEX(Suppliar[Estimated Carbon Footprint (tons CO₂e)],MATCH('Merge operational &amp; suppliar'!A78,Suppliar[Facility ID],0)),"")</f>
        <v>638.89</v>
      </c>
      <c r="K78">
        <f>IFERROR(INDEX(Suppliar[Income Distribution (%)],MATCH('Merge operational &amp; suppliar'!A78,Suppliar[Facility ID],0)),"")</f>
        <v>35.04</v>
      </c>
    </row>
    <row r="79" spans="1:11" x14ac:dyDescent="0.3">
      <c r="A79" t="s">
        <v>86</v>
      </c>
      <c r="B79" t="s">
        <v>19</v>
      </c>
      <c r="C79" t="s">
        <v>13</v>
      </c>
      <c r="D79" t="s">
        <v>14</v>
      </c>
      <c r="E79" t="s">
        <v>10</v>
      </c>
      <c r="F79">
        <v>4285.8999999999996</v>
      </c>
      <c r="G79">
        <v>56531</v>
      </c>
      <c r="H79">
        <v>8958.07</v>
      </c>
      <c r="I79">
        <v>83.44</v>
      </c>
      <c r="J79">
        <f>IFERROR(INDEX(Suppliar[Estimated Carbon Footprint (tons CO₂e)],MATCH('Merge operational &amp; suppliar'!A79,Suppliar[Facility ID],0)),"")</f>
        <v>943.59</v>
      </c>
      <c r="K79">
        <f>IFERROR(INDEX(Suppliar[Income Distribution (%)],MATCH('Merge operational &amp; suppliar'!A79,Suppliar[Facility ID],0)),"")</f>
        <v>23.54</v>
      </c>
    </row>
    <row r="80" spans="1:11" x14ac:dyDescent="0.3">
      <c r="A80" t="s">
        <v>87</v>
      </c>
      <c r="B80" t="s">
        <v>12</v>
      </c>
      <c r="C80" t="s">
        <v>34</v>
      </c>
      <c r="D80" t="s">
        <v>28</v>
      </c>
      <c r="E80" t="s">
        <v>10</v>
      </c>
      <c r="F80">
        <v>1042.25</v>
      </c>
      <c r="G80">
        <v>15333</v>
      </c>
      <c r="H80">
        <v>2570.54</v>
      </c>
      <c r="I80">
        <v>41.07</v>
      </c>
      <c r="J80">
        <f>IFERROR(INDEX(Suppliar[Estimated Carbon Footprint (tons CO₂e)],MATCH('Merge operational &amp; suppliar'!A80,Suppliar[Facility ID],0)),"")</f>
        <v>390.06</v>
      </c>
      <c r="K80">
        <f>IFERROR(INDEX(Suppliar[Income Distribution (%)],MATCH('Merge operational &amp; suppliar'!A80,Suppliar[Facility ID],0)),"")</f>
        <v>31.43</v>
      </c>
    </row>
    <row r="81" spans="1:11" x14ac:dyDescent="0.3">
      <c r="A81" t="s">
        <v>88</v>
      </c>
      <c r="B81" t="s">
        <v>7</v>
      </c>
      <c r="C81" t="s">
        <v>34</v>
      </c>
      <c r="D81" t="s">
        <v>9</v>
      </c>
      <c r="E81" t="s">
        <v>24</v>
      </c>
      <c r="F81">
        <v>1836.69</v>
      </c>
      <c r="G81">
        <v>44825</v>
      </c>
      <c r="H81">
        <v>6023.03</v>
      </c>
      <c r="I81">
        <v>27.2</v>
      </c>
      <c r="J81">
        <f>IFERROR(INDEX(Suppliar[Estimated Carbon Footprint (tons CO₂e)],MATCH('Merge operational &amp; suppliar'!A81,Suppliar[Facility ID],0)),"")</f>
        <v>436.04</v>
      </c>
      <c r="K81">
        <f>IFERROR(INDEX(Suppliar[Income Distribution (%)],MATCH('Merge operational &amp; suppliar'!A81,Suppliar[Facility ID],0)),"")</f>
        <v>19.36</v>
      </c>
    </row>
    <row r="82" spans="1:11" x14ac:dyDescent="0.3">
      <c r="A82" t="s">
        <v>89</v>
      </c>
      <c r="B82" t="s">
        <v>17</v>
      </c>
      <c r="C82" t="s">
        <v>13</v>
      </c>
      <c r="D82" t="s">
        <v>28</v>
      </c>
      <c r="E82" t="s">
        <v>15</v>
      </c>
      <c r="F82">
        <v>3337.6</v>
      </c>
      <c r="G82">
        <v>36171</v>
      </c>
      <c r="H82">
        <v>6864.38</v>
      </c>
      <c r="I82">
        <v>37.03</v>
      </c>
      <c r="J82">
        <f>IFERROR(INDEX(Suppliar[Estimated Carbon Footprint (tons CO₂e)],MATCH('Merge operational &amp; suppliar'!A82,Suppliar[Facility ID],0)),"")</f>
        <v>181.54</v>
      </c>
      <c r="K82">
        <f>IFERROR(INDEX(Suppliar[Income Distribution (%)],MATCH('Merge operational &amp; suppliar'!A82,Suppliar[Facility ID],0)),"")</f>
        <v>55.69</v>
      </c>
    </row>
    <row r="83" spans="1:11" x14ac:dyDescent="0.3">
      <c r="A83" t="s">
        <v>32</v>
      </c>
      <c r="B83" t="s">
        <v>7</v>
      </c>
      <c r="C83" t="s">
        <v>34</v>
      </c>
      <c r="D83" t="s">
        <v>14</v>
      </c>
      <c r="E83" t="s">
        <v>15</v>
      </c>
      <c r="F83">
        <v>2632.11</v>
      </c>
      <c r="G83">
        <v>10933</v>
      </c>
      <c r="H83">
        <v>9004.3700000000008</v>
      </c>
      <c r="I83">
        <v>26.84</v>
      </c>
      <c r="J83" t="str">
        <f>IFERROR(INDEX(Suppliar[Estimated Carbon Footprint (tons CO₂e)],MATCH('Merge operational &amp; suppliar'!A83,Suppliar[Facility ID],0)),"")</f>
        <v/>
      </c>
      <c r="K83" t="str">
        <f>IFERROR(INDEX(Suppliar[Income Distribution (%)],MATCH('Merge operational &amp; suppliar'!A83,Suppliar[Facility ID],0)),"")</f>
        <v/>
      </c>
    </row>
    <row r="84" spans="1:11" x14ac:dyDescent="0.3">
      <c r="A84" t="s">
        <v>90</v>
      </c>
      <c r="B84" t="s">
        <v>19</v>
      </c>
      <c r="C84" t="s">
        <v>23</v>
      </c>
      <c r="D84" t="s">
        <v>28</v>
      </c>
      <c r="E84" t="s">
        <v>24</v>
      </c>
      <c r="F84">
        <v>2011.5</v>
      </c>
      <c r="G84">
        <v>97337</v>
      </c>
      <c r="H84">
        <v>3362.06</v>
      </c>
      <c r="I84">
        <v>55.46</v>
      </c>
      <c r="J84">
        <f>IFERROR(INDEX(Suppliar[Estimated Carbon Footprint (tons CO₂e)],MATCH('Merge operational &amp; suppliar'!A84,Suppliar[Facility ID],0)),"")</f>
        <v>459.56</v>
      </c>
      <c r="K84">
        <f>IFERROR(INDEX(Suppliar[Income Distribution (%)],MATCH('Merge operational &amp; suppliar'!A84,Suppliar[Facility ID],0)),"")</f>
        <v>10.31</v>
      </c>
    </row>
    <row r="85" spans="1:11" x14ac:dyDescent="0.3">
      <c r="A85" t="s">
        <v>91</v>
      </c>
      <c r="B85" t="s">
        <v>30</v>
      </c>
      <c r="C85" t="s">
        <v>23</v>
      </c>
      <c r="D85" t="s">
        <v>28</v>
      </c>
      <c r="E85" t="s">
        <v>15</v>
      </c>
      <c r="F85">
        <v>724.26</v>
      </c>
      <c r="G85">
        <v>20207</v>
      </c>
      <c r="H85">
        <v>5369.46</v>
      </c>
      <c r="I85">
        <v>57.51</v>
      </c>
      <c r="J85">
        <f>IFERROR(INDEX(Suppliar[Estimated Carbon Footprint (tons CO₂e)],MATCH('Merge operational &amp; suppliar'!A85,Suppliar[Facility ID],0)),"")</f>
        <v>847.51</v>
      </c>
      <c r="K85">
        <f>IFERROR(INDEX(Suppliar[Income Distribution (%)],MATCH('Merge operational &amp; suppliar'!A85,Suppliar[Facility ID],0)),"")</f>
        <v>28.45</v>
      </c>
    </row>
    <row r="86" spans="1:11" x14ac:dyDescent="0.3">
      <c r="A86" t="s">
        <v>6</v>
      </c>
      <c r="B86" t="s">
        <v>7</v>
      </c>
      <c r="C86" t="s">
        <v>23</v>
      </c>
      <c r="D86" t="s">
        <v>14</v>
      </c>
      <c r="E86" t="s">
        <v>24</v>
      </c>
      <c r="F86">
        <v>2373.2600000000002</v>
      </c>
      <c r="G86">
        <v>77330</v>
      </c>
      <c r="H86">
        <v>6936.58</v>
      </c>
      <c r="I86">
        <v>82.3</v>
      </c>
      <c r="J86">
        <f>IFERROR(INDEX(Suppliar[Estimated Carbon Footprint (tons CO₂e)],MATCH('Merge operational &amp; suppliar'!A86,Suppliar[Facility ID],0)),"")</f>
        <v>264.23</v>
      </c>
      <c r="K86">
        <f>IFERROR(INDEX(Suppliar[Income Distribution (%)],MATCH('Merge operational &amp; suppliar'!A86,Suppliar[Facility ID],0)),"")</f>
        <v>28.19</v>
      </c>
    </row>
    <row r="87" spans="1:11" x14ac:dyDescent="0.3">
      <c r="A87" t="s">
        <v>47</v>
      </c>
      <c r="B87" t="s">
        <v>30</v>
      </c>
      <c r="C87" t="s">
        <v>34</v>
      </c>
      <c r="D87" t="s">
        <v>28</v>
      </c>
      <c r="E87" t="s">
        <v>24</v>
      </c>
      <c r="F87">
        <v>1440.9</v>
      </c>
      <c r="G87">
        <v>53661</v>
      </c>
      <c r="H87">
        <v>6965.81</v>
      </c>
      <c r="I87">
        <v>69.400000000000006</v>
      </c>
      <c r="J87">
        <f>IFERROR(INDEX(Suppliar[Estimated Carbon Footprint (tons CO₂e)],MATCH('Merge operational &amp; suppliar'!A87,Suppliar[Facility ID],0)),"")</f>
        <v>610.79999999999995</v>
      </c>
      <c r="K87">
        <f>IFERROR(INDEX(Suppliar[Income Distribution (%)],MATCH('Merge operational &amp; suppliar'!A87,Suppliar[Facility ID],0)),"")</f>
        <v>29.15</v>
      </c>
    </row>
    <row r="88" spans="1:11" x14ac:dyDescent="0.3">
      <c r="A88" t="s">
        <v>92</v>
      </c>
      <c r="B88" t="s">
        <v>30</v>
      </c>
      <c r="C88" t="s">
        <v>13</v>
      </c>
      <c r="D88" t="s">
        <v>28</v>
      </c>
      <c r="E88" t="s">
        <v>10</v>
      </c>
      <c r="F88">
        <v>569.39</v>
      </c>
      <c r="G88">
        <v>18726</v>
      </c>
      <c r="H88">
        <v>5099.54</v>
      </c>
      <c r="I88">
        <v>71.05</v>
      </c>
      <c r="J88">
        <f>IFERROR(INDEX(Suppliar[Estimated Carbon Footprint (tons CO₂e)],MATCH('Merge operational &amp; suppliar'!A88,Suppliar[Facility ID],0)),"")</f>
        <v>714.03</v>
      </c>
      <c r="K88">
        <f>IFERROR(INDEX(Suppliar[Income Distribution (%)],MATCH('Merge operational &amp; suppliar'!A88,Suppliar[Facility ID],0)),"")</f>
        <v>32.29</v>
      </c>
    </row>
    <row r="89" spans="1:11" x14ac:dyDescent="0.3">
      <c r="A89" t="s">
        <v>43</v>
      </c>
      <c r="B89" t="s">
        <v>17</v>
      </c>
      <c r="C89" t="s">
        <v>23</v>
      </c>
      <c r="D89" t="s">
        <v>14</v>
      </c>
      <c r="E89" t="s">
        <v>24</v>
      </c>
      <c r="F89">
        <v>1161.74</v>
      </c>
      <c r="G89">
        <v>41168</v>
      </c>
      <c r="H89">
        <v>8226.77</v>
      </c>
      <c r="I89">
        <v>42.55</v>
      </c>
      <c r="J89">
        <f>IFERROR(INDEX(Suppliar[Estimated Carbon Footprint (tons CO₂e)],MATCH('Merge operational &amp; suppliar'!A89,Suppliar[Facility ID],0)),"")</f>
        <v>724.63</v>
      </c>
      <c r="K89">
        <f>IFERROR(INDEX(Suppliar[Income Distribution (%)],MATCH('Merge operational &amp; suppliar'!A89,Suppliar[Facility ID],0)),"")</f>
        <v>12.64</v>
      </c>
    </row>
    <row r="90" spans="1:11" x14ac:dyDescent="0.3">
      <c r="A90" t="s">
        <v>37</v>
      </c>
      <c r="B90" t="s">
        <v>17</v>
      </c>
      <c r="C90" t="s">
        <v>8</v>
      </c>
      <c r="D90" t="s">
        <v>9</v>
      </c>
      <c r="E90" t="s">
        <v>24</v>
      </c>
      <c r="F90">
        <v>4200.5</v>
      </c>
      <c r="G90">
        <v>71747</v>
      </c>
      <c r="H90">
        <v>9838.66</v>
      </c>
      <c r="I90">
        <v>7.25</v>
      </c>
      <c r="J90">
        <f>IFERROR(INDEX(Suppliar[Estimated Carbon Footprint (tons CO₂e)],MATCH('Merge operational &amp; suppliar'!A90,Suppliar[Facility ID],0)),"")</f>
        <v>224.5</v>
      </c>
      <c r="K90">
        <f>IFERROR(INDEX(Suppliar[Income Distribution (%)],MATCH('Merge operational &amp; suppliar'!A90,Suppliar[Facility ID],0)),"")</f>
        <v>39.29</v>
      </c>
    </row>
    <row r="91" spans="1:11" x14ac:dyDescent="0.3">
      <c r="A91" t="s">
        <v>55</v>
      </c>
      <c r="B91" t="s">
        <v>12</v>
      </c>
      <c r="C91" t="s">
        <v>8</v>
      </c>
      <c r="D91" t="s">
        <v>14</v>
      </c>
      <c r="E91" t="s">
        <v>15</v>
      </c>
      <c r="F91">
        <v>2311.5500000000002</v>
      </c>
      <c r="G91">
        <v>38181</v>
      </c>
      <c r="H91">
        <v>691.84</v>
      </c>
      <c r="I91">
        <v>33.53</v>
      </c>
      <c r="J91">
        <f>IFERROR(INDEX(Suppliar[Estimated Carbon Footprint (tons CO₂e)],MATCH('Merge operational &amp; suppliar'!A91,Suppliar[Facility ID],0)),"")</f>
        <v>114.57</v>
      </c>
      <c r="K91">
        <f>IFERROR(INDEX(Suppliar[Income Distribution (%)],MATCH('Merge operational &amp; suppliar'!A91,Suppliar[Facility ID],0)),"")</f>
        <v>9.9600000000000009</v>
      </c>
    </row>
    <row r="92" spans="1:11" x14ac:dyDescent="0.3">
      <c r="A92" t="s">
        <v>93</v>
      </c>
      <c r="B92" t="s">
        <v>30</v>
      </c>
      <c r="C92" t="s">
        <v>8</v>
      </c>
      <c r="D92" t="s">
        <v>28</v>
      </c>
      <c r="E92" t="s">
        <v>15</v>
      </c>
      <c r="F92">
        <v>2116.64</v>
      </c>
      <c r="G92">
        <v>26378</v>
      </c>
      <c r="H92">
        <v>2915.44</v>
      </c>
      <c r="I92">
        <v>29.84</v>
      </c>
      <c r="J92">
        <f>IFERROR(INDEX(Suppliar[Estimated Carbon Footprint (tons CO₂e)],MATCH('Merge operational &amp; suppliar'!A92,Suppliar[Facility ID],0)),"")</f>
        <v>311.36</v>
      </c>
      <c r="K92">
        <f>IFERROR(INDEX(Suppliar[Income Distribution (%)],MATCH('Merge operational &amp; suppliar'!A92,Suppliar[Facility ID],0)),"")</f>
        <v>26.09</v>
      </c>
    </row>
    <row r="93" spans="1:11" x14ac:dyDescent="0.3">
      <c r="A93" t="s">
        <v>94</v>
      </c>
      <c r="B93" t="s">
        <v>7</v>
      </c>
      <c r="C93" t="s">
        <v>13</v>
      </c>
      <c r="D93" t="s">
        <v>28</v>
      </c>
      <c r="E93" t="s">
        <v>15</v>
      </c>
      <c r="F93">
        <v>2833.88</v>
      </c>
      <c r="G93">
        <v>26338</v>
      </c>
      <c r="H93">
        <v>578.73</v>
      </c>
      <c r="I93">
        <v>72.52</v>
      </c>
      <c r="J93">
        <f>IFERROR(INDEX(Suppliar[Estimated Carbon Footprint (tons CO₂e)],MATCH('Merge operational &amp; suppliar'!A93,Suppliar[Facility ID],0)),"")</f>
        <v>991.36</v>
      </c>
      <c r="K93">
        <f>IFERROR(INDEX(Suppliar[Income Distribution (%)],MATCH('Merge operational &amp; suppliar'!A93,Suppliar[Facility ID],0)),"")</f>
        <v>35.39</v>
      </c>
    </row>
    <row r="94" spans="1:11" x14ac:dyDescent="0.3">
      <c r="A94" t="s">
        <v>95</v>
      </c>
      <c r="B94" t="s">
        <v>30</v>
      </c>
      <c r="C94" t="s">
        <v>8</v>
      </c>
      <c r="D94" t="s">
        <v>28</v>
      </c>
      <c r="E94" t="s">
        <v>10</v>
      </c>
      <c r="F94">
        <v>2605.96</v>
      </c>
      <c r="G94">
        <v>51800</v>
      </c>
      <c r="H94">
        <v>3042.95</v>
      </c>
      <c r="I94">
        <v>71.87</v>
      </c>
      <c r="J94">
        <f>IFERROR(INDEX(Suppliar[Estimated Carbon Footprint (tons CO₂e)],MATCH('Merge operational &amp; suppliar'!A94,Suppliar[Facility ID],0)),"")</f>
        <v>714.03</v>
      </c>
      <c r="K94">
        <f>IFERROR(INDEX(Suppliar[Income Distribution (%)],MATCH('Merge operational &amp; suppliar'!A94,Suppliar[Facility ID],0)),"")</f>
        <v>10.84</v>
      </c>
    </row>
    <row r="95" spans="1:11" x14ac:dyDescent="0.3">
      <c r="A95" t="s">
        <v>69</v>
      </c>
      <c r="B95" t="s">
        <v>7</v>
      </c>
      <c r="C95" t="s">
        <v>34</v>
      </c>
      <c r="D95" t="s">
        <v>9</v>
      </c>
      <c r="E95" t="s">
        <v>24</v>
      </c>
      <c r="F95">
        <v>532.45000000000005</v>
      </c>
      <c r="G95">
        <v>34725</v>
      </c>
      <c r="H95">
        <v>3269.89</v>
      </c>
      <c r="I95">
        <v>78.86</v>
      </c>
      <c r="J95">
        <f>IFERROR(INDEX(Suppliar[Estimated Carbon Footprint (tons CO₂e)],MATCH('Merge operational &amp; suppliar'!A95,Suppliar[Facility ID],0)),"")</f>
        <v>436.04</v>
      </c>
      <c r="K95">
        <f>IFERROR(INDEX(Suppliar[Income Distribution (%)],MATCH('Merge operational &amp; suppliar'!A95,Suppliar[Facility ID],0)),"")</f>
        <v>31.8</v>
      </c>
    </row>
    <row r="96" spans="1:11" x14ac:dyDescent="0.3">
      <c r="A96" t="s">
        <v>96</v>
      </c>
      <c r="B96" t="s">
        <v>19</v>
      </c>
      <c r="C96" t="s">
        <v>13</v>
      </c>
      <c r="D96" t="s">
        <v>9</v>
      </c>
      <c r="E96" t="s">
        <v>24</v>
      </c>
      <c r="F96">
        <v>1876.96</v>
      </c>
      <c r="G96">
        <v>53942</v>
      </c>
      <c r="H96">
        <v>5904.31</v>
      </c>
      <c r="I96">
        <v>32.78</v>
      </c>
      <c r="J96">
        <f>IFERROR(INDEX(Suppliar[Estimated Carbon Footprint (tons CO₂e)],MATCH('Merge operational &amp; suppliar'!A96,Suppliar[Facility ID],0)),"")</f>
        <v>553.44000000000005</v>
      </c>
      <c r="K96">
        <f>IFERROR(INDEX(Suppliar[Income Distribution (%)],MATCH('Merge operational &amp; suppliar'!A96,Suppliar[Facility ID],0)),"")</f>
        <v>29.01</v>
      </c>
    </row>
    <row r="97" spans="1:11" x14ac:dyDescent="0.3">
      <c r="A97" t="s">
        <v>97</v>
      </c>
      <c r="B97" t="s">
        <v>7</v>
      </c>
      <c r="C97" t="s">
        <v>13</v>
      </c>
      <c r="D97" t="s">
        <v>14</v>
      </c>
      <c r="E97" t="s">
        <v>15</v>
      </c>
      <c r="F97">
        <v>522.41</v>
      </c>
      <c r="G97">
        <v>78624</v>
      </c>
      <c r="H97">
        <v>2373.27</v>
      </c>
      <c r="I97">
        <v>25.07</v>
      </c>
      <c r="J97" t="str">
        <f>IFERROR(INDEX(Suppliar[Estimated Carbon Footprint (tons CO₂e)],MATCH('Merge operational &amp; suppliar'!A97,Suppliar[Facility ID],0)),"")</f>
        <v/>
      </c>
      <c r="K97" t="str">
        <f>IFERROR(INDEX(Suppliar[Income Distribution (%)],MATCH('Merge operational &amp; suppliar'!A97,Suppliar[Facility ID],0)),"")</f>
        <v/>
      </c>
    </row>
    <row r="98" spans="1:11" x14ac:dyDescent="0.3">
      <c r="A98" t="s">
        <v>98</v>
      </c>
      <c r="B98" t="s">
        <v>19</v>
      </c>
      <c r="C98" t="s">
        <v>23</v>
      </c>
      <c r="D98" t="s">
        <v>9</v>
      </c>
      <c r="E98" t="s">
        <v>10</v>
      </c>
      <c r="F98">
        <v>4953.9799999999996</v>
      </c>
      <c r="G98">
        <v>26170</v>
      </c>
      <c r="H98">
        <v>8057.54</v>
      </c>
      <c r="I98">
        <v>63.71</v>
      </c>
      <c r="J98" t="str">
        <f>IFERROR(INDEX(Suppliar[Estimated Carbon Footprint (tons CO₂e)],MATCH('Merge operational &amp; suppliar'!A98,Suppliar[Facility ID],0)),"")</f>
        <v/>
      </c>
      <c r="K98" t="str">
        <f>IFERROR(INDEX(Suppliar[Income Distribution (%)],MATCH('Merge operational &amp; suppliar'!A98,Suppliar[Facility ID],0)),"")</f>
        <v/>
      </c>
    </row>
    <row r="99" spans="1:11" x14ac:dyDescent="0.3">
      <c r="A99" t="s">
        <v>99</v>
      </c>
      <c r="B99" t="s">
        <v>19</v>
      </c>
      <c r="C99" t="s">
        <v>13</v>
      </c>
      <c r="D99" t="s">
        <v>9</v>
      </c>
      <c r="E99" t="s">
        <v>15</v>
      </c>
      <c r="F99">
        <v>2322.96</v>
      </c>
      <c r="G99">
        <v>77400</v>
      </c>
      <c r="H99">
        <v>7504.8</v>
      </c>
      <c r="I99">
        <v>68.819999999999993</v>
      </c>
      <c r="J99" t="str">
        <f>IFERROR(INDEX(Suppliar[Estimated Carbon Footprint (tons CO₂e)],MATCH('Merge operational &amp; suppliar'!A99,Suppliar[Facility ID],0)),"")</f>
        <v/>
      </c>
      <c r="K99" t="str">
        <f>IFERROR(INDEX(Suppliar[Income Distribution (%)],MATCH('Merge operational &amp; suppliar'!A99,Suppliar[Facility ID],0)),"")</f>
        <v/>
      </c>
    </row>
    <row r="100" spans="1:11" x14ac:dyDescent="0.3">
      <c r="A100" t="s">
        <v>80</v>
      </c>
      <c r="B100" t="s">
        <v>17</v>
      </c>
      <c r="C100" t="s">
        <v>34</v>
      </c>
      <c r="D100" t="s">
        <v>28</v>
      </c>
      <c r="E100" t="s">
        <v>24</v>
      </c>
      <c r="F100">
        <v>4662.91</v>
      </c>
      <c r="G100">
        <v>75508</v>
      </c>
      <c r="H100">
        <v>6856.22</v>
      </c>
      <c r="I100">
        <v>18.2</v>
      </c>
      <c r="J100">
        <f>IFERROR(INDEX(Suppliar[Estimated Carbon Footprint (tons CO₂e)],MATCH('Merge operational &amp; suppliar'!A100,Suppliar[Facility ID],0)),"")</f>
        <v>991.03</v>
      </c>
      <c r="K100">
        <f>IFERROR(INDEX(Suppliar[Income Distribution (%)],MATCH('Merge operational &amp; suppliar'!A100,Suppliar[Facility ID],0)),"")</f>
        <v>13.32</v>
      </c>
    </row>
    <row r="101" spans="1:11" x14ac:dyDescent="0.3">
      <c r="A101" t="s">
        <v>100</v>
      </c>
      <c r="B101" t="s">
        <v>7</v>
      </c>
      <c r="C101" t="s">
        <v>23</v>
      </c>
      <c r="D101" t="s">
        <v>28</v>
      </c>
      <c r="E101" t="s">
        <v>24</v>
      </c>
      <c r="F101">
        <v>1907.29</v>
      </c>
      <c r="G101">
        <v>17468</v>
      </c>
      <c r="H101">
        <v>6359.73</v>
      </c>
      <c r="I101">
        <v>5.22</v>
      </c>
      <c r="J101">
        <f>IFERROR(INDEX(Suppliar[Estimated Carbon Footprint (tons CO₂e)],MATCH('Merge operational &amp; suppliar'!A101,Suppliar[Facility ID],0)),"")</f>
        <v>959.2</v>
      </c>
      <c r="K101">
        <f>IFERROR(INDEX(Suppliar[Income Distribution (%)],MATCH('Merge operational &amp; suppliar'!A101,Suppliar[Facility ID],0)),"")</f>
        <v>36.92</v>
      </c>
    </row>
    <row r="102" spans="1:11" x14ac:dyDescent="0.3">
      <c r="A102" t="s">
        <v>101</v>
      </c>
      <c r="B102" t="s">
        <v>19</v>
      </c>
      <c r="C102" t="s">
        <v>13</v>
      </c>
      <c r="D102" t="s">
        <v>9</v>
      </c>
      <c r="E102" t="s">
        <v>15</v>
      </c>
      <c r="F102">
        <v>1668.59</v>
      </c>
      <c r="G102">
        <v>39050</v>
      </c>
      <c r="H102">
        <v>5885.73</v>
      </c>
      <c r="I102">
        <v>93.04</v>
      </c>
      <c r="J102">
        <f>IFERROR(INDEX(Suppliar[Estimated Carbon Footprint (tons CO₂e)],MATCH('Merge operational &amp; suppliar'!A102,Suppliar[Facility ID],0)),"")</f>
        <v>318.55</v>
      </c>
      <c r="K102">
        <f>IFERROR(INDEX(Suppliar[Income Distribution (%)],MATCH('Merge operational &amp; suppliar'!A102,Suppliar[Facility ID],0)),"")</f>
        <v>39.81</v>
      </c>
    </row>
    <row r="103" spans="1:11" x14ac:dyDescent="0.3">
      <c r="A103" t="s">
        <v>102</v>
      </c>
      <c r="B103" t="s">
        <v>19</v>
      </c>
      <c r="C103" t="s">
        <v>34</v>
      </c>
      <c r="D103" t="s">
        <v>14</v>
      </c>
      <c r="E103" t="s">
        <v>24</v>
      </c>
      <c r="F103">
        <v>3260.51</v>
      </c>
      <c r="G103">
        <v>86263</v>
      </c>
      <c r="H103">
        <v>3213.71</v>
      </c>
      <c r="I103">
        <v>98.39</v>
      </c>
      <c r="J103">
        <f>IFERROR(INDEX(Suppliar[Estimated Carbon Footprint (tons CO₂e)],MATCH('Merge operational &amp; suppliar'!A103,Suppliar[Facility ID],0)),"")</f>
        <v>662.74</v>
      </c>
      <c r="K103">
        <f>IFERROR(INDEX(Suppliar[Income Distribution (%)],MATCH('Merge operational &amp; suppliar'!A103,Suppliar[Facility ID],0)),"")</f>
        <v>20.66</v>
      </c>
    </row>
    <row r="104" spans="1:11" x14ac:dyDescent="0.3">
      <c r="A104" t="s">
        <v>103</v>
      </c>
      <c r="B104" t="s">
        <v>19</v>
      </c>
      <c r="C104" t="s">
        <v>8</v>
      </c>
      <c r="D104" t="s">
        <v>14</v>
      </c>
      <c r="E104" t="s">
        <v>10</v>
      </c>
      <c r="F104">
        <v>2218.4699999999998</v>
      </c>
      <c r="G104">
        <v>38869</v>
      </c>
      <c r="H104">
        <v>5109.76</v>
      </c>
      <c r="I104">
        <v>35.270000000000003</v>
      </c>
      <c r="J104">
        <f>IFERROR(INDEX(Suppliar[Estimated Carbon Footprint (tons CO₂e)],MATCH('Merge operational &amp; suppliar'!A104,Suppliar[Facility ID],0)),"")</f>
        <v>986.62</v>
      </c>
      <c r="K104">
        <f>IFERROR(INDEX(Suppliar[Income Distribution (%)],MATCH('Merge operational &amp; suppliar'!A104,Suppliar[Facility ID],0)),"")</f>
        <v>40.86</v>
      </c>
    </row>
    <row r="105" spans="1:11" x14ac:dyDescent="0.3">
      <c r="A105" t="s">
        <v>78</v>
      </c>
      <c r="B105" t="s">
        <v>7</v>
      </c>
      <c r="C105" t="s">
        <v>34</v>
      </c>
      <c r="D105" t="s">
        <v>14</v>
      </c>
      <c r="E105" t="s">
        <v>10</v>
      </c>
      <c r="F105">
        <v>479.85</v>
      </c>
      <c r="G105">
        <v>86557</v>
      </c>
      <c r="H105">
        <v>8631.2800000000007</v>
      </c>
      <c r="I105">
        <v>69.53</v>
      </c>
      <c r="J105" t="str">
        <f>IFERROR(INDEX(Suppliar[Estimated Carbon Footprint (tons CO₂e)],MATCH('Merge operational &amp; suppliar'!A105,Suppliar[Facility ID],0)),"")</f>
        <v/>
      </c>
      <c r="K105" t="str">
        <f>IFERROR(INDEX(Suppliar[Income Distribution (%)],MATCH('Merge operational &amp; suppliar'!A105,Suppliar[Facility ID],0)),"")</f>
        <v/>
      </c>
    </row>
    <row r="106" spans="1:11" x14ac:dyDescent="0.3">
      <c r="A106" t="s">
        <v>104</v>
      </c>
      <c r="B106" t="s">
        <v>17</v>
      </c>
      <c r="C106" t="s">
        <v>8</v>
      </c>
      <c r="D106" t="s">
        <v>28</v>
      </c>
      <c r="E106" t="s">
        <v>15</v>
      </c>
      <c r="F106">
        <v>401.65</v>
      </c>
      <c r="G106">
        <v>16868</v>
      </c>
      <c r="H106">
        <v>1378.01</v>
      </c>
      <c r="I106">
        <v>47.52</v>
      </c>
      <c r="J106" t="str">
        <f>IFERROR(INDEX(Suppliar[Estimated Carbon Footprint (tons CO₂e)],MATCH('Merge operational &amp; suppliar'!A106,Suppliar[Facility ID],0)),"")</f>
        <v/>
      </c>
      <c r="K106" t="str">
        <f>IFERROR(INDEX(Suppliar[Income Distribution (%)],MATCH('Merge operational &amp; suppliar'!A106,Suppliar[Facility ID],0)),"")</f>
        <v/>
      </c>
    </row>
    <row r="107" spans="1:11" x14ac:dyDescent="0.3">
      <c r="A107" t="s">
        <v>105</v>
      </c>
      <c r="B107" t="s">
        <v>30</v>
      </c>
      <c r="C107" t="s">
        <v>34</v>
      </c>
      <c r="D107" t="s">
        <v>28</v>
      </c>
      <c r="E107" t="s">
        <v>24</v>
      </c>
      <c r="F107">
        <v>4844.9399999999996</v>
      </c>
      <c r="G107">
        <v>87337</v>
      </c>
      <c r="H107">
        <v>3603.06</v>
      </c>
      <c r="I107">
        <v>67.13</v>
      </c>
      <c r="J107" t="str">
        <f>IFERROR(INDEX(Suppliar[Estimated Carbon Footprint (tons CO₂e)],MATCH('Merge operational &amp; suppliar'!A107,Suppliar[Facility ID],0)),"")</f>
        <v/>
      </c>
      <c r="K107" t="str">
        <f>IFERROR(INDEX(Suppliar[Income Distribution (%)],MATCH('Merge operational &amp; suppliar'!A107,Suppliar[Facility ID],0)),"")</f>
        <v/>
      </c>
    </row>
    <row r="108" spans="1:11" x14ac:dyDescent="0.3">
      <c r="A108" t="s">
        <v>106</v>
      </c>
      <c r="B108" t="s">
        <v>12</v>
      </c>
      <c r="C108" t="s">
        <v>34</v>
      </c>
      <c r="D108" t="s">
        <v>14</v>
      </c>
      <c r="E108" t="s">
        <v>10</v>
      </c>
      <c r="F108">
        <v>1954.31</v>
      </c>
      <c r="G108">
        <v>21386</v>
      </c>
      <c r="H108">
        <v>2271.92</v>
      </c>
      <c r="I108">
        <v>49.67</v>
      </c>
      <c r="J108" t="str">
        <f>IFERROR(INDEX(Suppliar[Estimated Carbon Footprint (tons CO₂e)],MATCH('Merge operational &amp; suppliar'!A108,Suppliar[Facility ID],0)),"")</f>
        <v/>
      </c>
      <c r="K108" t="str">
        <f>IFERROR(INDEX(Suppliar[Income Distribution (%)],MATCH('Merge operational &amp; suppliar'!A108,Suppliar[Facility ID],0)),"")</f>
        <v/>
      </c>
    </row>
    <row r="109" spans="1:11" x14ac:dyDescent="0.3">
      <c r="A109" t="s">
        <v>66</v>
      </c>
      <c r="B109" t="s">
        <v>30</v>
      </c>
      <c r="C109" t="s">
        <v>23</v>
      </c>
      <c r="D109" t="s">
        <v>28</v>
      </c>
      <c r="E109" t="s">
        <v>15</v>
      </c>
      <c r="F109">
        <v>2094.86</v>
      </c>
      <c r="G109">
        <v>98396</v>
      </c>
      <c r="H109">
        <v>5174.07</v>
      </c>
      <c r="I109">
        <v>63.38</v>
      </c>
      <c r="J109">
        <f>IFERROR(INDEX(Suppliar[Estimated Carbon Footprint (tons CO₂e)],MATCH('Merge operational &amp; suppliar'!A109,Suppliar[Facility ID],0)),"")</f>
        <v>714.03</v>
      </c>
      <c r="K109">
        <f>IFERROR(INDEX(Suppliar[Income Distribution (%)],MATCH('Merge operational &amp; suppliar'!A109,Suppliar[Facility ID],0)),"")</f>
        <v>36.89</v>
      </c>
    </row>
    <row r="110" spans="1:11" x14ac:dyDescent="0.3">
      <c r="A110" t="s">
        <v>107</v>
      </c>
      <c r="B110" t="s">
        <v>30</v>
      </c>
      <c r="C110" t="s">
        <v>8</v>
      </c>
      <c r="D110" t="s">
        <v>28</v>
      </c>
      <c r="E110" t="s">
        <v>24</v>
      </c>
      <c r="F110">
        <v>3876.8</v>
      </c>
      <c r="G110">
        <v>69305</v>
      </c>
      <c r="H110">
        <v>3203.67</v>
      </c>
      <c r="I110">
        <v>83.65</v>
      </c>
      <c r="J110">
        <f>IFERROR(INDEX(Suppliar[Estimated Carbon Footprint (tons CO₂e)],MATCH('Merge operational &amp; suppliar'!A110,Suppliar[Facility ID],0)),"")</f>
        <v>173.67</v>
      </c>
      <c r="K110">
        <f>IFERROR(INDEX(Suppliar[Income Distribution (%)],MATCH('Merge operational &amp; suppliar'!A110,Suppliar[Facility ID],0)),"")</f>
        <v>67.040000000000006</v>
      </c>
    </row>
    <row r="111" spans="1:11" x14ac:dyDescent="0.3">
      <c r="A111" t="s">
        <v>45</v>
      </c>
      <c r="B111" t="s">
        <v>7</v>
      </c>
      <c r="C111" t="s">
        <v>34</v>
      </c>
      <c r="D111" t="s">
        <v>28</v>
      </c>
      <c r="E111" t="s">
        <v>10</v>
      </c>
      <c r="F111">
        <v>3209.34</v>
      </c>
      <c r="G111">
        <v>49924</v>
      </c>
      <c r="H111">
        <v>2199.16</v>
      </c>
      <c r="I111">
        <v>75.48</v>
      </c>
      <c r="J111">
        <f>IFERROR(INDEX(Suppliar[Estimated Carbon Footprint (tons CO₂e)],MATCH('Merge operational &amp; suppliar'!A111,Suppliar[Facility ID],0)),"")</f>
        <v>432.23</v>
      </c>
      <c r="K111">
        <f>IFERROR(INDEX(Suppliar[Income Distribution (%)],MATCH('Merge operational &amp; suppliar'!A111,Suppliar[Facility ID],0)),"")</f>
        <v>13.54</v>
      </c>
    </row>
    <row r="112" spans="1:11" x14ac:dyDescent="0.3">
      <c r="A112" t="s">
        <v>108</v>
      </c>
      <c r="B112" t="s">
        <v>7</v>
      </c>
      <c r="C112" t="s">
        <v>8</v>
      </c>
      <c r="D112" t="s">
        <v>28</v>
      </c>
      <c r="E112" t="s">
        <v>24</v>
      </c>
      <c r="F112">
        <v>1290.4100000000001</v>
      </c>
      <c r="G112">
        <v>22201</v>
      </c>
      <c r="H112">
        <v>2853.66</v>
      </c>
      <c r="I112">
        <v>71.94</v>
      </c>
      <c r="J112">
        <f>IFERROR(INDEX(Suppliar[Estimated Carbon Footprint (tons CO₂e)],MATCH('Merge operational &amp; suppliar'!A112,Suppliar[Facility ID],0)),"")</f>
        <v>991.03</v>
      </c>
      <c r="K112">
        <f>IFERROR(INDEX(Suppliar[Income Distribution (%)],MATCH('Merge operational &amp; suppliar'!A112,Suppliar[Facility ID],0)),"")</f>
        <v>21.4</v>
      </c>
    </row>
    <row r="113" spans="1:11" x14ac:dyDescent="0.3">
      <c r="A113" t="s">
        <v>42</v>
      </c>
      <c r="B113" t="s">
        <v>30</v>
      </c>
      <c r="C113" t="s">
        <v>13</v>
      </c>
      <c r="D113" t="s">
        <v>14</v>
      </c>
      <c r="E113" t="s">
        <v>24</v>
      </c>
      <c r="F113">
        <v>3768.03</v>
      </c>
      <c r="G113">
        <v>41539</v>
      </c>
      <c r="H113">
        <v>982.8</v>
      </c>
      <c r="I113">
        <v>79.7</v>
      </c>
      <c r="J113">
        <f>IFERROR(INDEX(Suppliar[Estimated Carbon Footprint (tons CO₂e)],MATCH('Merge operational &amp; suppliar'!A113,Suppliar[Facility ID],0)),"")</f>
        <v>851.48</v>
      </c>
      <c r="K113">
        <f>IFERROR(INDEX(Suppliar[Income Distribution (%)],MATCH('Merge operational &amp; suppliar'!A113,Suppliar[Facility ID],0)),"")</f>
        <v>13.07</v>
      </c>
    </row>
    <row r="114" spans="1:11" x14ac:dyDescent="0.3">
      <c r="A114" t="s">
        <v>109</v>
      </c>
      <c r="B114" t="s">
        <v>12</v>
      </c>
      <c r="C114" t="s">
        <v>8</v>
      </c>
      <c r="D114" t="s">
        <v>28</v>
      </c>
      <c r="E114" t="s">
        <v>10</v>
      </c>
      <c r="F114">
        <v>2209.6</v>
      </c>
      <c r="G114">
        <v>84721</v>
      </c>
      <c r="H114">
        <v>2278.9699999999998</v>
      </c>
      <c r="I114">
        <v>68.53</v>
      </c>
      <c r="J114">
        <f>IFERROR(INDEX(Suppliar[Estimated Carbon Footprint (tons CO₂e)],MATCH('Merge operational &amp; suppliar'!A114,Suppliar[Facility ID],0)),"")</f>
        <v>796.34</v>
      </c>
      <c r="K114">
        <f>IFERROR(INDEX(Suppliar[Income Distribution (%)],MATCH('Merge operational &amp; suppliar'!A114,Suppliar[Facility ID],0)),"")</f>
        <v>33.590000000000003</v>
      </c>
    </row>
    <row r="115" spans="1:11" x14ac:dyDescent="0.3">
      <c r="A115" t="s">
        <v>110</v>
      </c>
      <c r="B115" t="s">
        <v>12</v>
      </c>
      <c r="C115" t="s">
        <v>34</v>
      </c>
      <c r="D115" t="s">
        <v>9</v>
      </c>
      <c r="E115" t="s">
        <v>24</v>
      </c>
      <c r="F115">
        <v>3789.17</v>
      </c>
      <c r="G115">
        <v>70481</v>
      </c>
      <c r="H115">
        <v>4452.83</v>
      </c>
      <c r="I115">
        <v>91.26</v>
      </c>
      <c r="J115" t="str">
        <f>IFERROR(INDEX(Suppliar[Estimated Carbon Footprint (tons CO₂e)],MATCH('Merge operational &amp; suppliar'!A115,Suppliar[Facility ID],0)),"")</f>
        <v/>
      </c>
      <c r="K115" t="str">
        <f>IFERROR(INDEX(Suppliar[Income Distribution (%)],MATCH('Merge operational &amp; suppliar'!A115,Suppliar[Facility ID],0)),"")</f>
        <v/>
      </c>
    </row>
    <row r="116" spans="1:11" x14ac:dyDescent="0.3">
      <c r="A116" t="s">
        <v>111</v>
      </c>
      <c r="B116" t="s">
        <v>19</v>
      </c>
      <c r="C116" t="s">
        <v>8</v>
      </c>
      <c r="D116" t="s">
        <v>28</v>
      </c>
      <c r="E116" t="s">
        <v>10</v>
      </c>
      <c r="F116">
        <v>2970.05</v>
      </c>
      <c r="G116">
        <v>37309</v>
      </c>
      <c r="H116">
        <v>4508.54</v>
      </c>
      <c r="I116">
        <v>47.15</v>
      </c>
      <c r="J116">
        <f>IFERROR(INDEX(Suppliar[Estimated Carbon Footprint (tons CO₂e)],MATCH('Merge operational &amp; suppliar'!A116,Suppliar[Facility ID],0)),"")</f>
        <v>951.35</v>
      </c>
      <c r="K116">
        <f>IFERROR(INDEX(Suppliar[Income Distribution (%)],MATCH('Merge operational &amp; suppliar'!A116,Suppliar[Facility ID],0)),"")</f>
        <v>47.12</v>
      </c>
    </row>
    <row r="117" spans="1:11" x14ac:dyDescent="0.3">
      <c r="A117" t="s">
        <v>112</v>
      </c>
      <c r="B117" t="s">
        <v>30</v>
      </c>
      <c r="C117" t="s">
        <v>23</v>
      </c>
      <c r="D117" t="s">
        <v>28</v>
      </c>
      <c r="E117" t="s">
        <v>10</v>
      </c>
      <c r="F117">
        <v>1858.31</v>
      </c>
      <c r="G117">
        <v>43294</v>
      </c>
      <c r="H117">
        <v>3802.13</v>
      </c>
      <c r="I117">
        <v>45.84</v>
      </c>
      <c r="J117">
        <f>IFERROR(INDEX(Suppliar[Estimated Carbon Footprint (tons CO₂e)],MATCH('Merge operational &amp; suppliar'!A117,Suppliar[Facility ID],0)),"")</f>
        <v>756.78</v>
      </c>
      <c r="K117">
        <f>IFERROR(INDEX(Suppliar[Income Distribution (%)],MATCH('Merge operational &amp; suppliar'!A117,Suppliar[Facility ID],0)),"")</f>
        <v>28.42</v>
      </c>
    </row>
    <row r="118" spans="1:11" x14ac:dyDescent="0.3">
      <c r="A118" t="s">
        <v>62</v>
      </c>
      <c r="B118" t="s">
        <v>30</v>
      </c>
      <c r="C118" t="s">
        <v>8</v>
      </c>
      <c r="D118" t="s">
        <v>9</v>
      </c>
      <c r="E118" t="s">
        <v>10</v>
      </c>
      <c r="F118">
        <v>3702.95</v>
      </c>
      <c r="G118">
        <v>22309</v>
      </c>
      <c r="H118">
        <v>3656.29</v>
      </c>
      <c r="I118">
        <v>75.25</v>
      </c>
      <c r="J118">
        <f>IFERROR(INDEX(Suppliar[Estimated Carbon Footprint (tons CO₂e)],MATCH('Merge operational &amp; suppliar'!A118,Suppliar[Facility ID],0)),"")</f>
        <v>795.74</v>
      </c>
      <c r="K118">
        <f>IFERROR(INDEX(Suppliar[Income Distribution (%)],MATCH('Merge operational &amp; suppliar'!A118,Suppliar[Facility ID],0)),"")</f>
        <v>26.99</v>
      </c>
    </row>
    <row r="119" spans="1:11" x14ac:dyDescent="0.3">
      <c r="A119" t="s">
        <v>113</v>
      </c>
      <c r="B119" t="s">
        <v>30</v>
      </c>
      <c r="C119" t="s">
        <v>23</v>
      </c>
      <c r="D119" t="s">
        <v>28</v>
      </c>
      <c r="E119" t="s">
        <v>10</v>
      </c>
      <c r="F119">
        <v>3276</v>
      </c>
      <c r="G119">
        <v>90679</v>
      </c>
      <c r="H119">
        <v>7266.82</v>
      </c>
      <c r="I119">
        <v>23.3</v>
      </c>
      <c r="J119">
        <f>IFERROR(INDEX(Suppliar[Estimated Carbon Footprint (tons CO₂e)],MATCH('Merge operational &amp; suppliar'!A119,Suppliar[Facility ID],0)),"")</f>
        <v>943.59</v>
      </c>
      <c r="K119">
        <f>IFERROR(INDEX(Suppliar[Income Distribution (%)],MATCH('Merge operational &amp; suppliar'!A119,Suppliar[Facility ID],0)),"")</f>
        <v>15.81</v>
      </c>
    </row>
    <row r="120" spans="1:11" x14ac:dyDescent="0.3">
      <c r="A120" t="s">
        <v>114</v>
      </c>
      <c r="B120" t="s">
        <v>30</v>
      </c>
      <c r="C120" t="s">
        <v>8</v>
      </c>
      <c r="D120" t="s">
        <v>14</v>
      </c>
      <c r="E120" t="s">
        <v>24</v>
      </c>
      <c r="F120">
        <v>526.37</v>
      </c>
      <c r="G120">
        <v>29264</v>
      </c>
      <c r="H120">
        <v>8362.7199999999993</v>
      </c>
      <c r="I120">
        <v>61.93</v>
      </c>
      <c r="J120" t="str">
        <f>IFERROR(INDEX(Suppliar[Estimated Carbon Footprint (tons CO₂e)],MATCH('Merge operational &amp; suppliar'!A120,Suppliar[Facility ID],0)),"")</f>
        <v/>
      </c>
      <c r="K120" t="str">
        <f>IFERROR(INDEX(Suppliar[Income Distribution (%)],MATCH('Merge operational &amp; suppliar'!A120,Suppliar[Facility ID],0)),"")</f>
        <v/>
      </c>
    </row>
    <row r="121" spans="1:11" x14ac:dyDescent="0.3">
      <c r="A121" t="s">
        <v>115</v>
      </c>
      <c r="B121" t="s">
        <v>19</v>
      </c>
      <c r="C121" t="s">
        <v>13</v>
      </c>
      <c r="D121" t="s">
        <v>14</v>
      </c>
      <c r="E121" t="s">
        <v>10</v>
      </c>
      <c r="F121">
        <v>445.6</v>
      </c>
      <c r="G121">
        <v>17162</v>
      </c>
      <c r="H121">
        <v>5079.95</v>
      </c>
      <c r="I121">
        <v>19.239999999999998</v>
      </c>
      <c r="J121">
        <f>IFERROR(INDEX(Suppliar[Estimated Carbon Footprint (tons CO₂e)],MATCH('Merge operational &amp; suppliar'!A121,Suppliar[Facility ID],0)),"")</f>
        <v>769.39</v>
      </c>
      <c r="K121">
        <f>IFERROR(INDEX(Suppliar[Income Distribution (%)],MATCH('Merge operational &amp; suppliar'!A121,Suppliar[Facility ID],0)),"")</f>
        <v>35.29</v>
      </c>
    </row>
    <row r="122" spans="1:11" x14ac:dyDescent="0.3">
      <c r="A122" t="s">
        <v>116</v>
      </c>
      <c r="B122" t="s">
        <v>17</v>
      </c>
      <c r="C122" t="s">
        <v>34</v>
      </c>
      <c r="D122" t="s">
        <v>9</v>
      </c>
      <c r="E122" t="s">
        <v>15</v>
      </c>
      <c r="F122">
        <v>4486.2700000000004</v>
      </c>
      <c r="G122">
        <v>68216</v>
      </c>
      <c r="H122">
        <v>9562.33</v>
      </c>
      <c r="I122">
        <v>63.59</v>
      </c>
      <c r="J122">
        <f>IFERROR(INDEX(Suppliar[Estimated Carbon Footprint (tons CO₂e)],MATCH('Merge operational &amp; suppliar'!A122,Suppliar[Facility ID],0)),"")</f>
        <v>830.73</v>
      </c>
      <c r="K122">
        <f>IFERROR(INDEX(Suppliar[Income Distribution (%)],MATCH('Merge operational &amp; suppliar'!A122,Suppliar[Facility ID],0)),"")</f>
        <v>46.68</v>
      </c>
    </row>
    <row r="123" spans="1:11" x14ac:dyDescent="0.3">
      <c r="A123" t="s">
        <v>111</v>
      </c>
      <c r="B123" t="s">
        <v>19</v>
      </c>
      <c r="C123" t="s">
        <v>13</v>
      </c>
      <c r="D123" t="s">
        <v>9</v>
      </c>
      <c r="E123" t="s">
        <v>15</v>
      </c>
      <c r="F123">
        <v>1770.54</v>
      </c>
      <c r="G123">
        <v>37309</v>
      </c>
      <c r="H123">
        <v>4508.54</v>
      </c>
      <c r="I123">
        <v>47.15</v>
      </c>
      <c r="J123">
        <f>IFERROR(INDEX(Suppliar[Estimated Carbon Footprint (tons CO₂e)],MATCH('Merge operational &amp; suppliar'!A123,Suppliar[Facility ID],0)),"")</f>
        <v>951.35</v>
      </c>
      <c r="K123">
        <f>IFERROR(INDEX(Suppliar[Income Distribution (%)],MATCH('Merge operational &amp; suppliar'!A123,Suppliar[Facility ID],0)),"")</f>
        <v>47.12</v>
      </c>
    </row>
    <row r="124" spans="1:11" x14ac:dyDescent="0.3">
      <c r="A124" t="s">
        <v>102</v>
      </c>
      <c r="B124" t="s">
        <v>19</v>
      </c>
      <c r="C124" t="s">
        <v>34</v>
      </c>
      <c r="D124" t="s">
        <v>9</v>
      </c>
      <c r="E124" t="s">
        <v>24</v>
      </c>
      <c r="F124">
        <v>2762.19</v>
      </c>
      <c r="G124">
        <v>86263</v>
      </c>
      <c r="H124">
        <v>3213.71</v>
      </c>
      <c r="I124">
        <v>98.39</v>
      </c>
      <c r="J124">
        <f>IFERROR(INDEX(Suppliar[Estimated Carbon Footprint (tons CO₂e)],MATCH('Merge operational &amp; suppliar'!A124,Suppliar[Facility ID],0)),"")</f>
        <v>662.74</v>
      </c>
      <c r="K124">
        <f>IFERROR(INDEX(Suppliar[Income Distribution (%)],MATCH('Merge operational &amp; suppliar'!A124,Suppliar[Facility ID],0)),"")</f>
        <v>20.66</v>
      </c>
    </row>
    <row r="125" spans="1:11" x14ac:dyDescent="0.3">
      <c r="A125" t="s">
        <v>50</v>
      </c>
      <c r="B125" t="s">
        <v>19</v>
      </c>
      <c r="C125" t="s">
        <v>34</v>
      </c>
      <c r="D125" t="s">
        <v>14</v>
      </c>
      <c r="E125" t="s">
        <v>15</v>
      </c>
      <c r="F125">
        <v>1531.3</v>
      </c>
      <c r="G125">
        <v>40577</v>
      </c>
      <c r="H125">
        <v>4280.82</v>
      </c>
      <c r="I125">
        <v>79.88</v>
      </c>
      <c r="J125">
        <f>IFERROR(INDEX(Suppliar[Estimated Carbon Footprint (tons CO₂e)],MATCH('Merge operational &amp; suppliar'!A125,Suppliar[Facility ID],0)),"")</f>
        <v>932.3</v>
      </c>
      <c r="K125">
        <f>IFERROR(INDEX(Suppliar[Income Distribution (%)],MATCH('Merge operational &amp; suppliar'!A125,Suppliar[Facility ID],0)),"")</f>
        <v>10.19</v>
      </c>
    </row>
    <row r="126" spans="1:11" x14ac:dyDescent="0.3">
      <c r="A126" t="s">
        <v>86</v>
      </c>
      <c r="B126" t="s">
        <v>19</v>
      </c>
      <c r="C126" t="s">
        <v>34</v>
      </c>
      <c r="D126" t="s">
        <v>9</v>
      </c>
      <c r="E126" t="s">
        <v>15</v>
      </c>
      <c r="F126">
        <v>4453.37</v>
      </c>
      <c r="G126">
        <v>56531</v>
      </c>
      <c r="H126">
        <v>8958.07</v>
      </c>
      <c r="I126">
        <v>83.44</v>
      </c>
      <c r="J126">
        <f>IFERROR(INDEX(Suppliar[Estimated Carbon Footprint (tons CO₂e)],MATCH('Merge operational &amp; suppliar'!A126,Suppliar[Facility ID],0)),"")</f>
        <v>943.59</v>
      </c>
      <c r="K126">
        <f>IFERROR(INDEX(Suppliar[Income Distribution (%)],MATCH('Merge operational &amp; suppliar'!A126,Suppliar[Facility ID],0)),"")</f>
        <v>23.54</v>
      </c>
    </row>
    <row r="127" spans="1:11" x14ac:dyDescent="0.3">
      <c r="A127" t="s">
        <v>71</v>
      </c>
      <c r="B127" t="s">
        <v>7</v>
      </c>
      <c r="C127" t="s">
        <v>23</v>
      </c>
      <c r="D127" t="s">
        <v>28</v>
      </c>
      <c r="E127" t="s">
        <v>10</v>
      </c>
      <c r="F127">
        <v>4934.5600000000004</v>
      </c>
      <c r="G127">
        <v>68018</v>
      </c>
      <c r="H127">
        <v>3523.4</v>
      </c>
      <c r="I127">
        <v>92.26</v>
      </c>
      <c r="J127">
        <f>IFERROR(INDEX(Suppliar[Estimated Carbon Footprint (tons CO₂e)],MATCH('Merge operational &amp; suppliar'!A127,Suppliar[Facility ID],0)),"")</f>
        <v>111.84</v>
      </c>
      <c r="K127">
        <f>IFERROR(INDEX(Suppliar[Income Distribution (%)],MATCH('Merge operational &amp; suppliar'!A127,Suppliar[Facility ID],0)),"")</f>
        <v>15.85</v>
      </c>
    </row>
    <row r="128" spans="1:11" x14ac:dyDescent="0.3">
      <c r="A128" t="s">
        <v>117</v>
      </c>
      <c r="B128" t="s">
        <v>7</v>
      </c>
      <c r="C128" t="s">
        <v>13</v>
      </c>
      <c r="D128" t="s">
        <v>14</v>
      </c>
      <c r="E128" t="s">
        <v>10</v>
      </c>
      <c r="F128">
        <v>1164.7</v>
      </c>
      <c r="G128">
        <v>89321</v>
      </c>
      <c r="H128">
        <v>9836.34</v>
      </c>
      <c r="I128">
        <v>16.989999999999998</v>
      </c>
      <c r="J128">
        <f>IFERROR(INDEX(Suppliar[Estimated Carbon Footprint (tons CO₂e)],MATCH('Merge operational &amp; suppliar'!A128,Suppliar[Facility ID],0)),"")</f>
        <v>105.67</v>
      </c>
      <c r="K128">
        <f>IFERROR(INDEX(Suppliar[Income Distribution (%)],MATCH('Merge operational &amp; suppliar'!A128,Suppliar[Facility ID],0)),"")</f>
        <v>15.41</v>
      </c>
    </row>
    <row r="129" spans="1:11" x14ac:dyDescent="0.3">
      <c r="A129" t="s">
        <v>118</v>
      </c>
      <c r="B129" t="s">
        <v>30</v>
      </c>
      <c r="C129" t="s">
        <v>13</v>
      </c>
      <c r="D129" t="s">
        <v>14</v>
      </c>
      <c r="E129" t="s">
        <v>24</v>
      </c>
      <c r="F129">
        <v>2732.08</v>
      </c>
      <c r="G129">
        <v>68492</v>
      </c>
      <c r="H129">
        <v>3533.88</v>
      </c>
      <c r="I129">
        <v>52.99</v>
      </c>
      <c r="J129">
        <f>IFERROR(INDEX(Suppliar[Estimated Carbon Footprint (tons CO₂e)],MATCH('Merge operational &amp; suppliar'!A129,Suppliar[Facility ID],0)),"")</f>
        <v>847.51</v>
      </c>
      <c r="K129">
        <f>IFERROR(INDEX(Suppliar[Income Distribution (%)],MATCH('Merge operational &amp; suppliar'!A129,Suppliar[Facility ID],0)),"")</f>
        <v>7.14</v>
      </c>
    </row>
    <row r="130" spans="1:11" x14ac:dyDescent="0.3">
      <c r="A130" t="s">
        <v>84</v>
      </c>
      <c r="B130" t="s">
        <v>30</v>
      </c>
      <c r="C130" t="s">
        <v>13</v>
      </c>
      <c r="D130" t="s">
        <v>9</v>
      </c>
      <c r="E130" t="s">
        <v>10</v>
      </c>
      <c r="F130">
        <v>3114.5</v>
      </c>
      <c r="G130">
        <v>85444</v>
      </c>
      <c r="H130">
        <v>852.57</v>
      </c>
      <c r="I130">
        <v>72.650000000000006</v>
      </c>
      <c r="J130">
        <f>IFERROR(INDEX(Suppliar[Estimated Carbon Footprint (tons CO₂e)],MATCH('Merge operational &amp; suppliar'!A130,Suppliar[Facility ID],0)),"")</f>
        <v>319.93</v>
      </c>
      <c r="K130">
        <f>IFERROR(INDEX(Suppliar[Income Distribution (%)],MATCH('Merge operational &amp; suppliar'!A130,Suppliar[Facility ID],0)),"")</f>
        <v>34.35</v>
      </c>
    </row>
    <row r="131" spans="1:11" x14ac:dyDescent="0.3">
      <c r="A131" t="s">
        <v>119</v>
      </c>
      <c r="B131" t="s">
        <v>30</v>
      </c>
      <c r="C131" t="s">
        <v>23</v>
      </c>
      <c r="D131" t="s">
        <v>14</v>
      </c>
      <c r="E131" t="s">
        <v>10</v>
      </c>
      <c r="F131">
        <v>3329.18</v>
      </c>
      <c r="G131">
        <v>80488</v>
      </c>
      <c r="H131">
        <v>7629.95</v>
      </c>
      <c r="I131">
        <v>63.83</v>
      </c>
      <c r="J131">
        <f>IFERROR(INDEX(Suppliar[Estimated Carbon Footprint (tons CO₂e)],MATCH('Merge operational &amp; suppliar'!A131,Suppliar[Facility ID],0)),"")</f>
        <v>847.51</v>
      </c>
      <c r="K131">
        <f>IFERROR(INDEX(Suppliar[Income Distribution (%)],MATCH('Merge operational &amp; suppliar'!A131,Suppliar[Facility ID],0)),"")</f>
        <v>9.9</v>
      </c>
    </row>
    <row r="132" spans="1:11" x14ac:dyDescent="0.3">
      <c r="A132" t="s">
        <v>120</v>
      </c>
      <c r="B132" t="s">
        <v>30</v>
      </c>
      <c r="C132" t="s">
        <v>23</v>
      </c>
      <c r="D132" t="s">
        <v>28</v>
      </c>
      <c r="E132" t="s">
        <v>10</v>
      </c>
      <c r="F132">
        <v>3195.93</v>
      </c>
      <c r="G132">
        <v>79495</v>
      </c>
      <c r="H132">
        <v>7157.48</v>
      </c>
      <c r="I132">
        <v>26.84</v>
      </c>
      <c r="J132">
        <f>IFERROR(INDEX(Suppliar[Estimated Carbon Footprint (tons CO₂e)],MATCH('Merge operational &amp; suppliar'!A132,Suppliar[Facility ID],0)),"")</f>
        <v>114.57</v>
      </c>
      <c r="K132">
        <f>IFERROR(INDEX(Suppliar[Income Distribution (%)],MATCH('Merge operational &amp; suppliar'!A132,Suppliar[Facility ID],0)),"")</f>
        <v>9.83</v>
      </c>
    </row>
    <row r="133" spans="1:11" x14ac:dyDescent="0.3">
      <c r="A133" t="s">
        <v>91</v>
      </c>
      <c r="B133" t="s">
        <v>30</v>
      </c>
      <c r="C133" t="s">
        <v>8</v>
      </c>
      <c r="D133" t="s">
        <v>28</v>
      </c>
      <c r="E133" t="s">
        <v>15</v>
      </c>
      <c r="F133">
        <v>1246.5</v>
      </c>
      <c r="G133">
        <v>20207</v>
      </c>
      <c r="H133">
        <v>5369.46</v>
      </c>
      <c r="I133">
        <v>57.51</v>
      </c>
      <c r="J133">
        <f>IFERROR(INDEX(Suppliar[Estimated Carbon Footprint (tons CO₂e)],MATCH('Merge operational &amp; suppliar'!A133,Suppliar[Facility ID],0)),"")</f>
        <v>847.51</v>
      </c>
      <c r="K133">
        <f>IFERROR(INDEX(Suppliar[Income Distribution (%)],MATCH('Merge operational &amp; suppliar'!A133,Suppliar[Facility ID],0)),"")</f>
        <v>28.45</v>
      </c>
    </row>
    <row r="134" spans="1:11" x14ac:dyDescent="0.3">
      <c r="A134" t="s">
        <v>121</v>
      </c>
      <c r="B134" t="s">
        <v>30</v>
      </c>
      <c r="C134" t="s">
        <v>8</v>
      </c>
      <c r="D134" t="s">
        <v>28</v>
      </c>
      <c r="E134" t="s">
        <v>10</v>
      </c>
      <c r="F134">
        <v>2737.6</v>
      </c>
      <c r="G134">
        <v>58895</v>
      </c>
      <c r="H134">
        <v>3039.17</v>
      </c>
      <c r="I134">
        <v>59.82</v>
      </c>
      <c r="J134">
        <f>IFERROR(INDEX(Suppliar[Estimated Carbon Footprint (tons CO₂e)],MATCH('Merge operational &amp; suppliar'!A134,Suppliar[Facility ID],0)),"")</f>
        <v>785.8</v>
      </c>
      <c r="K134">
        <f>IFERROR(INDEX(Suppliar[Income Distribution (%)],MATCH('Merge operational &amp; suppliar'!A134,Suppliar[Facility ID],0)),"")</f>
        <v>22.92</v>
      </c>
    </row>
    <row r="135" spans="1:11" x14ac:dyDescent="0.3">
      <c r="A135" t="s">
        <v>122</v>
      </c>
      <c r="B135" t="s">
        <v>19</v>
      </c>
      <c r="C135" t="s">
        <v>34</v>
      </c>
      <c r="D135" t="s">
        <v>28</v>
      </c>
      <c r="E135" t="s">
        <v>15</v>
      </c>
      <c r="F135">
        <v>1722.2</v>
      </c>
      <c r="G135">
        <v>95962</v>
      </c>
      <c r="H135">
        <v>524.72</v>
      </c>
      <c r="I135">
        <v>49.55</v>
      </c>
      <c r="J135">
        <f>IFERROR(INDEX(Suppliar[Estimated Carbon Footprint (tons CO₂e)],MATCH('Merge operational &amp; suppliar'!A135,Suppliar[Facility ID],0)),"")</f>
        <v>991.36</v>
      </c>
      <c r="K135">
        <f>IFERROR(INDEX(Suppliar[Income Distribution (%)],MATCH('Merge operational &amp; suppliar'!A135,Suppliar[Facility ID],0)),"")</f>
        <v>18.28</v>
      </c>
    </row>
    <row r="136" spans="1:11" x14ac:dyDescent="0.3">
      <c r="A136" t="s">
        <v>123</v>
      </c>
      <c r="B136" t="s">
        <v>30</v>
      </c>
      <c r="C136" t="s">
        <v>8</v>
      </c>
      <c r="D136" t="s">
        <v>14</v>
      </c>
      <c r="E136" t="s">
        <v>15</v>
      </c>
      <c r="F136">
        <v>4036.12</v>
      </c>
      <c r="G136">
        <v>73977</v>
      </c>
      <c r="H136">
        <v>1646.75</v>
      </c>
      <c r="I136">
        <v>43.77</v>
      </c>
      <c r="J136" t="str">
        <f>IFERROR(INDEX(Suppliar[Estimated Carbon Footprint (tons CO₂e)],MATCH('Merge operational &amp; suppliar'!A136,Suppliar[Facility ID],0)),"")</f>
        <v/>
      </c>
      <c r="K136" t="str">
        <f>IFERROR(INDEX(Suppliar[Income Distribution (%)],MATCH('Merge operational &amp; suppliar'!A136,Suppliar[Facility ID],0)),"")</f>
        <v/>
      </c>
    </row>
    <row r="137" spans="1:11" x14ac:dyDescent="0.3">
      <c r="A137" t="s">
        <v>124</v>
      </c>
      <c r="B137" t="s">
        <v>12</v>
      </c>
      <c r="C137" t="s">
        <v>23</v>
      </c>
      <c r="D137" t="s">
        <v>28</v>
      </c>
      <c r="E137" t="s">
        <v>10</v>
      </c>
      <c r="F137">
        <v>897.74</v>
      </c>
      <c r="G137">
        <v>47491</v>
      </c>
      <c r="H137">
        <v>5781.05</v>
      </c>
      <c r="I137">
        <v>92.18</v>
      </c>
      <c r="J137">
        <f>IFERROR(INDEX(Suppliar[Estimated Carbon Footprint (tons CO₂e)],MATCH('Merge operational &amp; suppliar'!A137,Suppliar[Facility ID],0)),"")</f>
        <v>344.93</v>
      </c>
      <c r="K137">
        <f>IFERROR(INDEX(Suppliar[Income Distribution (%)],MATCH('Merge operational &amp; suppliar'!A137,Suppliar[Facility ID],0)),"")</f>
        <v>36.229999999999997</v>
      </c>
    </row>
    <row r="138" spans="1:11" x14ac:dyDescent="0.3">
      <c r="A138" t="s">
        <v>125</v>
      </c>
      <c r="B138" t="s">
        <v>7</v>
      </c>
      <c r="C138" t="s">
        <v>23</v>
      </c>
      <c r="D138" t="s">
        <v>14</v>
      </c>
      <c r="E138" t="s">
        <v>10</v>
      </c>
      <c r="F138">
        <v>1853.54</v>
      </c>
      <c r="G138">
        <v>56392</v>
      </c>
      <c r="H138">
        <v>5703.76</v>
      </c>
      <c r="I138">
        <v>23.04</v>
      </c>
      <c r="J138">
        <f>IFERROR(INDEX(Suppliar[Estimated Carbon Footprint (tons CO₂e)],MATCH('Merge operational &amp; suppliar'!A138,Suppliar[Facility ID],0)),"")</f>
        <v>991.03</v>
      </c>
      <c r="K138">
        <f>IFERROR(INDEX(Suppliar[Income Distribution (%)],MATCH('Merge operational &amp; suppliar'!A138,Suppliar[Facility ID],0)),"")</f>
        <v>27.62</v>
      </c>
    </row>
    <row r="139" spans="1:11" x14ac:dyDescent="0.3">
      <c r="A139" t="s">
        <v>121</v>
      </c>
      <c r="B139" t="s">
        <v>30</v>
      </c>
      <c r="C139" t="s">
        <v>34</v>
      </c>
      <c r="D139" t="s">
        <v>14</v>
      </c>
      <c r="E139" t="s">
        <v>15</v>
      </c>
      <c r="F139">
        <v>4674.16</v>
      </c>
      <c r="G139">
        <v>58895</v>
      </c>
      <c r="H139">
        <v>3039.17</v>
      </c>
      <c r="I139">
        <v>59.82</v>
      </c>
      <c r="J139">
        <f>IFERROR(INDEX(Suppliar[Estimated Carbon Footprint (tons CO₂e)],MATCH('Merge operational &amp; suppliar'!A139,Suppliar[Facility ID],0)),"")</f>
        <v>785.8</v>
      </c>
      <c r="K139">
        <f>IFERROR(INDEX(Suppliar[Income Distribution (%)],MATCH('Merge operational &amp; suppliar'!A139,Suppliar[Facility ID],0)),"")</f>
        <v>22.92</v>
      </c>
    </row>
    <row r="140" spans="1:11" x14ac:dyDescent="0.3">
      <c r="A140" t="s">
        <v>123</v>
      </c>
      <c r="B140" t="s">
        <v>30</v>
      </c>
      <c r="C140" t="s">
        <v>13</v>
      </c>
      <c r="D140" t="s">
        <v>9</v>
      </c>
      <c r="E140" t="s">
        <v>15</v>
      </c>
      <c r="F140">
        <v>4723.6000000000004</v>
      </c>
      <c r="G140">
        <v>73977</v>
      </c>
      <c r="H140">
        <v>1646.75</v>
      </c>
      <c r="I140">
        <v>43.77</v>
      </c>
      <c r="J140" t="str">
        <f>IFERROR(INDEX(Suppliar[Estimated Carbon Footprint (tons CO₂e)],MATCH('Merge operational &amp; suppliar'!A140,Suppliar[Facility ID],0)),"")</f>
        <v/>
      </c>
      <c r="K140" t="str">
        <f>IFERROR(INDEX(Suppliar[Income Distribution (%)],MATCH('Merge operational &amp; suppliar'!A140,Suppliar[Facility ID],0)),"")</f>
        <v/>
      </c>
    </row>
    <row r="141" spans="1:11" x14ac:dyDescent="0.3">
      <c r="A141" t="s">
        <v>117</v>
      </c>
      <c r="B141" t="s">
        <v>7</v>
      </c>
      <c r="C141" t="s">
        <v>23</v>
      </c>
      <c r="D141" t="s">
        <v>9</v>
      </c>
      <c r="E141" t="s">
        <v>10</v>
      </c>
      <c r="F141">
        <v>3244.21</v>
      </c>
      <c r="G141">
        <v>89321</v>
      </c>
      <c r="H141">
        <v>9836.34</v>
      </c>
      <c r="I141">
        <v>16.989999999999998</v>
      </c>
      <c r="J141">
        <f>IFERROR(INDEX(Suppliar[Estimated Carbon Footprint (tons CO₂e)],MATCH('Merge operational &amp; suppliar'!A141,Suppliar[Facility ID],0)),"")</f>
        <v>105.67</v>
      </c>
      <c r="K141">
        <f>IFERROR(INDEX(Suppliar[Income Distribution (%)],MATCH('Merge operational &amp; suppliar'!A141,Suppliar[Facility ID],0)),"")</f>
        <v>15.41</v>
      </c>
    </row>
    <row r="142" spans="1:11" x14ac:dyDescent="0.3">
      <c r="A142" t="s">
        <v>18</v>
      </c>
      <c r="B142" t="s">
        <v>19</v>
      </c>
      <c r="C142" t="s">
        <v>13</v>
      </c>
      <c r="D142" t="s">
        <v>14</v>
      </c>
      <c r="E142" t="s">
        <v>24</v>
      </c>
      <c r="F142">
        <v>980.22</v>
      </c>
      <c r="G142">
        <v>98682</v>
      </c>
      <c r="H142">
        <v>6220.56</v>
      </c>
      <c r="I142">
        <v>70.099999999999994</v>
      </c>
      <c r="J142">
        <f>IFERROR(INDEX(Suppliar[Estimated Carbon Footprint (tons CO₂e)],MATCH('Merge operational &amp; suppliar'!A142,Suppliar[Facility ID],0)),"")</f>
        <v>724.63</v>
      </c>
      <c r="K142">
        <f>IFERROR(INDEX(Suppliar[Income Distribution (%)],MATCH('Merge operational &amp; suppliar'!A142,Suppliar[Facility ID],0)),"")</f>
        <v>27.81</v>
      </c>
    </row>
    <row r="143" spans="1:11" x14ac:dyDescent="0.3">
      <c r="A143" t="s">
        <v>126</v>
      </c>
      <c r="B143" t="s">
        <v>30</v>
      </c>
      <c r="C143" t="s">
        <v>8</v>
      </c>
      <c r="D143" t="s">
        <v>28</v>
      </c>
      <c r="E143" t="s">
        <v>15</v>
      </c>
      <c r="F143">
        <v>4810.13</v>
      </c>
      <c r="G143">
        <v>35506</v>
      </c>
      <c r="H143">
        <v>1892.04</v>
      </c>
      <c r="I143">
        <v>61.53</v>
      </c>
      <c r="J143" t="str">
        <f>IFERROR(INDEX(Suppliar[Estimated Carbon Footprint (tons CO₂e)],MATCH('Merge operational &amp; suppliar'!A143,Suppliar[Facility ID],0)),"")</f>
        <v/>
      </c>
      <c r="K143" t="str">
        <f>IFERROR(INDEX(Suppliar[Income Distribution (%)],MATCH('Merge operational &amp; suppliar'!A143,Suppliar[Facility ID],0)),"")</f>
        <v/>
      </c>
    </row>
    <row r="144" spans="1:11" x14ac:dyDescent="0.3">
      <c r="A144" t="s">
        <v>127</v>
      </c>
      <c r="B144" t="s">
        <v>17</v>
      </c>
      <c r="C144" t="s">
        <v>23</v>
      </c>
      <c r="D144" t="s">
        <v>28</v>
      </c>
      <c r="E144" t="s">
        <v>24</v>
      </c>
      <c r="F144">
        <v>3868.27</v>
      </c>
      <c r="G144">
        <v>17416</v>
      </c>
      <c r="H144">
        <v>812.06</v>
      </c>
      <c r="I144">
        <v>5.7</v>
      </c>
      <c r="J144">
        <f>IFERROR(INDEX(Suppliar[Estimated Carbon Footprint (tons CO₂e)],MATCH('Merge operational &amp; suppliar'!A144,Suppliar[Facility ID],0)),"")</f>
        <v>568.27</v>
      </c>
      <c r="K144">
        <f>IFERROR(INDEX(Suppliar[Income Distribution (%)],MATCH('Merge operational &amp; suppliar'!A144,Suppliar[Facility ID],0)),"")</f>
        <v>18.03</v>
      </c>
    </row>
    <row r="145" spans="1:11" x14ac:dyDescent="0.3">
      <c r="A145" t="s">
        <v>114</v>
      </c>
      <c r="B145" t="s">
        <v>30</v>
      </c>
      <c r="C145" t="s">
        <v>8</v>
      </c>
      <c r="D145" t="s">
        <v>28</v>
      </c>
      <c r="E145" t="s">
        <v>24</v>
      </c>
      <c r="F145">
        <v>714.41</v>
      </c>
      <c r="G145">
        <v>29264</v>
      </c>
      <c r="H145">
        <v>8362.7199999999993</v>
      </c>
      <c r="I145">
        <v>61.93</v>
      </c>
      <c r="J145" t="str">
        <f>IFERROR(INDEX(Suppliar[Estimated Carbon Footprint (tons CO₂e)],MATCH('Merge operational &amp; suppliar'!A145,Suppliar[Facility ID],0)),"")</f>
        <v/>
      </c>
      <c r="K145" t="str">
        <f>IFERROR(INDEX(Suppliar[Income Distribution (%)],MATCH('Merge operational &amp; suppliar'!A145,Suppliar[Facility ID],0)),"")</f>
        <v/>
      </c>
    </row>
    <row r="146" spans="1:11" x14ac:dyDescent="0.3">
      <c r="A146" t="s">
        <v>117</v>
      </c>
      <c r="B146" t="s">
        <v>7</v>
      </c>
      <c r="C146" t="s">
        <v>13</v>
      </c>
      <c r="D146" t="s">
        <v>9</v>
      </c>
      <c r="E146" t="s">
        <v>10</v>
      </c>
      <c r="F146">
        <v>1121.06</v>
      </c>
      <c r="G146">
        <v>89321</v>
      </c>
      <c r="H146">
        <v>9836.34</v>
      </c>
      <c r="I146">
        <v>16.989999999999998</v>
      </c>
      <c r="J146">
        <f>IFERROR(INDEX(Suppliar[Estimated Carbon Footprint (tons CO₂e)],MATCH('Merge operational &amp; suppliar'!A146,Suppliar[Facility ID],0)),"")</f>
        <v>105.67</v>
      </c>
      <c r="K146">
        <f>IFERROR(INDEX(Suppliar[Income Distribution (%)],MATCH('Merge operational &amp; suppliar'!A146,Suppliar[Facility ID],0)),"")</f>
        <v>15.41</v>
      </c>
    </row>
    <row r="147" spans="1:11" x14ac:dyDescent="0.3">
      <c r="A147" t="s">
        <v>128</v>
      </c>
      <c r="B147" t="s">
        <v>12</v>
      </c>
      <c r="C147" t="s">
        <v>13</v>
      </c>
      <c r="D147" t="s">
        <v>9</v>
      </c>
      <c r="E147" t="s">
        <v>24</v>
      </c>
      <c r="F147">
        <v>1645.67</v>
      </c>
      <c r="G147">
        <v>29406</v>
      </c>
      <c r="H147">
        <v>5281.69</v>
      </c>
      <c r="I147">
        <v>27.01</v>
      </c>
      <c r="J147">
        <f>IFERROR(INDEX(Suppliar[Estimated Carbon Footprint (tons CO₂e)],MATCH('Merge operational &amp; suppliar'!A147,Suppliar[Facility ID],0)),"")</f>
        <v>231.68</v>
      </c>
      <c r="K147">
        <f>IFERROR(INDEX(Suppliar[Income Distribution (%)],MATCH('Merge operational &amp; suppliar'!A147,Suppliar[Facility ID],0)),"")</f>
        <v>13.88</v>
      </c>
    </row>
    <row r="148" spans="1:11" x14ac:dyDescent="0.3">
      <c r="A148" t="s">
        <v>129</v>
      </c>
      <c r="B148" t="s">
        <v>17</v>
      </c>
      <c r="C148" t="s">
        <v>34</v>
      </c>
      <c r="D148" t="s">
        <v>9</v>
      </c>
      <c r="E148" t="s">
        <v>15</v>
      </c>
      <c r="F148">
        <v>3519.74</v>
      </c>
      <c r="G148">
        <v>95292</v>
      </c>
      <c r="H148">
        <v>697.47</v>
      </c>
      <c r="I148">
        <v>88.35</v>
      </c>
      <c r="J148">
        <f>IFERROR(INDEX(Suppliar[Estimated Carbon Footprint (tons CO₂e)],MATCH('Merge operational &amp; suppliar'!A148,Suppliar[Facility ID],0)),"")</f>
        <v>114.57</v>
      </c>
      <c r="K148">
        <f>IFERROR(INDEX(Suppliar[Income Distribution (%)],MATCH('Merge operational &amp; suppliar'!A148,Suppliar[Facility ID],0)),"")</f>
        <v>36.04</v>
      </c>
    </row>
    <row r="149" spans="1:11" x14ac:dyDescent="0.3">
      <c r="A149" t="s">
        <v>82</v>
      </c>
      <c r="B149" t="s">
        <v>17</v>
      </c>
      <c r="C149" t="s">
        <v>34</v>
      </c>
      <c r="D149" t="s">
        <v>9</v>
      </c>
      <c r="E149" t="s">
        <v>24</v>
      </c>
      <c r="F149">
        <v>2222.6799999999998</v>
      </c>
      <c r="G149">
        <v>93409</v>
      </c>
      <c r="H149">
        <v>2375.83</v>
      </c>
      <c r="I149">
        <v>5.83</v>
      </c>
      <c r="J149" t="str">
        <f>IFERROR(INDEX(Suppliar[Estimated Carbon Footprint (tons CO₂e)],MATCH('Merge operational &amp; suppliar'!A149,Suppliar[Facility ID],0)),"")</f>
        <v/>
      </c>
      <c r="K149" t="str">
        <f>IFERROR(INDEX(Suppliar[Income Distribution (%)],MATCH('Merge operational &amp; suppliar'!A149,Suppliar[Facility ID],0)),"")</f>
        <v/>
      </c>
    </row>
    <row r="150" spans="1:11" x14ac:dyDescent="0.3">
      <c r="A150" t="s">
        <v>80</v>
      </c>
      <c r="B150" t="s">
        <v>17</v>
      </c>
      <c r="C150" t="s">
        <v>34</v>
      </c>
      <c r="D150" t="s">
        <v>14</v>
      </c>
      <c r="E150" t="s">
        <v>15</v>
      </c>
      <c r="F150">
        <v>261.56</v>
      </c>
      <c r="G150">
        <v>75508</v>
      </c>
      <c r="H150">
        <v>6856.22</v>
      </c>
      <c r="I150">
        <v>18.2</v>
      </c>
      <c r="J150">
        <f>IFERROR(INDEX(Suppliar[Estimated Carbon Footprint (tons CO₂e)],MATCH('Merge operational &amp; suppliar'!A150,Suppliar[Facility ID],0)),"")</f>
        <v>991.03</v>
      </c>
      <c r="K150">
        <f>IFERROR(INDEX(Suppliar[Income Distribution (%)],MATCH('Merge operational &amp; suppliar'!A150,Suppliar[Facility ID],0)),"")</f>
        <v>13.32</v>
      </c>
    </row>
    <row r="151" spans="1:11" x14ac:dyDescent="0.3">
      <c r="A151" t="s">
        <v>63</v>
      </c>
      <c r="B151" t="s">
        <v>12</v>
      </c>
      <c r="C151" t="s">
        <v>34</v>
      </c>
      <c r="D151" t="s">
        <v>9</v>
      </c>
      <c r="E151" t="s">
        <v>24</v>
      </c>
      <c r="F151">
        <v>4724.5600000000004</v>
      </c>
      <c r="G151">
        <v>33688</v>
      </c>
      <c r="H151">
        <v>9495.48</v>
      </c>
      <c r="I151">
        <v>55.55</v>
      </c>
      <c r="J151">
        <f>IFERROR(INDEX(Suppliar[Estimated Carbon Footprint (tons CO₂e)],MATCH('Merge operational &amp; suppliar'!A151,Suppliar[Facility ID],0)),"")</f>
        <v>780.4</v>
      </c>
      <c r="K151">
        <f>IFERROR(INDEX(Suppliar[Income Distribution (%)],MATCH('Merge operational &amp; suppliar'!A151,Suppliar[Facility ID],0)),"")</f>
        <v>30.98</v>
      </c>
    </row>
    <row r="152" spans="1:11" x14ac:dyDescent="0.3">
      <c r="A152" t="s">
        <v>130</v>
      </c>
      <c r="B152" t="s">
        <v>12</v>
      </c>
      <c r="C152" t="s">
        <v>13</v>
      </c>
      <c r="D152" t="s">
        <v>14</v>
      </c>
      <c r="E152" t="s">
        <v>10</v>
      </c>
      <c r="F152">
        <v>1696.11</v>
      </c>
      <c r="G152">
        <v>82332</v>
      </c>
      <c r="H152">
        <v>7134.86</v>
      </c>
      <c r="I152">
        <v>22.44</v>
      </c>
      <c r="J152">
        <f>IFERROR(INDEX(Suppliar[Estimated Carbon Footprint (tons CO₂e)],MATCH('Merge operational &amp; suppliar'!A152,Suppliar[Facility ID],0)),"")</f>
        <v>553.44000000000005</v>
      </c>
      <c r="K152">
        <f>IFERROR(INDEX(Suppliar[Income Distribution (%)],MATCH('Merge operational &amp; suppliar'!A152,Suppliar[Facility ID],0)),"")</f>
        <v>13.24</v>
      </c>
    </row>
    <row r="153" spans="1:11" x14ac:dyDescent="0.3">
      <c r="A153" t="s">
        <v>131</v>
      </c>
      <c r="B153" t="s">
        <v>17</v>
      </c>
      <c r="C153" t="s">
        <v>13</v>
      </c>
      <c r="D153" t="s">
        <v>28</v>
      </c>
      <c r="E153" t="s">
        <v>24</v>
      </c>
      <c r="F153">
        <v>1447.34</v>
      </c>
      <c r="G153">
        <v>94128</v>
      </c>
      <c r="H153">
        <v>8117.82</v>
      </c>
      <c r="I153">
        <v>73.83</v>
      </c>
      <c r="J153">
        <f>IFERROR(INDEX(Suppliar[Estimated Carbon Footprint (tons CO₂e)],MATCH('Merge operational &amp; suppliar'!A153,Suppliar[Facility ID],0)),"")</f>
        <v>532.27</v>
      </c>
      <c r="K153">
        <f>IFERROR(INDEX(Suppliar[Income Distribution (%)],MATCH('Merge operational &amp; suppliar'!A153,Suppliar[Facility ID],0)),"")</f>
        <v>31.74</v>
      </c>
    </row>
    <row r="154" spans="1:11" x14ac:dyDescent="0.3">
      <c r="A154" t="s">
        <v>132</v>
      </c>
      <c r="B154" t="s">
        <v>19</v>
      </c>
      <c r="C154" t="s">
        <v>13</v>
      </c>
      <c r="D154" t="s">
        <v>14</v>
      </c>
      <c r="E154" t="s">
        <v>24</v>
      </c>
      <c r="F154">
        <v>3456.69</v>
      </c>
      <c r="G154">
        <v>29860</v>
      </c>
      <c r="H154">
        <v>3956.23</v>
      </c>
      <c r="I154">
        <v>57.5</v>
      </c>
      <c r="J154">
        <f>IFERROR(INDEX(Suppliar[Estimated Carbon Footprint (tons CO₂e)],MATCH('Merge operational &amp; suppliar'!A154,Suppliar[Facility ID],0)),"")</f>
        <v>432.23</v>
      </c>
      <c r="K154">
        <f>IFERROR(INDEX(Suppliar[Income Distribution (%)],MATCH('Merge operational &amp; suppliar'!A154,Suppliar[Facility ID],0)),"")</f>
        <v>17.78</v>
      </c>
    </row>
    <row r="155" spans="1:11" x14ac:dyDescent="0.3">
      <c r="A155" t="s">
        <v>47</v>
      </c>
      <c r="B155" t="s">
        <v>30</v>
      </c>
      <c r="C155" t="s">
        <v>34</v>
      </c>
      <c r="D155" t="s">
        <v>28</v>
      </c>
      <c r="E155" t="s">
        <v>10</v>
      </c>
      <c r="F155">
        <v>1842.07</v>
      </c>
      <c r="G155">
        <v>53661</v>
      </c>
      <c r="H155">
        <v>6965.81</v>
      </c>
      <c r="I155">
        <v>69.400000000000006</v>
      </c>
      <c r="J155">
        <f>IFERROR(INDEX(Suppliar[Estimated Carbon Footprint (tons CO₂e)],MATCH('Merge operational &amp; suppliar'!A155,Suppliar[Facility ID],0)),"")</f>
        <v>610.79999999999995</v>
      </c>
      <c r="K155">
        <f>IFERROR(INDEX(Suppliar[Income Distribution (%)],MATCH('Merge operational &amp; suppliar'!A155,Suppliar[Facility ID],0)),"")</f>
        <v>29.15</v>
      </c>
    </row>
    <row r="156" spans="1:11" x14ac:dyDescent="0.3">
      <c r="A156" t="s">
        <v>133</v>
      </c>
      <c r="B156" t="s">
        <v>17</v>
      </c>
      <c r="C156" t="s">
        <v>13</v>
      </c>
      <c r="D156" t="s">
        <v>9</v>
      </c>
      <c r="E156" t="s">
        <v>15</v>
      </c>
      <c r="F156">
        <v>670.69</v>
      </c>
      <c r="G156">
        <v>48501</v>
      </c>
      <c r="H156">
        <v>7209.77</v>
      </c>
      <c r="I156">
        <v>92.51</v>
      </c>
      <c r="J156" t="str">
        <f>IFERROR(INDEX(Suppliar[Estimated Carbon Footprint (tons CO₂e)],MATCH('Merge operational &amp; suppliar'!A156,Suppliar[Facility ID],0)),"")</f>
        <v/>
      </c>
      <c r="K156" t="str">
        <f>IFERROR(INDEX(Suppliar[Income Distribution (%)],MATCH('Merge operational &amp; suppliar'!A156,Suppliar[Facility ID],0)),"")</f>
        <v/>
      </c>
    </row>
    <row r="157" spans="1:11" x14ac:dyDescent="0.3">
      <c r="A157" t="s">
        <v>134</v>
      </c>
      <c r="B157" t="s">
        <v>7</v>
      </c>
      <c r="C157" t="s">
        <v>23</v>
      </c>
      <c r="D157" t="s">
        <v>9</v>
      </c>
      <c r="E157" t="s">
        <v>15</v>
      </c>
      <c r="F157">
        <v>1143.2</v>
      </c>
      <c r="G157">
        <v>39568</v>
      </c>
      <c r="H157">
        <v>3580.54</v>
      </c>
      <c r="I157">
        <v>78.08</v>
      </c>
      <c r="J157">
        <f>IFERROR(INDEX(Suppliar[Estimated Carbon Footprint (tons CO₂e)],MATCH('Merge operational &amp; suppliar'!A157,Suppliar[Facility ID],0)),"")</f>
        <v>635.72</v>
      </c>
      <c r="K157">
        <f>IFERROR(INDEX(Suppliar[Income Distribution (%)],MATCH('Merge operational &amp; suppliar'!A157,Suppliar[Facility ID],0)),"")</f>
        <v>67.36</v>
      </c>
    </row>
    <row r="158" spans="1:11" x14ac:dyDescent="0.3">
      <c r="A158" t="s">
        <v>80</v>
      </c>
      <c r="B158" t="s">
        <v>17</v>
      </c>
      <c r="C158" t="s">
        <v>23</v>
      </c>
      <c r="D158" t="s">
        <v>9</v>
      </c>
      <c r="E158" t="s">
        <v>10</v>
      </c>
      <c r="F158">
        <v>3475.51</v>
      </c>
      <c r="G158">
        <v>75508</v>
      </c>
      <c r="H158">
        <v>6856.22</v>
      </c>
      <c r="I158">
        <v>18.2</v>
      </c>
      <c r="J158">
        <f>IFERROR(INDEX(Suppliar[Estimated Carbon Footprint (tons CO₂e)],MATCH('Merge operational &amp; suppliar'!A158,Suppliar[Facility ID],0)),"")</f>
        <v>991.03</v>
      </c>
      <c r="K158">
        <f>IFERROR(INDEX(Suppliar[Income Distribution (%)],MATCH('Merge operational &amp; suppliar'!A158,Suppliar[Facility ID],0)),"")</f>
        <v>13.32</v>
      </c>
    </row>
    <row r="159" spans="1:11" x14ac:dyDescent="0.3">
      <c r="A159" t="s">
        <v>92</v>
      </c>
      <c r="B159" t="s">
        <v>30</v>
      </c>
      <c r="C159" t="s">
        <v>34</v>
      </c>
      <c r="D159" t="s">
        <v>28</v>
      </c>
      <c r="E159" t="s">
        <v>10</v>
      </c>
      <c r="F159">
        <v>1313.1</v>
      </c>
      <c r="G159">
        <v>18726</v>
      </c>
      <c r="H159">
        <v>5099.54</v>
      </c>
      <c r="I159">
        <v>71.05</v>
      </c>
      <c r="J159">
        <f>IFERROR(INDEX(Suppliar[Estimated Carbon Footprint (tons CO₂e)],MATCH('Merge operational &amp; suppliar'!A159,Suppliar[Facility ID],0)),"")</f>
        <v>714.03</v>
      </c>
      <c r="K159">
        <f>IFERROR(INDEX(Suppliar[Income Distribution (%)],MATCH('Merge operational &amp; suppliar'!A159,Suppliar[Facility ID],0)),"")</f>
        <v>32.29</v>
      </c>
    </row>
    <row r="160" spans="1:11" x14ac:dyDescent="0.3">
      <c r="A160" t="s">
        <v>90</v>
      </c>
      <c r="B160" t="s">
        <v>19</v>
      </c>
      <c r="C160" t="s">
        <v>13</v>
      </c>
      <c r="D160" t="s">
        <v>14</v>
      </c>
      <c r="E160" t="s">
        <v>24</v>
      </c>
      <c r="F160">
        <v>2271.65</v>
      </c>
      <c r="G160">
        <v>97337</v>
      </c>
      <c r="H160">
        <v>3362.06</v>
      </c>
      <c r="I160">
        <v>55.46</v>
      </c>
      <c r="J160">
        <f>IFERROR(INDEX(Suppliar[Estimated Carbon Footprint (tons CO₂e)],MATCH('Merge operational &amp; suppliar'!A160,Suppliar[Facility ID],0)),"")</f>
        <v>459.56</v>
      </c>
      <c r="K160">
        <f>IFERROR(INDEX(Suppliar[Income Distribution (%)],MATCH('Merge operational &amp; suppliar'!A160,Suppliar[Facility ID],0)),"")</f>
        <v>10.31</v>
      </c>
    </row>
    <row r="161" spans="1:11" x14ac:dyDescent="0.3">
      <c r="A161" t="s">
        <v>80</v>
      </c>
      <c r="B161" t="s">
        <v>17</v>
      </c>
      <c r="C161" t="s">
        <v>8</v>
      </c>
      <c r="D161" t="s">
        <v>9</v>
      </c>
      <c r="E161" t="s">
        <v>15</v>
      </c>
      <c r="F161">
        <v>4185.75</v>
      </c>
      <c r="G161">
        <v>75508</v>
      </c>
      <c r="H161">
        <v>6856.22</v>
      </c>
      <c r="I161">
        <v>18.2</v>
      </c>
      <c r="J161">
        <f>IFERROR(INDEX(Suppliar[Estimated Carbon Footprint (tons CO₂e)],MATCH('Merge operational &amp; suppliar'!A161,Suppliar[Facility ID],0)),"")</f>
        <v>991.03</v>
      </c>
      <c r="K161">
        <f>IFERROR(INDEX(Suppliar[Income Distribution (%)],MATCH('Merge operational &amp; suppliar'!A161,Suppliar[Facility ID],0)),"")</f>
        <v>13.32</v>
      </c>
    </row>
    <row r="162" spans="1:11" x14ac:dyDescent="0.3">
      <c r="A162" t="s">
        <v>86</v>
      </c>
      <c r="B162" t="s">
        <v>19</v>
      </c>
      <c r="C162" t="s">
        <v>13</v>
      </c>
      <c r="D162" t="s">
        <v>9</v>
      </c>
      <c r="E162" t="s">
        <v>10</v>
      </c>
      <c r="F162">
        <v>704.34</v>
      </c>
      <c r="G162">
        <v>56531</v>
      </c>
      <c r="H162">
        <v>8958.07</v>
      </c>
      <c r="I162">
        <v>83.44</v>
      </c>
      <c r="J162">
        <f>IFERROR(INDEX(Suppliar[Estimated Carbon Footprint (tons CO₂e)],MATCH('Merge operational &amp; suppliar'!A162,Suppliar[Facility ID],0)),"")</f>
        <v>943.59</v>
      </c>
      <c r="K162">
        <f>IFERROR(INDEX(Suppliar[Income Distribution (%)],MATCH('Merge operational &amp; suppliar'!A162,Suppliar[Facility ID],0)),"")</f>
        <v>23.54</v>
      </c>
    </row>
    <row r="163" spans="1:11" x14ac:dyDescent="0.3">
      <c r="A163" t="s">
        <v>135</v>
      </c>
      <c r="B163" t="s">
        <v>12</v>
      </c>
      <c r="C163" t="s">
        <v>8</v>
      </c>
      <c r="D163" t="s">
        <v>9</v>
      </c>
      <c r="E163" t="s">
        <v>24</v>
      </c>
      <c r="F163">
        <v>801.11</v>
      </c>
      <c r="G163">
        <v>39560</v>
      </c>
      <c r="H163">
        <v>8380.77</v>
      </c>
      <c r="I163">
        <v>94.01</v>
      </c>
      <c r="J163" t="str">
        <f>IFERROR(INDEX(Suppliar[Estimated Carbon Footprint (tons CO₂e)],MATCH('Merge operational &amp; suppliar'!A163,Suppliar[Facility ID],0)),"")</f>
        <v/>
      </c>
      <c r="K163" t="str">
        <f>IFERROR(INDEX(Suppliar[Income Distribution (%)],MATCH('Merge operational &amp; suppliar'!A163,Suppliar[Facility ID],0)),"")</f>
        <v/>
      </c>
    </row>
    <row r="164" spans="1:11" x14ac:dyDescent="0.3">
      <c r="A164" t="s">
        <v>21</v>
      </c>
      <c r="B164" t="s">
        <v>19</v>
      </c>
      <c r="C164" t="s">
        <v>13</v>
      </c>
      <c r="D164" t="s">
        <v>14</v>
      </c>
      <c r="E164" t="s">
        <v>10</v>
      </c>
      <c r="F164">
        <v>1685.02</v>
      </c>
      <c r="G164">
        <v>61157</v>
      </c>
      <c r="H164">
        <v>7331.54</v>
      </c>
      <c r="I164">
        <v>55.52</v>
      </c>
      <c r="J164">
        <f>IFERROR(INDEX(Suppliar[Estimated Carbon Footprint (tons CO₂e)],MATCH('Merge operational &amp; suppliar'!A164,Suppliar[Facility ID],0)),"")</f>
        <v>783.77</v>
      </c>
      <c r="K164">
        <f>IFERROR(INDEX(Suppliar[Income Distribution (%)],MATCH('Merge operational &amp; suppliar'!A164,Suppliar[Facility ID],0)),"")</f>
        <v>31.59</v>
      </c>
    </row>
    <row r="165" spans="1:11" x14ac:dyDescent="0.3">
      <c r="A165" t="s">
        <v>132</v>
      </c>
      <c r="B165" t="s">
        <v>19</v>
      </c>
      <c r="C165" t="s">
        <v>8</v>
      </c>
      <c r="D165" t="s">
        <v>14</v>
      </c>
      <c r="E165" t="s">
        <v>10</v>
      </c>
      <c r="F165">
        <v>4811.95</v>
      </c>
      <c r="G165">
        <v>29860</v>
      </c>
      <c r="H165">
        <v>3956.23</v>
      </c>
      <c r="I165">
        <v>57.5</v>
      </c>
      <c r="J165">
        <f>IFERROR(INDEX(Suppliar[Estimated Carbon Footprint (tons CO₂e)],MATCH('Merge operational &amp; suppliar'!A165,Suppliar[Facility ID],0)),"")</f>
        <v>432.23</v>
      </c>
      <c r="K165">
        <f>IFERROR(INDEX(Suppliar[Income Distribution (%)],MATCH('Merge operational &amp; suppliar'!A165,Suppliar[Facility ID],0)),"")</f>
        <v>17.78</v>
      </c>
    </row>
    <row r="166" spans="1:11" x14ac:dyDescent="0.3">
      <c r="A166" t="s">
        <v>136</v>
      </c>
      <c r="B166" t="s">
        <v>17</v>
      </c>
      <c r="C166" t="s">
        <v>23</v>
      </c>
      <c r="D166" t="s">
        <v>9</v>
      </c>
      <c r="E166" t="s">
        <v>24</v>
      </c>
      <c r="F166">
        <v>5093.5200000000004</v>
      </c>
      <c r="G166">
        <v>15128</v>
      </c>
      <c r="H166">
        <v>8847.09</v>
      </c>
      <c r="I166">
        <v>5.25</v>
      </c>
      <c r="J166">
        <f>IFERROR(INDEX(Suppliar[Estimated Carbon Footprint (tons CO₂e)],MATCH('Merge operational &amp; suppliar'!A166,Suppliar[Facility ID],0)),"")</f>
        <v>230.57</v>
      </c>
      <c r="K166">
        <f>IFERROR(INDEX(Suppliar[Income Distribution (%)],MATCH('Merge operational &amp; suppliar'!A166,Suppliar[Facility ID],0)),"")</f>
        <v>60.48</v>
      </c>
    </row>
    <row r="167" spans="1:11" x14ac:dyDescent="0.3">
      <c r="A167" t="s">
        <v>120</v>
      </c>
      <c r="B167" t="s">
        <v>30</v>
      </c>
      <c r="C167" t="s">
        <v>23</v>
      </c>
      <c r="D167" t="s">
        <v>9</v>
      </c>
      <c r="E167" t="s">
        <v>24</v>
      </c>
      <c r="F167">
        <v>4205.37</v>
      </c>
      <c r="G167">
        <v>79495</v>
      </c>
      <c r="H167">
        <v>7157.48</v>
      </c>
      <c r="I167">
        <v>26.84</v>
      </c>
      <c r="J167">
        <f>IFERROR(INDEX(Suppliar[Estimated Carbon Footprint (tons CO₂e)],MATCH('Merge operational &amp; suppliar'!A167,Suppliar[Facility ID],0)),"")</f>
        <v>114.57</v>
      </c>
      <c r="K167">
        <f>IFERROR(INDEX(Suppliar[Income Distribution (%)],MATCH('Merge operational &amp; suppliar'!A167,Suppliar[Facility ID],0)),"")</f>
        <v>9.83</v>
      </c>
    </row>
    <row r="168" spans="1:11" x14ac:dyDescent="0.3">
      <c r="A168" t="s">
        <v>56</v>
      </c>
      <c r="B168" t="s">
        <v>19</v>
      </c>
      <c r="C168" t="s">
        <v>23</v>
      </c>
      <c r="D168" t="s">
        <v>9</v>
      </c>
      <c r="E168" t="s">
        <v>15</v>
      </c>
      <c r="F168">
        <v>1288.3499999999999</v>
      </c>
      <c r="G168">
        <v>43747</v>
      </c>
      <c r="H168">
        <v>3453.48</v>
      </c>
      <c r="I168">
        <v>98.78</v>
      </c>
      <c r="J168">
        <f>IFERROR(INDEX(Suppliar[Estimated Carbon Footprint (tons CO₂e)],MATCH('Merge operational &amp; suppliar'!A168,Suppliar[Facility ID],0)),"")</f>
        <v>459.56</v>
      </c>
      <c r="K168">
        <f>IFERROR(INDEX(Suppliar[Income Distribution (%)],MATCH('Merge operational &amp; suppliar'!A168,Suppliar[Facility ID],0)),"")</f>
        <v>23.81</v>
      </c>
    </row>
    <row r="169" spans="1:11" x14ac:dyDescent="0.3">
      <c r="A169" t="s">
        <v>93</v>
      </c>
      <c r="B169" t="s">
        <v>30</v>
      </c>
      <c r="C169" t="s">
        <v>8</v>
      </c>
      <c r="D169" t="s">
        <v>14</v>
      </c>
      <c r="E169" t="s">
        <v>24</v>
      </c>
      <c r="F169">
        <v>2663.02</v>
      </c>
      <c r="G169">
        <v>26378</v>
      </c>
      <c r="H169">
        <v>2915.44</v>
      </c>
      <c r="I169">
        <v>29.84</v>
      </c>
      <c r="J169">
        <f>IFERROR(INDEX(Suppliar[Estimated Carbon Footprint (tons CO₂e)],MATCH('Merge operational &amp; suppliar'!A169,Suppliar[Facility ID],0)),"")</f>
        <v>311.36</v>
      </c>
      <c r="K169">
        <f>IFERROR(INDEX(Suppliar[Income Distribution (%)],MATCH('Merge operational &amp; suppliar'!A169,Suppliar[Facility ID],0)),"")</f>
        <v>26.09</v>
      </c>
    </row>
    <row r="170" spans="1:11" x14ac:dyDescent="0.3">
      <c r="A170" t="s">
        <v>136</v>
      </c>
      <c r="B170" t="s">
        <v>17</v>
      </c>
      <c r="C170" t="s">
        <v>8</v>
      </c>
      <c r="D170" t="s">
        <v>14</v>
      </c>
      <c r="E170" t="s">
        <v>10</v>
      </c>
      <c r="F170">
        <v>2844.55</v>
      </c>
      <c r="G170">
        <v>15128</v>
      </c>
      <c r="H170">
        <v>8847.09</v>
      </c>
      <c r="I170">
        <v>5.25</v>
      </c>
      <c r="J170">
        <f>IFERROR(INDEX(Suppliar[Estimated Carbon Footprint (tons CO₂e)],MATCH('Merge operational &amp; suppliar'!A170,Suppliar[Facility ID],0)),"")</f>
        <v>230.57</v>
      </c>
      <c r="K170">
        <f>IFERROR(INDEX(Suppliar[Income Distribution (%)],MATCH('Merge operational &amp; suppliar'!A170,Suppliar[Facility ID],0)),"")</f>
        <v>60.48</v>
      </c>
    </row>
    <row r="171" spans="1:11" x14ac:dyDescent="0.3">
      <c r="A171" t="s">
        <v>137</v>
      </c>
      <c r="B171" t="s">
        <v>17</v>
      </c>
      <c r="C171" t="s">
        <v>13</v>
      </c>
      <c r="D171" t="s">
        <v>28</v>
      </c>
      <c r="E171" t="s">
        <v>10</v>
      </c>
      <c r="F171">
        <v>1998.08</v>
      </c>
      <c r="G171">
        <v>19265</v>
      </c>
      <c r="H171">
        <v>776.6</v>
      </c>
      <c r="I171">
        <v>39.75</v>
      </c>
      <c r="J171">
        <f>IFERROR(INDEX(Suppliar[Estimated Carbon Footprint (tons CO₂e)],MATCH('Merge operational &amp; suppliar'!A171,Suppliar[Facility ID],0)),"")</f>
        <v>289.77</v>
      </c>
      <c r="K171">
        <f>IFERROR(INDEX(Suppliar[Income Distribution (%)],MATCH('Merge operational &amp; suppliar'!A171,Suppliar[Facility ID],0)),"")</f>
        <v>37.270000000000003</v>
      </c>
    </row>
    <row r="172" spans="1:11" x14ac:dyDescent="0.3">
      <c r="A172" t="s">
        <v>53</v>
      </c>
      <c r="B172" t="s">
        <v>7</v>
      </c>
      <c r="C172" t="s">
        <v>23</v>
      </c>
      <c r="D172" t="s">
        <v>14</v>
      </c>
      <c r="E172" t="s">
        <v>10</v>
      </c>
      <c r="F172">
        <v>241.97</v>
      </c>
      <c r="G172">
        <v>90632</v>
      </c>
      <c r="H172">
        <v>5292.17</v>
      </c>
      <c r="I172">
        <v>78.45</v>
      </c>
      <c r="J172">
        <f>IFERROR(INDEX(Suppliar[Estimated Carbon Footprint (tons CO₂e)],MATCH('Merge operational &amp; suppliar'!A172,Suppliar[Facility ID],0)),"")</f>
        <v>571.88</v>
      </c>
      <c r="K172">
        <f>IFERROR(INDEX(Suppliar[Income Distribution (%)],MATCH('Merge operational &amp; suppliar'!A172,Suppliar[Facility ID],0)),"")</f>
        <v>20.93</v>
      </c>
    </row>
    <row r="173" spans="1:11" x14ac:dyDescent="0.3">
      <c r="A173" t="s">
        <v>138</v>
      </c>
      <c r="B173" t="s">
        <v>12</v>
      </c>
      <c r="C173" t="s">
        <v>13</v>
      </c>
      <c r="D173" t="s">
        <v>9</v>
      </c>
      <c r="E173" t="s">
        <v>15</v>
      </c>
      <c r="F173">
        <v>2907.89</v>
      </c>
      <c r="G173">
        <v>57353</v>
      </c>
      <c r="H173">
        <v>2274.71</v>
      </c>
      <c r="I173">
        <v>65.34</v>
      </c>
      <c r="J173">
        <f>IFERROR(INDEX(Suppliar[Estimated Carbon Footprint (tons CO₂e)],MATCH('Merge operational &amp; suppliar'!A173,Suppliar[Facility ID],0)),"")</f>
        <v>931.73</v>
      </c>
      <c r="K173">
        <f>IFERROR(INDEX(Suppliar[Income Distribution (%)],MATCH('Merge operational &amp; suppliar'!A173,Suppliar[Facility ID],0)),"")</f>
        <v>46.27</v>
      </c>
    </row>
    <row r="174" spans="1:11" x14ac:dyDescent="0.3">
      <c r="A174" t="s">
        <v>64</v>
      </c>
      <c r="B174" t="s">
        <v>30</v>
      </c>
      <c r="C174" t="s">
        <v>23</v>
      </c>
      <c r="D174" t="s">
        <v>9</v>
      </c>
      <c r="E174" t="s">
        <v>15</v>
      </c>
      <c r="F174">
        <v>4728.95</v>
      </c>
      <c r="G174">
        <v>52836</v>
      </c>
      <c r="H174">
        <v>9330.2999999999993</v>
      </c>
      <c r="I174">
        <v>87.27</v>
      </c>
      <c r="J174" t="str">
        <f>IFERROR(INDEX(Suppliar[Estimated Carbon Footprint (tons CO₂e)],MATCH('Merge operational &amp; suppliar'!A174,Suppliar[Facility ID],0)),"")</f>
        <v/>
      </c>
      <c r="K174" t="str">
        <f>IFERROR(INDEX(Suppliar[Income Distribution (%)],MATCH('Merge operational &amp; suppliar'!A174,Suppliar[Facility ID],0)),"")</f>
        <v/>
      </c>
    </row>
    <row r="175" spans="1:11" x14ac:dyDescent="0.3">
      <c r="A175" t="s">
        <v>50</v>
      </c>
      <c r="B175" t="s">
        <v>19</v>
      </c>
      <c r="C175" t="s">
        <v>13</v>
      </c>
      <c r="D175" t="s">
        <v>14</v>
      </c>
      <c r="E175" t="s">
        <v>24</v>
      </c>
      <c r="F175">
        <v>4265.8500000000004</v>
      </c>
      <c r="G175">
        <v>40577</v>
      </c>
      <c r="H175">
        <v>4280.82</v>
      </c>
      <c r="I175">
        <v>79.88</v>
      </c>
      <c r="J175">
        <f>IFERROR(INDEX(Suppliar[Estimated Carbon Footprint (tons CO₂e)],MATCH('Merge operational &amp; suppliar'!A175,Suppliar[Facility ID],0)),"")</f>
        <v>932.3</v>
      </c>
      <c r="K175">
        <f>IFERROR(INDEX(Suppliar[Income Distribution (%)],MATCH('Merge operational &amp; suppliar'!A175,Suppliar[Facility ID],0)),"")</f>
        <v>10.19</v>
      </c>
    </row>
    <row r="176" spans="1:11" x14ac:dyDescent="0.3">
      <c r="A176" t="s">
        <v>139</v>
      </c>
      <c r="B176" t="s">
        <v>7</v>
      </c>
      <c r="C176" t="s">
        <v>23</v>
      </c>
      <c r="D176" t="s">
        <v>9</v>
      </c>
      <c r="E176" t="s">
        <v>24</v>
      </c>
      <c r="F176">
        <v>2361.5500000000002</v>
      </c>
      <c r="G176">
        <v>10067</v>
      </c>
      <c r="H176">
        <v>1953.33</v>
      </c>
      <c r="I176">
        <v>25.15</v>
      </c>
      <c r="J176">
        <f>IFERROR(INDEX(Suppliar[Estimated Carbon Footprint (tons CO₂e)],MATCH('Merge operational &amp; suppliar'!A176,Suppliar[Facility ID],0)),"")</f>
        <v>785.8</v>
      </c>
      <c r="K176">
        <f>IFERROR(INDEX(Suppliar[Income Distribution (%)],MATCH('Merge operational &amp; suppliar'!A176,Suppliar[Facility ID],0)),"")</f>
        <v>19.649999999999999</v>
      </c>
    </row>
    <row r="177" spans="1:11" x14ac:dyDescent="0.3">
      <c r="A177" t="s">
        <v>58</v>
      </c>
      <c r="B177" t="s">
        <v>17</v>
      </c>
      <c r="C177" t="s">
        <v>23</v>
      </c>
      <c r="D177" t="s">
        <v>14</v>
      </c>
      <c r="E177" t="s">
        <v>10</v>
      </c>
      <c r="F177">
        <v>235.74</v>
      </c>
      <c r="G177">
        <v>32246</v>
      </c>
      <c r="H177">
        <v>7903.93</v>
      </c>
      <c r="I177">
        <v>42.12</v>
      </c>
      <c r="J177">
        <f>IFERROR(INDEX(Suppliar[Estimated Carbon Footprint (tons CO₂e)],MATCH('Merge operational &amp; suppliar'!A177,Suppliar[Facility ID],0)),"")</f>
        <v>459.56</v>
      </c>
      <c r="K177">
        <f>IFERROR(INDEX(Suppliar[Income Distribution (%)],MATCH('Merge operational &amp; suppliar'!A177,Suppliar[Facility ID],0)),"")</f>
        <v>28.62</v>
      </c>
    </row>
    <row r="178" spans="1:11" x14ac:dyDescent="0.3">
      <c r="A178" t="s">
        <v>88</v>
      </c>
      <c r="B178" t="s">
        <v>7</v>
      </c>
      <c r="C178" t="s">
        <v>23</v>
      </c>
      <c r="D178" t="s">
        <v>28</v>
      </c>
      <c r="E178" t="s">
        <v>10</v>
      </c>
      <c r="F178">
        <v>2737</v>
      </c>
      <c r="G178">
        <v>44825</v>
      </c>
      <c r="H178">
        <v>6023.03</v>
      </c>
      <c r="I178">
        <v>27.2</v>
      </c>
      <c r="J178">
        <f>IFERROR(INDEX(Suppliar[Estimated Carbon Footprint (tons CO₂e)],MATCH('Merge operational &amp; suppliar'!A178,Suppliar[Facility ID],0)),"")</f>
        <v>436.04</v>
      </c>
      <c r="K178">
        <f>IFERROR(INDEX(Suppliar[Income Distribution (%)],MATCH('Merge operational &amp; suppliar'!A178,Suppliar[Facility ID],0)),"")</f>
        <v>19.36</v>
      </c>
    </row>
    <row r="179" spans="1:11" x14ac:dyDescent="0.3">
      <c r="A179" t="s">
        <v>140</v>
      </c>
      <c r="B179" t="s">
        <v>17</v>
      </c>
      <c r="C179" t="s">
        <v>8</v>
      </c>
      <c r="D179" t="s">
        <v>28</v>
      </c>
      <c r="E179" t="s">
        <v>15</v>
      </c>
      <c r="F179">
        <v>1539.15</v>
      </c>
      <c r="G179">
        <v>88308</v>
      </c>
      <c r="H179">
        <v>7802.07</v>
      </c>
      <c r="I179">
        <v>36.130000000000003</v>
      </c>
      <c r="J179">
        <f>IFERROR(INDEX(Suppliar[Estimated Carbon Footprint (tons CO₂e)],MATCH('Merge operational &amp; suppliar'!A179,Suppliar[Facility ID],0)),"")</f>
        <v>557.72</v>
      </c>
      <c r="K179">
        <f>IFERROR(INDEX(Suppliar[Income Distribution (%)],MATCH('Merge operational &amp; suppliar'!A179,Suppliar[Facility ID],0)),"")</f>
        <v>62.75</v>
      </c>
    </row>
    <row r="180" spans="1:11" x14ac:dyDescent="0.3">
      <c r="A180" t="s">
        <v>82</v>
      </c>
      <c r="B180" t="s">
        <v>17</v>
      </c>
      <c r="C180" t="s">
        <v>8</v>
      </c>
      <c r="D180" t="s">
        <v>28</v>
      </c>
      <c r="E180" t="s">
        <v>10</v>
      </c>
      <c r="F180">
        <v>502.47</v>
      </c>
      <c r="G180">
        <v>93409</v>
      </c>
      <c r="H180">
        <v>2375.83</v>
      </c>
      <c r="I180">
        <v>5.83</v>
      </c>
      <c r="J180" t="str">
        <f>IFERROR(INDEX(Suppliar[Estimated Carbon Footprint (tons CO₂e)],MATCH('Merge operational &amp; suppliar'!A180,Suppliar[Facility ID],0)),"")</f>
        <v/>
      </c>
      <c r="K180" t="str">
        <f>IFERROR(INDEX(Suppliar[Income Distribution (%)],MATCH('Merge operational &amp; suppliar'!A180,Suppliar[Facility ID],0)),"")</f>
        <v/>
      </c>
    </row>
    <row r="181" spans="1:11" x14ac:dyDescent="0.3">
      <c r="A181" t="s">
        <v>120</v>
      </c>
      <c r="B181" t="s">
        <v>30</v>
      </c>
      <c r="C181" t="s">
        <v>8</v>
      </c>
      <c r="D181" t="s">
        <v>14</v>
      </c>
      <c r="E181" t="s">
        <v>15</v>
      </c>
      <c r="F181">
        <v>2710.93</v>
      </c>
      <c r="G181">
        <v>79495</v>
      </c>
      <c r="H181">
        <v>7157.48</v>
      </c>
      <c r="I181">
        <v>26.84</v>
      </c>
      <c r="J181">
        <f>IFERROR(INDEX(Suppliar[Estimated Carbon Footprint (tons CO₂e)],MATCH('Merge operational &amp; suppliar'!A181,Suppliar[Facility ID],0)),"")</f>
        <v>114.57</v>
      </c>
      <c r="K181">
        <f>IFERROR(INDEX(Suppliar[Income Distribution (%)],MATCH('Merge operational &amp; suppliar'!A181,Suppliar[Facility ID],0)),"")</f>
        <v>9.83</v>
      </c>
    </row>
    <row r="182" spans="1:11" x14ac:dyDescent="0.3">
      <c r="A182" t="s">
        <v>141</v>
      </c>
      <c r="B182" t="s">
        <v>7</v>
      </c>
      <c r="C182" t="s">
        <v>34</v>
      </c>
      <c r="D182" t="s">
        <v>9</v>
      </c>
      <c r="E182" t="s">
        <v>10</v>
      </c>
      <c r="F182">
        <v>2286.2399999999998</v>
      </c>
      <c r="G182">
        <v>45644</v>
      </c>
      <c r="H182">
        <v>7724.73</v>
      </c>
      <c r="I182">
        <v>31</v>
      </c>
      <c r="J182">
        <f>IFERROR(INDEX(Suppliar[Estimated Carbon Footprint (tons CO₂e)],MATCH('Merge operational &amp; suppliar'!A182,Suppliar[Facility ID],0)),"")</f>
        <v>685.27</v>
      </c>
      <c r="K182">
        <f>IFERROR(INDEX(Suppliar[Income Distribution (%)],MATCH('Merge operational &amp; suppliar'!A182,Suppliar[Facility ID],0)),"")</f>
        <v>33.94</v>
      </c>
    </row>
    <row r="183" spans="1:11" x14ac:dyDescent="0.3">
      <c r="A183" t="s">
        <v>21</v>
      </c>
      <c r="B183" t="s">
        <v>19</v>
      </c>
      <c r="C183" t="s">
        <v>23</v>
      </c>
      <c r="D183" t="s">
        <v>9</v>
      </c>
      <c r="E183" t="s">
        <v>10</v>
      </c>
      <c r="F183">
        <v>3819.98</v>
      </c>
      <c r="G183">
        <v>61157</v>
      </c>
      <c r="H183">
        <v>7331.54</v>
      </c>
      <c r="I183">
        <v>55.52</v>
      </c>
      <c r="J183">
        <f>IFERROR(INDEX(Suppliar[Estimated Carbon Footprint (tons CO₂e)],MATCH('Merge operational &amp; suppliar'!A183,Suppliar[Facility ID],0)),"")</f>
        <v>783.77</v>
      </c>
      <c r="K183">
        <f>IFERROR(INDEX(Suppliar[Income Distribution (%)],MATCH('Merge operational &amp; suppliar'!A183,Suppliar[Facility ID],0)),"")</f>
        <v>31.59</v>
      </c>
    </row>
    <row r="184" spans="1:11" x14ac:dyDescent="0.3">
      <c r="A184" t="s">
        <v>62</v>
      </c>
      <c r="B184" t="s">
        <v>30</v>
      </c>
      <c r="C184" t="s">
        <v>8</v>
      </c>
      <c r="D184" t="s">
        <v>14</v>
      </c>
      <c r="E184" t="s">
        <v>15</v>
      </c>
      <c r="F184">
        <v>2138.08</v>
      </c>
      <c r="G184">
        <v>22309</v>
      </c>
      <c r="H184">
        <v>3656.29</v>
      </c>
      <c r="I184">
        <v>75.25</v>
      </c>
      <c r="J184">
        <f>IFERROR(INDEX(Suppliar[Estimated Carbon Footprint (tons CO₂e)],MATCH('Merge operational &amp; suppliar'!A184,Suppliar[Facility ID],0)),"")</f>
        <v>795.74</v>
      </c>
      <c r="K184">
        <f>IFERROR(INDEX(Suppliar[Income Distribution (%)],MATCH('Merge operational &amp; suppliar'!A184,Suppliar[Facility ID],0)),"")</f>
        <v>26.99</v>
      </c>
    </row>
    <row r="185" spans="1:11" x14ac:dyDescent="0.3">
      <c r="A185" t="s">
        <v>142</v>
      </c>
      <c r="B185" t="s">
        <v>17</v>
      </c>
      <c r="C185" t="s">
        <v>8</v>
      </c>
      <c r="D185" t="s">
        <v>28</v>
      </c>
      <c r="E185" t="s">
        <v>24</v>
      </c>
      <c r="F185">
        <v>747.74</v>
      </c>
      <c r="G185">
        <v>75736</v>
      </c>
      <c r="H185">
        <v>6287.07</v>
      </c>
      <c r="I185">
        <v>63.11</v>
      </c>
      <c r="J185">
        <f>IFERROR(INDEX(Suppliar[Estimated Carbon Footprint (tons CO₂e)],MATCH('Merge operational &amp; suppliar'!A185,Suppliar[Facility ID],0)),"")</f>
        <v>851.48</v>
      </c>
      <c r="K185">
        <f>IFERROR(INDEX(Suppliar[Income Distribution (%)],MATCH('Merge operational &amp; suppliar'!A185,Suppliar[Facility ID],0)),"")</f>
        <v>25.39</v>
      </c>
    </row>
    <row r="186" spans="1:11" x14ac:dyDescent="0.3">
      <c r="A186" t="s">
        <v>143</v>
      </c>
      <c r="B186" t="s">
        <v>17</v>
      </c>
      <c r="C186" t="s">
        <v>34</v>
      </c>
      <c r="D186" t="s">
        <v>28</v>
      </c>
      <c r="E186" t="s">
        <v>24</v>
      </c>
      <c r="F186">
        <v>1025.55</v>
      </c>
      <c r="G186">
        <v>94704</v>
      </c>
      <c r="H186">
        <v>6632.95</v>
      </c>
      <c r="I186">
        <v>14.76</v>
      </c>
      <c r="J186">
        <f>IFERROR(INDEX(Suppliar[Estimated Carbon Footprint (tons CO₂e)],MATCH('Merge operational &amp; suppliar'!A186,Suppliar[Facility ID],0)),"")</f>
        <v>459.56</v>
      </c>
      <c r="K186">
        <f>IFERROR(INDEX(Suppliar[Income Distribution (%)],MATCH('Merge operational &amp; suppliar'!A186,Suppliar[Facility ID],0)),"")</f>
        <v>7.54</v>
      </c>
    </row>
    <row r="187" spans="1:11" x14ac:dyDescent="0.3">
      <c r="A187" t="s">
        <v>144</v>
      </c>
      <c r="B187" t="s">
        <v>30</v>
      </c>
      <c r="C187" t="s">
        <v>8</v>
      </c>
      <c r="D187" t="s">
        <v>9</v>
      </c>
      <c r="E187" t="s">
        <v>15</v>
      </c>
      <c r="F187">
        <v>3382</v>
      </c>
      <c r="G187">
        <v>11426</v>
      </c>
      <c r="H187">
        <v>4439.5600000000004</v>
      </c>
      <c r="I187">
        <v>52.71</v>
      </c>
      <c r="J187" t="str">
        <f>IFERROR(INDEX(Suppliar[Estimated Carbon Footprint (tons CO₂e)],MATCH('Merge operational &amp; suppliar'!A187,Suppliar[Facility ID],0)),"")</f>
        <v/>
      </c>
      <c r="K187" t="str">
        <f>IFERROR(INDEX(Suppliar[Income Distribution (%)],MATCH('Merge operational &amp; suppliar'!A187,Suppliar[Facility ID],0)),"")</f>
        <v/>
      </c>
    </row>
    <row r="188" spans="1:11" x14ac:dyDescent="0.3">
      <c r="A188" t="s">
        <v>145</v>
      </c>
      <c r="B188" t="s">
        <v>7</v>
      </c>
      <c r="C188" t="s">
        <v>23</v>
      </c>
      <c r="D188" t="s">
        <v>14</v>
      </c>
      <c r="E188" t="s">
        <v>24</v>
      </c>
      <c r="F188">
        <v>1772.18</v>
      </c>
      <c r="G188">
        <v>60710</v>
      </c>
      <c r="H188">
        <v>2726.26</v>
      </c>
      <c r="I188">
        <v>83.02</v>
      </c>
      <c r="J188">
        <f>IFERROR(INDEX(Suppliar[Estimated Carbon Footprint (tons CO₂e)],MATCH('Merge operational &amp; suppliar'!A188,Suppliar[Facility ID],0)),"")</f>
        <v>714.81</v>
      </c>
      <c r="K188">
        <f>IFERROR(INDEX(Suppliar[Income Distribution (%)],MATCH('Merge operational &amp; suppliar'!A188,Suppliar[Facility ID],0)),"")</f>
        <v>58.54</v>
      </c>
    </row>
    <row r="189" spans="1:11" x14ac:dyDescent="0.3">
      <c r="A189" t="s">
        <v>81</v>
      </c>
      <c r="B189" t="s">
        <v>12</v>
      </c>
      <c r="C189" t="s">
        <v>13</v>
      </c>
      <c r="D189" t="s">
        <v>28</v>
      </c>
      <c r="E189" t="s">
        <v>24</v>
      </c>
      <c r="F189">
        <v>2150.66</v>
      </c>
      <c r="G189">
        <v>93661</v>
      </c>
      <c r="H189">
        <v>7324.58</v>
      </c>
      <c r="I189">
        <v>23.55</v>
      </c>
      <c r="J189">
        <f>IFERROR(INDEX(Suppliar[Estimated Carbon Footprint (tons CO₂e)],MATCH('Merge operational &amp; suppliar'!A189,Suppliar[Facility ID],0)),"")</f>
        <v>390.06</v>
      </c>
      <c r="K189">
        <f>IFERROR(INDEX(Suppliar[Income Distribution (%)],MATCH('Merge operational &amp; suppliar'!A189,Suppliar[Facility ID],0)),"")</f>
        <v>23.14</v>
      </c>
    </row>
    <row r="190" spans="1:11" x14ac:dyDescent="0.3">
      <c r="A190" t="s">
        <v>129</v>
      </c>
      <c r="B190" t="s">
        <v>17</v>
      </c>
      <c r="C190" t="s">
        <v>34</v>
      </c>
      <c r="D190" t="s">
        <v>14</v>
      </c>
      <c r="E190" t="s">
        <v>15</v>
      </c>
      <c r="F190">
        <v>3214.91</v>
      </c>
      <c r="G190">
        <v>95292</v>
      </c>
      <c r="H190">
        <v>697.47</v>
      </c>
      <c r="I190">
        <v>88.35</v>
      </c>
      <c r="J190">
        <f>IFERROR(INDEX(Suppliar[Estimated Carbon Footprint (tons CO₂e)],MATCH('Merge operational &amp; suppliar'!A190,Suppliar[Facility ID],0)),"")</f>
        <v>114.57</v>
      </c>
      <c r="K190">
        <f>IFERROR(INDEX(Suppliar[Income Distribution (%)],MATCH('Merge operational &amp; suppliar'!A190,Suppliar[Facility ID],0)),"")</f>
        <v>36.04</v>
      </c>
    </row>
    <row r="191" spans="1:11" x14ac:dyDescent="0.3">
      <c r="A191" t="s">
        <v>54</v>
      </c>
      <c r="B191" t="s">
        <v>12</v>
      </c>
      <c r="C191" t="s">
        <v>34</v>
      </c>
      <c r="D191" t="s">
        <v>14</v>
      </c>
      <c r="E191" t="s">
        <v>24</v>
      </c>
      <c r="F191">
        <v>1475.38</v>
      </c>
      <c r="G191">
        <v>58111</v>
      </c>
      <c r="H191">
        <v>4610.8999999999996</v>
      </c>
      <c r="I191">
        <v>21.53</v>
      </c>
      <c r="J191">
        <f>IFERROR(INDEX(Suppliar[Estimated Carbon Footprint (tons CO₂e)],MATCH('Merge operational &amp; suppliar'!A191,Suppliar[Facility ID],0)),"")</f>
        <v>268.16000000000003</v>
      </c>
      <c r="K191">
        <f>IFERROR(INDEX(Suppliar[Income Distribution (%)],MATCH('Merge operational &amp; suppliar'!A191,Suppliar[Facility ID],0)),"")</f>
        <v>13.78</v>
      </c>
    </row>
    <row r="192" spans="1:11" x14ac:dyDescent="0.3">
      <c r="A192" t="s">
        <v>26</v>
      </c>
      <c r="B192" t="s">
        <v>17</v>
      </c>
      <c r="C192" t="s">
        <v>8</v>
      </c>
      <c r="D192" t="s">
        <v>28</v>
      </c>
      <c r="E192" t="s">
        <v>24</v>
      </c>
      <c r="F192">
        <v>2631.42</v>
      </c>
      <c r="G192">
        <v>17311</v>
      </c>
      <c r="H192">
        <v>2257.38</v>
      </c>
      <c r="I192">
        <v>91.07</v>
      </c>
      <c r="J192">
        <f>IFERROR(INDEX(Suppliar[Estimated Carbon Footprint (tons CO₂e)],MATCH('Merge operational &amp; suppliar'!A192,Suppliar[Facility ID],0)),"")</f>
        <v>341.24</v>
      </c>
      <c r="K192">
        <f>IFERROR(INDEX(Suppliar[Income Distribution (%)],MATCH('Merge operational &amp; suppliar'!A192,Suppliar[Facility ID],0)),"")</f>
        <v>80.69</v>
      </c>
    </row>
    <row r="193" spans="1:11" x14ac:dyDescent="0.3">
      <c r="A193" t="s">
        <v>78</v>
      </c>
      <c r="B193" t="s">
        <v>7</v>
      </c>
      <c r="C193" t="s">
        <v>13</v>
      </c>
      <c r="D193" t="s">
        <v>14</v>
      </c>
      <c r="E193" t="s">
        <v>15</v>
      </c>
      <c r="F193">
        <v>2973.99</v>
      </c>
      <c r="G193">
        <v>86557</v>
      </c>
      <c r="H193">
        <v>8631.2800000000007</v>
      </c>
      <c r="I193">
        <v>69.53</v>
      </c>
      <c r="J193" t="str">
        <f>IFERROR(INDEX(Suppliar[Estimated Carbon Footprint (tons CO₂e)],MATCH('Merge operational &amp; suppliar'!A193,Suppliar[Facility ID],0)),"")</f>
        <v/>
      </c>
      <c r="K193" t="str">
        <f>IFERROR(INDEX(Suppliar[Income Distribution (%)],MATCH('Merge operational &amp; suppliar'!A193,Suppliar[Facility ID],0)),"")</f>
        <v/>
      </c>
    </row>
    <row r="194" spans="1:11" x14ac:dyDescent="0.3">
      <c r="A194" t="s">
        <v>44</v>
      </c>
      <c r="B194" t="s">
        <v>19</v>
      </c>
      <c r="C194" t="s">
        <v>8</v>
      </c>
      <c r="D194" t="s">
        <v>14</v>
      </c>
      <c r="E194" t="s">
        <v>24</v>
      </c>
      <c r="F194">
        <v>587.89</v>
      </c>
      <c r="G194">
        <v>16256</v>
      </c>
      <c r="H194">
        <v>2127.1799999999998</v>
      </c>
      <c r="I194">
        <v>38.94</v>
      </c>
      <c r="J194">
        <f>IFERROR(INDEX(Suppliar[Estimated Carbon Footprint (tons CO₂e)],MATCH('Merge operational &amp; suppliar'!A194,Suppliar[Facility ID],0)),"")</f>
        <v>796.34</v>
      </c>
      <c r="K194">
        <f>IFERROR(INDEX(Suppliar[Income Distribution (%)],MATCH('Merge operational &amp; suppliar'!A194,Suppliar[Facility ID],0)),"")</f>
        <v>66.41</v>
      </c>
    </row>
    <row r="195" spans="1:11" x14ac:dyDescent="0.3">
      <c r="A195" t="s">
        <v>146</v>
      </c>
      <c r="B195" t="s">
        <v>7</v>
      </c>
      <c r="C195" t="s">
        <v>34</v>
      </c>
      <c r="D195" t="s">
        <v>14</v>
      </c>
      <c r="E195" t="s">
        <v>24</v>
      </c>
      <c r="F195">
        <v>599.52</v>
      </c>
      <c r="G195">
        <v>14170</v>
      </c>
      <c r="H195">
        <v>5455.23</v>
      </c>
      <c r="I195">
        <v>25.46</v>
      </c>
      <c r="J195">
        <f>IFERROR(INDEX(Suppliar[Estimated Carbon Footprint (tons CO₂e)],MATCH('Merge operational &amp; suppliar'!A195,Suppliar[Facility ID],0)),"")</f>
        <v>790.74</v>
      </c>
      <c r="K195">
        <f>IFERROR(INDEX(Suppliar[Income Distribution (%)],MATCH('Merge operational &amp; suppliar'!A195,Suppliar[Facility ID],0)),"")</f>
        <v>28.78</v>
      </c>
    </row>
    <row r="196" spans="1:11" x14ac:dyDescent="0.3">
      <c r="A196" t="s">
        <v>147</v>
      </c>
      <c r="B196" t="s">
        <v>17</v>
      </c>
      <c r="C196" t="s">
        <v>8</v>
      </c>
      <c r="D196" t="s">
        <v>28</v>
      </c>
      <c r="E196" t="s">
        <v>10</v>
      </c>
      <c r="F196">
        <v>1993.42</v>
      </c>
      <c r="G196">
        <v>24095</v>
      </c>
      <c r="H196">
        <v>3167.52</v>
      </c>
      <c r="I196">
        <v>31.02</v>
      </c>
      <c r="J196">
        <f>IFERROR(INDEX(Suppliar[Estimated Carbon Footprint (tons CO₂e)],MATCH('Merge operational &amp; suppliar'!A196,Suppliar[Facility ID],0)),"")</f>
        <v>608.07000000000005</v>
      </c>
      <c r="K196">
        <f>IFERROR(INDEX(Suppliar[Income Distribution (%)],MATCH('Merge operational &amp; suppliar'!A196,Suppliar[Facility ID],0)),"")</f>
        <v>13.98</v>
      </c>
    </row>
    <row r="197" spans="1:11" x14ac:dyDescent="0.3">
      <c r="A197" t="s">
        <v>148</v>
      </c>
      <c r="B197" t="s">
        <v>17</v>
      </c>
      <c r="C197" t="s">
        <v>13</v>
      </c>
      <c r="D197" t="s">
        <v>14</v>
      </c>
      <c r="E197" t="s">
        <v>10</v>
      </c>
      <c r="F197">
        <v>1395.49</v>
      </c>
      <c r="G197">
        <v>44994</v>
      </c>
      <c r="H197">
        <v>7305.59</v>
      </c>
      <c r="I197">
        <v>91.53</v>
      </c>
      <c r="J197">
        <f>IFERROR(INDEX(Suppliar[Estimated Carbon Footprint (tons CO₂e)],MATCH('Merge operational &amp; suppliar'!A197,Suppliar[Facility ID],0)),"")</f>
        <v>790.74</v>
      </c>
      <c r="K197">
        <f>IFERROR(INDEX(Suppliar[Income Distribution (%)],MATCH('Merge operational &amp; suppliar'!A197,Suppliar[Facility ID],0)),"")</f>
        <v>27.44</v>
      </c>
    </row>
    <row r="198" spans="1:11" x14ac:dyDescent="0.3">
      <c r="A198" t="s">
        <v>59</v>
      </c>
      <c r="B198" t="s">
        <v>17</v>
      </c>
      <c r="C198" t="s">
        <v>13</v>
      </c>
      <c r="D198" t="s">
        <v>9</v>
      </c>
      <c r="E198" t="s">
        <v>15</v>
      </c>
      <c r="F198">
        <v>2509.14</v>
      </c>
      <c r="G198">
        <v>15553</v>
      </c>
      <c r="H198">
        <v>3909.51</v>
      </c>
      <c r="I198">
        <v>46.44</v>
      </c>
      <c r="J198" t="str">
        <f>IFERROR(INDEX(Suppliar[Estimated Carbon Footprint (tons CO₂e)],MATCH('Merge operational &amp; suppliar'!A198,Suppliar[Facility ID],0)),"")</f>
        <v/>
      </c>
      <c r="K198" t="str">
        <f>IFERROR(INDEX(Suppliar[Income Distribution (%)],MATCH('Merge operational &amp; suppliar'!A198,Suppliar[Facility ID],0)),"")</f>
        <v/>
      </c>
    </row>
    <row r="199" spans="1:11" x14ac:dyDescent="0.3">
      <c r="A199" t="s">
        <v>101</v>
      </c>
      <c r="B199" t="s">
        <v>19</v>
      </c>
      <c r="C199" t="s">
        <v>23</v>
      </c>
      <c r="D199" t="s">
        <v>9</v>
      </c>
      <c r="E199" t="s">
        <v>24</v>
      </c>
      <c r="F199">
        <v>2619.13</v>
      </c>
      <c r="G199">
        <v>39050</v>
      </c>
      <c r="H199">
        <v>5885.73</v>
      </c>
      <c r="I199">
        <v>93.04</v>
      </c>
      <c r="J199">
        <f>IFERROR(INDEX(Suppliar[Estimated Carbon Footprint (tons CO₂e)],MATCH('Merge operational &amp; suppliar'!A199,Suppliar[Facility ID],0)),"")</f>
        <v>318.55</v>
      </c>
      <c r="K199">
        <f>IFERROR(INDEX(Suppliar[Income Distribution (%)],MATCH('Merge operational &amp; suppliar'!A199,Suppliar[Facility ID],0)),"")</f>
        <v>39.81</v>
      </c>
    </row>
    <row r="200" spans="1:11" x14ac:dyDescent="0.3">
      <c r="A200" t="s">
        <v>61</v>
      </c>
      <c r="B200" t="s">
        <v>30</v>
      </c>
      <c r="C200" t="s">
        <v>13</v>
      </c>
      <c r="D200" t="s">
        <v>14</v>
      </c>
      <c r="E200" t="s">
        <v>10</v>
      </c>
      <c r="F200">
        <v>1192.6600000000001</v>
      </c>
      <c r="G200">
        <v>95718</v>
      </c>
      <c r="H200">
        <v>2443.12</v>
      </c>
      <c r="I200">
        <v>35.49</v>
      </c>
      <c r="J200">
        <f>IFERROR(INDEX(Suppliar[Estimated Carbon Footprint (tons CO₂e)],MATCH('Merge operational &amp; suppliar'!A200,Suppliar[Facility ID],0)),"")</f>
        <v>818.45</v>
      </c>
      <c r="K200">
        <f>IFERROR(INDEX(Suppliar[Income Distribution (%)],MATCH('Merge operational &amp; suppliar'!A200,Suppliar[Facility ID],0)),"")</f>
        <v>9.9499999999999993</v>
      </c>
    </row>
    <row r="201" spans="1:11" x14ac:dyDescent="0.3">
      <c r="A201" t="s">
        <v>101</v>
      </c>
      <c r="B201" t="s">
        <v>19</v>
      </c>
      <c r="C201" t="s">
        <v>34</v>
      </c>
      <c r="D201" t="s">
        <v>9</v>
      </c>
      <c r="E201" t="s">
        <v>24</v>
      </c>
      <c r="F201">
        <v>639.36</v>
      </c>
      <c r="G201">
        <v>39050</v>
      </c>
      <c r="H201">
        <v>5885.73</v>
      </c>
      <c r="I201">
        <v>93.04</v>
      </c>
      <c r="J201">
        <f>IFERROR(INDEX(Suppliar[Estimated Carbon Footprint (tons CO₂e)],MATCH('Merge operational &amp; suppliar'!A201,Suppliar[Facility ID],0)),"")</f>
        <v>318.55</v>
      </c>
      <c r="K201">
        <f>IFERROR(INDEX(Suppliar[Income Distribution (%)],MATCH('Merge operational &amp; suppliar'!A201,Suppliar[Facility ID],0)),"")</f>
        <v>39.81</v>
      </c>
    </row>
    <row r="202" spans="1:11" x14ac:dyDescent="0.3">
      <c r="A202" t="s">
        <v>47</v>
      </c>
      <c r="B202" t="s">
        <v>30</v>
      </c>
      <c r="C202" t="s">
        <v>13</v>
      </c>
      <c r="D202" t="s">
        <v>28</v>
      </c>
      <c r="E202" t="s">
        <v>24</v>
      </c>
      <c r="F202">
        <v>3446.07</v>
      </c>
      <c r="G202">
        <v>53661</v>
      </c>
      <c r="H202">
        <v>6965.81</v>
      </c>
      <c r="I202">
        <v>69.400000000000006</v>
      </c>
      <c r="J202">
        <f>IFERROR(INDEX(Suppliar[Estimated Carbon Footprint (tons CO₂e)],MATCH('Merge operational &amp; suppliar'!A202,Suppliar[Facility ID],0)),"")</f>
        <v>610.79999999999995</v>
      </c>
      <c r="K202">
        <f>IFERROR(INDEX(Suppliar[Income Distribution (%)],MATCH('Merge operational &amp; suppliar'!A202,Suppliar[Facility ID],0)),"")</f>
        <v>29.15</v>
      </c>
    </row>
    <row r="203" spans="1:11" x14ac:dyDescent="0.3">
      <c r="A203" t="s">
        <v>149</v>
      </c>
      <c r="B203" t="s">
        <v>17</v>
      </c>
      <c r="C203" t="s">
        <v>13</v>
      </c>
      <c r="D203" t="s">
        <v>9</v>
      </c>
      <c r="E203" t="s">
        <v>10</v>
      </c>
      <c r="F203">
        <v>2973.2</v>
      </c>
      <c r="G203">
        <v>49885</v>
      </c>
      <c r="H203">
        <v>6845.46</v>
      </c>
      <c r="I203">
        <v>58.4</v>
      </c>
      <c r="J203">
        <f>IFERROR(INDEX(Suppliar[Estimated Carbon Footprint (tons CO₂e)],MATCH('Merge operational &amp; suppliar'!A203,Suppliar[Facility ID],0)),"")</f>
        <v>341.24</v>
      </c>
      <c r="K203">
        <f>IFERROR(INDEX(Suppliar[Income Distribution (%)],MATCH('Merge operational &amp; suppliar'!A203,Suppliar[Facility ID],0)),"")</f>
        <v>19.309999999999999</v>
      </c>
    </row>
    <row r="204" spans="1:11" x14ac:dyDescent="0.3">
      <c r="A204" t="s">
        <v>41</v>
      </c>
      <c r="B204" t="s">
        <v>30</v>
      </c>
      <c r="C204" t="s">
        <v>13</v>
      </c>
      <c r="D204" t="s">
        <v>28</v>
      </c>
      <c r="E204" t="s">
        <v>15</v>
      </c>
      <c r="F204">
        <v>4562.24</v>
      </c>
      <c r="G204">
        <v>61743</v>
      </c>
      <c r="H204">
        <v>7426.75</v>
      </c>
      <c r="I204">
        <v>26.39</v>
      </c>
      <c r="J204">
        <f>IFERROR(INDEX(Suppliar[Estimated Carbon Footprint (tons CO₂e)],MATCH('Merge operational &amp; suppliar'!A204,Suppliar[Facility ID],0)),"")</f>
        <v>527.37</v>
      </c>
      <c r="K204">
        <f>IFERROR(INDEX(Suppliar[Income Distribution (%)],MATCH('Merge operational &amp; suppliar'!A204,Suppliar[Facility ID],0)),"")</f>
        <v>39.28</v>
      </c>
    </row>
    <row r="205" spans="1:11" x14ac:dyDescent="0.3">
      <c r="A205" t="s">
        <v>74</v>
      </c>
      <c r="B205" t="s">
        <v>19</v>
      </c>
      <c r="C205" t="s">
        <v>13</v>
      </c>
      <c r="D205" t="s">
        <v>28</v>
      </c>
      <c r="E205" t="s">
        <v>15</v>
      </c>
      <c r="F205">
        <v>3500.64</v>
      </c>
      <c r="G205">
        <v>18175</v>
      </c>
      <c r="H205">
        <v>8349.49</v>
      </c>
      <c r="I205">
        <v>39.97</v>
      </c>
      <c r="J205">
        <f>IFERROR(INDEX(Suppliar[Estimated Carbon Footprint (tons CO₂e)],MATCH('Merge operational &amp; suppliar'!A205,Suppliar[Facility ID],0)),"")</f>
        <v>818.45</v>
      </c>
      <c r="K205">
        <f>IFERROR(INDEX(Suppliar[Income Distribution (%)],MATCH('Merge operational &amp; suppliar'!A205,Suppliar[Facility ID],0)),"")</f>
        <v>19.04</v>
      </c>
    </row>
    <row r="206" spans="1:11" x14ac:dyDescent="0.3">
      <c r="A206" t="s">
        <v>29</v>
      </c>
      <c r="B206" t="s">
        <v>30</v>
      </c>
      <c r="C206" t="s">
        <v>8</v>
      </c>
      <c r="D206" t="s">
        <v>28</v>
      </c>
      <c r="E206" t="s">
        <v>24</v>
      </c>
      <c r="F206">
        <v>3289.66</v>
      </c>
      <c r="G206">
        <v>32131</v>
      </c>
      <c r="H206">
        <v>1474.23</v>
      </c>
      <c r="I206">
        <v>45.47</v>
      </c>
      <c r="J206">
        <f>IFERROR(INDEX(Suppliar[Estimated Carbon Footprint (tons CO₂e)],MATCH('Merge operational &amp; suppliar'!A206,Suppliar[Facility ID],0)),"")</f>
        <v>830.73</v>
      </c>
      <c r="K206">
        <f>IFERROR(INDEX(Suppliar[Income Distribution (%)],MATCH('Merge operational &amp; suppliar'!A206,Suppliar[Facility ID],0)),"")</f>
        <v>17.97</v>
      </c>
    </row>
    <row r="207" spans="1:11" x14ac:dyDescent="0.3">
      <c r="A207" t="s">
        <v>53</v>
      </c>
      <c r="B207" t="s">
        <v>7</v>
      </c>
      <c r="C207" t="s">
        <v>34</v>
      </c>
      <c r="D207" t="s">
        <v>14</v>
      </c>
      <c r="E207" t="s">
        <v>15</v>
      </c>
      <c r="F207">
        <v>540.26</v>
      </c>
      <c r="G207">
        <v>90632</v>
      </c>
      <c r="H207">
        <v>5292.17</v>
      </c>
      <c r="I207">
        <v>78.45</v>
      </c>
      <c r="J207">
        <f>IFERROR(INDEX(Suppliar[Estimated Carbon Footprint (tons CO₂e)],MATCH('Merge operational &amp; suppliar'!A207,Suppliar[Facility ID],0)),"")</f>
        <v>571.88</v>
      </c>
      <c r="K207">
        <f>IFERROR(INDEX(Suppliar[Income Distribution (%)],MATCH('Merge operational &amp; suppliar'!A207,Suppliar[Facility ID],0)),"")</f>
        <v>20.93</v>
      </c>
    </row>
    <row r="208" spans="1:11" x14ac:dyDescent="0.3">
      <c r="A208" t="s">
        <v>150</v>
      </c>
      <c r="B208" t="s">
        <v>30</v>
      </c>
      <c r="C208" t="s">
        <v>23</v>
      </c>
      <c r="D208" t="s">
        <v>14</v>
      </c>
      <c r="E208" t="s">
        <v>15</v>
      </c>
      <c r="F208">
        <v>3784.31</v>
      </c>
      <c r="G208">
        <v>98356</v>
      </c>
      <c r="H208">
        <v>6968.69</v>
      </c>
      <c r="I208">
        <v>81.72</v>
      </c>
      <c r="J208">
        <f>IFERROR(INDEX(Suppliar[Estimated Carbon Footprint (tons CO₂e)],MATCH('Merge operational &amp; suppliar'!A208,Suppliar[Facility ID],0)),"")</f>
        <v>795.74</v>
      </c>
      <c r="K208">
        <f>IFERROR(INDEX(Suppliar[Income Distribution (%)],MATCH('Merge operational &amp; suppliar'!A208,Suppliar[Facility ID],0)),"")</f>
        <v>22.41</v>
      </c>
    </row>
    <row r="209" spans="1:11" x14ac:dyDescent="0.3">
      <c r="A209" t="s">
        <v>33</v>
      </c>
      <c r="B209" t="s">
        <v>19</v>
      </c>
      <c r="C209" t="s">
        <v>13</v>
      </c>
      <c r="D209" t="s">
        <v>28</v>
      </c>
      <c r="E209" t="s">
        <v>24</v>
      </c>
      <c r="F209">
        <v>2320.83</v>
      </c>
      <c r="G209">
        <v>65719</v>
      </c>
      <c r="H209">
        <v>9362.41</v>
      </c>
      <c r="I209">
        <v>86.55</v>
      </c>
      <c r="J209">
        <f>IFERROR(INDEX(Suppliar[Estimated Carbon Footprint (tons CO₂e)],MATCH('Merge operational &amp; suppliar'!A209,Suppliar[Facility ID],0)),"")</f>
        <v>932.3</v>
      </c>
      <c r="K209">
        <f>IFERROR(INDEX(Suppliar[Income Distribution (%)],MATCH('Merge operational &amp; suppliar'!A209,Suppliar[Facility ID],0)),"")</f>
        <v>28.9</v>
      </c>
    </row>
    <row r="210" spans="1:11" x14ac:dyDescent="0.3">
      <c r="A210" t="s">
        <v>82</v>
      </c>
      <c r="B210" t="s">
        <v>17</v>
      </c>
      <c r="C210" t="s">
        <v>34</v>
      </c>
      <c r="D210" t="s">
        <v>14</v>
      </c>
      <c r="E210" t="s">
        <v>15</v>
      </c>
      <c r="F210">
        <v>2311.4499999999998</v>
      </c>
      <c r="G210">
        <v>93409</v>
      </c>
      <c r="H210">
        <v>2375.83</v>
      </c>
      <c r="I210">
        <v>5.83</v>
      </c>
      <c r="J210" t="str">
        <f>IFERROR(INDEX(Suppliar[Estimated Carbon Footprint (tons CO₂e)],MATCH('Merge operational &amp; suppliar'!A210,Suppliar[Facility ID],0)),"")</f>
        <v/>
      </c>
      <c r="K210" t="str">
        <f>IFERROR(INDEX(Suppliar[Income Distribution (%)],MATCH('Merge operational &amp; suppliar'!A210,Suppliar[Facility ID],0)),"")</f>
        <v/>
      </c>
    </row>
    <row r="211" spans="1:11" x14ac:dyDescent="0.3">
      <c r="A211" t="s">
        <v>122</v>
      </c>
      <c r="B211" t="s">
        <v>19</v>
      </c>
      <c r="C211" t="s">
        <v>23</v>
      </c>
      <c r="D211" t="s">
        <v>28</v>
      </c>
      <c r="E211" t="s">
        <v>10</v>
      </c>
      <c r="F211">
        <v>4836.59</v>
      </c>
      <c r="G211">
        <v>95962</v>
      </c>
      <c r="H211">
        <v>524.72</v>
      </c>
      <c r="I211">
        <v>49.55</v>
      </c>
      <c r="J211">
        <f>IFERROR(INDEX(Suppliar[Estimated Carbon Footprint (tons CO₂e)],MATCH('Merge operational &amp; suppliar'!A211,Suppliar[Facility ID],0)),"")</f>
        <v>991.36</v>
      </c>
      <c r="K211">
        <f>IFERROR(INDEX(Suppliar[Income Distribution (%)],MATCH('Merge operational &amp; suppliar'!A211,Suppliar[Facility ID],0)),"")</f>
        <v>18.28</v>
      </c>
    </row>
    <row r="212" spans="1:11" x14ac:dyDescent="0.3">
      <c r="A212" t="s">
        <v>64</v>
      </c>
      <c r="B212" t="s">
        <v>30</v>
      </c>
      <c r="C212" t="s">
        <v>13</v>
      </c>
      <c r="D212" t="s">
        <v>28</v>
      </c>
      <c r="E212" t="s">
        <v>15</v>
      </c>
      <c r="F212">
        <v>4870.82</v>
      </c>
      <c r="G212">
        <v>52836</v>
      </c>
      <c r="H212">
        <v>9330.2999999999993</v>
      </c>
      <c r="I212">
        <v>87.27</v>
      </c>
      <c r="J212" t="str">
        <f>IFERROR(INDEX(Suppliar[Estimated Carbon Footprint (tons CO₂e)],MATCH('Merge operational &amp; suppliar'!A212,Suppliar[Facility ID],0)),"")</f>
        <v/>
      </c>
      <c r="K212" t="str">
        <f>IFERROR(INDEX(Suppliar[Income Distribution (%)],MATCH('Merge operational &amp; suppliar'!A212,Suppliar[Facility ID],0)),"")</f>
        <v/>
      </c>
    </row>
    <row r="213" spans="1:11" x14ac:dyDescent="0.3">
      <c r="A213" t="s">
        <v>151</v>
      </c>
      <c r="B213" t="s">
        <v>12</v>
      </c>
      <c r="C213" t="s">
        <v>23</v>
      </c>
      <c r="D213" t="s">
        <v>28</v>
      </c>
      <c r="E213" t="s">
        <v>15</v>
      </c>
      <c r="F213">
        <v>4492.74</v>
      </c>
      <c r="G213">
        <v>61207</v>
      </c>
      <c r="H213">
        <v>6922.33</v>
      </c>
      <c r="I213">
        <v>9.1999999999999993</v>
      </c>
      <c r="J213" t="str">
        <f>IFERROR(INDEX(Suppliar[Estimated Carbon Footprint (tons CO₂e)],MATCH('Merge operational &amp; suppliar'!A213,Suppliar[Facility ID],0)),"")</f>
        <v/>
      </c>
      <c r="K213" t="str">
        <f>IFERROR(INDEX(Suppliar[Income Distribution (%)],MATCH('Merge operational &amp; suppliar'!A213,Suppliar[Facility ID],0)),"")</f>
        <v/>
      </c>
    </row>
    <row r="214" spans="1:11" x14ac:dyDescent="0.3">
      <c r="A214" t="s">
        <v>152</v>
      </c>
      <c r="B214" t="s">
        <v>30</v>
      </c>
      <c r="C214" t="s">
        <v>34</v>
      </c>
      <c r="D214" t="s">
        <v>14</v>
      </c>
      <c r="E214" t="s">
        <v>10</v>
      </c>
      <c r="F214">
        <v>2776.43</v>
      </c>
      <c r="G214">
        <v>21914</v>
      </c>
      <c r="H214">
        <v>5897.27</v>
      </c>
      <c r="I214">
        <v>49.41</v>
      </c>
      <c r="J214">
        <f>IFERROR(INDEX(Suppliar[Estimated Carbon Footprint (tons CO₂e)],MATCH('Merge operational &amp; suppliar'!A214,Suppliar[Facility ID],0)),"")</f>
        <v>790.74</v>
      </c>
      <c r="K214">
        <f>IFERROR(INDEX(Suppliar[Income Distribution (%)],MATCH('Merge operational &amp; suppliar'!A214,Suppliar[Facility ID],0)),"")</f>
        <v>15.07</v>
      </c>
    </row>
    <row r="215" spans="1:11" x14ac:dyDescent="0.3">
      <c r="A215" t="s">
        <v>16</v>
      </c>
      <c r="B215" t="s">
        <v>17</v>
      </c>
      <c r="C215" t="s">
        <v>23</v>
      </c>
      <c r="D215" t="s">
        <v>28</v>
      </c>
      <c r="E215" t="s">
        <v>10</v>
      </c>
      <c r="F215">
        <v>4987.59</v>
      </c>
      <c r="G215">
        <v>43512</v>
      </c>
      <c r="H215">
        <v>5352.18</v>
      </c>
      <c r="I215">
        <v>6.17</v>
      </c>
      <c r="J215">
        <f>IFERROR(INDEX(Suppliar[Estimated Carbon Footprint (tons CO₂e)],MATCH('Merge operational &amp; suppliar'!A215,Suppliar[Facility ID],0)),"")</f>
        <v>311.36</v>
      </c>
      <c r="K215">
        <f>IFERROR(INDEX(Suppliar[Income Distribution (%)],MATCH('Merge operational &amp; suppliar'!A215,Suppliar[Facility ID],0)),"")</f>
        <v>28.72</v>
      </c>
    </row>
    <row r="216" spans="1:11" x14ac:dyDescent="0.3">
      <c r="A216" t="s">
        <v>153</v>
      </c>
      <c r="B216" t="s">
        <v>7</v>
      </c>
      <c r="C216" t="s">
        <v>8</v>
      </c>
      <c r="D216" t="s">
        <v>9</v>
      </c>
      <c r="E216" t="s">
        <v>10</v>
      </c>
      <c r="F216">
        <v>1335.76</v>
      </c>
      <c r="G216">
        <v>21388</v>
      </c>
      <c r="H216">
        <v>5249.39</v>
      </c>
      <c r="I216">
        <v>64.2</v>
      </c>
      <c r="J216">
        <f>IFERROR(INDEX(Suppliar[Estimated Carbon Footprint (tons CO₂e)],MATCH('Merge operational &amp; suppliar'!A216,Suppliar[Facility ID],0)),"")</f>
        <v>571.66</v>
      </c>
      <c r="K216">
        <f>IFERROR(INDEX(Suppliar[Income Distribution (%)],MATCH('Merge operational &amp; suppliar'!A216,Suppliar[Facility ID],0)),"")</f>
        <v>17.87</v>
      </c>
    </row>
    <row r="217" spans="1:11" x14ac:dyDescent="0.3">
      <c r="A217" t="s">
        <v>39</v>
      </c>
      <c r="B217" t="s">
        <v>7</v>
      </c>
      <c r="C217" t="s">
        <v>34</v>
      </c>
      <c r="D217" t="s">
        <v>14</v>
      </c>
      <c r="E217" t="s">
        <v>10</v>
      </c>
      <c r="F217">
        <v>1293.21</v>
      </c>
      <c r="G217">
        <v>80904</v>
      </c>
      <c r="H217">
        <v>3263.09</v>
      </c>
      <c r="I217">
        <v>58.37</v>
      </c>
      <c r="J217">
        <f>IFERROR(INDEX(Suppliar[Estimated Carbon Footprint (tons CO₂e)],MATCH('Merge operational &amp; suppliar'!A217,Suppliar[Facility ID],0)),"")</f>
        <v>756.78</v>
      </c>
      <c r="K217">
        <f>IFERROR(INDEX(Suppliar[Income Distribution (%)],MATCH('Merge operational &amp; suppliar'!A217,Suppliar[Facility ID],0)),"")</f>
        <v>35.950000000000003</v>
      </c>
    </row>
    <row r="218" spans="1:11" x14ac:dyDescent="0.3">
      <c r="A218" t="s">
        <v>154</v>
      </c>
      <c r="B218" t="s">
        <v>12</v>
      </c>
      <c r="C218" t="s">
        <v>34</v>
      </c>
      <c r="D218" t="s">
        <v>28</v>
      </c>
      <c r="E218" t="s">
        <v>24</v>
      </c>
      <c r="F218">
        <v>1708</v>
      </c>
      <c r="G218">
        <v>87012</v>
      </c>
      <c r="H218">
        <v>7478.13</v>
      </c>
      <c r="I218">
        <v>27.22</v>
      </c>
      <c r="J218">
        <f>IFERROR(INDEX(Suppliar[Estimated Carbon Footprint (tons CO₂e)],MATCH('Merge operational &amp; suppliar'!A218,Suppliar[Facility ID],0)),"")</f>
        <v>579.80999999999995</v>
      </c>
      <c r="K218">
        <f>IFERROR(INDEX(Suppliar[Income Distribution (%)],MATCH('Merge operational &amp; suppliar'!A218,Suppliar[Facility ID],0)),"")</f>
        <v>28.6</v>
      </c>
    </row>
    <row r="219" spans="1:11" x14ac:dyDescent="0.3">
      <c r="A219" t="s">
        <v>99</v>
      </c>
      <c r="B219" t="s">
        <v>19</v>
      </c>
      <c r="C219" t="s">
        <v>13</v>
      </c>
      <c r="D219" t="s">
        <v>28</v>
      </c>
      <c r="E219" t="s">
        <v>24</v>
      </c>
      <c r="F219">
        <v>4594.9799999999996</v>
      </c>
      <c r="G219">
        <v>77400</v>
      </c>
      <c r="H219">
        <v>7504.8</v>
      </c>
      <c r="I219">
        <v>68.819999999999993</v>
      </c>
      <c r="J219" t="str">
        <f>IFERROR(INDEX(Suppliar[Estimated Carbon Footprint (tons CO₂e)],MATCH('Merge operational &amp; suppliar'!A219,Suppliar[Facility ID],0)),"")</f>
        <v/>
      </c>
      <c r="K219" t="str">
        <f>IFERROR(INDEX(Suppliar[Income Distribution (%)],MATCH('Merge operational &amp; suppliar'!A219,Suppliar[Facility ID],0)),"")</f>
        <v/>
      </c>
    </row>
    <row r="220" spans="1:11" x14ac:dyDescent="0.3">
      <c r="A220" t="s">
        <v>155</v>
      </c>
      <c r="B220" t="s">
        <v>7</v>
      </c>
      <c r="C220" t="s">
        <v>23</v>
      </c>
      <c r="D220" t="s">
        <v>14</v>
      </c>
      <c r="E220" t="s">
        <v>10</v>
      </c>
      <c r="F220">
        <v>831.81</v>
      </c>
      <c r="G220">
        <v>72224</v>
      </c>
      <c r="H220">
        <v>1613.32</v>
      </c>
      <c r="I220">
        <v>39.21</v>
      </c>
      <c r="J220">
        <f>IFERROR(INDEX(Suppliar[Estimated Carbon Footprint (tons CO₂e)],MATCH('Merge operational &amp; suppliar'!A220,Suppliar[Facility ID],0)),"")</f>
        <v>111.84</v>
      </c>
      <c r="K220">
        <f>IFERROR(INDEX(Suppliar[Income Distribution (%)],MATCH('Merge operational &amp; suppliar'!A220,Suppliar[Facility ID],0)),"")</f>
        <v>28.69</v>
      </c>
    </row>
    <row r="221" spans="1:11" x14ac:dyDescent="0.3">
      <c r="A221" t="s">
        <v>156</v>
      </c>
      <c r="B221" t="s">
        <v>17</v>
      </c>
      <c r="C221" t="s">
        <v>23</v>
      </c>
      <c r="D221" t="s">
        <v>14</v>
      </c>
      <c r="E221" t="s">
        <v>10</v>
      </c>
      <c r="F221">
        <v>2545.9</v>
      </c>
      <c r="G221">
        <v>81057</v>
      </c>
      <c r="H221">
        <v>675.41</v>
      </c>
      <c r="I221">
        <v>55.44</v>
      </c>
      <c r="J221">
        <f>IFERROR(INDEX(Suppliar[Estimated Carbon Footprint (tons CO₂e)],MATCH('Merge operational &amp; suppliar'!A221,Suppliar[Facility ID],0)),"")</f>
        <v>847.51</v>
      </c>
      <c r="K221">
        <f>IFERROR(INDEX(Suppliar[Income Distribution (%)],MATCH('Merge operational &amp; suppliar'!A221,Suppliar[Facility ID],0)),"")</f>
        <v>28.03</v>
      </c>
    </row>
    <row r="222" spans="1:11" x14ac:dyDescent="0.3">
      <c r="A222" t="s">
        <v>149</v>
      </c>
      <c r="B222" t="s">
        <v>17</v>
      </c>
      <c r="C222" t="s">
        <v>34</v>
      </c>
      <c r="D222" t="s">
        <v>9</v>
      </c>
      <c r="E222" t="s">
        <v>10</v>
      </c>
      <c r="F222">
        <v>1207.1400000000001</v>
      </c>
      <c r="G222">
        <v>49885</v>
      </c>
      <c r="H222">
        <v>6845.46</v>
      </c>
      <c r="I222">
        <v>58.4</v>
      </c>
      <c r="J222">
        <f>IFERROR(INDEX(Suppliar[Estimated Carbon Footprint (tons CO₂e)],MATCH('Merge operational &amp; suppliar'!A222,Suppliar[Facility ID],0)),"")</f>
        <v>341.24</v>
      </c>
      <c r="K222">
        <f>IFERROR(INDEX(Suppliar[Income Distribution (%)],MATCH('Merge operational &amp; suppliar'!A222,Suppliar[Facility ID],0)),"")</f>
        <v>19.309999999999999</v>
      </c>
    </row>
    <row r="223" spans="1:11" x14ac:dyDescent="0.3">
      <c r="A223" t="s">
        <v>33</v>
      </c>
      <c r="B223" t="s">
        <v>19</v>
      </c>
      <c r="C223" t="s">
        <v>23</v>
      </c>
      <c r="D223" t="s">
        <v>9</v>
      </c>
      <c r="E223" t="s">
        <v>24</v>
      </c>
      <c r="F223">
        <v>2790.8</v>
      </c>
      <c r="G223">
        <v>65719</v>
      </c>
      <c r="H223">
        <v>9362.41</v>
      </c>
      <c r="I223">
        <v>86.55</v>
      </c>
      <c r="J223">
        <f>IFERROR(INDEX(Suppliar[Estimated Carbon Footprint (tons CO₂e)],MATCH('Merge operational &amp; suppliar'!A223,Suppliar[Facility ID],0)),"")</f>
        <v>932.3</v>
      </c>
      <c r="K223">
        <f>IFERROR(INDEX(Suppliar[Income Distribution (%)],MATCH('Merge operational &amp; suppliar'!A223,Suppliar[Facility ID],0)),"")</f>
        <v>28.9</v>
      </c>
    </row>
    <row r="224" spans="1:11" x14ac:dyDescent="0.3">
      <c r="A224" t="s">
        <v>157</v>
      </c>
      <c r="B224" t="s">
        <v>30</v>
      </c>
      <c r="C224" t="s">
        <v>23</v>
      </c>
      <c r="D224" t="s">
        <v>28</v>
      </c>
      <c r="E224" t="s">
        <v>15</v>
      </c>
      <c r="F224">
        <v>1945.28</v>
      </c>
      <c r="G224">
        <v>76544</v>
      </c>
      <c r="H224">
        <v>8632.77</v>
      </c>
      <c r="I224">
        <v>12.87</v>
      </c>
      <c r="J224">
        <f>IFERROR(INDEX(Suppliar[Estimated Carbon Footprint (tons CO₂e)],MATCH('Merge operational &amp; suppliar'!A224,Suppliar[Facility ID],0)),"")</f>
        <v>571.88</v>
      </c>
      <c r="K224">
        <f>IFERROR(INDEX(Suppliar[Income Distribution (%)],MATCH('Merge operational &amp; suppliar'!A224,Suppliar[Facility ID],0)),"")</f>
        <v>30.1</v>
      </c>
    </row>
    <row r="225" spans="1:11" x14ac:dyDescent="0.3">
      <c r="A225" t="s">
        <v>16</v>
      </c>
      <c r="B225" t="s">
        <v>17</v>
      </c>
      <c r="C225" t="s">
        <v>34</v>
      </c>
      <c r="D225" t="s">
        <v>9</v>
      </c>
      <c r="E225" t="s">
        <v>24</v>
      </c>
      <c r="F225">
        <v>3670.54</v>
      </c>
      <c r="G225">
        <v>43512</v>
      </c>
      <c r="H225">
        <v>5352.18</v>
      </c>
      <c r="I225">
        <v>6.17</v>
      </c>
      <c r="J225">
        <f>IFERROR(INDEX(Suppliar[Estimated Carbon Footprint (tons CO₂e)],MATCH('Merge operational &amp; suppliar'!A225,Suppliar[Facility ID],0)),"")</f>
        <v>311.36</v>
      </c>
      <c r="K225">
        <f>IFERROR(INDEX(Suppliar[Income Distribution (%)],MATCH('Merge operational &amp; suppliar'!A225,Suppliar[Facility ID],0)),"")</f>
        <v>28.72</v>
      </c>
    </row>
    <row r="226" spans="1:11" x14ac:dyDescent="0.3">
      <c r="A226" t="s">
        <v>44</v>
      </c>
      <c r="B226" t="s">
        <v>19</v>
      </c>
      <c r="C226" t="s">
        <v>13</v>
      </c>
      <c r="D226" t="s">
        <v>14</v>
      </c>
      <c r="E226" t="s">
        <v>24</v>
      </c>
      <c r="F226">
        <v>1954.98</v>
      </c>
      <c r="G226">
        <v>16256</v>
      </c>
      <c r="H226">
        <v>2127.1799999999998</v>
      </c>
      <c r="I226">
        <v>38.94</v>
      </c>
      <c r="J226">
        <f>IFERROR(INDEX(Suppliar[Estimated Carbon Footprint (tons CO₂e)],MATCH('Merge operational &amp; suppliar'!A226,Suppliar[Facility ID],0)),"")</f>
        <v>796.34</v>
      </c>
      <c r="K226">
        <f>IFERROR(INDEX(Suppliar[Income Distribution (%)],MATCH('Merge operational &amp; suppliar'!A226,Suppliar[Facility ID],0)),"")</f>
        <v>66.41</v>
      </c>
    </row>
    <row r="227" spans="1:11" x14ac:dyDescent="0.3">
      <c r="A227" t="s">
        <v>84</v>
      </c>
      <c r="B227" t="s">
        <v>30</v>
      </c>
      <c r="C227" t="s">
        <v>13</v>
      </c>
      <c r="D227" t="s">
        <v>14</v>
      </c>
      <c r="E227" t="s">
        <v>15</v>
      </c>
      <c r="F227">
        <v>2205.38</v>
      </c>
      <c r="G227">
        <v>85444</v>
      </c>
      <c r="H227">
        <v>852.57</v>
      </c>
      <c r="I227">
        <v>72.650000000000006</v>
      </c>
      <c r="J227">
        <f>IFERROR(INDEX(Suppliar[Estimated Carbon Footprint (tons CO₂e)],MATCH('Merge operational &amp; suppliar'!A227,Suppliar[Facility ID],0)),"")</f>
        <v>319.93</v>
      </c>
      <c r="K227">
        <f>IFERROR(INDEX(Suppliar[Income Distribution (%)],MATCH('Merge operational &amp; suppliar'!A227,Suppliar[Facility ID],0)),"")</f>
        <v>34.35</v>
      </c>
    </row>
    <row r="228" spans="1:11" x14ac:dyDescent="0.3">
      <c r="A228" t="s">
        <v>40</v>
      </c>
      <c r="B228" t="s">
        <v>19</v>
      </c>
      <c r="C228" t="s">
        <v>23</v>
      </c>
      <c r="D228" t="s">
        <v>14</v>
      </c>
      <c r="E228" t="s">
        <v>24</v>
      </c>
      <c r="F228">
        <v>1900.73</v>
      </c>
      <c r="G228">
        <v>96474</v>
      </c>
      <c r="H228">
        <v>7574.39</v>
      </c>
      <c r="I228">
        <v>95.54</v>
      </c>
      <c r="J228">
        <f>IFERROR(INDEX(Suppliar[Estimated Carbon Footprint (tons CO₂e)],MATCH('Merge operational &amp; suppliar'!A228,Suppliar[Facility ID],0)),"")</f>
        <v>886.71</v>
      </c>
      <c r="K228">
        <f>IFERROR(INDEX(Suppliar[Income Distribution (%)],MATCH('Merge operational &amp; suppliar'!A228,Suppliar[Facility ID],0)),"")</f>
        <v>24.84</v>
      </c>
    </row>
    <row r="229" spans="1:11" x14ac:dyDescent="0.3">
      <c r="A229" t="s">
        <v>49</v>
      </c>
      <c r="B229" t="s">
        <v>19</v>
      </c>
      <c r="C229" t="s">
        <v>13</v>
      </c>
      <c r="D229" t="s">
        <v>9</v>
      </c>
      <c r="E229" t="s">
        <v>10</v>
      </c>
      <c r="F229">
        <v>2512.7800000000002</v>
      </c>
      <c r="G229">
        <v>50306</v>
      </c>
      <c r="H229">
        <v>7031.37</v>
      </c>
      <c r="I229">
        <v>13.27</v>
      </c>
      <c r="J229" t="str">
        <f>IFERROR(INDEX(Suppliar[Estimated Carbon Footprint (tons CO₂e)],MATCH('Merge operational &amp; suppliar'!A229,Suppliar[Facility ID],0)),"")</f>
        <v/>
      </c>
      <c r="K229" t="str">
        <f>IFERROR(INDEX(Suppliar[Income Distribution (%)],MATCH('Merge operational &amp; suppliar'!A229,Suppliar[Facility ID],0)),"")</f>
        <v/>
      </c>
    </row>
    <row r="230" spans="1:11" x14ac:dyDescent="0.3">
      <c r="A230" t="s">
        <v>134</v>
      </c>
      <c r="B230" t="s">
        <v>7</v>
      </c>
      <c r="C230" t="s">
        <v>23</v>
      </c>
      <c r="D230" t="s">
        <v>9</v>
      </c>
      <c r="E230" t="s">
        <v>15</v>
      </c>
      <c r="F230">
        <v>3560.29</v>
      </c>
      <c r="G230">
        <v>39568</v>
      </c>
      <c r="H230">
        <v>3580.54</v>
      </c>
      <c r="I230">
        <v>78.08</v>
      </c>
      <c r="J230">
        <f>IFERROR(INDEX(Suppliar[Estimated Carbon Footprint (tons CO₂e)],MATCH('Merge operational &amp; suppliar'!A230,Suppliar[Facility ID],0)),"")</f>
        <v>635.72</v>
      </c>
      <c r="K230">
        <f>IFERROR(INDEX(Suppliar[Income Distribution (%)],MATCH('Merge operational &amp; suppliar'!A230,Suppliar[Facility ID],0)),"")</f>
        <v>67.36</v>
      </c>
    </row>
    <row r="231" spans="1:11" x14ac:dyDescent="0.3">
      <c r="A231" t="s">
        <v>66</v>
      </c>
      <c r="B231" t="s">
        <v>30</v>
      </c>
      <c r="C231" t="s">
        <v>23</v>
      </c>
      <c r="D231" t="s">
        <v>14</v>
      </c>
      <c r="E231" t="s">
        <v>10</v>
      </c>
      <c r="F231">
        <v>4844.28</v>
      </c>
      <c r="G231">
        <v>98396</v>
      </c>
      <c r="H231">
        <v>5174.07</v>
      </c>
      <c r="I231">
        <v>63.38</v>
      </c>
      <c r="J231">
        <f>IFERROR(INDEX(Suppliar[Estimated Carbon Footprint (tons CO₂e)],MATCH('Merge operational &amp; suppliar'!A231,Suppliar[Facility ID],0)),"")</f>
        <v>714.03</v>
      </c>
      <c r="K231">
        <f>IFERROR(INDEX(Suppliar[Income Distribution (%)],MATCH('Merge operational &amp; suppliar'!A231,Suppliar[Facility ID],0)),"")</f>
        <v>36.89</v>
      </c>
    </row>
    <row r="232" spans="1:11" x14ac:dyDescent="0.3">
      <c r="A232" t="s">
        <v>94</v>
      </c>
      <c r="B232" t="s">
        <v>7</v>
      </c>
      <c r="C232" t="s">
        <v>13</v>
      </c>
      <c r="D232" t="s">
        <v>14</v>
      </c>
      <c r="E232" t="s">
        <v>15</v>
      </c>
      <c r="F232">
        <v>3100.15</v>
      </c>
      <c r="G232">
        <v>26338</v>
      </c>
      <c r="H232">
        <v>578.73</v>
      </c>
      <c r="I232">
        <v>72.52</v>
      </c>
      <c r="J232">
        <f>IFERROR(INDEX(Suppliar[Estimated Carbon Footprint (tons CO₂e)],MATCH('Merge operational &amp; suppliar'!A232,Suppliar[Facility ID],0)),"")</f>
        <v>991.36</v>
      </c>
      <c r="K232">
        <f>IFERROR(INDEX(Suppliar[Income Distribution (%)],MATCH('Merge operational &amp; suppliar'!A232,Suppliar[Facility ID],0)),"")</f>
        <v>35.39</v>
      </c>
    </row>
    <row r="233" spans="1:11" x14ac:dyDescent="0.3">
      <c r="A233" t="s">
        <v>53</v>
      </c>
      <c r="B233" t="s">
        <v>7</v>
      </c>
      <c r="C233" t="s">
        <v>8</v>
      </c>
      <c r="D233" t="s">
        <v>28</v>
      </c>
      <c r="E233" t="s">
        <v>15</v>
      </c>
      <c r="F233">
        <v>2791.16</v>
      </c>
      <c r="G233">
        <v>90632</v>
      </c>
      <c r="H233">
        <v>5292.17</v>
      </c>
      <c r="I233">
        <v>78.45</v>
      </c>
      <c r="J233">
        <f>IFERROR(INDEX(Suppliar[Estimated Carbon Footprint (tons CO₂e)],MATCH('Merge operational &amp; suppliar'!A233,Suppliar[Facility ID],0)),"")</f>
        <v>571.88</v>
      </c>
      <c r="K233">
        <f>IFERROR(INDEX(Suppliar[Income Distribution (%)],MATCH('Merge operational &amp; suppliar'!A233,Suppliar[Facility ID],0)),"")</f>
        <v>20.93</v>
      </c>
    </row>
    <row r="234" spans="1:11" x14ac:dyDescent="0.3">
      <c r="A234" t="s">
        <v>130</v>
      </c>
      <c r="B234" t="s">
        <v>12</v>
      </c>
      <c r="C234" t="s">
        <v>8</v>
      </c>
      <c r="D234" t="s">
        <v>14</v>
      </c>
      <c r="E234" t="s">
        <v>15</v>
      </c>
      <c r="F234">
        <v>774.95</v>
      </c>
      <c r="G234">
        <v>82332</v>
      </c>
      <c r="H234">
        <v>7134.86</v>
      </c>
      <c r="I234">
        <v>22.44</v>
      </c>
      <c r="J234">
        <f>IFERROR(INDEX(Suppliar[Estimated Carbon Footprint (tons CO₂e)],MATCH('Merge operational &amp; suppliar'!A234,Suppliar[Facility ID],0)),"")</f>
        <v>553.44000000000005</v>
      </c>
      <c r="K234">
        <f>IFERROR(INDEX(Suppliar[Income Distribution (%)],MATCH('Merge operational &amp; suppliar'!A234,Suppliar[Facility ID],0)),"")</f>
        <v>13.24</v>
      </c>
    </row>
    <row r="235" spans="1:11" x14ac:dyDescent="0.3">
      <c r="A235" t="s">
        <v>29</v>
      </c>
      <c r="B235" t="s">
        <v>30</v>
      </c>
      <c r="C235" t="s">
        <v>8</v>
      </c>
      <c r="D235" t="s">
        <v>9</v>
      </c>
      <c r="E235" t="s">
        <v>15</v>
      </c>
      <c r="F235">
        <v>2907.12</v>
      </c>
      <c r="G235">
        <v>32131</v>
      </c>
      <c r="H235">
        <v>1474.23</v>
      </c>
      <c r="I235">
        <v>45.47</v>
      </c>
      <c r="J235">
        <f>IFERROR(INDEX(Suppliar[Estimated Carbon Footprint (tons CO₂e)],MATCH('Merge operational &amp; suppliar'!A235,Suppliar[Facility ID],0)),"")</f>
        <v>830.73</v>
      </c>
      <c r="K235">
        <f>IFERROR(INDEX(Suppliar[Income Distribution (%)],MATCH('Merge operational &amp; suppliar'!A235,Suppliar[Facility ID],0)),"")</f>
        <v>17.97</v>
      </c>
    </row>
    <row r="236" spans="1:11" x14ac:dyDescent="0.3">
      <c r="A236" t="s">
        <v>158</v>
      </c>
      <c r="B236" t="s">
        <v>30</v>
      </c>
      <c r="C236" t="s">
        <v>23</v>
      </c>
      <c r="D236" t="s">
        <v>9</v>
      </c>
      <c r="E236" t="s">
        <v>10</v>
      </c>
      <c r="F236">
        <v>1885.37</v>
      </c>
      <c r="G236">
        <v>85488</v>
      </c>
      <c r="H236">
        <v>9691.57</v>
      </c>
      <c r="I236">
        <v>96.98</v>
      </c>
      <c r="J236" t="str">
        <f>IFERROR(INDEX(Suppliar[Estimated Carbon Footprint (tons CO₂e)],MATCH('Merge operational &amp; suppliar'!A236,Suppliar[Facility ID],0)),"")</f>
        <v/>
      </c>
      <c r="K236" t="str">
        <f>IFERROR(INDEX(Suppliar[Income Distribution (%)],MATCH('Merge operational &amp; suppliar'!A236,Suppliar[Facility ID],0)),"")</f>
        <v/>
      </c>
    </row>
    <row r="237" spans="1:11" x14ac:dyDescent="0.3">
      <c r="A237" t="s">
        <v>55</v>
      </c>
      <c r="B237" t="s">
        <v>12</v>
      </c>
      <c r="C237" t="s">
        <v>23</v>
      </c>
      <c r="D237" t="s">
        <v>9</v>
      </c>
      <c r="E237" t="s">
        <v>10</v>
      </c>
      <c r="F237">
        <v>3784.58</v>
      </c>
      <c r="G237">
        <v>38181</v>
      </c>
      <c r="H237">
        <v>691.84</v>
      </c>
      <c r="I237">
        <v>33.53</v>
      </c>
      <c r="J237">
        <f>IFERROR(INDEX(Suppliar[Estimated Carbon Footprint (tons CO₂e)],MATCH('Merge operational &amp; suppliar'!A237,Suppliar[Facility ID],0)),"")</f>
        <v>114.57</v>
      </c>
      <c r="K237">
        <f>IFERROR(INDEX(Suppliar[Income Distribution (%)],MATCH('Merge operational &amp; suppliar'!A237,Suppliar[Facility ID],0)),"")</f>
        <v>9.9600000000000009</v>
      </c>
    </row>
    <row r="238" spans="1:11" x14ac:dyDescent="0.3">
      <c r="A238" t="s">
        <v>102</v>
      </c>
      <c r="B238" t="s">
        <v>19</v>
      </c>
      <c r="C238" t="s">
        <v>34</v>
      </c>
      <c r="D238" t="s">
        <v>28</v>
      </c>
      <c r="E238" t="s">
        <v>10</v>
      </c>
      <c r="F238">
        <v>2788.31</v>
      </c>
      <c r="G238">
        <v>86263</v>
      </c>
      <c r="H238">
        <v>3213.71</v>
      </c>
      <c r="I238">
        <v>98.39</v>
      </c>
      <c r="J238">
        <f>IFERROR(INDEX(Suppliar[Estimated Carbon Footprint (tons CO₂e)],MATCH('Merge operational &amp; suppliar'!A238,Suppliar[Facility ID],0)),"")</f>
        <v>662.74</v>
      </c>
      <c r="K238">
        <f>IFERROR(INDEX(Suppliar[Income Distribution (%)],MATCH('Merge operational &amp; suppliar'!A238,Suppliar[Facility ID],0)),"")</f>
        <v>20.66</v>
      </c>
    </row>
    <row r="239" spans="1:11" x14ac:dyDescent="0.3">
      <c r="A239" t="s">
        <v>150</v>
      </c>
      <c r="B239" t="s">
        <v>30</v>
      </c>
      <c r="C239" t="s">
        <v>13</v>
      </c>
      <c r="D239" t="s">
        <v>14</v>
      </c>
      <c r="E239" t="s">
        <v>15</v>
      </c>
      <c r="F239">
        <v>3315.9</v>
      </c>
      <c r="G239">
        <v>98356</v>
      </c>
      <c r="H239">
        <v>6968.69</v>
      </c>
      <c r="I239">
        <v>81.72</v>
      </c>
      <c r="J239">
        <f>IFERROR(INDEX(Suppliar[Estimated Carbon Footprint (tons CO₂e)],MATCH('Merge operational &amp; suppliar'!A239,Suppliar[Facility ID],0)),"")</f>
        <v>795.74</v>
      </c>
      <c r="K239">
        <f>IFERROR(INDEX(Suppliar[Income Distribution (%)],MATCH('Merge operational &amp; suppliar'!A239,Suppliar[Facility ID],0)),"")</f>
        <v>22.41</v>
      </c>
    </row>
    <row r="240" spans="1:11" x14ac:dyDescent="0.3">
      <c r="A240" t="s">
        <v>159</v>
      </c>
      <c r="B240" t="s">
        <v>7</v>
      </c>
      <c r="C240" t="s">
        <v>34</v>
      </c>
      <c r="D240" t="s">
        <v>28</v>
      </c>
      <c r="E240" t="s">
        <v>24</v>
      </c>
      <c r="F240">
        <v>1940.67</v>
      </c>
      <c r="G240">
        <v>47727</v>
      </c>
      <c r="H240">
        <v>8907.33</v>
      </c>
      <c r="I240">
        <v>47.4</v>
      </c>
      <c r="J240">
        <f>IFERROR(INDEX(Suppliar[Estimated Carbon Footprint (tons CO₂e)],MATCH('Merge operational &amp; suppliar'!A240,Suppliar[Facility ID],0)),"")</f>
        <v>344.93</v>
      </c>
      <c r="K240">
        <f>IFERROR(INDEX(Suppliar[Income Distribution (%)],MATCH('Merge operational &amp; suppliar'!A240,Suppliar[Facility ID],0)),"")</f>
        <v>43.18</v>
      </c>
    </row>
    <row r="241" spans="1:11" x14ac:dyDescent="0.3">
      <c r="A241" t="s">
        <v>160</v>
      </c>
      <c r="B241" t="s">
        <v>30</v>
      </c>
      <c r="C241" t="s">
        <v>13</v>
      </c>
      <c r="D241" t="s">
        <v>9</v>
      </c>
      <c r="E241" t="s">
        <v>24</v>
      </c>
      <c r="F241">
        <v>4052.32</v>
      </c>
      <c r="G241">
        <v>18341</v>
      </c>
      <c r="H241">
        <v>8465.57</v>
      </c>
      <c r="I241">
        <v>38.39</v>
      </c>
      <c r="J241" t="str">
        <f>IFERROR(INDEX(Suppliar[Estimated Carbon Footprint (tons CO₂e)],MATCH('Merge operational &amp; suppliar'!A241,Suppliar[Facility ID],0)),"")</f>
        <v/>
      </c>
      <c r="K241" t="str">
        <f>IFERROR(INDEX(Suppliar[Income Distribution (%)],MATCH('Merge operational &amp; suppliar'!A241,Suppliar[Facility ID],0)),"")</f>
        <v/>
      </c>
    </row>
    <row r="242" spans="1:11" x14ac:dyDescent="0.3">
      <c r="A242" t="s">
        <v>161</v>
      </c>
      <c r="B242" t="s">
        <v>7</v>
      </c>
      <c r="C242" t="s">
        <v>34</v>
      </c>
      <c r="D242" t="s">
        <v>9</v>
      </c>
      <c r="E242" t="s">
        <v>10</v>
      </c>
      <c r="F242">
        <v>1277.3</v>
      </c>
      <c r="G242">
        <v>15788</v>
      </c>
      <c r="H242">
        <v>1824.14</v>
      </c>
      <c r="I242">
        <v>52.78</v>
      </c>
      <c r="J242">
        <f>IFERROR(INDEX(Suppliar[Estimated Carbon Footprint (tons CO₂e)],MATCH('Merge operational &amp; suppliar'!A242,Suppliar[Facility ID],0)),"")</f>
        <v>571.88</v>
      </c>
      <c r="K242">
        <f>IFERROR(INDEX(Suppliar[Income Distribution (%)],MATCH('Merge operational &amp; suppliar'!A242,Suppliar[Facility ID],0)),"")</f>
        <v>8.17</v>
      </c>
    </row>
    <row r="243" spans="1:11" x14ac:dyDescent="0.3">
      <c r="A243" t="s">
        <v>149</v>
      </c>
      <c r="B243" t="s">
        <v>17</v>
      </c>
      <c r="C243" t="s">
        <v>13</v>
      </c>
      <c r="D243" t="s">
        <v>28</v>
      </c>
      <c r="E243" t="s">
        <v>15</v>
      </c>
      <c r="F243">
        <v>1024.25</v>
      </c>
      <c r="G243">
        <v>49885</v>
      </c>
      <c r="H243">
        <v>6845.46</v>
      </c>
      <c r="I243">
        <v>58.4</v>
      </c>
      <c r="J243">
        <f>IFERROR(INDEX(Suppliar[Estimated Carbon Footprint (tons CO₂e)],MATCH('Merge operational &amp; suppliar'!A243,Suppliar[Facility ID],0)),"")</f>
        <v>341.24</v>
      </c>
      <c r="K243">
        <f>IFERROR(INDEX(Suppliar[Income Distribution (%)],MATCH('Merge operational &amp; suppliar'!A243,Suppliar[Facility ID],0)),"")</f>
        <v>19.309999999999999</v>
      </c>
    </row>
    <row r="244" spans="1:11" x14ac:dyDescent="0.3">
      <c r="A244" t="s">
        <v>64</v>
      </c>
      <c r="B244" t="s">
        <v>30</v>
      </c>
      <c r="C244" t="s">
        <v>8</v>
      </c>
      <c r="D244" t="s">
        <v>28</v>
      </c>
      <c r="E244" t="s">
        <v>10</v>
      </c>
      <c r="F244">
        <v>167.21</v>
      </c>
      <c r="G244">
        <v>52836</v>
      </c>
      <c r="H244">
        <v>9330.2999999999993</v>
      </c>
      <c r="I244">
        <v>87.27</v>
      </c>
      <c r="J244" t="str">
        <f>IFERROR(INDEX(Suppliar[Estimated Carbon Footprint (tons CO₂e)],MATCH('Merge operational &amp; suppliar'!A244,Suppliar[Facility ID],0)),"")</f>
        <v/>
      </c>
      <c r="K244" t="str">
        <f>IFERROR(INDEX(Suppliar[Income Distribution (%)],MATCH('Merge operational &amp; suppliar'!A244,Suppliar[Facility ID],0)),"")</f>
        <v/>
      </c>
    </row>
    <row r="245" spans="1:11" x14ac:dyDescent="0.3">
      <c r="A245" t="s">
        <v>162</v>
      </c>
      <c r="B245" t="s">
        <v>30</v>
      </c>
      <c r="C245" t="s">
        <v>23</v>
      </c>
      <c r="D245" t="s">
        <v>28</v>
      </c>
      <c r="E245" t="s">
        <v>10</v>
      </c>
      <c r="F245">
        <v>996.06</v>
      </c>
      <c r="G245">
        <v>94347</v>
      </c>
      <c r="H245">
        <v>2272.58</v>
      </c>
      <c r="I245">
        <v>34.75</v>
      </c>
      <c r="J245">
        <f>IFERROR(INDEX(Suppliar[Estimated Carbon Footprint (tons CO₂e)],MATCH('Merge operational &amp; suppliar'!A245,Suppliar[Facility ID],0)),"")</f>
        <v>472.66</v>
      </c>
      <c r="K245">
        <f>IFERROR(INDEX(Suppliar[Income Distribution (%)],MATCH('Merge operational &amp; suppliar'!A245,Suppliar[Facility ID],0)),"")</f>
        <v>44.97</v>
      </c>
    </row>
    <row r="246" spans="1:11" x14ac:dyDescent="0.3">
      <c r="A246" t="s">
        <v>163</v>
      </c>
      <c r="B246" t="s">
        <v>19</v>
      </c>
      <c r="C246" t="s">
        <v>34</v>
      </c>
      <c r="D246" t="s">
        <v>28</v>
      </c>
      <c r="E246" t="s">
        <v>10</v>
      </c>
      <c r="F246">
        <v>1827.8</v>
      </c>
      <c r="G246">
        <v>87482</v>
      </c>
      <c r="H246">
        <v>2231.7399999999998</v>
      </c>
      <c r="I246">
        <v>45.43</v>
      </c>
      <c r="J246">
        <f>IFERROR(INDEX(Suppliar[Estimated Carbon Footprint (tons CO₂e)],MATCH('Merge operational &amp; suppliar'!A246,Suppliar[Facility ID],0)),"")</f>
        <v>638.89</v>
      </c>
      <c r="K246">
        <f>IFERROR(INDEX(Suppliar[Income Distribution (%)],MATCH('Merge operational &amp; suppliar'!A246,Suppliar[Facility ID],0)),"")</f>
        <v>24.69</v>
      </c>
    </row>
    <row r="247" spans="1:11" x14ac:dyDescent="0.3">
      <c r="A247" t="s">
        <v>29</v>
      </c>
      <c r="B247" t="s">
        <v>30</v>
      </c>
      <c r="C247" t="s">
        <v>34</v>
      </c>
      <c r="D247" t="s">
        <v>28</v>
      </c>
      <c r="E247" t="s">
        <v>24</v>
      </c>
      <c r="F247">
        <v>4065.52</v>
      </c>
      <c r="G247">
        <v>32131</v>
      </c>
      <c r="H247">
        <v>1474.23</v>
      </c>
      <c r="I247">
        <v>45.47</v>
      </c>
      <c r="J247">
        <f>IFERROR(INDEX(Suppliar[Estimated Carbon Footprint (tons CO₂e)],MATCH('Merge operational &amp; suppliar'!A247,Suppliar[Facility ID],0)),"")</f>
        <v>830.73</v>
      </c>
      <c r="K247">
        <f>IFERROR(INDEX(Suppliar[Income Distribution (%)],MATCH('Merge operational &amp; suppliar'!A247,Suppliar[Facility ID],0)),"")</f>
        <v>17.97</v>
      </c>
    </row>
    <row r="248" spans="1:11" x14ac:dyDescent="0.3">
      <c r="A248" t="s">
        <v>121</v>
      </c>
      <c r="B248" t="s">
        <v>30</v>
      </c>
      <c r="C248" t="s">
        <v>23</v>
      </c>
      <c r="D248" t="s">
        <v>9</v>
      </c>
      <c r="E248" t="s">
        <v>10</v>
      </c>
      <c r="F248">
        <v>484.82</v>
      </c>
      <c r="G248">
        <v>58895</v>
      </c>
      <c r="H248">
        <v>3039.17</v>
      </c>
      <c r="I248">
        <v>59.82</v>
      </c>
      <c r="J248">
        <f>IFERROR(INDEX(Suppliar[Estimated Carbon Footprint (tons CO₂e)],MATCH('Merge operational &amp; suppliar'!A248,Suppliar[Facility ID],0)),"")</f>
        <v>785.8</v>
      </c>
      <c r="K248">
        <f>IFERROR(INDEX(Suppliar[Income Distribution (%)],MATCH('Merge operational &amp; suppliar'!A248,Suppliar[Facility ID],0)),"")</f>
        <v>22.92</v>
      </c>
    </row>
    <row r="249" spans="1:11" x14ac:dyDescent="0.3">
      <c r="A249" t="s">
        <v>164</v>
      </c>
      <c r="B249" t="s">
        <v>19</v>
      </c>
      <c r="C249" t="s">
        <v>8</v>
      </c>
      <c r="D249" t="s">
        <v>9</v>
      </c>
      <c r="E249" t="s">
        <v>24</v>
      </c>
      <c r="F249">
        <v>4023.01</v>
      </c>
      <c r="G249">
        <v>69636</v>
      </c>
      <c r="H249">
        <v>4246.55</v>
      </c>
      <c r="I249">
        <v>69.290000000000006</v>
      </c>
      <c r="J249">
        <f>IFERROR(INDEX(Suppliar[Estimated Carbon Footprint (tons CO₂e)],MATCH('Merge operational &amp; suppliar'!A249,Suppliar[Facility ID],0)),"")</f>
        <v>362.43</v>
      </c>
      <c r="K249">
        <f>IFERROR(INDEX(Suppliar[Income Distribution (%)],MATCH('Merge operational &amp; suppliar'!A249,Suppliar[Facility ID],0)),"")</f>
        <v>54.81</v>
      </c>
    </row>
    <row r="250" spans="1:11" x14ac:dyDescent="0.3">
      <c r="A250" t="s">
        <v>87</v>
      </c>
      <c r="B250" t="s">
        <v>12</v>
      </c>
      <c r="C250" t="s">
        <v>8</v>
      </c>
      <c r="D250" t="s">
        <v>9</v>
      </c>
      <c r="E250" t="s">
        <v>24</v>
      </c>
      <c r="F250">
        <v>895.43</v>
      </c>
      <c r="G250">
        <v>15333</v>
      </c>
      <c r="H250">
        <v>2570.54</v>
      </c>
      <c r="I250">
        <v>41.07</v>
      </c>
      <c r="J250">
        <f>IFERROR(INDEX(Suppliar[Estimated Carbon Footprint (tons CO₂e)],MATCH('Merge operational &amp; suppliar'!A250,Suppliar[Facility ID],0)),"")</f>
        <v>390.06</v>
      </c>
      <c r="K250">
        <f>IFERROR(INDEX(Suppliar[Income Distribution (%)],MATCH('Merge operational &amp; suppliar'!A250,Suppliar[Facility ID],0)),"")</f>
        <v>31.43</v>
      </c>
    </row>
    <row r="251" spans="1:11" x14ac:dyDescent="0.3">
      <c r="A251" t="s">
        <v>94</v>
      </c>
      <c r="B251" t="s">
        <v>7</v>
      </c>
      <c r="C251" t="s">
        <v>23</v>
      </c>
      <c r="D251" t="s">
        <v>9</v>
      </c>
      <c r="E251" t="s">
        <v>24</v>
      </c>
      <c r="F251">
        <v>1949.1</v>
      </c>
      <c r="G251">
        <v>26338</v>
      </c>
      <c r="H251">
        <v>578.73</v>
      </c>
      <c r="I251">
        <v>72.52</v>
      </c>
      <c r="J251">
        <f>IFERROR(INDEX(Suppliar[Estimated Carbon Footprint (tons CO₂e)],MATCH('Merge operational &amp; suppliar'!A251,Suppliar[Facility ID],0)),"")</f>
        <v>991.36</v>
      </c>
      <c r="K251">
        <f>IFERROR(INDEX(Suppliar[Income Distribution (%)],MATCH('Merge operational &amp; suppliar'!A251,Suppliar[Facility ID],0)),"")</f>
        <v>35.39</v>
      </c>
    </row>
    <row r="252" spans="1:11" x14ac:dyDescent="0.3">
      <c r="A252" t="s">
        <v>29</v>
      </c>
      <c r="B252" t="s">
        <v>30</v>
      </c>
      <c r="C252" t="s">
        <v>23</v>
      </c>
      <c r="D252" t="s">
        <v>28</v>
      </c>
      <c r="E252" t="s">
        <v>24</v>
      </c>
      <c r="F252">
        <v>3777.75</v>
      </c>
      <c r="G252">
        <v>32131</v>
      </c>
      <c r="H252">
        <v>1474.23</v>
      </c>
      <c r="I252">
        <v>45.47</v>
      </c>
      <c r="J252">
        <f>IFERROR(INDEX(Suppliar[Estimated Carbon Footprint (tons CO₂e)],MATCH('Merge operational &amp; suppliar'!A252,Suppliar[Facility ID],0)),"")</f>
        <v>830.73</v>
      </c>
      <c r="K252">
        <f>IFERROR(INDEX(Suppliar[Income Distribution (%)],MATCH('Merge operational &amp; suppliar'!A252,Suppliar[Facility ID],0)),"")</f>
        <v>17.97</v>
      </c>
    </row>
    <row r="253" spans="1:11" x14ac:dyDescent="0.3">
      <c r="A253" t="s">
        <v>35</v>
      </c>
      <c r="B253" t="s">
        <v>19</v>
      </c>
      <c r="C253" t="s">
        <v>13</v>
      </c>
      <c r="D253" t="s">
        <v>14</v>
      </c>
      <c r="E253" t="s">
        <v>24</v>
      </c>
      <c r="F253">
        <v>3625.63</v>
      </c>
      <c r="G253">
        <v>42382</v>
      </c>
      <c r="H253">
        <v>5116.6899999999996</v>
      </c>
      <c r="I253">
        <v>80.42</v>
      </c>
      <c r="J253">
        <f>IFERROR(INDEX(Suppliar[Estimated Carbon Footprint (tons CO₂e)],MATCH('Merge operational &amp; suppliar'!A253,Suppliar[Facility ID],0)),"")</f>
        <v>626.54</v>
      </c>
      <c r="K253">
        <f>IFERROR(INDEX(Suppliar[Income Distribution (%)],MATCH('Merge operational &amp; suppliar'!A253,Suppliar[Facility ID],0)),"")</f>
        <v>70.540000000000006</v>
      </c>
    </row>
    <row r="254" spans="1:11" x14ac:dyDescent="0.3">
      <c r="A254" t="s">
        <v>18</v>
      </c>
      <c r="B254" t="s">
        <v>19</v>
      </c>
      <c r="C254" t="s">
        <v>34</v>
      </c>
      <c r="D254" t="s">
        <v>14</v>
      </c>
      <c r="E254" t="s">
        <v>24</v>
      </c>
      <c r="F254">
        <v>2991.57</v>
      </c>
      <c r="G254">
        <v>98682</v>
      </c>
      <c r="H254">
        <v>6220.56</v>
      </c>
      <c r="I254">
        <v>70.099999999999994</v>
      </c>
      <c r="J254">
        <f>IFERROR(INDEX(Suppliar[Estimated Carbon Footprint (tons CO₂e)],MATCH('Merge operational &amp; suppliar'!A254,Suppliar[Facility ID],0)),"")</f>
        <v>724.63</v>
      </c>
      <c r="K254">
        <f>IFERROR(INDEX(Suppliar[Income Distribution (%)],MATCH('Merge operational &amp; suppliar'!A254,Suppliar[Facility ID],0)),"")</f>
        <v>27.81</v>
      </c>
    </row>
    <row r="255" spans="1:11" x14ac:dyDescent="0.3">
      <c r="A255" t="s">
        <v>65</v>
      </c>
      <c r="B255" t="s">
        <v>30</v>
      </c>
      <c r="C255" t="s">
        <v>8</v>
      </c>
      <c r="D255" t="s">
        <v>14</v>
      </c>
      <c r="E255" t="s">
        <v>15</v>
      </c>
      <c r="F255">
        <v>1016.04</v>
      </c>
      <c r="G255">
        <v>99026</v>
      </c>
      <c r="H255">
        <v>5453.2</v>
      </c>
      <c r="I255">
        <v>57.49</v>
      </c>
      <c r="J255">
        <f>IFERROR(INDEX(Suppliar[Estimated Carbon Footprint (tons CO₂e)],MATCH('Merge operational &amp; suppliar'!A255,Suppliar[Facility ID],0)),"")</f>
        <v>231.68</v>
      </c>
      <c r="K255">
        <f>IFERROR(INDEX(Suppliar[Income Distribution (%)],MATCH('Merge operational &amp; suppliar'!A255,Suppliar[Facility ID],0)),"")</f>
        <v>24.26</v>
      </c>
    </row>
    <row r="256" spans="1:11" x14ac:dyDescent="0.3">
      <c r="A256" t="s">
        <v>156</v>
      </c>
      <c r="B256" t="s">
        <v>17</v>
      </c>
      <c r="C256" t="s">
        <v>13</v>
      </c>
      <c r="D256" t="s">
        <v>14</v>
      </c>
      <c r="E256" t="s">
        <v>24</v>
      </c>
      <c r="F256">
        <v>162.68</v>
      </c>
      <c r="G256">
        <v>81057</v>
      </c>
      <c r="H256">
        <v>675.41</v>
      </c>
      <c r="I256">
        <v>55.44</v>
      </c>
      <c r="J256">
        <f>IFERROR(INDEX(Suppliar[Estimated Carbon Footprint (tons CO₂e)],MATCH('Merge operational &amp; suppliar'!A256,Suppliar[Facility ID],0)),"")</f>
        <v>847.51</v>
      </c>
      <c r="K256">
        <f>IFERROR(INDEX(Suppliar[Income Distribution (%)],MATCH('Merge operational &amp; suppliar'!A256,Suppliar[Facility ID],0)),"")</f>
        <v>28.03</v>
      </c>
    </row>
    <row r="257" spans="1:11" x14ac:dyDescent="0.3">
      <c r="A257" t="s">
        <v>48</v>
      </c>
      <c r="B257" t="s">
        <v>19</v>
      </c>
      <c r="C257" t="s">
        <v>23</v>
      </c>
      <c r="D257" t="s">
        <v>9</v>
      </c>
      <c r="E257" t="s">
        <v>10</v>
      </c>
      <c r="F257">
        <v>2442.29</v>
      </c>
      <c r="G257">
        <v>11952</v>
      </c>
      <c r="H257">
        <v>4637.74</v>
      </c>
      <c r="I257">
        <v>63.78</v>
      </c>
      <c r="J257">
        <f>IFERROR(INDEX(Suppliar[Estimated Carbon Footprint (tons CO₂e)],MATCH('Merge operational &amp; suppliar'!A257,Suppliar[Facility ID],0)),"")</f>
        <v>886.71</v>
      </c>
      <c r="K257">
        <f>IFERROR(INDEX(Suppliar[Income Distribution (%)],MATCH('Merge operational &amp; suppliar'!A257,Suppliar[Facility ID],0)),"")</f>
        <v>29.53</v>
      </c>
    </row>
    <row r="258" spans="1:11" x14ac:dyDescent="0.3">
      <c r="A258" t="s">
        <v>165</v>
      </c>
      <c r="B258" t="s">
        <v>7</v>
      </c>
      <c r="C258" t="s">
        <v>8</v>
      </c>
      <c r="D258" t="s">
        <v>14</v>
      </c>
      <c r="E258" t="s">
        <v>15</v>
      </c>
      <c r="F258">
        <v>2499.21</v>
      </c>
      <c r="G258">
        <v>32991</v>
      </c>
      <c r="H258">
        <v>8540.14</v>
      </c>
      <c r="I258">
        <v>37.75</v>
      </c>
      <c r="J258">
        <f>IFERROR(INDEX(Suppliar[Estimated Carbon Footprint (tons CO₂e)],MATCH('Merge operational &amp; suppliar'!A258,Suppliar[Facility ID],0)),"")</f>
        <v>268.16000000000003</v>
      </c>
      <c r="K258">
        <f>IFERROR(INDEX(Suppliar[Income Distribution (%)],MATCH('Merge operational &amp; suppliar'!A258,Suppliar[Facility ID],0)),"")</f>
        <v>9.08</v>
      </c>
    </row>
    <row r="259" spans="1:11" x14ac:dyDescent="0.3">
      <c r="A259" t="s">
        <v>156</v>
      </c>
      <c r="B259" t="s">
        <v>17</v>
      </c>
      <c r="C259" t="s">
        <v>13</v>
      </c>
      <c r="D259" t="s">
        <v>14</v>
      </c>
      <c r="E259" t="s">
        <v>15</v>
      </c>
      <c r="F259">
        <v>880</v>
      </c>
      <c r="G259">
        <v>81057</v>
      </c>
      <c r="H259">
        <v>675.41</v>
      </c>
      <c r="I259">
        <v>55.44</v>
      </c>
      <c r="J259">
        <f>IFERROR(INDEX(Suppliar[Estimated Carbon Footprint (tons CO₂e)],MATCH('Merge operational &amp; suppliar'!A259,Suppliar[Facility ID],0)),"")</f>
        <v>847.51</v>
      </c>
      <c r="K259">
        <f>IFERROR(INDEX(Suppliar[Income Distribution (%)],MATCH('Merge operational &amp; suppliar'!A259,Suppliar[Facility ID],0)),"")</f>
        <v>28.03</v>
      </c>
    </row>
    <row r="260" spans="1:11" x14ac:dyDescent="0.3">
      <c r="A260" t="s">
        <v>166</v>
      </c>
      <c r="B260" t="s">
        <v>7</v>
      </c>
      <c r="C260" t="s">
        <v>8</v>
      </c>
      <c r="D260" t="s">
        <v>9</v>
      </c>
      <c r="E260" t="s">
        <v>24</v>
      </c>
      <c r="F260">
        <v>1240.92</v>
      </c>
      <c r="G260">
        <v>34318</v>
      </c>
      <c r="H260">
        <v>675.67</v>
      </c>
      <c r="I260">
        <v>41.05</v>
      </c>
      <c r="J260">
        <f>IFERROR(INDEX(Suppliar[Estimated Carbon Footprint (tons CO₂e)],MATCH('Merge operational &amp; suppliar'!A260,Suppliar[Facility ID],0)),"")</f>
        <v>390.06</v>
      </c>
      <c r="K260">
        <f>IFERROR(INDEX(Suppliar[Income Distribution (%)],MATCH('Merge operational &amp; suppliar'!A260,Suppliar[Facility ID],0)),"")</f>
        <v>27.42</v>
      </c>
    </row>
    <row r="261" spans="1:11" x14ac:dyDescent="0.3">
      <c r="A261" t="s">
        <v>47</v>
      </c>
      <c r="B261" t="s">
        <v>30</v>
      </c>
      <c r="C261" t="s">
        <v>23</v>
      </c>
      <c r="D261" t="s">
        <v>14</v>
      </c>
      <c r="E261" t="s">
        <v>15</v>
      </c>
      <c r="F261">
        <v>960.86</v>
      </c>
      <c r="G261">
        <v>53661</v>
      </c>
      <c r="H261">
        <v>6965.81</v>
      </c>
      <c r="I261">
        <v>69.400000000000006</v>
      </c>
      <c r="J261">
        <f>IFERROR(INDEX(Suppliar[Estimated Carbon Footprint (tons CO₂e)],MATCH('Merge operational &amp; suppliar'!A261,Suppliar[Facility ID],0)),"")</f>
        <v>610.79999999999995</v>
      </c>
      <c r="K261">
        <f>IFERROR(INDEX(Suppliar[Income Distribution (%)],MATCH('Merge operational &amp; suppliar'!A261,Suppliar[Facility ID],0)),"")</f>
        <v>29.15</v>
      </c>
    </row>
    <row r="262" spans="1:11" x14ac:dyDescent="0.3">
      <c r="A262" t="s">
        <v>20</v>
      </c>
      <c r="B262" t="s">
        <v>17</v>
      </c>
      <c r="C262" t="s">
        <v>8</v>
      </c>
      <c r="D262" t="s">
        <v>9</v>
      </c>
      <c r="E262" t="s">
        <v>15</v>
      </c>
      <c r="F262">
        <v>4165.4799999999996</v>
      </c>
      <c r="G262">
        <v>29895</v>
      </c>
      <c r="H262">
        <v>1631.08</v>
      </c>
      <c r="I262">
        <v>39.93</v>
      </c>
      <c r="J262">
        <f>IFERROR(INDEX(Suppliar[Estimated Carbon Footprint (tons CO₂e)],MATCH('Merge operational &amp; suppliar'!A262,Suppliar[Facility ID],0)),"")</f>
        <v>959.2</v>
      </c>
      <c r="K262">
        <f>IFERROR(INDEX(Suppliar[Income Distribution (%)],MATCH('Merge operational &amp; suppliar'!A262,Suppliar[Facility ID],0)),"")</f>
        <v>38.840000000000003</v>
      </c>
    </row>
    <row r="263" spans="1:11" x14ac:dyDescent="0.3">
      <c r="A263" t="s">
        <v>74</v>
      </c>
      <c r="B263" t="s">
        <v>19</v>
      </c>
      <c r="C263" t="s">
        <v>23</v>
      </c>
      <c r="D263" t="s">
        <v>28</v>
      </c>
      <c r="E263" t="s">
        <v>10</v>
      </c>
      <c r="F263">
        <v>2805.55</v>
      </c>
      <c r="G263">
        <v>18175</v>
      </c>
      <c r="H263">
        <v>8349.49</v>
      </c>
      <c r="I263">
        <v>39.97</v>
      </c>
      <c r="J263">
        <f>IFERROR(INDEX(Suppliar[Estimated Carbon Footprint (tons CO₂e)],MATCH('Merge operational &amp; suppliar'!A263,Suppliar[Facility ID],0)),"")</f>
        <v>818.45</v>
      </c>
      <c r="K263">
        <f>IFERROR(INDEX(Suppliar[Income Distribution (%)],MATCH('Merge operational &amp; suppliar'!A263,Suppliar[Facility ID],0)),"")</f>
        <v>19.04</v>
      </c>
    </row>
    <row r="264" spans="1:11" x14ac:dyDescent="0.3">
      <c r="A264" t="s">
        <v>163</v>
      </c>
      <c r="B264" t="s">
        <v>19</v>
      </c>
      <c r="C264" t="s">
        <v>13</v>
      </c>
      <c r="D264" t="s">
        <v>9</v>
      </c>
      <c r="E264" t="s">
        <v>24</v>
      </c>
      <c r="F264">
        <v>5115.68</v>
      </c>
      <c r="G264">
        <v>87482</v>
      </c>
      <c r="H264">
        <v>2231.7399999999998</v>
      </c>
      <c r="I264">
        <v>45.43</v>
      </c>
      <c r="J264">
        <f>IFERROR(INDEX(Suppliar[Estimated Carbon Footprint (tons CO₂e)],MATCH('Merge operational &amp; suppliar'!A264,Suppliar[Facility ID],0)),"")</f>
        <v>638.89</v>
      </c>
      <c r="K264">
        <f>IFERROR(INDEX(Suppliar[Income Distribution (%)],MATCH('Merge operational &amp; suppliar'!A264,Suppliar[Facility ID],0)),"")</f>
        <v>24.69</v>
      </c>
    </row>
    <row r="265" spans="1:11" x14ac:dyDescent="0.3">
      <c r="A265" t="s">
        <v>167</v>
      </c>
      <c r="B265" t="s">
        <v>30</v>
      </c>
      <c r="C265" t="s">
        <v>34</v>
      </c>
      <c r="D265" t="s">
        <v>9</v>
      </c>
      <c r="E265" t="s">
        <v>10</v>
      </c>
      <c r="F265">
        <v>771.92</v>
      </c>
      <c r="G265">
        <v>67213</v>
      </c>
      <c r="H265">
        <v>5533.81</v>
      </c>
      <c r="I265">
        <v>90.88</v>
      </c>
      <c r="J265">
        <f>IFERROR(INDEX(Suppliar[Estimated Carbon Footprint (tons CO₂e)],MATCH('Merge operational &amp; suppliar'!A265,Suppliar[Facility ID],0)),"")</f>
        <v>467.3</v>
      </c>
      <c r="K265">
        <f>IFERROR(INDEX(Suppliar[Income Distribution (%)],MATCH('Merge operational &amp; suppliar'!A265,Suppliar[Facility ID],0)),"")</f>
        <v>53.15</v>
      </c>
    </row>
    <row r="266" spans="1:11" x14ac:dyDescent="0.3">
      <c r="A266" t="s">
        <v>163</v>
      </c>
      <c r="B266" t="s">
        <v>19</v>
      </c>
      <c r="C266" t="s">
        <v>8</v>
      </c>
      <c r="D266" t="s">
        <v>28</v>
      </c>
      <c r="E266" t="s">
        <v>10</v>
      </c>
      <c r="F266">
        <v>2773.86</v>
      </c>
      <c r="G266">
        <v>87482</v>
      </c>
      <c r="H266">
        <v>2231.7399999999998</v>
      </c>
      <c r="I266">
        <v>45.43</v>
      </c>
      <c r="J266">
        <f>IFERROR(INDEX(Suppliar[Estimated Carbon Footprint (tons CO₂e)],MATCH('Merge operational &amp; suppliar'!A266,Suppliar[Facility ID],0)),"")</f>
        <v>638.89</v>
      </c>
      <c r="K266">
        <f>IFERROR(INDEX(Suppliar[Income Distribution (%)],MATCH('Merge operational &amp; suppliar'!A266,Suppliar[Facility ID],0)),"")</f>
        <v>24.69</v>
      </c>
    </row>
    <row r="267" spans="1:11" x14ac:dyDescent="0.3">
      <c r="A267" t="s">
        <v>168</v>
      </c>
      <c r="B267" t="s">
        <v>17</v>
      </c>
      <c r="C267" t="s">
        <v>34</v>
      </c>
      <c r="D267" t="s">
        <v>14</v>
      </c>
      <c r="E267" t="s">
        <v>10</v>
      </c>
      <c r="F267">
        <v>3950.71</v>
      </c>
      <c r="G267">
        <v>41050</v>
      </c>
      <c r="H267">
        <v>6025.84</v>
      </c>
      <c r="I267">
        <v>53.53</v>
      </c>
      <c r="J267">
        <f>IFERROR(INDEX(Suppliar[Estimated Carbon Footprint (tons CO₂e)],MATCH('Merge operational &amp; suppliar'!A267,Suppliar[Facility ID],0)),"")</f>
        <v>289.77</v>
      </c>
      <c r="K267">
        <f>IFERROR(INDEX(Suppliar[Income Distribution (%)],MATCH('Merge operational &amp; suppliar'!A267,Suppliar[Facility ID],0)),"")</f>
        <v>19.260000000000002</v>
      </c>
    </row>
    <row r="268" spans="1:11" x14ac:dyDescent="0.3">
      <c r="A268" t="s">
        <v>97</v>
      </c>
      <c r="B268" t="s">
        <v>7</v>
      </c>
      <c r="C268" t="s">
        <v>34</v>
      </c>
      <c r="D268" t="s">
        <v>28</v>
      </c>
      <c r="E268" t="s">
        <v>24</v>
      </c>
      <c r="F268">
        <v>2266.44</v>
      </c>
      <c r="G268">
        <v>78624</v>
      </c>
      <c r="H268">
        <v>2373.27</v>
      </c>
      <c r="I268">
        <v>25.07</v>
      </c>
      <c r="J268" t="str">
        <f>IFERROR(INDEX(Suppliar[Estimated Carbon Footprint (tons CO₂e)],MATCH('Merge operational &amp; suppliar'!A268,Suppliar[Facility ID],0)),"")</f>
        <v/>
      </c>
      <c r="K268" t="str">
        <f>IFERROR(INDEX(Suppliar[Income Distribution (%)],MATCH('Merge operational &amp; suppliar'!A268,Suppliar[Facility ID],0)),"")</f>
        <v/>
      </c>
    </row>
    <row r="269" spans="1:11" x14ac:dyDescent="0.3">
      <c r="A269" t="s">
        <v>46</v>
      </c>
      <c r="B269" t="s">
        <v>30</v>
      </c>
      <c r="C269" t="s">
        <v>23</v>
      </c>
      <c r="D269" t="s">
        <v>28</v>
      </c>
      <c r="E269" t="s">
        <v>24</v>
      </c>
      <c r="F269">
        <v>4964.76</v>
      </c>
      <c r="G269">
        <v>43490</v>
      </c>
      <c r="H269">
        <v>9300.8799999999992</v>
      </c>
      <c r="I269">
        <v>58.43</v>
      </c>
      <c r="J269">
        <f>IFERROR(INDEX(Suppliar[Estimated Carbon Footprint (tons CO₂e)],MATCH('Merge operational &amp; suppliar'!A269,Suppliar[Facility ID],0)),"")</f>
        <v>264.23</v>
      </c>
      <c r="K269">
        <f>IFERROR(INDEX(Suppliar[Income Distribution (%)],MATCH('Merge operational &amp; suppliar'!A269,Suppliar[Facility ID],0)),"")</f>
        <v>11.71</v>
      </c>
    </row>
    <row r="270" spans="1:11" x14ac:dyDescent="0.3">
      <c r="A270" t="s">
        <v>100</v>
      </c>
      <c r="B270" t="s">
        <v>7</v>
      </c>
      <c r="C270" t="s">
        <v>13</v>
      </c>
      <c r="D270" t="s">
        <v>14</v>
      </c>
      <c r="E270" t="s">
        <v>15</v>
      </c>
      <c r="F270">
        <v>2700.64</v>
      </c>
      <c r="G270">
        <v>17468</v>
      </c>
      <c r="H270">
        <v>6359.73</v>
      </c>
      <c r="I270">
        <v>5.22</v>
      </c>
      <c r="J270">
        <f>IFERROR(INDEX(Suppliar[Estimated Carbon Footprint (tons CO₂e)],MATCH('Merge operational &amp; suppliar'!A270,Suppliar[Facility ID],0)),"")</f>
        <v>959.2</v>
      </c>
      <c r="K270">
        <f>IFERROR(INDEX(Suppliar[Income Distribution (%)],MATCH('Merge operational &amp; suppliar'!A270,Suppliar[Facility ID],0)),"")</f>
        <v>36.92</v>
      </c>
    </row>
    <row r="271" spans="1:11" x14ac:dyDescent="0.3">
      <c r="A271" t="s">
        <v>132</v>
      </c>
      <c r="B271" t="s">
        <v>19</v>
      </c>
      <c r="C271" t="s">
        <v>8</v>
      </c>
      <c r="D271" t="s">
        <v>14</v>
      </c>
      <c r="E271" t="s">
        <v>10</v>
      </c>
      <c r="F271">
        <v>4643.79</v>
      </c>
      <c r="G271">
        <v>29860</v>
      </c>
      <c r="H271">
        <v>3956.23</v>
      </c>
      <c r="I271">
        <v>57.5</v>
      </c>
      <c r="J271">
        <f>IFERROR(INDEX(Suppliar[Estimated Carbon Footprint (tons CO₂e)],MATCH('Merge operational &amp; suppliar'!A271,Suppliar[Facility ID],0)),"")</f>
        <v>432.23</v>
      </c>
      <c r="K271">
        <f>IFERROR(INDEX(Suppliar[Income Distribution (%)],MATCH('Merge operational &amp; suppliar'!A271,Suppliar[Facility ID],0)),"")</f>
        <v>17.78</v>
      </c>
    </row>
    <row r="272" spans="1:11" x14ac:dyDescent="0.3">
      <c r="A272" t="s">
        <v>20</v>
      </c>
      <c r="B272" t="s">
        <v>17</v>
      </c>
      <c r="C272" t="s">
        <v>8</v>
      </c>
      <c r="D272" t="s">
        <v>9</v>
      </c>
      <c r="E272" t="s">
        <v>24</v>
      </c>
      <c r="F272">
        <v>4947.74</v>
      </c>
      <c r="G272">
        <v>29895</v>
      </c>
      <c r="H272">
        <v>1631.08</v>
      </c>
      <c r="I272">
        <v>39.93</v>
      </c>
      <c r="J272">
        <f>IFERROR(INDEX(Suppliar[Estimated Carbon Footprint (tons CO₂e)],MATCH('Merge operational &amp; suppliar'!A272,Suppliar[Facility ID],0)),"")</f>
        <v>959.2</v>
      </c>
      <c r="K272">
        <f>IFERROR(INDEX(Suppliar[Income Distribution (%)],MATCH('Merge operational &amp; suppliar'!A272,Suppliar[Facility ID],0)),"")</f>
        <v>38.840000000000003</v>
      </c>
    </row>
    <row r="273" spans="1:11" x14ac:dyDescent="0.3">
      <c r="A273" t="s">
        <v>107</v>
      </c>
      <c r="B273" t="s">
        <v>30</v>
      </c>
      <c r="C273" t="s">
        <v>8</v>
      </c>
      <c r="D273" t="s">
        <v>9</v>
      </c>
      <c r="E273" t="s">
        <v>10</v>
      </c>
      <c r="F273">
        <v>2116.65</v>
      </c>
      <c r="G273">
        <v>69305</v>
      </c>
      <c r="H273">
        <v>3203.67</v>
      </c>
      <c r="I273">
        <v>83.65</v>
      </c>
      <c r="J273">
        <f>IFERROR(INDEX(Suppliar[Estimated Carbon Footprint (tons CO₂e)],MATCH('Merge operational &amp; suppliar'!A273,Suppliar[Facility ID],0)),"")</f>
        <v>173.67</v>
      </c>
      <c r="K273">
        <f>IFERROR(INDEX(Suppliar[Income Distribution (%)],MATCH('Merge operational &amp; suppliar'!A273,Suppliar[Facility ID],0)),"")</f>
        <v>67.040000000000006</v>
      </c>
    </row>
    <row r="274" spans="1:11" x14ac:dyDescent="0.3">
      <c r="A274" t="s">
        <v>169</v>
      </c>
      <c r="B274" t="s">
        <v>12</v>
      </c>
      <c r="C274" t="s">
        <v>13</v>
      </c>
      <c r="D274" t="s">
        <v>14</v>
      </c>
      <c r="E274" t="s">
        <v>10</v>
      </c>
      <c r="F274">
        <v>425.91</v>
      </c>
      <c r="G274">
        <v>82377</v>
      </c>
      <c r="H274">
        <v>7974.74</v>
      </c>
      <c r="I274">
        <v>9.17</v>
      </c>
      <c r="J274" t="str">
        <f>IFERROR(INDEX(Suppliar[Estimated Carbon Footprint (tons CO₂e)],MATCH('Merge operational &amp; suppliar'!A274,Suppliar[Facility ID],0)),"")</f>
        <v/>
      </c>
      <c r="K274" t="str">
        <f>IFERROR(INDEX(Suppliar[Income Distribution (%)],MATCH('Merge operational &amp; suppliar'!A274,Suppliar[Facility ID],0)),"")</f>
        <v/>
      </c>
    </row>
    <row r="275" spans="1:11" x14ac:dyDescent="0.3">
      <c r="A275" t="s">
        <v>170</v>
      </c>
      <c r="B275" t="s">
        <v>12</v>
      </c>
      <c r="C275" t="s">
        <v>34</v>
      </c>
      <c r="D275" t="s">
        <v>28</v>
      </c>
      <c r="E275" t="s">
        <v>10</v>
      </c>
      <c r="F275">
        <v>466.45</v>
      </c>
      <c r="G275">
        <v>54133</v>
      </c>
      <c r="H275">
        <v>8543.68</v>
      </c>
      <c r="I275">
        <v>24</v>
      </c>
      <c r="J275">
        <f>IFERROR(INDEX(Suppliar[Estimated Carbon Footprint (tons CO₂e)],MATCH('Merge operational &amp; suppliar'!A275,Suppliar[Facility ID],0)),"")</f>
        <v>991.03</v>
      </c>
      <c r="K275">
        <f>IFERROR(INDEX(Suppliar[Income Distribution (%)],MATCH('Merge operational &amp; suppliar'!A275,Suppliar[Facility ID],0)),"")</f>
        <v>23.33</v>
      </c>
    </row>
    <row r="276" spans="1:11" x14ac:dyDescent="0.3">
      <c r="A276" t="s">
        <v>97</v>
      </c>
      <c r="B276" t="s">
        <v>7</v>
      </c>
      <c r="C276" t="s">
        <v>23</v>
      </c>
      <c r="D276" t="s">
        <v>28</v>
      </c>
      <c r="E276" t="s">
        <v>15</v>
      </c>
      <c r="F276">
        <v>1868.24</v>
      </c>
      <c r="G276">
        <v>78624</v>
      </c>
      <c r="H276">
        <v>2373.27</v>
      </c>
      <c r="I276">
        <v>25.07</v>
      </c>
      <c r="J276" t="str">
        <f>IFERROR(INDEX(Suppliar[Estimated Carbon Footprint (tons CO₂e)],MATCH('Merge operational &amp; suppliar'!A276,Suppliar[Facility ID],0)),"")</f>
        <v/>
      </c>
      <c r="K276" t="str">
        <f>IFERROR(INDEX(Suppliar[Income Distribution (%)],MATCH('Merge operational &amp; suppliar'!A276,Suppliar[Facility ID],0)),"")</f>
        <v/>
      </c>
    </row>
    <row r="277" spans="1:11" x14ac:dyDescent="0.3">
      <c r="A277" t="s">
        <v>156</v>
      </c>
      <c r="B277" t="s">
        <v>17</v>
      </c>
      <c r="C277" t="s">
        <v>13</v>
      </c>
      <c r="D277" t="s">
        <v>9</v>
      </c>
      <c r="E277" t="s">
        <v>10</v>
      </c>
      <c r="F277">
        <v>3497.35</v>
      </c>
      <c r="G277">
        <v>81057</v>
      </c>
      <c r="H277">
        <v>675.41</v>
      </c>
      <c r="I277">
        <v>55.44</v>
      </c>
      <c r="J277">
        <f>IFERROR(INDEX(Suppliar[Estimated Carbon Footprint (tons CO₂e)],MATCH('Merge operational &amp; suppliar'!A277,Suppliar[Facility ID],0)),"")</f>
        <v>847.51</v>
      </c>
      <c r="K277">
        <f>IFERROR(INDEX(Suppliar[Income Distribution (%)],MATCH('Merge operational &amp; suppliar'!A277,Suppliar[Facility ID],0)),"")</f>
        <v>28.03</v>
      </c>
    </row>
    <row r="278" spans="1:11" x14ac:dyDescent="0.3">
      <c r="A278" t="s">
        <v>25</v>
      </c>
      <c r="B278" t="s">
        <v>19</v>
      </c>
      <c r="C278" t="s">
        <v>8</v>
      </c>
      <c r="D278" t="s">
        <v>14</v>
      </c>
      <c r="E278" t="s">
        <v>15</v>
      </c>
      <c r="F278">
        <v>3774.06</v>
      </c>
      <c r="G278">
        <v>95306</v>
      </c>
      <c r="H278">
        <v>9037.76</v>
      </c>
      <c r="I278">
        <v>13.35</v>
      </c>
      <c r="J278">
        <f>IFERROR(INDEX(Suppliar[Estimated Carbon Footprint (tons CO₂e)],MATCH('Merge operational &amp; suppliar'!A278,Suppliar[Facility ID],0)),"")</f>
        <v>724.63</v>
      </c>
      <c r="K278">
        <f>IFERROR(INDEX(Suppliar[Income Distribution (%)],MATCH('Merge operational &amp; suppliar'!A278,Suppliar[Facility ID],0)),"")</f>
        <v>21.2</v>
      </c>
    </row>
    <row r="279" spans="1:11" x14ac:dyDescent="0.3">
      <c r="A279" t="s">
        <v>129</v>
      </c>
      <c r="B279" t="s">
        <v>17</v>
      </c>
      <c r="C279" t="s">
        <v>8</v>
      </c>
      <c r="D279" t="s">
        <v>28</v>
      </c>
      <c r="E279" t="s">
        <v>24</v>
      </c>
      <c r="F279">
        <v>518.79999999999995</v>
      </c>
      <c r="G279">
        <v>95292</v>
      </c>
      <c r="H279">
        <v>697.47</v>
      </c>
      <c r="I279">
        <v>88.35</v>
      </c>
      <c r="J279">
        <f>IFERROR(INDEX(Suppliar[Estimated Carbon Footprint (tons CO₂e)],MATCH('Merge operational &amp; suppliar'!A279,Suppliar[Facility ID],0)),"")</f>
        <v>114.57</v>
      </c>
      <c r="K279">
        <f>IFERROR(INDEX(Suppliar[Income Distribution (%)],MATCH('Merge operational &amp; suppliar'!A279,Suppliar[Facility ID],0)),"")</f>
        <v>36.04</v>
      </c>
    </row>
    <row r="280" spans="1:11" x14ac:dyDescent="0.3">
      <c r="A280" t="s">
        <v>171</v>
      </c>
      <c r="B280" t="s">
        <v>17</v>
      </c>
      <c r="C280" t="s">
        <v>8</v>
      </c>
      <c r="D280" t="s">
        <v>28</v>
      </c>
      <c r="E280" t="s">
        <v>15</v>
      </c>
      <c r="F280">
        <v>2317.02</v>
      </c>
      <c r="G280">
        <v>24502</v>
      </c>
      <c r="H280">
        <v>7466.86</v>
      </c>
      <c r="I280">
        <v>88.83</v>
      </c>
      <c r="J280">
        <f>IFERROR(INDEX(Suppliar[Estimated Carbon Footprint (tons CO₂e)],MATCH('Merge operational &amp; suppliar'!A280,Suppliar[Facility ID],0)),"")</f>
        <v>847.51</v>
      </c>
      <c r="K280">
        <f>IFERROR(INDEX(Suppliar[Income Distribution (%)],MATCH('Merge operational &amp; suppliar'!A280,Suppliar[Facility ID],0)),"")</f>
        <v>26.48</v>
      </c>
    </row>
    <row r="281" spans="1:11" x14ac:dyDescent="0.3">
      <c r="A281" t="s">
        <v>172</v>
      </c>
      <c r="B281" t="s">
        <v>7</v>
      </c>
      <c r="C281" t="s">
        <v>8</v>
      </c>
      <c r="D281" t="s">
        <v>14</v>
      </c>
      <c r="E281" t="s">
        <v>24</v>
      </c>
      <c r="F281">
        <v>3340.8</v>
      </c>
      <c r="G281">
        <v>68820</v>
      </c>
      <c r="H281">
        <v>9612.25</v>
      </c>
      <c r="I281">
        <v>83.51</v>
      </c>
      <c r="J281">
        <f>IFERROR(INDEX(Suppliar[Estimated Carbon Footprint (tons CO₂e)],MATCH('Merge operational &amp; suppliar'!A281,Suppliar[Facility ID],0)),"")</f>
        <v>867.66</v>
      </c>
      <c r="K281">
        <f>IFERROR(INDEX(Suppliar[Income Distribution (%)],MATCH('Merge operational &amp; suppliar'!A281,Suppliar[Facility ID],0)),"")</f>
        <v>18.88</v>
      </c>
    </row>
    <row r="282" spans="1:11" x14ac:dyDescent="0.3">
      <c r="A282" t="s">
        <v>173</v>
      </c>
      <c r="B282" t="s">
        <v>30</v>
      </c>
      <c r="C282" t="s">
        <v>13</v>
      </c>
      <c r="D282" t="s">
        <v>28</v>
      </c>
      <c r="E282" t="s">
        <v>15</v>
      </c>
      <c r="F282">
        <v>3888.93</v>
      </c>
      <c r="G282">
        <v>49620</v>
      </c>
      <c r="H282">
        <v>2424.31</v>
      </c>
      <c r="I282">
        <v>62.09</v>
      </c>
      <c r="J282">
        <f>IFERROR(INDEX(Suppliar[Estimated Carbon Footprint (tons CO₂e)],MATCH('Merge operational &amp; suppliar'!A282,Suppliar[Facility ID],0)),"")</f>
        <v>184.92</v>
      </c>
      <c r="K282">
        <f>IFERROR(INDEX(Suppliar[Income Distribution (%)],MATCH('Merge operational &amp; suppliar'!A282,Suppliar[Facility ID],0)),"")</f>
        <v>19.55</v>
      </c>
    </row>
    <row r="283" spans="1:11" x14ac:dyDescent="0.3">
      <c r="A283" t="s">
        <v>47</v>
      </c>
      <c r="B283" t="s">
        <v>30</v>
      </c>
      <c r="C283" t="s">
        <v>23</v>
      </c>
      <c r="D283" t="s">
        <v>9</v>
      </c>
      <c r="E283" t="s">
        <v>24</v>
      </c>
      <c r="F283">
        <v>4696.2299999999996</v>
      </c>
      <c r="G283">
        <v>53661</v>
      </c>
      <c r="H283">
        <v>6965.81</v>
      </c>
      <c r="I283">
        <v>69.400000000000006</v>
      </c>
      <c r="J283">
        <f>IFERROR(INDEX(Suppliar[Estimated Carbon Footprint (tons CO₂e)],MATCH('Merge operational &amp; suppliar'!A283,Suppliar[Facility ID],0)),"")</f>
        <v>610.79999999999995</v>
      </c>
      <c r="K283">
        <f>IFERROR(INDEX(Suppliar[Income Distribution (%)],MATCH('Merge operational &amp; suppliar'!A283,Suppliar[Facility ID],0)),"")</f>
        <v>29.15</v>
      </c>
    </row>
    <row r="284" spans="1:11" x14ac:dyDescent="0.3">
      <c r="A284" t="s">
        <v>44</v>
      </c>
      <c r="B284" t="s">
        <v>19</v>
      </c>
      <c r="C284" t="s">
        <v>23</v>
      </c>
      <c r="D284" t="s">
        <v>28</v>
      </c>
      <c r="E284" t="s">
        <v>15</v>
      </c>
      <c r="F284">
        <v>149.05000000000001</v>
      </c>
      <c r="G284">
        <v>16256</v>
      </c>
      <c r="H284">
        <v>2127.1799999999998</v>
      </c>
      <c r="I284">
        <v>38.94</v>
      </c>
      <c r="J284">
        <f>IFERROR(INDEX(Suppliar[Estimated Carbon Footprint (tons CO₂e)],MATCH('Merge operational &amp; suppliar'!A284,Suppliar[Facility ID],0)),"")</f>
        <v>796.34</v>
      </c>
      <c r="K284">
        <f>IFERROR(INDEX(Suppliar[Income Distribution (%)],MATCH('Merge operational &amp; suppliar'!A284,Suppliar[Facility ID],0)),"")</f>
        <v>66.41</v>
      </c>
    </row>
    <row r="285" spans="1:11" x14ac:dyDescent="0.3">
      <c r="A285" t="s">
        <v>77</v>
      </c>
      <c r="B285" t="s">
        <v>30</v>
      </c>
      <c r="C285" t="s">
        <v>13</v>
      </c>
      <c r="D285" t="s">
        <v>9</v>
      </c>
      <c r="E285" t="s">
        <v>24</v>
      </c>
      <c r="F285">
        <v>3665.95</v>
      </c>
      <c r="G285">
        <v>61942</v>
      </c>
      <c r="H285">
        <v>4891.32</v>
      </c>
      <c r="I285">
        <v>91.59</v>
      </c>
      <c r="J285">
        <f>IFERROR(INDEX(Suppliar[Estimated Carbon Footprint (tons CO₂e)],MATCH('Merge operational &amp; suppliar'!A285,Suppliar[Facility ID],0)),"")</f>
        <v>785.8</v>
      </c>
      <c r="K285">
        <f>IFERROR(INDEX(Suppliar[Income Distribution (%)],MATCH('Merge operational &amp; suppliar'!A285,Suppliar[Facility ID],0)),"")</f>
        <v>8.84</v>
      </c>
    </row>
    <row r="286" spans="1:11" x14ac:dyDescent="0.3">
      <c r="A286" t="s">
        <v>49</v>
      </c>
      <c r="B286" t="s">
        <v>19</v>
      </c>
      <c r="C286" t="s">
        <v>13</v>
      </c>
      <c r="D286" t="s">
        <v>14</v>
      </c>
      <c r="E286" t="s">
        <v>10</v>
      </c>
      <c r="F286">
        <v>4101.93</v>
      </c>
      <c r="G286">
        <v>50306</v>
      </c>
      <c r="H286">
        <v>7031.37</v>
      </c>
      <c r="I286">
        <v>13.27</v>
      </c>
      <c r="J286" t="str">
        <f>IFERROR(INDEX(Suppliar[Estimated Carbon Footprint (tons CO₂e)],MATCH('Merge operational &amp; suppliar'!A286,Suppliar[Facility ID],0)),"")</f>
        <v/>
      </c>
      <c r="K286" t="str">
        <f>IFERROR(INDEX(Suppliar[Income Distribution (%)],MATCH('Merge operational &amp; suppliar'!A286,Suppliar[Facility ID],0)),"")</f>
        <v/>
      </c>
    </row>
    <row r="287" spans="1:11" x14ac:dyDescent="0.3">
      <c r="A287" t="s">
        <v>123</v>
      </c>
      <c r="B287" t="s">
        <v>30</v>
      </c>
      <c r="C287" t="s">
        <v>34</v>
      </c>
      <c r="D287" t="s">
        <v>14</v>
      </c>
      <c r="E287" t="s">
        <v>24</v>
      </c>
      <c r="F287">
        <v>2897.14</v>
      </c>
      <c r="G287">
        <v>73977</v>
      </c>
      <c r="H287">
        <v>1646.75</v>
      </c>
      <c r="I287">
        <v>43.77</v>
      </c>
      <c r="J287" t="str">
        <f>IFERROR(INDEX(Suppliar[Estimated Carbon Footprint (tons CO₂e)],MATCH('Merge operational &amp; suppliar'!A287,Suppliar[Facility ID],0)),"")</f>
        <v/>
      </c>
      <c r="K287" t="str">
        <f>IFERROR(INDEX(Suppliar[Income Distribution (%)],MATCH('Merge operational &amp; suppliar'!A287,Suppliar[Facility ID],0)),"")</f>
        <v/>
      </c>
    </row>
    <row r="288" spans="1:11" x14ac:dyDescent="0.3">
      <c r="A288" t="s">
        <v>63</v>
      </c>
      <c r="B288" t="s">
        <v>12</v>
      </c>
      <c r="C288" t="s">
        <v>34</v>
      </c>
      <c r="D288" t="s">
        <v>14</v>
      </c>
      <c r="E288" t="s">
        <v>15</v>
      </c>
      <c r="F288">
        <v>828.73</v>
      </c>
      <c r="G288">
        <v>33688</v>
      </c>
      <c r="H288">
        <v>9495.48</v>
      </c>
      <c r="I288">
        <v>55.55</v>
      </c>
      <c r="J288">
        <f>IFERROR(INDEX(Suppliar[Estimated Carbon Footprint (tons CO₂e)],MATCH('Merge operational &amp; suppliar'!A288,Suppliar[Facility ID],0)),"")</f>
        <v>780.4</v>
      </c>
      <c r="K288">
        <f>IFERROR(INDEX(Suppliar[Income Distribution (%)],MATCH('Merge operational &amp; suppliar'!A288,Suppliar[Facility ID],0)),"")</f>
        <v>30.98</v>
      </c>
    </row>
    <row r="289" spans="1:11" x14ac:dyDescent="0.3">
      <c r="A289" t="s">
        <v>122</v>
      </c>
      <c r="B289" t="s">
        <v>19</v>
      </c>
      <c r="C289" t="s">
        <v>34</v>
      </c>
      <c r="D289" t="s">
        <v>28</v>
      </c>
      <c r="E289" t="s">
        <v>15</v>
      </c>
      <c r="F289">
        <v>3155.64</v>
      </c>
      <c r="G289">
        <v>95962</v>
      </c>
      <c r="H289">
        <v>524.72</v>
      </c>
      <c r="I289">
        <v>49.55</v>
      </c>
      <c r="J289">
        <f>IFERROR(INDEX(Suppliar[Estimated Carbon Footprint (tons CO₂e)],MATCH('Merge operational &amp; suppliar'!A289,Suppliar[Facility ID],0)),"")</f>
        <v>991.36</v>
      </c>
      <c r="K289">
        <f>IFERROR(INDEX(Suppliar[Income Distribution (%)],MATCH('Merge operational &amp; suppliar'!A289,Suppliar[Facility ID],0)),"")</f>
        <v>18.28</v>
      </c>
    </row>
    <row r="290" spans="1:11" x14ac:dyDescent="0.3">
      <c r="A290" t="s">
        <v>48</v>
      </c>
      <c r="B290" t="s">
        <v>19</v>
      </c>
      <c r="C290" t="s">
        <v>34</v>
      </c>
      <c r="D290" t="s">
        <v>14</v>
      </c>
      <c r="E290" t="s">
        <v>15</v>
      </c>
      <c r="F290">
        <v>3573.8</v>
      </c>
      <c r="G290">
        <v>11952</v>
      </c>
      <c r="H290">
        <v>4637.74</v>
      </c>
      <c r="I290">
        <v>63.78</v>
      </c>
      <c r="J290">
        <f>IFERROR(INDEX(Suppliar[Estimated Carbon Footprint (tons CO₂e)],MATCH('Merge operational &amp; suppliar'!A290,Suppliar[Facility ID],0)),"")</f>
        <v>886.71</v>
      </c>
      <c r="K290">
        <f>IFERROR(INDEX(Suppliar[Income Distribution (%)],MATCH('Merge operational &amp; suppliar'!A290,Suppliar[Facility ID],0)),"")</f>
        <v>29.53</v>
      </c>
    </row>
    <row r="291" spans="1:11" x14ac:dyDescent="0.3">
      <c r="A291" t="s">
        <v>145</v>
      </c>
      <c r="B291" t="s">
        <v>7</v>
      </c>
      <c r="C291" t="s">
        <v>8</v>
      </c>
      <c r="D291" t="s">
        <v>28</v>
      </c>
      <c r="E291" t="s">
        <v>24</v>
      </c>
      <c r="F291">
        <v>4315.67</v>
      </c>
      <c r="G291">
        <v>60710</v>
      </c>
      <c r="H291">
        <v>2726.26</v>
      </c>
      <c r="I291">
        <v>83.02</v>
      </c>
      <c r="J291">
        <f>IFERROR(INDEX(Suppliar[Estimated Carbon Footprint (tons CO₂e)],MATCH('Merge operational &amp; suppliar'!A291,Suppliar[Facility ID],0)),"")</f>
        <v>714.81</v>
      </c>
      <c r="K291">
        <f>IFERROR(INDEX(Suppliar[Income Distribution (%)],MATCH('Merge operational &amp; suppliar'!A291,Suppliar[Facility ID],0)),"")</f>
        <v>58.54</v>
      </c>
    </row>
    <row r="292" spans="1:11" x14ac:dyDescent="0.3">
      <c r="A292" t="s">
        <v>48</v>
      </c>
      <c r="B292" t="s">
        <v>19</v>
      </c>
      <c r="C292" t="s">
        <v>13</v>
      </c>
      <c r="D292" t="s">
        <v>14</v>
      </c>
      <c r="E292" t="s">
        <v>10</v>
      </c>
      <c r="F292">
        <v>265.31</v>
      </c>
      <c r="G292">
        <v>11952</v>
      </c>
      <c r="H292">
        <v>4637.74</v>
      </c>
      <c r="I292">
        <v>63.78</v>
      </c>
      <c r="J292">
        <f>IFERROR(INDEX(Suppliar[Estimated Carbon Footprint (tons CO₂e)],MATCH('Merge operational &amp; suppliar'!A292,Suppliar[Facility ID],0)),"")</f>
        <v>886.71</v>
      </c>
      <c r="K292">
        <f>IFERROR(INDEX(Suppliar[Income Distribution (%)],MATCH('Merge operational &amp; suppliar'!A292,Suppliar[Facility ID],0)),"")</f>
        <v>29.53</v>
      </c>
    </row>
    <row r="293" spans="1:11" x14ac:dyDescent="0.3">
      <c r="A293" t="s">
        <v>40</v>
      </c>
      <c r="B293" t="s">
        <v>19</v>
      </c>
      <c r="C293" t="s">
        <v>8</v>
      </c>
      <c r="D293" t="s">
        <v>28</v>
      </c>
      <c r="E293" t="s">
        <v>24</v>
      </c>
      <c r="F293">
        <v>392.52</v>
      </c>
      <c r="G293">
        <v>96474</v>
      </c>
      <c r="H293">
        <v>7574.39</v>
      </c>
      <c r="I293">
        <v>95.54</v>
      </c>
      <c r="J293">
        <f>IFERROR(INDEX(Suppliar[Estimated Carbon Footprint (tons CO₂e)],MATCH('Merge operational &amp; suppliar'!A293,Suppliar[Facility ID],0)),"")</f>
        <v>886.71</v>
      </c>
      <c r="K293">
        <f>IFERROR(INDEX(Suppliar[Income Distribution (%)],MATCH('Merge operational &amp; suppliar'!A293,Suppliar[Facility ID],0)),"")</f>
        <v>24.84</v>
      </c>
    </row>
    <row r="294" spans="1:11" x14ac:dyDescent="0.3">
      <c r="A294" t="s">
        <v>139</v>
      </c>
      <c r="B294" t="s">
        <v>7</v>
      </c>
      <c r="C294" t="s">
        <v>23</v>
      </c>
      <c r="D294" t="s">
        <v>28</v>
      </c>
      <c r="E294" t="s">
        <v>24</v>
      </c>
      <c r="F294">
        <v>3807.44</v>
      </c>
      <c r="G294">
        <v>10067</v>
      </c>
      <c r="H294">
        <v>1953.33</v>
      </c>
      <c r="I294">
        <v>25.15</v>
      </c>
      <c r="J294">
        <f>IFERROR(INDEX(Suppliar[Estimated Carbon Footprint (tons CO₂e)],MATCH('Merge operational &amp; suppliar'!A294,Suppliar[Facility ID],0)),"")</f>
        <v>785.8</v>
      </c>
      <c r="K294">
        <f>IFERROR(INDEX(Suppliar[Income Distribution (%)],MATCH('Merge operational &amp; suppliar'!A294,Suppliar[Facility ID],0)),"")</f>
        <v>19.649999999999999</v>
      </c>
    </row>
    <row r="295" spans="1:11" x14ac:dyDescent="0.3">
      <c r="A295" t="s">
        <v>90</v>
      </c>
      <c r="B295" t="s">
        <v>19</v>
      </c>
      <c r="C295" t="s">
        <v>8</v>
      </c>
      <c r="D295" t="s">
        <v>9</v>
      </c>
      <c r="E295" t="s">
        <v>24</v>
      </c>
      <c r="F295">
        <v>3118.18</v>
      </c>
      <c r="G295">
        <v>97337</v>
      </c>
      <c r="H295">
        <v>3362.06</v>
      </c>
      <c r="I295">
        <v>55.46</v>
      </c>
      <c r="J295">
        <f>IFERROR(INDEX(Suppliar[Estimated Carbon Footprint (tons CO₂e)],MATCH('Merge operational &amp; suppliar'!A295,Suppliar[Facility ID],0)),"")</f>
        <v>459.56</v>
      </c>
      <c r="K295">
        <f>IFERROR(INDEX(Suppliar[Income Distribution (%)],MATCH('Merge operational &amp; suppliar'!A295,Suppliar[Facility ID],0)),"")</f>
        <v>10.31</v>
      </c>
    </row>
    <row r="296" spans="1:11" x14ac:dyDescent="0.3">
      <c r="A296" t="s">
        <v>174</v>
      </c>
      <c r="B296" t="s">
        <v>19</v>
      </c>
      <c r="C296" t="s">
        <v>34</v>
      </c>
      <c r="D296" t="s">
        <v>14</v>
      </c>
      <c r="E296" t="s">
        <v>24</v>
      </c>
      <c r="F296">
        <v>1947.59</v>
      </c>
      <c r="G296">
        <v>66163</v>
      </c>
      <c r="H296">
        <v>1416.57</v>
      </c>
      <c r="I296">
        <v>68.73</v>
      </c>
      <c r="J296">
        <f>IFERROR(INDEX(Suppliar[Estimated Carbon Footprint (tons CO₂e)],MATCH('Merge operational &amp; suppliar'!A296,Suppliar[Facility ID],0)),"")</f>
        <v>773.96</v>
      </c>
      <c r="K296">
        <f>IFERROR(INDEX(Suppliar[Income Distribution (%)],MATCH('Merge operational &amp; suppliar'!A296,Suppliar[Facility ID],0)),"")</f>
        <v>29.26</v>
      </c>
    </row>
    <row r="297" spans="1:11" x14ac:dyDescent="0.3">
      <c r="A297" t="s">
        <v>175</v>
      </c>
      <c r="B297" t="s">
        <v>7</v>
      </c>
      <c r="C297" t="s">
        <v>8</v>
      </c>
      <c r="D297" t="s">
        <v>28</v>
      </c>
      <c r="E297" t="s">
        <v>24</v>
      </c>
      <c r="F297">
        <v>4464.43</v>
      </c>
      <c r="G297">
        <v>83923</v>
      </c>
      <c r="H297">
        <v>8768.7999999999993</v>
      </c>
      <c r="I297">
        <v>65.290000000000006</v>
      </c>
      <c r="J297">
        <f>IFERROR(INDEX(Suppliar[Estimated Carbon Footprint (tons CO₂e)],MATCH('Merge operational &amp; suppliar'!A297,Suppliar[Facility ID],0)),"")</f>
        <v>579.80999999999995</v>
      </c>
      <c r="K297">
        <f>IFERROR(INDEX(Suppliar[Income Distribution (%)],MATCH('Merge operational &amp; suppliar'!A297,Suppliar[Facility ID],0)),"")</f>
        <v>34.93</v>
      </c>
    </row>
    <row r="298" spans="1:11" x14ac:dyDescent="0.3">
      <c r="A298" t="s">
        <v>176</v>
      </c>
      <c r="B298" t="s">
        <v>19</v>
      </c>
      <c r="C298" t="s">
        <v>13</v>
      </c>
      <c r="D298" t="s">
        <v>14</v>
      </c>
      <c r="E298" t="s">
        <v>10</v>
      </c>
      <c r="F298">
        <v>2252.36</v>
      </c>
      <c r="G298">
        <v>10907</v>
      </c>
      <c r="H298">
        <v>4748.66</v>
      </c>
      <c r="I298">
        <v>39.36</v>
      </c>
      <c r="J298">
        <f>IFERROR(INDEX(Suppliar[Estimated Carbon Footprint (tons CO₂e)],MATCH('Merge operational &amp; suppliar'!A298,Suppliar[Facility ID],0)),"")</f>
        <v>986.62</v>
      </c>
      <c r="K298">
        <f>IFERROR(INDEX(Suppliar[Income Distribution (%)],MATCH('Merge operational &amp; suppliar'!A298,Suppliar[Facility ID],0)),"")</f>
        <v>17.04</v>
      </c>
    </row>
    <row r="299" spans="1:11" x14ac:dyDescent="0.3">
      <c r="A299" t="s">
        <v>64</v>
      </c>
      <c r="B299" t="s">
        <v>30</v>
      </c>
      <c r="C299" t="s">
        <v>8</v>
      </c>
      <c r="D299" t="s">
        <v>9</v>
      </c>
      <c r="E299" t="s">
        <v>15</v>
      </c>
      <c r="F299">
        <v>2203.84</v>
      </c>
      <c r="G299">
        <v>52836</v>
      </c>
      <c r="H299">
        <v>9330.2999999999993</v>
      </c>
      <c r="I299">
        <v>87.27</v>
      </c>
      <c r="J299" t="str">
        <f>IFERROR(INDEX(Suppliar[Estimated Carbon Footprint (tons CO₂e)],MATCH('Merge operational &amp; suppliar'!A299,Suppliar[Facility ID],0)),"")</f>
        <v/>
      </c>
      <c r="K299" t="str">
        <f>IFERROR(INDEX(Suppliar[Income Distribution (%)],MATCH('Merge operational &amp; suppliar'!A299,Suppliar[Facility ID],0)),"")</f>
        <v/>
      </c>
    </row>
    <row r="300" spans="1:11" x14ac:dyDescent="0.3">
      <c r="A300" t="s">
        <v>71</v>
      </c>
      <c r="B300" t="s">
        <v>7</v>
      </c>
      <c r="C300" t="s">
        <v>34</v>
      </c>
      <c r="D300" t="s">
        <v>14</v>
      </c>
      <c r="E300" t="s">
        <v>15</v>
      </c>
      <c r="F300">
        <v>673.38</v>
      </c>
      <c r="G300">
        <v>68018</v>
      </c>
      <c r="H300">
        <v>3523.4</v>
      </c>
      <c r="I300">
        <v>92.26</v>
      </c>
      <c r="J300">
        <f>IFERROR(INDEX(Suppliar[Estimated Carbon Footprint (tons CO₂e)],MATCH('Merge operational &amp; suppliar'!A300,Suppliar[Facility ID],0)),"")</f>
        <v>111.84</v>
      </c>
      <c r="K300">
        <f>IFERROR(INDEX(Suppliar[Income Distribution (%)],MATCH('Merge operational &amp; suppliar'!A300,Suppliar[Facility ID],0)),"")</f>
        <v>15.85</v>
      </c>
    </row>
    <row r="301" spans="1:11" x14ac:dyDescent="0.3">
      <c r="A301" t="s">
        <v>153</v>
      </c>
      <c r="B301" t="s">
        <v>7</v>
      </c>
      <c r="C301" t="s">
        <v>23</v>
      </c>
      <c r="D301" t="s">
        <v>28</v>
      </c>
      <c r="E301" t="s">
        <v>10</v>
      </c>
      <c r="F301">
        <v>3879.17</v>
      </c>
      <c r="G301">
        <v>21388</v>
      </c>
      <c r="H301">
        <v>5249.39</v>
      </c>
      <c r="I301">
        <v>64.2</v>
      </c>
      <c r="J301">
        <f>IFERROR(INDEX(Suppliar[Estimated Carbon Footprint (tons CO₂e)],MATCH('Merge operational &amp; suppliar'!A301,Suppliar[Facility ID],0)),"")</f>
        <v>571.66</v>
      </c>
      <c r="K301">
        <f>IFERROR(INDEX(Suppliar[Income Distribution (%)],MATCH('Merge operational &amp; suppliar'!A301,Suppliar[Facility ID],0)),"")</f>
        <v>17.87</v>
      </c>
    </row>
    <row r="302" spans="1:11" x14ac:dyDescent="0.3">
      <c r="A302" t="s">
        <v>150</v>
      </c>
      <c r="B302" t="s">
        <v>30</v>
      </c>
      <c r="C302" t="s">
        <v>8</v>
      </c>
      <c r="D302" t="s">
        <v>28</v>
      </c>
      <c r="E302" t="s">
        <v>15</v>
      </c>
      <c r="F302">
        <v>404.42</v>
      </c>
      <c r="G302">
        <v>98356</v>
      </c>
      <c r="H302">
        <v>6968.69</v>
      </c>
      <c r="I302">
        <v>81.72</v>
      </c>
      <c r="J302">
        <f>IFERROR(INDEX(Suppliar[Estimated Carbon Footprint (tons CO₂e)],MATCH('Merge operational &amp; suppliar'!A302,Suppliar[Facility ID],0)),"")</f>
        <v>795.74</v>
      </c>
      <c r="K302">
        <f>IFERROR(INDEX(Suppliar[Income Distribution (%)],MATCH('Merge operational &amp; suppliar'!A302,Suppliar[Facility ID],0)),"")</f>
        <v>22.41</v>
      </c>
    </row>
    <row r="303" spans="1:11" x14ac:dyDescent="0.3">
      <c r="A303" t="s">
        <v>82</v>
      </c>
      <c r="B303" t="s">
        <v>17</v>
      </c>
      <c r="C303" t="s">
        <v>23</v>
      </c>
      <c r="D303" t="s">
        <v>9</v>
      </c>
      <c r="E303" t="s">
        <v>24</v>
      </c>
      <c r="F303">
        <v>3415.97</v>
      </c>
      <c r="G303">
        <v>93409</v>
      </c>
      <c r="H303">
        <v>2375.83</v>
      </c>
      <c r="I303">
        <v>5.83</v>
      </c>
      <c r="J303" t="str">
        <f>IFERROR(INDEX(Suppliar[Estimated Carbon Footprint (tons CO₂e)],MATCH('Merge operational &amp; suppliar'!A303,Suppliar[Facility ID],0)),"")</f>
        <v/>
      </c>
      <c r="K303" t="str">
        <f>IFERROR(INDEX(Suppliar[Income Distribution (%)],MATCH('Merge operational &amp; suppliar'!A303,Suppliar[Facility ID],0)),"")</f>
        <v/>
      </c>
    </row>
    <row r="304" spans="1:11" x14ac:dyDescent="0.3">
      <c r="A304" t="s">
        <v>124</v>
      </c>
      <c r="B304" t="s">
        <v>12</v>
      </c>
      <c r="C304" t="s">
        <v>23</v>
      </c>
      <c r="D304" t="s">
        <v>9</v>
      </c>
      <c r="E304" t="s">
        <v>10</v>
      </c>
      <c r="F304">
        <v>3091.39</v>
      </c>
      <c r="G304">
        <v>47491</v>
      </c>
      <c r="H304">
        <v>5781.05</v>
      </c>
      <c r="I304">
        <v>92.18</v>
      </c>
      <c r="J304">
        <f>IFERROR(INDEX(Suppliar[Estimated Carbon Footprint (tons CO₂e)],MATCH('Merge operational &amp; suppliar'!A304,Suppliar[Facility ID],0)),"")</f>
        <v>344.93</v>
      </c>
      <c r="K304">
        <f>IFERROR(INDEX(Suppliar[Income Distribution (%)],MATCH('Merge operational &amp; suppliar'!A304,Suppliar[Facility ID],0)),"")</f>
        <v>36.229999999999997</v>
      </c>
    </row>
    <row r="305" spans="1:11" x14ac:dyDescent="0.3">
      <c r="A305" t="s">
        <v>66</v>
      </c>
      <c r="B305" t="s">
        <v>30</v>
      </c>
      <c r="C305" t="s">
        <v>23</v>
      </c>
      <c r="D305" t="s">
        <v>28</v>
      </c>
      <c r="E305" t="s">
        <v>24</v>
      </c>
      <c r="F305">
        <v>3216.77</v>
      </c>
      <c r="G305">
        <v>98396</v>
      </c>
      <c r="H305">
        <v>5174.07</v>
      </c>
      <c r="I305">
        <v>63.38</v>
      </c>
      <c r="J305">
        <f>IFERROR(INDEX(Suppliar[Estimated Carbon Footprint (tons CO₂e)],MATCH('Merge operational &amp; suppliar'!A305,Suppliar[Facility ID],0)),"")</f>
        <v>714.03</v>
      </c>
      <c r="K305">
        <f>IFERROR(INDEX(Suppliar[Income Distribution (%)],MATCH('Merge operational &amp; suppliar'!A305,Suppliar[Facility ID],0)),"")</f>
        <v>36.89</v>
      </c>
    </row>
    <row r="306" spans="1:11" x14ac:dyDescent="0.3">
      <c r="A306" t="s">
        <v>40</v>
      </c>
      <c r="B306" t="s">
        <v>19</v>
      </c>
      <c r="C306" t="s">
        <v>8</v>
      </c>
      <c r="D306" t="s">
        <v>9</v>
      </c>
      <c r="E306" t="s">
        <v>10</v>
      </c>
      <c r="F306">
        <v>2200.1999999999998</v>
      </c>
      <c r="G306">
        <v>96474</v>
      </c>
      <c r="H306">
        <v>7574.39</v>
      </c>
      <c r="I306">
        <v>95.54</v>
      </c>
      <c r="J306">
        <f>IFERROR(INDEX(Suppliar[Estimated Carbon Footprint (tons CO₂e)],MATCH('Merge operational &amp; suppliar'!A306,Suppliar[Facility ID],0)),"")</f>
        <v>886.71</v>
      </c>
      <c r="K306">
        <f>IFERROR(INDEX(Suppliar[Income Distribution (%)],MATCH('Merge operational &amp; suppliar'!A306,Suppliar[Facility ID],0)),"")</f>
        <v>24.84</v>
      </c>
    </row>
    <row r="307" spans="1:11" x14ac:dyDescent="0.3">
      <c r="A307" t="s">
        <v>72</v>
      </c>
      <c r="B307" t="s">
        <v>19</v>
      </c>
      <c r="C307" t="s">
        <v>8</v>
      </c>
      <c r="D307" t="s">
        <v>14</v>
      </c>
      <c r="E307" t="s">
        <v>15</v>
      </c>
      <c r="F307">
        <v>4874.88</v>
      </c>
      <c r="G307">
        <v>29318</v>
      </c>
      <c r="H307">
        <v>9860.6200000000008</v>
      </c>
      <c r="I307">
        <v>14.58</v>
      </c>
      <c r="J307">
        <f>IFERROR(INDEX(Suppliar[Estimated Carbon Footprint (tons CO₂e)],MATCH('Merge operational &amp; suppliar'!A307,Suppliar[Facility ID],0)),"")</f>
        <v>571.66</v>
      </c>
      <c r="K307">
        <f>IFERROR(INDEX(Suppliar[Income Distribution (%)],MATCH('Merge operational &amp; suppliar'!A307,Suppliar[Facility ID],0)),"")</f>
        <v>6.78</v>
      </c>
    </row>
    <row r="308" spans="1:11" x14ac:dyDescent="0.3">
      <c r="A308" t="s">
        <v>63</v>
      </c>
      <c r="B308" t="s">
        <v>12</v>
      </c>
      <c r="C308" t="s">
        <v>34</v>
      </c>
      <c r="D308" t="s">
        <v>14</v>
      </c>
      <c r="E308" t="s">
        <v>24</v>
      </c>
      <c r="F308">
        <v>3104.55</v>
      </c>
      <c r="G308">
        <v>33688</v>
      </c>
      <c r="H308">
        <v>9495.48</v>
      </c>
      <c r="I308">
        <v>55.55</v>
      </c>
      <c r="J308">
        <f>IFERROR(INDEX(Suppliar[Estimated Carbon Footprint (tons CO₂e)],MATCH('Merge operational &amp; suppliar'!A308,Suppliar[Facility ID],0)),"")</f>
        <v>780.4</v>
      </c>
      <c r="K308">
        <f>IFERROR(INDEX(Suppliar[Income Distribution (%)],MATCH('Merge operational &amp; suppliar'!A308,Suppliar[Facility ID],0)),"")</f>
        <v>30.98</v>
      </c>
    </row>
    <row r="309" spans="1:11" x14ac:dyDescent="0.3">
      <c r="A309" t="s">
        <v>62</v>
      </c>
      <c r="B309" t="s">
        <v>30</v>
      </c>
      <c r="C309" t="s">
        <v>8</v>
      </c>
      <c r="D309" t="s">
        <v>9</v>
      </c>
      <c r="E309" t="s">
        <v>24</v>
      </c>
      <c r="F309">
        <v>3500.32</v>
      </c>
      <c r="G309">
        <v>22309</v>
      </c>
      <c r="H309">
        <v>3656.29</v>
      </c>
      <c r="I309">
        <v>75.25</v>
      </c>
      <c r="J309">
        <f>IFERROR(INDEX(Suppliar[Estimated Carbon Footprint (tons CO₂e)],MATCH('Merge operational &amp; suppliar'!A309,Suppliar[Facility ID],0)),"")</f>
        <v>795.74</v>
      </c>
      <c r="K309">
        <f>IFERROR(INDEX(Suppliar[Income Distribution (%)],MATCH('Merge operational &amp; suppliar'!A309,Suppliar[Facility ID],0)),"")</f>
        <v>26.99</v>
      </c>
    </row>
    <row r="310" spans="1:11" x14ac:dyDescent="0.3">
      <c r="A310" t="s">
        <v>153</v>
      </c>
      <c r="B310" t="s">
        <v>7</v>
      </c>
      <c r="C310" t="s">
        <v>23</v>
      </c>
      <c r="D310" t="s">
        <v>9</v>
      </c>
      <c r="E310" t="s">
        <v>10</v>
      </c>
      <c r="F310">
        <v>3041.16</v>
      </c>
      <c r="G310">
        <v>21388</v>
      </c>
      <c r="H310">
        <v>5249.39</v>
      </c>
      <c r="I310">
        <v>64.2</v>
      </c>
      <c r="J310">
        <f>IFERROR(INDEX(Suppliar[Estimated Carbon Footprint (tons CO₂e)],MATCH('Merge operational &amp; suppliar'!A310,Suppliar[Facility ID],0)),"")</f>
        <v>571.66</v>
      </c>
      <c r="K310">
        <f>IFERROR(INDEX(Suppliar[Income Distribution (%)],MATCH('Merge operational &amp; suppliar'!A310,Suppliar[Facility ID],0)),"")</f>
        <v>17.87</v>
      </c>
    </row>
    <row r="311" spans="1:11" x14ac:dyDescent="0.3">
      <c r="A311" t="s">
        <v>177</v>
      </c>
      <c r="B311" t="s">
        <v>7</v>
      </c>
      <c r="C311" t="s">
        <v>8</v>
      </c>
      <c r="D311" t="s">
        <v>9</v>
      </c>
      <c r="E311" t="s">
        <v>10</v>
      </c>
      <c r="F311">
        <v>4584.16</v>
      </c>
      <c r="G311">
        <v>17097</v>
      </c>
      <c r="H311">
        <v>9061.7800000000007</v>
      </c>
      <c r="I311">
        <v>95.92</v>
      </c>
      <c r="J311">
        <f>IFERROR(INDEX(Suppliar[Estimated Carbon Footprint (tons CO₂e)],MATCH('Merge operational &amp; suppliar'!A311,Suppliar[Facility ID],0)),"")</f>
        <v>390.06</v>
      </c>
      <c r="K311">
        <f>IFERROR(INDEX(Suppliar[Income Distribution (%)],MATCH('Merge operational &amp; suppliar'!A311,Suppliar[Facility ID],0)),"")</f>
        <v>18.010000000000002</v>
      </c>
    </row>
    <row r="312" spans="1:11" x14ac:dyDescent="0.3">
      <c r="A312" t="s">
        <v>139</v>
      </c>
      <c r="B312" t="s">
        <v>7</v>
      </c>
      <c r="C312" t="s">
        <v>34</v>
      </c>
      <c r="D312" t="s">
        <v>9</v>
      </c>
      <c r="E312" t="s">
        <v>10</v>
      </c>
      <c r="F312">
        <v>3894.01</v>
      </c>
      <c r="G312">
        <v>10067</v>
      </c>
      <c r="H312">
        <v>1953.33</v>
      </c>
      <c r="I312">
        <v>25.15</v>
      </c>
      <c r="J312">
        <f>IFERROR(INDEX(Suppliar[Estimated Carbon Footprint (tons CO₂e)],MATCH('Merge operational &amp; suppliar'!A312,Suppliar[Facility ID],0)),"")</f>
        <v>785.8</v>
      </c>
      <c r="K312">
        <f>IFERROR(INDEX(Suppliar[Income Distribution (%)],MATCH('Merge operational &amp; suppliar'!A312,Suppliar[Facility ID],0)),"")</f>
        <v>19.649999999999999</v>
      </c>
    </row>
    <row r="313" spans="1:11" x14ac:dyDescent="0.3">
      <c r="A313" t="s">
        <v>62</v>
      </c>
      <c r="B313" t="s">
        <v>30</v>
      </c>
      <c r="C313" t="s">
        <v>13</v>
      </c>
      <c r="D313" t="s">
        <v>14</v>
      </c>
      <c r="E313" t="s">
        <v>10</v>
      </c>
      <c r="F313">
        <v>1782.56</v>
      </c>
      <c r="G313">
        <v>22309</v>
      </c>
      <c r="H313">
        <v>3656.29</v>
      </c>
      <c r="I313">
        <v>75.25</v>
      </c>
      <c r="J313">
        <f>IFERROR(INDEX(Suppliar[Estimated Carbon Footprint (tons CO₂e)],MATCH('Merge operational &amp; suppliar'!A313,Suppliar[Facility ID],0)),"")</f>
        <v>795.74</v>
      </c>
      <c r="K313">
        <f>IFERROR(INDEX(Suppliar[Income Distribution (%)],MATCH('Merge operational &amp; suppliar'!A313,Suppliar[Facility ID],0)),"")</f>
        <v>26.99</v>
      </c>
    </row>
    <row r="314" spans="1:11" x14ac:dyDescent="0.3">
      <c r="A314" t="s">
        <v>29</v>
      </c>
      <c r="B314" t="s">
        <v>30</v>
      </c>
      <c r="C314" t="s">
        <v>34</v>
      </c>
      <c r="D314" t="s">
        <v>28</v>
      </c>
      <c r="E314" t="s">
        <v>10</v>
      </c>
      <c r="F314">
        <v>4386.96</v>
      </c>
      <c r="G314">
        <v>32131</v>
      </c>
      <c r="H314">
        <v>1474.23</v>
      </c>
      <c r="I314">
        <v>45.47</v>
      </c>
      <c r="J314">
        <f>IFERROR(INDEX(Suppliar[Estimated Carbon Footprint (tons CO₂e)],MATCH('Merge operational &amp; suppliar'!A314,Suppliar[Facility ID],0)),"")</f>
        <v>830.73</v>
      </c>
      <c r="K314">
        <f>IFERROR(INDEX(Suppliar[Income Distribution (%)],MATCH('Merge operational &amp; suppliar'!A314,Suppliar[Facility ID],0)),"")</f>
        <v>17.97</v>
      </c>
    </row>
    <row r="315" spans="1:11" x14ac:dyDescent="0.3">
      <c r="A315" t="s">
        <v>113</v>
      </c>
      <c r="B315" t="s">
        <v>30</v>
      </c>
      <c r="C315" t="s">
        <v>8</v>
      </c>
      <c r="D315" t="s">
        <v>28</v>
      </c>
      <c r="E315" t="s">
        <v>24</v>
      </c>
      <c r="F315">
        <v>644.96</v>
      </c>
      <c r="G315">
        <v>90679</v>
      </c>
      <c r="H315">
        <v>7266.82</v>
      </c>
      <c r="I315">
        <v>23.3</v>
      </c>
      <c r="J315">
        <f>IFERROR(INDEX(Suppliar[Estimated Carbon Footprint (tons CO₂e)],MATCH('Merge operational &amp; suppliar'!A315,Suppliar[Facility ID],0)),"")</f>
        <v>943.59</v>
      </c>
      <c r="K315">
        <f>IFERROR(INDEX(Suppliar[Income Distribution (%)],MATCH('Merge operational &amp; suppliar'!A315,Suppliar[Facility ID],0)),"")</f>
        <v>15.81</v>
      </c>
    </row>
    <row r="316" spans="1:11" x14ac:dyDescent="0.3">
      <c r="A316" t="s">
        <v>178</v>
      </c>
      <c r="B316" t="s">
        <v>30</v>
      </c>
      <c r="C316" t="s">
        <v>34</v>
      </c>
      <c r="D316" t="s">
        <v>14</v>
      </c>
      <c r="E316" t="s">
        <v>10</v>
      </c>
      <c r="F316">
        <v>1942.26</v>
      </c>
      <c r="G316">
        <v>88188</v>
      </c>
      <c r="H316">
        <v>815.86</v>
      </c>
      <c r="I316">
        <v>57.53</v>
      </c>
      <c r="J316">
        <f>IFERROR(INDEX(Suppliar[Estimated Carbon Footprint (tons CO₂e)],MATCH('Merge operational &amp; suppliar'!A316,Suppliar[Facility ID],0)),"")</f>
        <v>557.72</v>
      </c>
      <c r="K316">
        <f>IFERROR(INDEX(Suppliar[Income Distribution (%)],MATCH('Merge operational &amp; suppliar'!A316,Suppliar[Facility ID],0)),"")</f>
        <v>37.25</v>
      </c>
    </row>
    <row r="317" spans="1:11" x14ac:dyDescent="0.3">
      <c r="A317" t="s">
        <v>81</v>
      </c>
      <c r="B317" t="s">
        <v>12</v>
      </c>
      <c r="C317" t="s">
        <v>34</v>
      </c>
      <c r="D317" t="s">
        <v>28</v>
      </c>
      <c r="E317" t="s">
        <v>10</v>
      </c>
      <c r="F317">
        <v>1990.87</v>
      </c>
      <c r="G317">
        <v>93661</v>
      </c>
      <c r="H317">
        <v>7324.58</v>
      </c>
      <c r="I317">
        <v>23.55</v>
      </c>
      <c r="J317">
        <f>IFERROR(INDEX(Suppliar[Estimated Carbon Footprint (tons CO₂e)],MATCH('Merge operational &amp; suppliar'!A317,Suppliar[Facility ID],0)),"")</f>
        <v>390.06</v>
      </c>
      <c r="K317">
        <f>IFERROR(INDEX(Suppliar[Income Distribution (%)],MATCH('Merge operational &amp; suppliar'!A317,Suppliar[Facility ID],0)),"")</f>
        <v>23.14</v>
      </c>
    </row>
    <row r="318" spans="1:11" x14ac:dyDescent="0.3">
      <c r="A318" t="s">
        <v>71</v>
      </c>
      <c r="B318" t="s">
        <v>7</v>
      </c>
      <c r="C318" t="s">
        <v>23</v>
      </c>
      <c r="D318" t="s">
        <v>14</v>
      </c>
      <c r="E318" t="s">
        <v>15</v>
      </c>
      <c r="F318">
        <v>3260.58</v>
      </c>
      <c r="G318">
        <v>68018</v>
      </c>
      <c r="H318">
        <v>3523.4</v>
      </c>
      <c r="I318">
        <v>92.26</v>
      </c>
      <c r="J318">
        <f>IFERROR(INDEX(Suppliar[Estimated Carbon Footprint (tons CO₂e)],MATCH('Merge operational &amp; suppliar'!A318,Suppliar[Facility ID],0)),"")</f>
        <v>111.84</v>
      </c>
      <c r="K318">
        <f>IFERROR(INDEX(Suppliar[Income Distribution (%)],MATCH('Merge operational &amp; suppliar'!A318,Suppliar[Facility ID],0)),"")</f>
        <v>15.85</v>
      </c>
    </row>
    <row r="319" spans="1:11" x14ac:dyDescent="0.3">
      <c r="A319" t="s">
        <v>50</v>
      </c>
      <c r="B319" t="s">
        <v>19</v>
      </c>
      <c r="C319" t="s">
        <v>34</v>
      </c>
      <c r="D319" t="s">
        <v>14</v>
      </c>
      <c r="E319" t="s">
        <v>10</v>
      </c>
      <c r="F319">
        <v>1079.0999999999999</v>
      </c>
      <c r="G319">
        <v>40577</v>
      </c>
      <c r="H319">
        <v>4280.82</v>
      </c>
      <c r="I319">
        <v>79.88</v>
      </c>
      <c r="J319">
        <f>IFERROR(INDEX(Suppliar[Estimated Carbon Footprint (tons CO₂e)],MATCH('Merge operational &amp; suppliar'!A319,Suppliar[Facility ID],0)),"")</f>
        <v>932.3</v>
      </c>
      <c r="K319">
        <f>IFERROR(INDEX(Suppliar[Income Distribution (%)],MATCH('Merge operational &amp; suppliar'!A319,Suppliar[Facility ID],0)),"")</f>
        <v>10.19</v>
      </c>
    </row>
    <row r="320" spans="1:11" x14ac:dyDescent="0.3">
      <c r="A320" t="s">
        <v>95</v>
      </c>
      <c r="B320" t="s">
        <v>30</v>
      </c>
      <c r="C320" t="s">
        <v>23</v>
      </c>
      <c r="D320" t="s">
        <v>28</v>
      </c>
      <c r="E320" t="s">
        <v>15</v>
      </c>
      <c r="F320">
        <v>2675.56</v>
      </c>
      <c r="G320">
        <v>51800</v>
      </c>
      <c r="H320">
        <v>3042.95</v>
      </c>
      <c r="I320">
        <v>71.87</v>
      </c>
      <c r="J320">
        <f>IFERROR(INDEX(Suppliar[Estimated Carbon Footprint (tons CO₂e)],MATCH('Merge operational &amp; suppliar'!A320,Suppliar[Facility ID],0)),"")</f>
        <v>714.03</v>
      </c>
      <c r="K320">
        <f>IFERROR(INDEX(Suppliar[Income Distribution (%)],MATCH('Merge operational &amp; suppliar'!A320,Suppliar[Facility ID],0)),"")</f>
        <v>10.84</v>
      </c>
    </row>
    <row r="321" spans="1:11" x14ac:dyDescent="0.3">
      <c r="A321" t="s">
        <v>11</v>
      </c>
      <c r="B321" t="s">
        <v>12</v>
      </c>
      <c r="C321" t="s">
        <v>13</v>
      </c>
      <c r="D321" t="s">
        <v>28</v>
      </c>
      <c r="E321" t="s">
        <v>15</v>
      </c>
      <c r="F321">
        <v>1583.52</v>
      </c>
      <c r="G321">
        <v>44657</v>
      </c>
      <c r="H321">
        <v>7867.98</v>
      </c>
      <c r="I321">
        <v>96.01</v>
      </c>
      <c r="J321">
        <f>IFERROR(INDEX(Suppliar[Estimated Carbon Footprint (tons CO₂e)],MATCH('Merge operational &amp; suppliar'!A321,Suppliar[Facility ID],0)),"")</f>
        <v>694.92</v>
      </c>
      <c r="K321">
        <f>IFERROR(INDEX(Suppliar[Income Distribution (%)],MATCH('Merge operational &amp; suppliar'!A321,Suppliar[Facility ID],0)),"")</f>
        <v>26.24</v>
      </c>
    </row>
    <row r="322" spans="1:11" x14ac:dyDescent="0.3">
      <c r="A322" t="s">
        <v>179</v>
      </c>
      <c r="B322" t="s">
        <v>7</v>
      </c>
      <c r="C322" t="s">
        <v>23</v>
      </c>
      <c r="D322" t="s">
        <v>28</v>
      </c>
      <c r="E322" t="s">
        <v>15</v>
      </c>
      <c r="F322">
        <v>4798.47</v>
      </c>
      <c r="G322">
        <v>94393</v>
      </c>
      <c r="H322">
        <v>6691.7</v>
      </c>
      <c r="I322">
        <v>74.790000000000006</v>
      </c>
      <c r="J322">
        <f>IFERROR(INDEX(Suppliar[Estimated Carbon Footprint (tons CO₂e)],MATCH('Merge operational &amp; suppliar'!A322,Suppliar[Facility ID],0)),"")</f>
        <v>867.66</v>
      </c>
      <c r="K322">
        <f>IFERROR(INDEX(Suppliar[Income Distribution (%)],MATCH('Merge operational &amp; suppliar'!A322,Suppliar[Facility ID],0)),"")</f>
        <v>32.97</v>
      </c>
    </row>
    <row r="323" spans="1:11" x14ac:dyDescent="0.3">
      <c r="A323" t="s">
        <v>148</v>
      </c>
      <c r="B323" t="s">
        <v>17</v>
      </c>
      <c r="C323" t="s">
        <v>13</v>
      </c>
      <c r="D323" t="s">
        <v>28</v>
      </c>
      <c r="E323" t="s">
        <v>24</v>
      </c>
      <c r="F323">
        <v>856.9</v>
      </c>
      <c r="G323">
        <v>44994</v>
      </c>
      <c r="H323">
        <v>7305.59</v>
      </c>
      <c r="I323">
        <v>91.53</v>
      </c>
      <c r="J323">
        <f>IFERROR(INDEX(Suppliar[Estimated Carbon Footprint (tons CO₂e)],MATCH('Merge operational &amp; suppliar'!A323,Suppliar[Facility ID],0)),"")</f>
        <v>790.74</v>
      </c>
      <c r="K323">
        <f>IFERROR(INDEX(Suppliar[Income Distribution (%)],MATCH('Merge operational &amp; suppliar'!A323,Suppliar[Facility ID],0)),"")</f>
        <v>27.44</v>
      </c>
    </row>
    <row r="324" spans="1:11" x14ac:dyDescent="0.3">
      <c r="A324" t="s">
        <v>44</v>
      </c>
      <c r="B324" t="s">
        <v>19</v>
      </c>
      <c r="C324" t="s">
        <v>8</v>
      </c>
      <c r="D324" t="s">
        <v>9</v>
      </c>
      <c r="E324" t="s">
        <v>10</v>
      </c>
      <c r="F324">
        <v>1158.6300000000001</v>
      </c>
      <c r="G324">
        <v>16256</v>
      </c>
      <c r="H324">
        <v>2127.1799999999998</v>
      </c>
      <c r="I324">
        <v>38.94</v>
      </c>
      <c r="J324">
        <f>IFERROR(INDEX(Suppliar[Estimated Carbon Footprint (tons CO₂e)],MATCH('Merge operational &amp; suppliar'!A324,Suppliar[Facility ID],0)),"")</f>
        <v>796.34</v>
      </c>
      <c r="K324">
        <f>IFERROR(INDEX(Suppliar[Income Distribution (%)],MATCH('Merge operational &amp; suppliar'!A324,Suppliar[Facility ID],0)),"")</f>
        <v>66.41</v>
      </c>
    </row>
    <row r="325" spans="1:11" x14ac:dyDescent="0.3">
      <c r="A325" t="s">
        <v>164</v>
      </c>
      <c r="B325" t="s">
        <v>19</v>
      </c>
      <c r="C325" t="s">
        <v>8</v>
      </c>
      <c r="D325" t="s">
        <v>9</v>
      </c>
      <c r="E325" t="s">
        <v>15</v>
      </c>
      <c r="F325">
        <v>5208.6099999999997</v>
      </c>
      <c r="G325">
        <v>69636</v>
      </c>
      <c r="H325">
        <v>4246.55</v>
      </c>
      <c r="I325">
        <v>69.290000000000006</v>
      </c>
      <c r="J325">
        <f>IFERROR(INDEX(Suppliar[Estimated Carbon Footprint (tons CO₂e)],MATCH('Merge operational &amp; suppliar'!A325,Suppliar[Facility ID],0)),"")</f>
        <v>362.43</v>
      </c>
      <c r="K325">
        <f>IFERROR(INDEX(Suppliar[Income Distribution (%)],MATCH('Merge operational &amp; suppliar'!A325,Suppliar[Facility ID],0)),"")</f>
        <v>54.81</v>
      </c>
    </row>
    <row r="326" spans="1:11" x14ac:dyDescent="0.3">
      <c r="A326" t="s">
        <v>180</v>
      </c>
      <c r="B326" t="s">
        <v>30</v>
      </c>
      <c r="C326" t="s">
        <v>8</v>
      </c>
      <c r="D326" t="s">
        <v>28</v>
      </c>
      <c r="E326" t="s">
        <v>15</v>
      </c>
      <c r="F326">
        <v>4745.3</v>
      </c>
      <c r="G326">
        <v>72846</v>
      </c>
      <c r="H326">
        <v>5169.53</v>
      </c>
      <c r="I326">
        <v>76.709999999999994</v>
      </c>
      <c r="J326" t="str">
        <f>IFERROR(INDEX(Suppliar[Estimated Carbon Footprint (tons CO₂e)],MATCH('Merge operational &amp; suppliar'!A326,Suppliar[Facility ID],0)),"")</f>
        <v/>
      </c>
      <c r="K326" t="str">
        <f>IFERROR(INDEX(Suppliar[Income Distribution (%)],MATCH('Merge operational &amp; suppliar'!A326,Suppliar[Facility ID],0)),"")</f>
        <v/>
      </c>
    </row>
    <row r="327" spans="1:11" x14ac:dyDescent="0.3">
      <c r="A327" t="s">
        <v>181</v>
      </c>
      <c r="B327" t="s">
        <v>30</v>
      </c>
      <c r="C327" t="s">
        <v>34</v>
      </c>
      <c r="D327" t="s">
        <v>9</v>
      </c>
      <c r="E327" t="s">
        <v>10</v>
      </c>
      <c r="F327">
        <v>693.43</v>
      </c>
      <c r="G327">
        <v>28704</v>
      </c>
      <c r="H327">
        <v>6009.24</v>
      </c>
      <c r="I327">
        <v>39.31</v>
      </c>
      <c r="J327">
        <f>IFERROR(INDEX(Suppliar[Estimated Carbon Footprint (tons CO₂e)],MATCH('Merge operational &amp; suppliar'!A327,Suppliar[Facility ID],0)),"")</f>
        <v>479.41</v>
      </c>
      <c r="K327">
        <f>IFERROR(INDEX(Suppliar[Income Distribution (%)],MATCH('Merge operational &amp; suppliar'!A327,Suppliar[Facility ID],0)),"")</f>
        <v>19.7</v>
      </c>
    </row>
    <row r="328" spans="1:11" x14ac:dyDescent="0.3">
      <c r="A328" t="s">
        <v>151</v>
      </c>
      <c r="B328" t="s">
        <v>12</v>
      </c>
      <c r="C328" t="s">
        <v>8</v>
      </c>
      <c r="D328" t="s">
        <v>14</v>
      </c>
      <c r="E328" t="s">
        <v>15</v>
      </c>
      <c r="F328">
        <v>3285.65</v>
      </c>
      <c r="G328">
        <v>61207</v>
      </c>
      <c r="H328">
        <v>6922.33</v>
      </c>
      <c r="I328">
        <v>9.1999999999999993</v>
      </c>
      <c r="J328" t="str">
        <f>IFERROR(INDEX(Suppliar[Estimated Carbon Footprint (tons CO₂e)],MATCH('Merge operational &amp; suppliar'!A328,Suppliar[Facility ID],0)),"")</f>
        <v/>
      </c>
      <c r="K328" t="str">
        <f>IFERROR(INDEX(Suppliar[Income Distribution (%)],MATCH('Merge operational &amp; suppliar'!A328,Suppliar[Facility ID],0)),"")</f>
        <v/>
      </c>
    </row>
    <row r="329" spans="1:11" x14ac:dyDescent="0.3">
      <c r="A329" t="s">
        <v>86</v>
      </c>
      <c r="B329" t="s">
        <v>19</v>
      </c>
      <c r="C329" t="s">
        <v>34</v>
      </c>
      <c r="D329" t="s">
        <v>28</v>
      </c>
      <c r="E329" t="s">
        <v>24</v>
      </c>
      <c r="F329">
        <v>2731.22</v>
      </c>
      <c r="G329">
        <v>56531</v>
      </c>
      <c r="H329">
        <v>8958.07</v>
      </c>
      <c r="I329">
        <v>83.44</v>
      </c>
      <c r="J329">
        <f>IFERROR(INDEX(Suppliar[Estimated Carbon Footprint (tons CO₂e)],MATCH('Merge operational &amp; suppliar'!A329,Suppliar[Facility ID],0)),"")</f>
        <v>943.59</v>
      </c>
      <c r="K329">
        <f>IFERROR(INDEX(Suppliar[Income Distribution (%)],MATCH('Merge operational &amp; suppliar'!A329,Suppliar[Facility ID],0)),"")</f>
        <v>23.54</v>
      </c>
    </row>
    <row r="330" spans="1:11" x14ac:dyDescent="0.3">
      <c r="A330" t="s">
        <v>96</v>
      </c>
      <c r="B330" t="s">
        <v>19</v>
      </c>
      <c r="C330" t="s">
        <v>8</v>
      </c>
      <c r="D330" t="s">
        <v>9</v>
      </c>
      <c r="E330" t="s">
        <v>10</v>
      </c>
      <c r="F330">
        <v>2767.54</v>
      </c>
      <c r="G330">
        <v>53942</v>
      </c>
      <c r="H330">
        <v>5904.31</v>
      </c>
      <c r="I330">
        <v>32.78</v>
      </c>
      <c r="J330">
        <f>IFERROR(INDEX(Suppliar[Estimated Carbon Footprint (tons CO₂e)],MATCH('Merge operational &amp; suppliar'!A330,Suppliar[Facility ID],0)),"")</f>
        <v>553.44000000000005</v>
      </c>
      <c r="K330">
        <f>IFERROR(INDEX(Suppliar[Income Distribution (%)],MATCH('Merge operational &amp; suppliar'!A330,Suppliar[Facility ID],0)),"")</f>
        <v>29.01</v>
      </c>
    </row>
    <row r="331" spans="1:11" x14ac:dyDescent="0.3">
      <c r="A331" t="s">
        <v>182</v>
      </c>
      <c r="B331" t="s">
        <v>12</v>
      </c>
      <c r="C331" t="s">
        <v>13</v>
      </c>
      <c r="D331" t="s">
        <v>28</v>
      </c>
      <c r="E331" t="s">
        <v>24</v>
      </c>
      <c r="F331">
        <v>1719.12</v>
      </c>
      <c r="G331">
        <v>21081</v>
      </c>
      <c r="H331">
        <v>9001.77</v>
      </c>
      <c r="I331">
        <v>49.27</v>
      </c>
      <c r="J331">
        <f>IFERROR(INDEX(Suppliar[Estimated Carbon Footprint (tons CO₂e)],MATCH('Merge operational &amp; suppliar'!A331,Suppliar[Facility ID],0)),"")</f>
        <v>114.57</v>
      </c>
      <c r="K331">
        <f>IFERROR(INDEX(Suppliar[Income Distribution (%)],MATCH('Merge operational &amp; suppliar'!A331,Suppliar[Facility ID],0)),"")</f>
        <v>44.17</v>
      </c>
    </row>
    <row r="332" spans="1:11" x14ac:dyDescent="0.3">
      <c r="A332" t="s">
        <v>45</v>
      </c>
      <c r="B332" t="s">
        <v>7</v>
      </c>
      <c r="C332" t="s">
        <v>34</v>
      </c>
      <c r="D332" t="s">
        <v>14</v>
      </c>
      <c r="E332" t="s">
        <v>24</v>
      </c>
      <c r="F332">
        <v>2475.83</v>
      </c>
      <c r="G332">
        <v>49924</v>
      </c>
      <c r="H332">
        <v>2199.16</v>
      </c>
      <c r="I332">
        <v>75.48</v>
      </c>
      <c r="J332">
        <f>IFERROR(INDEX(Suppliar[Estimated Carbon Footprint (tons CO₂e)],MATCH('Merge operational &amp; suppliar'!A332,Suppliar[Facility ID],0)),"")</f>
        <v>432.23</v>
      </c>
      <c r="K332">
        <f>IFERROR(INDEX(Suppliar[Income Distribution (%)],MATCH('Merge operational &amp; suppliar'!A332,Suppliar[Facility ID],0)),"")</f>
        <v>13.54</v>
      </c>
    </row>
    <row r="333" spans="1:11" x14ac:dyDescent="0.3">
      <c r="A333" t="s">
        <v>146</v>
      </c>
      <c r="B333" t="s">
        <v>7</v>
      </c>
      <c r="C333" t="s">
        <v>13</v>
      </c>
      <c r="D333" t="s">
        <v>9</v>
      </c>
      <c r="E333" t="s">
        <v>10</v>
      </c>
      <c r="F333">
        <v>891.04</v>
      </c>
      <c r="G333">
        <v>14170</v>
      </c>
      <c r="H333">
        <v>5455.23</v>
      </c>
      <c r="I333">
        <v>25.46</v>
      </c>
      <c r="J333">
        <f>IFERROR(INDEX(Suppliar[Estimated Carbon Footprint (tons CO₂e)],MATCH('Merge operational &amp; suppliar'!A333,Suppliar[Facility ID],0)),"")</f>
        <v>790.74</v>
      </c>
      <c r="K333">
        <f>IFERROR(INDEX(Suppliar[Income Distribution (%)],MATCH('Merge operational &amp; suppliar'!A333,Suppliar[Facility ID],0)),"")</f>
        <v>28.78</v>
      </c>
    </row>
    <row r="334" spans="1:11" x14ac:dyDescent="0.3">
      <c r="A334" t="s">
        <v>183</v>
      </c>
      <c r="B334" t="s">
        <v>7</v>
      </c>
      <c r="C334" t="s">
        <v>34</v>
      </c>
      <c r="D334" t="s">
        <v>14</v>
      </c>
      <c r="E334" t="s">
        <v>10</v>
      </c>
      <c r="F334">
        <v>4421.93</v>
      </c>
      <c r="G334">
        <v>14009</v>
      </c>
      <c r="H334">
        <v>7528.98</v>
      </c>
      <c r="I334">
        <v>77.62</v>
      </c>
      <c r="J334">
        <f>IFERROR(INDEX(Suppliar[Estimated Carbon Footprint (tons CO₂e)],MATCH('Merge operational &amp; suppliar'!A334,Suppliar[Facility ID],0)),"")</f>
        <v>763.97</v>
      </c>
      <c r="K334">
        <f>IFERROR(INDEX(Suppliar[Income Distribution (%)],MATCH('Merge operational &amp; suppliar'!A334,Suppliar[Facility ID],0)),"")</f>
        <v>24.91</v>
      </c>
    </row>
    <row r="335" spans="1:11" x14ac:dyDescent="0.3">
      <c r="A335" t="s">
        <v>46</v>
      </c>
      <c r="B335" t="s">
        <v>30</v>
      </c>
      <c r="C335" t="s">
        <v>23</v>
      </c>
      <c r="D335" t="s">
        <v>14</v>
      </c>
      <c r="E335" t="s">
        <v>10</v>
      </c>
      <c r="F335">
        <v>3545.18</v>
      </c>
      <c r="G335">
        <v>43490</v>
      </c>
      <c r="H335">
        <v>9300.8799999999992</v>
      </c>
      <c r="I335">
        <v>58.43</v>
      </c>
      <c r="J335">
        <f>IFERROR(INDEX(Suppliar[Estimated Carbon Footprint (tons CO₂e)],MATCH('Merge operational &amp; suppliar'!A335,Suppliar[Facility ID],0)),"")</f>
        <v>264.23</v>
      </c>
      <c r="K335">
        <f>IFERROR(INDEX(Suppliar[Income Distribution (%)],MATCH('Merge operational &amp; suppliar'!A335,Suppliar[Facility ID],0)),"")</f>
        <v>11.71</v>
      </c>
    </row>
    <row r="336" spans="1:11" x14ac:dyDescent="0.3">
      <c r="A336" t="s">
        <v>120</v>
      </c>
      <c r="B336" t="s">
        <v>30</v>
      </c>
      <c r="C336" t="s">
        <v>34</v>
      </c>
      <c r="D336" t="s">
        <v>14</v>
      </c>
      <c r="E336" t="s">
        <v>15</v>
      </c>
      <c r="F336">
        <v>3073.82</v>
      </c>
      <c r="G336">
        <v>79495</v>
      </c>
      <c r="H336">
        <v>7157.48</v>
      </c>
      <c r="I336">
        <v>26.84</v>
      </c>
      <c r="J336">
        <f>IFERROR(INDEX(Suppliar[Estimated Carbon Footprint (tons CO₂e)],MATCH('Merge operational &amp; suppliar'!A336,Suppliar[Facility ID],0)),"")</f>
        <v>114.57</v>
      </c>
      <c r="K336">
        <f>IFERROR(INDEX(Suppliar[Income Distribution (%)],MATCH('Merge operational &amp; suppliar'!A336,Suppliar[Facility ID],0)),"")</f>
        <v>9.83</v>
      </c>
    </row>
    <row r="337" spans="1:11" x14ac:dyDescent="0.3">
      <c r="A337" t="s">
        <v>146</v>
      </c>
      <c r="B337" t="s">
        <v>7</v>
      </c>
      <c r="C337" t="s">
        <v>13</v>
      </c>
      <c r="D337" t="s">
        <v>28</v>
      </c>
      <c r="E337" t="s">
        <v>15</v>
      </c>
      <c r="F337">
        <v>1458.83</v>
      </c>
      <c r="G337">
        <v>14170</v>
      </c>
      <c r="H337">
        <v>5455.23</v>
      </c>
      <c r="I337">
        <v>25.46</v>
      </c>
      <c r="J337">
        <f>IFERROR(INDEX(Suppliar[Estimated Carbon Footprint (tons CO₂e)],MATCH('Merge operational &amp; suppliar'!A337,Suppliar[Facility ID],0)),"")</f>
        <v>790.74</v>
      </c>
      <c r="K337">
        <f>IFERROR(INDEX(Suppliar[Income Distribution (%)],MATCH('Merge operational &amp; suppliar'!A337,Suppliar[Facility ID],0)),"")</f>
        <v>28.78</v>
      </c>
    </row>
    <row r="338" spans="1:11" x14ac:dyDescent="0.3">
      <c r="A338" t="s">
        <v>184</v>
      </c>
      <c r="B338" t="s">
        <v>30</v>
      </c>
      <c r="C338" t="s">
        <v>8</v>
      </c>
      <c r="D338" t="s">
        <v>28</v>
      </c>
      <c r="E338" t="s">
        <v>24</v>
      </c>
      <c r="F338">
        <v>3457.1</v>
      </c>
      <c r="G338">
        <v>13543</v>
      </c>
      <c r="H338">
        <v>7854.96</v>
      </c>
      <c r="I338">
        <v>85.57</v>
      </c>
      <c r="J338">
        <f>IFERROR(INDEX(Suppliar[Estimated Carbon Footprint (tons CO₂e)],MATCH('Merge operational &amp; suppliar'!A338,Suppliar[Facility ID],0)),"")</f>
        <v>610.79999999999995</v>
      </c>
      <c r="K338">
        <f>IFERROR(INDEX(Suppliar[Income Distribution (%)],MATCH('Merge operational &amp; suppliar'!A338,Suppliar[Facility ID],0)),"")</f>
        <v>30.04</v>
      </c>
    </row>
    <row r="339" spans="1:11" x14ac:dyDescent="0.3">
      <c r="A339" t="s">
        <v>52</v>
      </c>
      <c r="B339" t="s">
        <v>19</v>
      </c>
      <c r="C339" t="s">
        <v>8</v>
      </c>
      <c r="D339" t="s">
        <v>9</v>
      </c>
      <c r="E339" t="s">
        <v>15</v>
      </c>
      <c r="F339">
        <v>1857.37</v>
      </c>
      <c r="G339">
        <v>94949</v>
      </c>
      <c r="H339">
        <v>9714.76</v>
      </c>
      <c r="I339">
        <v>64.900000000000006</v>
      </c>
      <c r="J339">
        <f>IFERROR(INDEX(Suppliar[Estimated Carbon Footprint (tons CO₂e)],MATCH('Merge operational &amp; suppliar'!A339,Suppliar[Facility ID],0)),"")</f>
        <v>241.41</v>
      </c>
      <c r="K339">
        <f>IFERROR(INDEX(Suppliar[Income Distribution (%)],MATCH('Merge operational &amp; suppliar'!A339,Suppliar[Facility ID],0)),"")</f>
        <v>20.62</v>
      </c>
    </row>
    <row r="340" spans="1:11" x14ac:dyDescent="0.3">
      <c r="A340" t="s">
        <v>63</v>
      </c>
      <c r="B340" t="s">
        <v>12</v>
      </c>
      <c r="C340" t="s">
        <v>34</v>
      </c>
      <c r="D340" t="s">
        <v>9</v>
      </c>
      <c r="E340" t="s">
        <v>10</v>
      </c>
      <c r="F340">
        <v>877.73</v>
      </c>
      <c r="G340">
        <v>33688</v>
      </c>
      <c r="H340">
        <v>9495.48</v>
      </c>
      <c r="I340">
        <v>55.55</v>
      </c>
      <c r="J340">
        <f>IFERROR(INDEX(Suppliar[Estimated Carbon Footprint (tons CO₂e)],MATCH('Merge operational &amp; suppliar'!A340,Suppliar[Facility ID],0)),"")</f>
        <v>780.4</v>
      </c>
      <c r="K340">
        <f>IFERROR(INDEX(Suppliar[Income Distribution (%)],MATCH('Merge operational &amp; suppliar'!A340,Suppliar[Facility ID],0)),"")</f>
        <v>30.98</v>
      </c>
    </row>
    <row r="341" spans="1:11" x14ac:dyDescent="0.3">
      <c r="A341" t="s">
        <v>130</v>
      </c>
      <c r="B341" t="s">
        <v>12</v>
      </c>
      <c r="C341" t="s">
        <v>34</v>
      </c>
      <c r="D341" t="s">
        <v>9</v>
      </c>
      <c r="E341" t="s">
        <v>10</v>
      </c>
      <c r="F341">
        <v>1349.73</v>
      </c>
      <c r="G341">
        <v>82332</v>
      </c>
      <c r="H341">
        <v>7134.86</v>
      </c>
      <c r="I341">
        <v>22.44</v>
      </c>
      <c r="J341">
        <f>IFERROR(INDEX(Suppliar[Estimated Carbon Footprint (tons CO₂e)],MATCH('Merge operational &amp; suppliar'!A341,Suppliar[Facility ID],0)),"")</f>
        <v>553.44000000000005</v>
      </c>
      <c r="K341">
        <f>IFERROR(INDEX(Suppliar[Income Distribution (%)],MATCH('Merge operational &amp; suppliar'!A341,Suppliar[Facility ID],0)),"")</f>
        <v>13.24</v>
      </c>
    </row>
    <row r="342" spans="1:11" x14ac:dyDescent="0.3">
      <c r="A342" t="s">
        <v>54</v>
      </c>
      <c r="B342" t="s">
        <v>12</v>
      </c>
      <c r="C342" t="s">
        <v>34</v>
      </c>
      <c r="D342" t="s">
        <v>9</v>
      </c>
      <c r="E342" t="s">
        <v>24</v>
      </c>
      <c r="F342">
        <v>5028.9399999999996</v>
      </c>
      <c r="G342">
        <v>58111</v>
      </c>
      <c r="H342">
        <v>4610.8999999999996</v>
      </c>
      <c r="I342">
        <v>21.53</v>
      </c>
      <c r="J342">
        <f>IFERROR(INDEX(Suppliar[Estimated Carbon Footprint (tons CO₂e)],MATCH('Merge operational &amp; suppliar'!A342,Suppliar[Facility ID],0)),"")</f>
        <v>268.16000000000003</v>
      </c>
      <c r="K342">
        <f>IFERROR(INDEX(Suppliar[Income Distribution (%)],MATCH('Merge operational &amp; suppliar'!A342,Suppliar[Facility ID],0)),"")</f>
        <v>13.78</v>
      </c>
    </row>
    <row r="343" spans="1:11" x14ac:dyDescent="0.3">
      <c r="A343" t="s">
        <v>51</v>
      </c>
      <c r="B343" t="s">
        <v>30</v>
      </c>
      <c r="C343" t="s">
        <v>34</v>
      </c>
      <c r="D343" t="s">
        <v>9</v>
      </c>
      <c r="E343" t="s">
        <v>15</v>
      </c>
      <c r="F343">
        <v>4368.43</v>
      </c>
      <c r="G343">
        <v>44164</v>
      </c>
      <c r="H343">
        <v>3869.32</v>
      </c>
      <c r="I343">
        <v>13.81</v>
      </c>
      <c r="J343">
        <f>IFERROR(INDEX(Suppliar[Estimated Carbon Footprint (tons CO₂e)],MATCH('Merge operational &amp; suppliar'!A343,Suppliar[Facility ID],0)),"")</f>
        <v>943.59</v>
      </c>
      <c r="K343">
        <f>IFERROR(INDEX(Suppliar[Income Distribution (%)],MATCH('Merge operational &amp; suppliar'!A343,Suppliar[Facility ID],0)),"")</f>
        <v>16.02</v>
      </c>
    </row>
    <row r="344" spans="1:11" x14ac:dyDescent="0.3">
      <c r="A344" t="s">
        <v>22</v>
      </c>
      <c r="B344" t="s">
        <v>12</v>
      </c>
      <c r="C344" t="s">
        <v>23</v>
      </c>
      <c r="D344" t="s">
        <v>14</v>
      </c>
      <c r="E344" t="s">
        <v>15</v>
      </c>
      <c r="F344">
        <v>3793.84</v>
      </c>
      <c r="G344">
        <v>47484</v>
      </c>
      <c r="H344">
        <v>3396.39</v>
      </c>
      <c r="I344">
        <v>19.510000000000002</v>
      </c>
      <c r="J344">
        <f>IFERROR(INDEX(Suppliar[Estimated Carbon Footprint (tons CO₂e)],MATCH('Merge operational &amp; suppliar'!A344,Suppliar[Facility ID],0)),"")</f>
        <v>790.74</v>
      </c>
      <c r="K344">
        <f>IFERROR(INDEX(Suppliar[Income Distribution (%)],MATCH('Merge operational &amp; suppliar'!A344,Suppliar[Facility ID],0)),"")</f>
        <v>12.77</v>
      </c>
    </row>
    <row r="345" spans="1:11" x14ac:dyDescent="0.3">
      <c r="A345" t="s">
        <v>45</v>
      </c>
      <c r="B345" t="s">
        <v>7</v>
      </c>
      <c r="C345" t="s">
        <v>8</v>
      </c>
      <c r="D345" t="s">
        <v>28</v>
      </c>
      <c r="E345" t="s">
        <v>15</v>
      </c>
      <c r="F345">
        <v>944.95</v>
      </c>
      <c r="G345">
        <v>49924</v>
      </c>
      <c r="H345">
        <v>2199.16</v>
      </c>
      <c r="I345">
        <v>75.48</v>
      </c>
      <c r="J345">
        <f>IFERROR(INDEX(Suppliar[Estimated Carbon Footprint (tons CO₂e)],MATCH('Merge operational &amp; suppliar'!A345,Suppliar[Facility ID],0)),"")</f>
        <v>432.23</v>
      </c>
      <c r="K345">
        <f>IFERROR(INDEX(Suppliar[Income Distribution (%)],MATCH('Merge operational &amp; suppliar'!A345,Suppliar[Facility ID],0)),"")</f>
        <v>13.54</v>
      </c>
    </row>
    <row r="346" spans="1:11" x14ac:dyDescent="0.3">
      <c r="A346" t="s">
        <v>103</v>
      </c>
      <c r="B346" t="s">
        <v>19</v>
      </c>
      <c r="C346" t="s">
        <v>23</v>
      </c>
      <c r="D346" t="s">
        <v>9</v>
      </c>
      <c r="E346" t="s">
        <v>15</v>
      </c>
      <c r="F346">
        <v>2973.3</v>
      </c>
      <c r="G346">
        <v>38869</v>
      </c>
      <c r="H346">
        <v>5109.76</v>
      </c>
      <c r="I346">
        <v>35.270000000000003</v>
      </c>
      <c r="J346">
        <f>IFERROR(INDEX(Suppliar[Estimated Carbon Footprint (tons CO₂e)],MATCH('Merge operational &amp; suppliar'!A346,Suppliar[Facility ID],0)),"")</f>
        <v>986.62</v>
      </c>
      <c r="K346">
        <f>IFERROR(INDEX(Suppliar[Income Distribution (%)],MATCH('Merge operational &amp; suppliar'!A346,Suppliar[Facility ID],0)),"")</f>
        <v>40.86</v>
      </c>
    </row>
    <row r="347" spans="1:11" x14ac:dyDescent="0.3">
      <c r="A347" t="s">
        <v>110</v>
      </c>
      <c r="B347" t="s">
        <v>12</v>
      </c>
      <c r="C347" t="s">
        <v>8</v>
      </c>
      <c r="D347" t="s">
        <v>9</v>
      </c>
      <c r="E347" t="s">
        <v>24</v>
      </c>
      <c r="F347">
        <v>3422.23</v>
      </c>
      <c r="G347">
        <v>70481</v>
      </c>
      <c r="H347">
        <v>4452.83</v>
      </c>
      <c r="I347">
        <v>91.26</v>
      </c>
      <c r="J347" t="str">
        <f>IFERROR(INDEX(Suppliar[Estimated Carbon Footprint (tons CO₂e)],MATCH('Merge operational &amp; suppliar'!A347,Suppliar[Facility ID],0)),"")</f>
        <v/>
      </c>
      <c r="K347" t="str">
        <f>IFERROR(INDEX(Suppliar[Income Distribution (%)],MATCH('Merge operational &amp; suppliar'!A347,Suppliar[Facility ID],0)),"")</f>
        <v/>
      </c>
    </row>
    <row r="348" spans="1:11" x14ac:dyDescent="0.3">
      <c r="A348" t="s">
        <v>48</v>
      </c>
      <c r="B348" t="s">
        <v>19</v>
      </c>
      <c r="C348" t="s">
        <v>13</v>
      </c>
      <c r="D348" t="s">
        <v>28</v>
      </c>
      <c r="E348" t="s">
        <v>15</v>
      </c>
      <c r="F348">
        <v>3754.94</v>
      </c>
      <c r="G348">
        <v>11952</v>
      </c>
      <c r="H348">
        <v>4637.74</v>
      </c>
      <c r="I348">
        <v>63.78</v>
      </c>
      <c r="J348">
        <f>IFERROR(INDEX(Suppliar[Estimated Carbon Footprint (tons CO₂e)],MATCH('Merge operational &amp; suppliar'!A348,Suppliar[Facility ID],0)),"")</f>
        <v>886.71</v>
      </c>
      <c r="K348">
        <f>IFERROR(INDEX(Suppliar[Income Distribution (%)],MATCH('Merge operational &amp; suppliar'!A348,Suppliar[Facility ID],0)),"")</f>
        <v>29.53</v>
      </c>
    </row>
    <row r="349" spans="1:11" x14ac:dyDescent="0.3">
      <c r="A349" t="s">
        <v>172</v>
      </c>
      <c r="B349" t="s">
        <v>7</v>
      </c>
      <c r="C349" t="s">
        <v>8</v>
      </c>
      <c r="D349" t="s">
        <v>9</v>
      </c>
      <c r="E349" t="s">
        <v>24</v>
      </c>
      <c r="F349">
        <v>1213.47</v>
      </c>
      <c r="G349">
        <v>68820</v>
      </c>
      <c r="H349">
        <v>9612.25</v>
      </c>
      <c r="I349">
        <v>83.51</v>
      </c>
      <c r="J349">
        <f>IFERROR(INDEX(Suppliar[Estimated Carbon Footprint (tons CO₂e)],MATCH('Merge operational &amp; suppliar'!A349,Suppliar[Facility ID],0)),"")</f>
        <v>867.66</v>
      </c>
      <c r="K349">
        <f>IFERROR(INDEX(Suppliar[Income Distribution (%)],MATCH('Merge operational &amp; suppliar'!A349,Suppliar[Facility ID],0)),"")</f>
        <v>18.88</v>
      </c>
    </row>
    <row r="350" spans="1:11" x14ac:dyDescent="0.3">
      <c r="A350" t="s">
        <v>115</v>
      </c>
      <c r="B350" t="s">
        <v>19</v>
      </c>
      <c r="C350" t="s">
        <v>13</v>
      </c>
      <c r="D350" t="s">
        <v>28</v>
      </c>
      <c r="E350" t="s">
        <v>24</v>
      </c>
      <c r="F350">
        <v>358.65</v>
      </c>
      <c r="G350">
        <v>17162</v>
      </c>
      <c r="H350">
        <v>5079.95</v>
      </c>
      <c r="I350">
        <v>19.239999999999998</v>
      </c>
      <c r="J350">
        <f>IFERROR(INDEX(Suppliar[Estimated Carbon Footprint (tons CO₂e)],MATCH('Merge operational &amp; suppliar'!A350,Suppliar[Facility ID],0)),"")</f>
        <v>769.39</v>
      </c>
      <c r="K350">
        <f>IFERROR(INDEX(Suppliar[Income Distribution (%)],MATCH('Merge operational &amp; suppliar'!A350,Suppliar[Facility ID],0)),"")</f>
        <v>35.29</v>
      </c>
    </row>
    <row r="351" spans="1:11" x14ac:dyDescent="0.3">
      <c r="A351" t="s">
        <v>185</v>
      </c>
      <c r="B351" t="s">
        <v>30</v>
      </c>
      <c r="C351" t="s">
        <v>13</v>
      </c>
      <c r="D351" t="s">
        <v>14</v>
      </c>
      <c r="E351" t="s">
        <v>24</v>
      </c>
      <c r="F351">
        <v>3630.35</v>
      </c>
      <c r="G351">
        <v>24913</v>
      </c>
      <c r="H351">
        <v>5727.27</v>
      </c>
      <c r="I351">
        <v>78.849999999999994</v>
      </c>
      <c r="J351" t="str">
        <f>IFERROR(INDEX(Suppliar[Estimated Carbon Footprint (tons CO₂e)],MATCH('Merge operational &amp; suppliar'!A351,Suppliar[Facility ID],0)),"")</f>
        <v/>
      </c>
      <c r="K351" t="str">
        <f>IFERROR(INDEX(Suppliar[Income Distribution (%)],MATCH('Merge operational &amp; suppliar'!A351,Suppliar[Facility ID],0)),"")</f>
        <v/>
      </c>
    </row>
    <row r="352" spans="1:11" x14ac:dyDescent="0.3">
      <c r="A352" t="s">
        <v>172</v>
      </c>
      <c r="B352" t="s">
        <v>7</v>
      </c>
      <c r="C352" t="s">
        <v>23</v>
      </c>
      <c r="D352" t="s">
        <v>28</v>
      </c>
      <c r="E352" t="s">
        <v>10</v>
      </c>
      <c r="F352">
        <v>3966.5</v>
      </c>
      <c r="G352">
        <v>68820</v>
      </c>
      <c r="H352">
        <v>9612.25</v>
      </c>
      <c r="I352">
        <v>83.51</v>
      </c>
      <c r="J352">
        <f>IFERROR(INDEX(Suppliar[Estimated Carbon Footprint (tons CO₂e)],MATCH('Merge operational &amp; suppliar'!A352,Suppliar[Facility ID],0)),"")</f>
        <v>867.66</v>
      </c>
      <c r="K352">
        <f>IFERROR(INDEX(Suppliar[Income Distribution (%)],MATCH('Merge operational &amp; suppliar'!A352,Suppliar[Facility ID],0)),"")</f>
        <v>18.88</v>
      </c>
    </row>
    <row r="353" spans="1:11" x14ac:dyDescent="0.3">
      <c r="A353" t="s">
        <v>172</v>
      </c>
      <c r="B353" t="s">
        <v>7</v>
      </c>
      <c r="C353" t="s">
        <v>34</v>
      </c>
      <c r="D353" t="s">
        <v>9</v>
      </c>
      <c r="E353" t="s">
        <v>10</v>
      </c>
      <c r="F353">
        <v>3886.23</v>
      </c>
      <c r="G353">
        <v>68820</v>
      </c>
      <c r="H353">
        <v>9612.25</v>
      </c>
      <c r="I353">
        <v>83.51</v>
      </c>
      <c r="J353">
        <f>IFERROR(INDEX(Suppliar[Estimated Carbon Footprint (tons CO₂e)],MATCH('Merge operational &amp; suppliar'!A353,Suppliar[Facility ID],0)),"")</f>
        <v>867.66</v>
      </c>
      <c r="K353">
        <f>IFERROR(INDEX(Suppliar[Income Distribution (%)],MATCH('Merge operational &amp; suppliar'!A353,Suppliar[Facility ID],0)),"")</f>
        <v>18.88</v>
      </c>
    </row>
    <row r="354" spans="1:11" x14ac:dyDescent="0.3">
      <c r="A354" t="s">
        <v>186</v>
      </c>
      <c r="B354" t="s">
        <v>30</v>
      </c>
      <c r="C354" t="s">
        <v>23</v>
      </c>
      <c r="D354" t="s">
        <v>9</v>
      </c>
      <c r="E354" t="s">
        <v>10</v>
      </c>
      <c r="F354">
        <v>1898.18</v>
      </c>
      <c r="G354">
        <v>85868</v>
      </c>
      <c r="H354">
        <v>907.72</v>
      </c>
      <c r="I354">
        <v>90.36</v>
      </c>
      <c r="J354">
        <f>IFERROR(INDEX(Suppliar[Estimated Carbon Footprint (tons CO₂e)],MATCH('Merge operational &amp; suppliar'!A354,Suppliar[Facility ID],0)),"")</f>
        <v>960.4</v>
      </c>
      <c r="K354">
        <f>IFERROR(INDEX(Suppliar[Income Distribution (%)],MATCH('Merge operational &amp; suppliar'!A354,Suppliar[Facility ID],0)),"")</f>
        <v>10.65</v>
      </c>
    </row>
    <row r="355" spans="1:11" x14ac:dyDescent="0.3">
      <c r="A355" t="s">
        <v>110</v>
      </c>
      <c r="B355" t="s">
        <v>12</v>
      </c>
      <c r="C355" t="s">
        <v>23</v>
      </c>
      <c r="D355" t="s">
        <v>28</v>
      </c>
      <c r="E355" t="s">
        <v>15</v>
      </c>
      <c r="F355">
        <v>1366.72</v>
      </c>
      <c r="G355">
        <v>70481</v>
      </c>
      <c r="H355">
        <v>4452.83</v>
      </c>
      <c r="I355">
        <v>91.26</v>
      </c>
      <c r="J355" t="str">
        <f>IFERROR(INDEX(Suppliar[Estimated Carbon Footprint (tons CO₂e)],MATCH('Merge operational &amp; suppliar'!A355,Suppliar[Facility ID],0)),"")</f>
        <v/>
      </c>
      <c r="K355" t="str">
        <f>IFERROR(INDEX(Suppliar[Income Distribution (%)],MATCH('Merge operational &amp; suppliar'!A355,Suppliar[Facility ID],0)),"")</f>
        <v/>
      </c>
    </row>
    <row r="356" spans="1:11" x14ac:dyDescent="0.3">
      <c r="A356" t="s">
        <v>149</v>
      </c>
      <c r="B356" t="s">
        <v>17</v>
      </c>
      <c r="C356" t="s">
        <v>23</v>
      </c>
      <c r="D356" t="s">
        <v>9</v>
      </c>
      <c r="E356" t="s">
        <v>24</v>
      </c>
      <c r="F356">
        <v>1988.14</v>
      </c>
      <c r="G356">
        <v>49885</v>
      </c>
      <c r="H356">
        <v>6845.46</v>
      </c>
      <c r="I356">
        <v>58.4</v>
      </c>
      <c r="J356">
        <f>IFERROR(INDEX(Suppliar[Estimated Carbon Footprint (tons CO₂e)],MATCH('Merge operational &amp; suppliar'!A356,Suppliar[Facility ID],0)),"")</f>
        <v>341.24</v>
      </c>
      <c r="K356">
        <f>IFERROR(INDEX(Suppliar[Income Distribution (%)],MATCH('Merge operational &amp; suppliar'!A356,Suppliar[Facility ID],0)),"")</f>
        <v>19.309999999999999</v>
      </c>
    </row>
    <row r="357" spans="1:11" x14ac:dyDescent="0.3">
      <c r="A357" t="s">
        <v>157</v>
      </c>
      <c r="B357" t="s">
        <v>30</v>
      </c>
      <c r="C357" t="s">
        <v>13</v>
      </c>
      <c r="D357" t="s">
        <v>28</v>
      </c>
      <c r="E357" t="s">
        <v>15</v>
      </c>
      <c r="F357">
        <v>2529.38</v>
      </c>
      <c r="G357">
        <v>76544</v>
      </c>
      <c r="H357">
        <v>8632.77</v>
      </c>
      <c r="I357">
        <v>12.87</v>
      </c>
      <c r="J357">
        <f>IFERROR(INDEX(Suppliar[Estimated Carbon Footprint (tons CO₂e)],MATCH('Merge operational &amp; suppliar'!A357,Suppliar[Facility ID],0)),"")</f>
        <v>571.88</v>
      </c>
      <c r="K357">
        <f>IFERROR(INDEX(Suppliar[Income Distribution (%)],MATCH('Merge operational &amp; suppliar'!A357,Suppliar[Facility ID],0)),"")</f>
        <v>30.1</v>
      </c>
    </row>
    <row r="358" spans="1:11" x14ac:dyDescent="0.3">
      <c r="A358" t="s">
        <v>60</v>
      </c>
      <c r="B358" t="s">
        <v>12</v>
      </c>
      <c r="C358" t="s">
        <v>13</v>
      </c>
      <c r="D358" t="s">
        <v>28</v>
      </c>
      <c r="E358" t="s">
        <v>10</v>
      </c>
      <c r="F358">
        <v>3229.82</v>
      </c>
      <c r="G358">
        <v>25148</v>
      </c>
      <c r="H358">
        <v>9604.5499999999993</v>
      </c>
      <c r="I358">
        <v>63.47</v>
      </c>
      <c r="J358">
        <f>IFERROR(INDEX(Suppliar[Estimated Carbon Footprint (tons CO₂e)],MATCH('Merge operational &amp; suppliar'!A358,Suppliar[Facility ID],0)),"")</f>
        <v>209.33</v>
      </c>
      <c r="K358">
        <f>IFERROR(INDEX(Suppliar[Income Distribution (%)],MATCH('Merge operational &amp; suppliar'!A358,Suppliar[Facility ID],0)),"")</f>
        <v>30.01</v>
      </c>
    </row>
    <row r="359" spans="1:11" x14ac:dyDescent="0.3">
      <c r="A359" t="s">
        <v>54</v>
      </c>
      <c r="B359" t="s">
        <v>12</v>
      </c>
      <c r="C359" t="s">
        <v>13</v>
      </c>
      <c r="D359" t="s">
        <v>14</v>
      </c>
      <c r="E359" t="s">
        <v>24</v>
      </c>
      <c r="F359">
        <v>1835.81</v>
      </c>
      <c r="G359">
        <v>58111</v>
      </c>
      <c r="H359">
        <v>4610.8999999999996</v>
      </c>
      <c r="I359">
        <v>21.53</v>
      </c>
      <c r="J359">
        <f>IFERROR(INDEX(Suppliar[Estimated Carbon Footprint (tons CO₂e)],MATCH('Merge operational &amp; suppliar'!A359,Suppliar[Facility ID],0)),"")</f>
        <v>268.16000000000003</v>
      </c>
      <c r="K359">
        <f>IFERROR(INDEX(Suppliar[Income Distribution (%)],MATCH('Merge operational &amp; suppliar'!A359,Suppliar[Facility ID],0)),"")</f>
        <v>13.78</v>
      </c>
    </row>
    <row r="360" spans="1:11" x14ac:dyDescent="0.3">
      <c r="A360" t="s">
        <v>27</v>
      </c>
      <c r="B360" t="s">
        <v>12</v>
      </c>
      <c r="C360" t="s">
        <v>23</v>
      </c>
      <c r="D360" t="s">
        <v>9</v>
      </c>
      <c r="E360" t="s">
        <v>24</v>
      </c>
      <c r="F360">
        <v>4463.76</v>
      </c>
      <c r="G360">
        <v>91031</v>
      </c>
      <c r="H360">
        <v>1783.57</v>
      </c>
      <c r="I360">
        <v>32.049999999999997</v>
      </c>
      <c r="J360">
        <f>IFERROR(INDEX(Suppliar[Estimated Carbon Footprint (tons CO₂e)],MATCH('Merge operational &amp; suppliar'!A360,Suppliar[Facility ID],0)),"")</f>
        <v>532.27</v>
      </c>
      <c r="K360">
        <f>IFERROR(INDEX(Suppliar[Income Distribution (%)],MATCH('Merge operational &amp; suppliar'!A360,Suppliar[Facility ID],0)),"")</f>
        <v>15.2</v>
      </c>
    </row>
    <row r="361" spans="1:11" x14ac:dyDescent="0.3">
      <c r="A361" t="s">
        <v>134</v>
      </c>
      <c r="B361" t="s">
        <v>7</v>
      </c>
      <c r="C361" t="s">
        <v>13</v>
      </c>
      <c r="D361" t="s">
        <v>9</v>
      </c>
      <c r="E361" t="s">
        <v>10</v>
      </c>
      <c r="F361">
        <v>2646.59</v>
      </c>
      <c r="G361">
        <v>39568</v>
      </c>
      <c r="H361">
        <v>3580.54</v>
      </c>
      <c r="I361">
        <v>78.08</v>
      </c>
      <c r="J361">
        <f>IFERROR(INDEX(Suppliar[Estimated Carbon Footprint (tons CO₂e)],MATCH('Merge operational &amp; suppliar'!A361,Suppliar[Facility ID],0)),"")</f>
        <v>635.72</v>
      </c>
      <c r="K361">
        <f>IFERROR(INDEX(Suppliar[Income Distribution (%)],MATCH('Merge operational &amp; suppliar'!A361,Suppliar[Facility ID],0)),"")</f>
        <v>67.36</v>
      </c>
    </row>
    <row r="362" spans="1:11" x14ac:dyDescent="0.3">
      <c r="A362" t="s">
        <v>47</v>
      </c>
      <c r="B362" t="s">
        <v>30</v>
      </c>
      <c r="C362" t="s">
        <v>23</v>
      </c>
      <c r="D362" t="s">
        <v>9</v>
      </c>
      <c r="E362" t="s">
        <v>24</v>
      </c>
      <c r="F362">
        <v>3222.47</v>
      </c>
      <c r="G362">
        <v>53661</v>
      </c>
      <c r="H362">
        <v>6965.81</v>
      </c>
      <c r="I362">
        <v>69.400000000000006</v>
      </c>
      <c r="J362">
        <f>IFERROR(INDEX(Suppliar[Estimated Carbon Footprint (tons CO₂e)],MATCH('Merge operational &amp; suppliar'!A362,Suppliar[Facility ID],0)),"")</f>
        <v>610.79999999999995</v>
      </c>
      <c r="K362">
        <f>IFERROR(INDEX(Suppliar[Income Distribution (%)],MATCH('Merge operational &amp; suppliar'!A362,Suppliar[Facility ID],0)),"")</f>
        <v>29.15</v>
      </c>
    </row>
    <row r="363" spans="1:11" x14ac:dyDescent="0.3">
      <c r="A363" t="s">
        <v>126</v>
      </c>
      <c r="B363" t="s">
        <v>30</v>
      </c>
      <c r="C363" t="s">
        <v>23</v>
      </c>
      <c r="D363" t="s">
        <v>14</v>
      </c>
      <c r="E363" t="s">
        <v>10</v>
      </c>
      <c r="F363">
        <v>3493.4</v>
      </c>
      <c r="G363">
        <v>35506</v>
      </c>
      <c r="H363">
        <v>1892.04</v>
      </c>
      <c r="I363">
        <v>61.53</v>
      </c>
      <c r="J363" t="str">
        <f>IFERROR(INDEX(Suppliar[Estimated Carbon Footprint (tons CO₂e)],MATCH('Merge operational &amp; suppliar'!A363,Suppliar[Facility ID],0)),"")</f>
        <v/>
      </c>
      <c r="K363" t="str">
        <f>IFERROR(INDEX(Suppliar[Income Distribution (%)],MATCH('Merge operational &amp; suppliar'!A363,Suppliar[Facility ID],0)),"")</f>
        <v/>
      </c>
    </row>
    <row r="364" spans="1:11" x14ac:dyDescent="0.3">
      <c r="A364" t="s">
        <v>103</v>
      </c>
      <c r="B364" t="s">
        <v>19</v>
      </c>
      <c r="C364" t="s">
        <v>23</v>
      </c>
      <c r="D364" t="s">
        <v>28</v>
      </c>
      <c r="E364" t="s">
        <v>24</v>
      </c>
      <c r="F364">
        <v>871.61</v>
      </c>
      <c r="G364">
        <v>38869</v>
      </c>
      <c r="H364">
        <v>5109.76</v>
      </c>
      <c r="I364">
        <v>35.270000000000003</v>
      </c>
      <c r="J364">
        <f>IFERROR(INDEX(Suppliar[Estimated Carbon Footprint (tons CO₂e)],MATCH('Merge operational &amp; suppliar'!A364,Suppliar[Facility ID],0)),"")</f>
        <v>986.62</v>
      </c>
      <c r="K364">
        <f>IFERROR(INDEX(Suppliar[Income Distribution (%)],MATCH('Merge operational &amp; suppliar'!A364,Suppliar[Facility ID],0)),"")</f>
        <v>40.86</v>
      </c>
    </row>
    <row r="365" spans="1:11" x14ac:dyDescent="0.3">
      <c r="A365" t="s">
        <v>80</v>
      </c>
      <c r="B365" t="s">
        <v>17</v>
      </c>
      <c r="C365" t="s">
        <v>23</v>
      </c>
      <c r="D365" t="s">
        <v>28</v>
      </c>
      <c r="E365" t="s">
        <v>15</v>
      </c>
      <c r="F365">
        <v>407.43</v>
      </c>
      <c r="G365">
        <v>75508</v>
      </c>
      <c r="H365">
        <v>6856.22</v>
      </c>
      <c r="I365">
        <v>18.2</v>
      </c>
      <c r="J365">
        <f>IFERROR(INDEX(Suppliar[Estimated Carbon Footprint (tons CO₂e)],MATCH('Merge operational &amp; suppliar'!A365,Suppliar[Facility ID],0)),"")</f>
        <v>991.03</v>
      </c>
      <c r="K365">
        <f>IFERROR(INDEX(Suppliar[Income Distribution (%)],MATCH('Merge operational &amp; suppliar'!A365,Suppliar[Facility ID],0)),"")</f>
        <v>13.32</v>
      </c>
    </row>
    <row r="366" spans="1:11" x14ac:dyDescent="0.3">
      <c r="A366" t="s">
        <v>71</v>
      </c>
      <c r="B366" t="s">
        <v>7</v>
      </c>
      <c r="C366" t="s">
        <v>23</v>
      </c>
      <c r="D366" t="s">
        <v>28</v>
      </c>
      <c r="E366" t="s">
        <v>10</v>
      </c>
      <c r="F366">
        <v>4341.34</v>
      </c>
      <c r="G366">
        <v>68018</v>
      </c>
      <c r="H366">
        <v>3523.4</v>
      </c>
      <c r="I366">
        <v>92.26</v>
      </c>
      <c r="J366">
        <f>IFERROR(INDEX(Suppliar[Estimated Carbon Footprint (tons CO₂e)],MATCH('Merge operational &amp; suppliar'!A366,Suppliar[Facility ID],0)),"")</f>
        <v>111.84</v>
      </c>
      <c r="K366">
        <f>IFERROR(INDEX(Suppliar[Income Distribution (%)],MATCH('Merge operational &amp; suppliar'!A366,Suppliar[Facility ID],0)),"")</f>
        <v>15.85</v>
      </c>
    </row>
    <row r="367" spans="1:11" x14ac:dyDescent="0.3">
      <c r="A367" t="s">
        <v>187</v>
      </c>
      <c r="B367" t="s">
        <v>19</v>
      </c>
      <c r="C367" t="s">
        <v>13</v>
      </c>
      <c r="D367" t="s">
        <v>9</v>
      </c>
      <c r="E367" t="s">
        <v>15</v>
      </c>
      <c r="F367">
        <v>1935.3</v>
      </c>
      <c r="G367">
        <v>94861</v>
      </c>
      <c r="H367">
        <v>8363.57</v>
      </c>
      <c r="I367">
        <v>90.29</v>
      </c>
      <c r="J367">
        <f>IFERROR(INDEX(Suppliar[Estimated Carbon Footprint (tons CO₂e)],MATCH('Merge operational &amp; suppliar'!A367,Suppliar[Facility ID],0)),"")</f>
        <v>289.77</v>
      </c>
      <c r="K367">
        <f>IFERROR(INDEX(Suppliar[Income Distribution (%)],MATCH('Merge operational &amp; suppliar'!A367,Suppliar[Facility ID],0)),"")</f>
        <v>11.3</v>
      </c>
    </row>
    <row r="368" spans="1:11" x14ac:dyDescent="0.3">
      <c r="A368" t="s">
        <v>160</v>
      </c>
      <c r="B368" t="s">
        <v>30</v>
      </c>
      <c r="C368" t="s">
        <v>23</v>
      </c>
      <c r="D368" t="s">
        <v>14</v>
      </c>
      <c r="E368" t="s">
        <v>10</v>
      </c>
      <c r="F368">
        <v>3547.68</v>
      </c>
      <c r="G368">
        <v>18341</v>
      </c>
      <c r="H368">
        <v>8465.57</v>
      </c>
      <c r="I368">
        <v>38.39</v>
      </c>
      <c r="J368" t="str">
        <f>IFERROR(INDEX(Suppliar[Estimated Carbon Footprint (tons CO₂e)],MATCH('Merge operational &amp; suppliar'!A368,Suppliar[Facility ID],0)),"")</f>
        <v/>
      </c>
      <c r="K368" t="str">
        <f>IFERROR(INDEX(Suppliar[Income Distribution (%)],MATCH('Merge operational &amp; suppliar'!A368,Suppliar[Facility ID],0)),"")</f>
        <v/>
      </c>
    </row>
    <row r="369" spans="1:11" x14ac:dyDescent="0.3">
      <c r="A369" t="s">
        <v>149</v>
      </c>
      <c r="B369" t="s">
        <v>17</v>
      </c>
      <c r="C369" t="s">
        <v>34</v>
      </c>
      <c r="D369" t="s">
        <v>14</v>
      </c>
      <c r="E369" t="s">
        <v>24</v>
      </c>
      <c r="F369">
        <v>4904.09</v>
      </c>
      <c r="G369">
        <v>49885</v>
      </c>
      <c r="H369">
        <v>6845.46</v>
      </c>
      <c r="I369">
        <v>58.4</v>
      </c>
      <c r="J369">
        <f>IFERROR(INDEX(Suppliar[Estimated Carbon Footprint (tons CO₂e)],MATCH('Merge operational &amp; suppliar'!A369,Suppliar[Facility ID],0)),"")</f>
        <v>341.24</v>
      </c>
      <c r="K369">
        <f>IFERROR(INDEX(Suppliar[Income Distribution (%)],MATCH('Merge operational &amp; suppliar'!A369,Suppliar[Facility ID],0)),"")</f>
        <v>19.309999999999999</v>
      </c>
    </row>
    <row r="370" spans="1:11" x14ac:dyDescent="0.3">
      <c r="A370" t="s">
        <v>33</v>
      </c>
      <c r="B370" t="s">
        <v>19</v>
      </c>
      <c r="C370" t="s">
        <v>8</v>
      </c>
      <c r="D370" t="s">
        <v>14</v>
      </c>
      <c r="E370" t="s">
        <v>10</v>
      </c>
      <c r="F370">
        <v>3391.08</v>
      </c>
      <c r="G370">
        <v>65719</v>
      </c>
      <c r="H370">
        <v>9362.41</v>
      </c>
      <c r="I370">
        <v>86.55</v>
      </c>
      <c r="J370">
        <f>IFERROR(INDEX(Suppliar[Estimated Carbon Footprint (tons CO₂e)],MATCH('Merge operational &amp; suppliar'!A370,Suppliar[Facility ID],0)),"")</f>
        <v>932.3</v>
      </c>
      <c r="K370">
        <f>IFERROR(INDEX(Suppliar[Income Distribution (%)],MATCH('Merge operational &amp; suppliar'!A370,Suppliar[Facility ID],0)),"")</f>
        <v>28.9</v>
      </c>
    </row>
    <row r="371" spans="1:11" x14ac:dyDescent="0.3">
      <c r="A371" t="s">
        <v>64</v>
      </c>
      <c r="B371" t="s">
        <v>30</v>
      </c>
      <c r="C371" t="s">
        <v>8</v>
      </c>
      <c r="D371" t="s">
        <v>28</v>
      </c>
      <c r="E371" t="s">
        <v>10</v>
      </c>
      <c r="F371">
        <v>589.80999999999995</v>
      </c>
      <c r="G371">
        <v>52836</v>
      </c>
      <c r="H371">
        <v>9330.2999999999993</v>
      </c>
      <c r="I371">
        <v>87.27</v>
      </c>
      <c r="J371" t="str">
        <f>IFERROR(INDEX(Suppliar[Estimated Carbon Footprint (tons CO₂e)],MATCH('Merge operational &amp; suppliar'!A371,Suppliar[Facility ID],0)),"")</f>
        <v/>
      </c>
      <c r="K371" t="str">
        <f>IFERROR(INDEX(Suppliar[Income Distribution (%)],MATCH('Merge operational &amp; suppliar'!A371,Suppliar[Facility ID],0)),"")</f>
        <v/>
      </c>
    </row>
    <row r="372" spans="1:11" x14ac:dyDescent="0.3">
      <c r="A372" t="s">
        <v>127</v>
      </c>
      <c r="B372" t="s">
        <v>17</v>
      </c>
      <c r="C372" t="s">
        <v>13</v>
      </c>
      <c r="D372" t="s">
        <v>28</v>
      </c>
      <c r="E372" t="s">
        <v>24</v>
      </c>
      <c r="F372">
        <v>1487.46</v>
      </c>
      <c r="G372">
        <v>17416</v>
      </c>
      <c r="H372">
        <v>812.06</v>
      </c>
      <c r="I372">
        <v>5.7</v>
      </c>
      <c r="J372">
        <f>IFERROR(INDEX(Suppliar[Estimated Carbon Footprint (tons CO₂e)],MATCH('Merge operational &amp; suppliar'!A372,Suppliar[Facility ID],0)),"")</f>
        <v>568.27</v>
      </c>
      <c r="K372">
        <f>IFERROR(INDEX(Suppliar[Income Distribution (%)],MATCH('Merge operational &amp; suppliar'!A372,Suppliar[Facility ID],0)),"")</f>
        <v>18.03</v>
      </c>
    </row>
    <row r="373" spans="1:11" x14ac:dyDescent="0.3">
      <c r="A373" t="s">
        <v>27</v>
      </c>
      <c r="B373" t="s">
        <v>12</v>
      </c>
      <c r="C373" t="s">
        <v>13</v>
      </c>
      <c r="D373" t="s">
        <v>14</v>
      </c>
      <c r="E373" t="s">
        <v>24</v>
      </c>
      <c r="F373">
        <v>2879.35</v>
      </c>
      <c r="G373">
        <v>91031</v>
      </c>
      <c r="H373">
        <v>1783.57</v>
      </c>
      <c r="I373">
        <v>32.049999999999997</v>
      </c>
      <c r="J373">
        <f>IFERROR(INDEX(Suppliar[Estimated Carbon Footprint (tons CO₂e)],MATCH('Merge operational &amp; suppliar'!A373,Suppliar[Facility ID],0)),"")</f>
        <v>532.27</v>
      </c>
      <c r="K373">
        <f>IFERROR(INDEX(Suppliar[Income Distribution (%)],MATCH('Merge operational &amp; suppliar'!A373,Suppliar[Facility ID],0)),"")</f>
        <v>15.2</v>
      </c>
    </row>
    <row r="374" spans="1:11" x14ac:dyDescent="0.3">
      <c r="A374" t="s">
        <v>45</v>
      </c>
      <c r="B374" t="s">
        <v>7</v>
      </c>
      <c r="C374" t="s">
        <v>13</v>
      </c>
      <c r="D374" t="s">
        <v>28</v>
      </c>
      <c r="E374" t="s">
        <v>24</v>
      </c>
      <c r="F374">
        <v>3544.12</v>
      </c>
      <c r="G374">
        <v>49924</v>
      </c>
      <c r="H374">
        <v>2199.16</v>
      </c>
      <c r="I374">
        <v>75.48</v>
      </c>
      <c r="J374">
        <f>IFERROR(INDEX(Suppliar[Estimated Carbon Footprint (tons CO₂e)],MATCH('Merge operational &amp; suppliar'!A374,Suppliar[Facility ID],0)),"")</f>
        <v>432.23</v>
      </c>
      <c r="K374">
        <f>IFERROR(INDEX(Suppliar[Income Distribution (%)],MATCH('Merge operational &amp; suppliar'!A374,Suppliar[Facility ID],0)),"")</f>
        <v>13.54</v>
      </c>
    </row>
    <row r="375" spans="1:11" x14ac:dyDescent="0.3">
      <c r="A375" t="s">
        <v>27</v>
      </c>
      <c r="B375" t="s">
        <v>12</v>
      </c>
      <c r="C375" t="s">
        <v>8</v>
      </c>
      <c r="D375" t="s">
        <v>14</v>
      </c>
      <c r="E375" t="s">
        <v>10</v>
      </c>
      <c r="F375">
        <v>646.33000000000004</v>
      </c>
      <c r="G375">
        <v>91031</v>
      </c>
      <c r="H375">
        <v>1783.57</v>
      </c>
      <c r="I375">
        <v>32.049999999999997</v>
      </c>
      <c r="J375">
        <f>IFERROR(INDEX(Suppliar[Estimated Carbon Footprint (tons CO₂e)],MATCH('Merge operational &amp; suppliar'!A375,Suppliar[Facility ID],0)),"")</f>
        <v>532.27</v>
      </c>
      <c r="K375">
        <f>IFERROR(INDEX(Suppliar[Income Distribution (%)],MATCH('Merge operational &amp; suppliar'!A375,Suppliar[Facility ID],0)),"")</f>
        <v>15.2</v>
      </c>
    </row>
    <row r="376" spans="1:11" x14ac:dyDescent="0.3">
      <c r="A376" t="s">
        <v>144</v>
      </c>
      <c r="B376" t="s">
        <v>30</v>
      </c>
      <c r="C376" t="s">
        <v>23</v>
      </c>
      <c r="D376" t="s">
        <v>14</v>
      </c>
      <c r="E376" t="s">
        <v>10</v>
      </c>
      <c r="F376">
        <v>1569.86</v>
      </c>
      <c r="G376">
        <v>11426</v>
      </c>
      <c r="H376">
        <v>4439.5600000000004</v>
      </c>
      <c r="I376">
        <v>52.71</v>
      </c>
      <c r="J376" t="str">
        <f>IFERROR(INDEX(Suppliar[Estimated Carbon Footprint (tons CO₂e)],MATCH('Merge operational &amp; suppliar'!A376,Suppliar[Facility ID],0)),"")</f>
        <v/>
      </c>
      <c r="K376" t="str">
        <f>IFERROR(INDEX(Suppliar[Income Distribution (%)],MATCH('Merge operational &amp; suppliar'!A376,Suppliar[Facility ID],0)),"")</f>
        <v/>
      </c>
    </row>
    <row r="377" spans="1:11" x14ac:dyDescent="0.3">
      <c r="A377" t="s">
        <v>166</v>
      </c>
      <c r="B377" t="s">
        <v>7</v>
      </c>
      <c r="C377" t="s">
        <v>34</v>
      </c>
      <c r="D377" t="s">
        <v>28</v>
      </c>
      <c r="E377" t="s">
        <v>15</v>
      </c>
      <c r="F377">
        <v>2728.09</v>
      </c>
      <c r="G377">
        <v>34318</v>
      </c>
      <c r="H377">
        <v>675.67</v>
      </c>
      <c r="I377">
        <v>41.05</v>
      </c>
      <c r="J377">
        <f>IFERROR(INDEX(Suppliar[Estimated Carbon Footprint (tons CO₂e)],MATCH('Merge operational &amp; suppliar'!A377,Suppliar[Facility ID],0)),"")</f>
        <v>390.06</v>
      </c>
      <c r="K377">
        <f>IFERROR(INDEX(Suppliar[Income Distribution (%)],MATCH('Merge operational &amp; suppliar'!A377,Suppliar[Facility ID],0)),"")</f>
        <v>27.42</v>
      </c>
    </row>
    <row r="378" spans="1:11" x14ac:dyDescent="0.3">
      <c r="A378" t="s">
        <v>76</v>
      </c>
      <c r="B378" t="s">
        <v>17</v>
      </c>
      <c r="C378" t="s">
        <v>23</v>
      </c>
      <c r="D378" t="s">
        <v>28</v>
      </c>
      <c r="E378" t="s">
        <v>15</v>
      </c>
      <c r="F378">
        <v>1865.65</v>
      </c>
      <c r="G378">
        <v>59617</v>
      </c>
      <c r="H378">
        <v>5000.95</v>
      </c>
      <c r="I378">
        <v>80.36</v>
      </c>
      <c r="J378">
        <f>IFERROR(INDEX(Suppliar[Estimated Carbon Footprint (tons CO₂e)],MATCH('Merge operational &amp; suppliar'!A378,Suppliar[Facility ID],0)),"")</f>
        <v>532.27</v>
      </c>
      <c r="K378">
        <f>IFERROR(INDEX(Suppliar[Income Distribution (%)],MATCH('Merge operational &amp; suppliar'!A378,Suppliar[Facility ID],0)),"")</f>
        <v>25.24</v>
      </c>
    </row>
    <row r="379" spans="1:11" x14ac:dyDescent="0.3">
      <c r="A379" t="s">
        <v>138</v>
      </c>
      <c r="B379" t="s">
        <v>12</v>
      </c>
      <c r="C379" t="s">
        <v>13</v>
      </c>
      <c r="D379" t="s">
        <v>28</v>
      </c>
      <c r="E379" t="s">
        <v>10</v>
      </c>
      <c r="F379">
        <v>4048.31</v>
      </c>
      <c r="G379">
        <v>57353</v>
      </c>
      <c r="H379">
        <v>2274.71</v>
      </c>
      <c r="I379">
        <v>65.34</v>
      </c>
      <c r="J379">
        <f>IFERROR(INDEX(Suppliar[Estimated Carbon Footprint (tons CO₂e)],MATCH('Merge operational &amp; suppliar'!A379,Suppliar[Facility ID],0)),"")</f>
        <v>931.73</v>
      </c>
      <c r="K379">
        <f>IFERROR(INDEX(Suppliar[Income Distribution (%)],MATCH('Merge operational &amp; suppliar'!A379,Suppliar[Facility ID],0)),"")</f>
        <v>46.27</v>
      </c>
    </row>
    <row r="380" spans="1:11" x14ac:dyDescent="0.3">
      <c r="A380" t="s">
        <v>39</v>
      </c>
      <c r="B380" t="s">
        <v>7</v>
      </c>
      <c r="C380" t="s">
        <v>34</v>
      </c>
      <c r="D380" t="s">
        <v>28</v>
      </c>
      <c r="E380" t="s">
        <v>15</v>
      </c>
      <c r="F380">
        <v>468.34</v>
      </c>
      <c r="G380">
        <v>80904</v>
      </c>
      <c r="H380">
        <v>3263.09</v>
      </c>
      <c r="I380">
        <v>58.37</v>
      </c>
      <c r="J380">
        <f>IFERROR(INDEX(Suppliar[Estimated Carbon Footprint (tons CO₂e)],MATCH('Merge operational &amp; suppliar'!A380,Suppliar[Facility ID],0)),"")</f>
        <v>756.78</v>
      </c>
      <c r="K380">
        <f>IFERROR(INDEX(Suppliar[Income Distribution (%)],MATCH('Merge operational &amp; suppliar'!A380,Suppliar[Facility ID],0)),"")</f>
        <v>35.950000000000003</v>
      </c>
    </row>
    <row r="381" spans="1:11" x14ac:dyDescent="0.3">
      <c r="A381" t="s">
        <v>188</v>
      </c>
      <c r="B381" t="s">
        <v>19</v>
      </c>
      <c r="C381" t="s">
        <v>13</v>
      </c>
      <c r="D381" t="s">
        <v>28</v>
      </c>
      <c r="E381" t="s">
        <v>10</v>
      </c>
      <c r="F381">
        <v>802.1</v>
      </c>
      <c r="G381">
        <v>60513</v>
      </c>
      <c r="H381">
        <v>4578.16</v>
      </c>
      <c r="I381">
        <v>65.53</v>
      </c>
      <c r="J381" t="str">
        <f>IFERROR(INDEX(Suppliar[Estimated Carbon Footprint (tons CO₂e)],MATCH('Merge operational &amp; suppliar'!A381,Suppliar[Facility ID],0)),"")</f>
        <v/>
      </c>
      <c r="K381" t="str">
        <f>IFERROR(INDEX(Suppliar[Income Distribution (%)],MATCH('Merge operational &amp; suppliar'!A381,Suppliar[Facility ID],0)),"")</f>
        <v/>
      </c>
    </row>
    <row r="382" spans="1:11" x14ac:dyDescent="0.3">
      <c r="A382" t="s">
        <v>101</v>
      </c>
      <c r="B382" t="s">
        <v>19</v>
      </c>
      <c r="C382" t="s">
        <v>34</v>
      </c>
      <c r="D382" t="s">
        <v>9</v>
      </c>
      <c r="E382" t="s">
        <v>10</v>
      </c>
      <c r="F382">
        <v>3548.26</v>
      </c>
      <c r="G382">
        <v>39050</v>
      </c>
      <c r="H382">
        <v>5885.73</v>
      </c>
      <c r="I382">
        <v>93.04</v>
      </c>
      <c r="J382">
        <f>IFERROR(INDEX(Suppliar[Estimated Carbon Footprint (tons CO₂e)],MATCH('Merge operational &amp; suppliar'!A382,Suppliar[Facility ID],0)),"")</f>
        <v>318.55</v>
      </c>
      <c r="K382">
        <f>IFERROR(INDEX(Suppliar[Income Distribution (%)],MATCH('Merge operational &amp; suppliar'!A382,Suppliar[Facility ID],0)),"")</f>
        <v>39.81</v>
      </c>
    </row>
    <row r="383" spans="1:11" x14ac:dyDescent="0.3">
      <c r="A383" t="s">
        <v>142</v>
      </c>
      <c r="B383" t="s">
        <v>17</v>
      </c>
      <c r="C383" t="s">
        <v>8</v>
      </c>
      <c r="D383" t="s">
        <v>14</v>
      </c>
      <c r="E383" t="s">
        <v>15</v>
      </c>
      <c r="F383">
        <v>647.30999999999995</v>
      </c>
      <c r="G383">
        <v>75736</v>
      </c>
      <c r="H383">
        <v>6287.07</v>
      </c>
      <c r="I383">
        <v>63.11</v>
      </c>
      <c r="J383">
        <f>IFERROR(INDEX(Suppliar[Estimated Carbon Footprint (tons CO₂e)],MATCH('Merge operational &amp; suppliar'!A383,Suppliar[Facility ID],0)),"")</f>
        <v>851.48</v>
      </c>
      <c r="K383">
        <f>IFERROR(INDEX(Suppliar[Income Distribution (%)],MATCH('Merge operational &amp; suppliar'!A383,Suppliar[Facility ID],0)),"")</f>
        <v>25.39</v>
      </c>
    </row>
    <row r="384" spans="1:11" x14ac:dyDescent="0.3">
      <c r="A384" t="s">
        <v>178</v>
      </c>
      <c r="B384" t="s">
        <v>30</v>
      </c>
      <c r="C384" t="s">
        <v>34</v>
      </c>
      <c r="D384" t="s">
        <v>14</v>
      </c>
      <c r="E384" t="s">
        <v>24</v>
      </c>
      <c r="F384">
        <v>1024.8599999999999</v>
      </c>
      <c r="G384">
        <v>88188</v>
      </c>
      <c r="H384">
        <v>815.86</v>
      </c>
      <c r="I384">
        <v>57.53</v>
      </c>
      <c r="J384">
        <f>IFERROR(INDEX(Suppliar[Estimated Carbon Footprint (tons CO₂e)],MATCH('Merge operational &amp; suppliar'!A384,Suppliar[Facility ID],0)),"")</f>
        <v>557.72</v>
      </c>
      <c r="K384">
        <f>IFERROR(INDEX(Suppliar[Income Distribution (%)],MATCH('Merge operational &amp; suppliar'!A384,Suppliar[Facility ID],0)),"")</f>
        <v>37.25</v>
      </c>
    </row>
    <row r="385" spans="1:11" x14ac:dyDescent="0.3">
      <c r="A385" t="s">
        <v>172</v>
      </c>
      <c r="B385" t="s">
        <v>7</v>
      </c>
      <c r="C385" t="s">
        <v>23</v>
      </c>
      <c r="D385" t="s">
        <v>14</v>
      </c>
      <c r="E385" t="s">
        <v>24</v>
      </c>
      <c r="F385">
        <v>304.14999999999998</v>
      </c>
      <c r="G385">
        <v>68820</v>
      </c>
      <c r="H385">
        <v>9612.25</v>
      </c>
      <c r="I385">
        <v>83.51</v>
      </c>
      <c r="J385">
        <f>IFERROR(INDEX(Suppliar[Estimated Carbon Footprint (tons CO₂e)],MATCH('Merge operational &amp; suppliar'!A385,Suppliar[Facility ID],0)),"")</f>
        <v>867.66</v>
      </c>
      <c r="K385">
        <f>IFERROR(INDEX(Suppliar[Income Distribution (%)],MATCH('Merge operational &amp; suppliar'!A385,Suppliar[Facility ID],0)),"")</f>
        <v>18.88</v>
      </c>
    </row>
    <row r="386" spans="1:11" x14ac:dyDescent="0.3">
      <c r="A386" t="s">
        <v>73</v>
      </c>
      <c r="B386" t="s">
        <v>30</v>
      </c>
      <c r="C386" t="s">
        <v>23</v>
      </c>
      <c r="D386" t="s">
        <v>28</v>
      </c>
      <c r="E386" t="s">
        <v>24</v>
      </c>
      <c r="F386">
        <v>4794.1899999999996</v>
      </c>
      <c r="G386">
        <v>55974</v>
      </c>
      <c r="H386">
        <v>7542.28</v>
      </c>
      <c r="I386">
        <v>72.430000000000007</v>
      </c>
      <c r="J386">
        <f>IFERROR(INDEX(Suppliar[Estimated Carbon Footprint (tons CO₂e)],MATCH('Merge operational &amp; suppliar'!A386,Suppliar[Facility ID],0)),"")</f>
        <v>626.54</v>
      </c>
      <c r="K386">
        <f>IFERROR(INDEX(Suppliar[Income Distribution (%)],MATCH('Merge operational &amp; suppliar'!A386,Suppliar[Facility ID],0)),"")</f>
        <v>29.46</v>
      </c>
    </row>
    <row r="387" spans="1:11" x14ac:dyDescent="0.3">
      <c r="A387" t="s">
        <v>72</v>
      </c>
      <c r="B387" t="s">
        <v>19</v>
      </c>
      <c r="C387" t="s">
        <v>34</v>
      </c>
      <c r="D387" t="s">
        <v>28</v>
      </c>
      <c r="E387" t="s">
        <v>24</v>
      </c>
      <c r="F387">
        <v>2331.7399999999998</v>
      </c>
      <c r="G387">
        <v>29318</v>
      </c>
      <c r="H387">
        <v>9860.6200000000008</v>
      </c>
      <c r="I387">
        <v>14.58</v>
      </c>
      <c r="J387">
        <f>IFERROR(INDEX(Suppliar[Estimated Carbon Footprint (tons CO₂e)],MATCH('Merge operational &amp; suppliar'!A387,Suppliar[Facility ID],0)),"")</f>
        <v>571.66</v>
      </c>
      <c r="K387">
        <f>IFERROR(INDEX(Suppliar[Income Distribution (%)],MATCH('Merge operational &amp; suppliar'!A387,Suppliar[Facility ID],0)),"")</f>
        <v>6.78</v>
      </c>
    </row>
    <row r="388" spans="1:11" x14ac:dyDescent="0.3">
      <c r="A388" t="s">
        <v>136</v>
      </c>
      <c r="B388" t="s">
        <v>17</v>
      </c>
      <c r="C388" t="s">
        <v>13</v>
      </c>
      <c r="D388" t="s">
        <v>28</v>
      </c>
      <c r="E388" t="s">
        <v>10</v>
      </c>
      <c r="F388">
        <v>4183.93</v>
      </c>
      <c r="G388">
        <v>15128</v>
      </c>
      <c r="H388">
        <v>8847.09</v>
      </c>
      <c r="I388">
        <v>5.25</v>
      </c>
      <c r="J388">
        <f>IFERROR(INDEX(Suppliar[Estimated Carbon Footprint (tons CO₂e)],MATCH('Merge operational &amp; suppliar'!A388,Suppliar[Facility ID],0)),"")</f>
        <v>230.57</v>
      </c>
      <c r="K388">
        <f>IFERROR(INDEX(Suppliar[Income Distribution (%)],MATCH('Merge operational &amp; suppliar'!A388,Suppliar[Facility ID],0)),"")</f>
        <v>60.48</v>
      </c>
    </row>
    <row r="389" spans="1:11" x14ac:dyDescent="0.3">
      <c r="A389" t="s">
        <v>22</v>
      </c>
      <c r="B389" t="s">
        <v>12</v>
      </c>
      <c r="C389" t="s">
        <v>13</v>
      </c>
      <c r="D389" t="s">
        <v>14</v>
      </c>
      <c r="E389" t="s">
        <v>15</v>
      </c>
      <c r="F389">
        <v>1515.76</v>
      </c>
      <c r="G389">
        <v>47484</v>
      </c>
      <c r="H389">
        <v>3396.39</v>
      </c>
      <c r="I389">
        <v>19.510000000000002</v>
      </c>
      <c r="J389">
        <f>IFERROR(INDEX(Suppliar[Estimated Carbon Footprint (tons CO₂e)],MATCH('Merge operational &amp; suppliar'!A389,Suppliar[Facility ID],0)),"")</f>
        <v>790.74</v>
      </c>
      <c r="K389">
        <f>IFERROR(INDEX(Suppliar[Income Distribution (%)],MATCH('Merge operational &amp; suppliar'!A389,Suppliar[Facility ID],0)),"")</f>
        <v>12.77</v>
      </c>
    </row>
    <row r="390" spans="1:11" x14ac:dyDescent="0.3">
      <c r="A390" t="s">
        <v>189</v>
      </c>
      <c r="B390" t="s">
        <v>19</v>
      </c>
      <c r="C390" t="s">
        <v>23</v>
      </c>
      <c r="D390" t="s">
        <v>9</v>
      </c>
      <c r="E390" t="s">
        <v>10</v>
      </c>
      <c r="F390">
        <v>4299.7299999999996</v>
      </c>
      <c r="G390">
        <v>27681</v>
      </c>
      <c r="H390">
        <v>928.26</v>
      </c>
      <c r="I390">
        <v>44.97</v>
      </c>
      <c r="J390" t="str">
        <f>IFERROR(INDEX(Suppliar[Estimated Carbon Footprint (tons CO₂e)],MATCH('Merge operational &amp; suppliar'!A390,Suppliar[Facility ID],0)),"")</f>
        <v/>
      </c>
      <c r="K390" t="str">
        <f>IFERROR(INDEX(Suppliar[Income Distribution (%)],MATCH('Merge operational &amp; suppliar'!A390,Suppliar[Facility ID],0)),"")</f>
        <v/>
      </c>
    </row>
    <row r="391" spans="1:11" x14ac:dyDescent="0.3">
      <c r="A391" t="s">
        <v>89</v>
      </c>
      <c r="B391" t="s">
        <v>17</v>
      </c>
      <c r="C391" t="s">
        <v>13</v>
      </c>
      <c r="D391" t="s">
        <v>28</v>
      </c>
      <c r="E391" t="s">
        <v>24</v>
      </c>
      <c r="F391">
        <v>303.22000000000003</v>
      </c>
      <c r="G391">
        <v>36171</v>
      </c>
      <c r="H391">
        <v>6864.38</v>
      </c>
      <c r="I391">
        <v>37.03</v>
      </c>
      <c r="J391">
        <f>IFERROR(INDEX(Suppliar[Estimated Carbon Footprint (tons CO₂e)],MATCH('Merge operational &amp; suppliar'!A391,Suppliar[Facility ID],0)),"")</f>
        <v>181.54</v>
      </c>
      <c r="K391">
        <f>IFERROR(INDEX(Suppliar[Income Distribution (%)],MATCH('Merge operational &amp; suppliar'!A391,Suppliar[Facility ID],0)),"")</f>
        <v>55.69</v>
      </c>
    </row>
    <row r="392" spans="1:11" x14ac:dyDescent="0.3">
      <c r="A392" t="s">
        <v>121</v>
      </c>
      <c r="B392" t="s">
        <v>30</v>
      </c>
      <c r="C392" t="s">
        <v>8</v>
      </c>
      <c r="D392" t="s">
        <v>14</v>
      </c>
      <c r="E392" t="s">
        <v>10</v>
      </c>
      <c r="F392">
        <v>2427.3000000000002</v>
      </c>
      <c r="G392">
        <v>58895</v>
      </c>
      <c r="H392">
        <v>3039.17</v>
      </c>
      <c r="I392">
        <v>59.82</v>
      </c>
      <c r="J392">
        <f>IFERROR(INDEX(Suppliar[Estimated Carbon Footprint (tons CO₂e)],MATCH('Merge operational &amp; suppliar'!A392,Suppliar[Facility ID],0)),"")</f>
        <v>785.8</v>
      </c>
      <c r="K392">
        <f>IFERROR(INDEX(Suppliar[Income Distribution (%)],MATCH('Merge operational &amp; suppliar'!A392,Suppliar[Facility ID],0)),"")</f>
        <v>22.92</v>
      </c>
    </row>
    <row r="393" spans="1:11" x14ac:dyDescent="0.3">
      <c r="A393" t="s">
        <v>190</v>
      </c>
      <c r="B393" t="s">
        <v>17</v>
      </c>
      <c r="C393" t="s">
        <v>13</v>
      </c>
      <c r="D393" t="s">
        <v>14</v>
      </c>
      <c r="E393" t="s">
        <v>15</v>
      </c>
      <c r="F393">
        <v>3481.31</v>
      </c>
      <c r="G393">
        <v>41953</v>
      </c>
      <c r="H393">
        <v>2379.14</v>
      </c>
      <c r="I393">
        <v>65.67</v>
      </c>
      <c r="J393">
        <f>IFERROR(INDEX(Suppliar[Estimated Carbon Footprint (tons CO₂e)],MATCH('Merge operational &amp; suppliar'!A393,Suppliar[Facility ID],0)),"")</f>
        <v>571.66</v>
      </c>
      <c r="K393">
        <f>IFERROR(INDEX(Suppliar[Income Distribution (%)],MATCH('Merge operational &amp; suppliar'!A393,Suppliar[Facility ID],0)),"")</f>
        <v>14.81</v>
      </c>
    </row>
    <row r="394" spans="1:11" x14ac:dyDescent="0.3">
      <c r="A394" t="s">
        <v>96</v>
      </c>
      <c r="B394" t="s">
        <v>19</v>
      </c>
      <c r="C394" t="s">
        <v>23</v>
      </c>
      <c r="D394" t="s">
        <v>28</v>
      </c>
      <c r="E394" t="s">
        <v>10</v>
      </c>
      <c r="F394">
        <v>2451.0100000000002</v>
      </c>
      <c r="G394">
        <v>53942</v>
      </c>
      <c r="H394">
        <v>5904.31</v>
      </c>
      <c r="I394">
        <v>32.78</v>
      </c>
      <c r="J394">
        <f>IFERROR(INDEX(Suppliar[Estimated Carbon Footprint (tons CO₂e)],MATCH('Merge operational &amp; suppliar'!A394,Suppliar[Facility ID],0)),"")</f>
        <v>553.44000000000005</v>
      </c>
      <c r="K394">
        <f>IFERROR(INDEX(Suppliar[Income Distribution (%)],MATCH('Merge operational &amp; suppliar'!A394,Suppliar[Facility ID],0)),"")</f>
        <v>29.01</v>
      </c>
    </row>
    <row r="395" spans="1:11" x14ac:dyDescent="0.3">
      <c r="A395" t="s">
        <v>50</v>
      </c>
      <c r="B395" t="s">
        <v>19</v>
      </c>
      <c r="C395" t="s">
        <v>8</v>
      </c>
      <c r="D395" t="s">
        <v>9</v>
      </c>
      <c r="E395" t="s">
        <v>10</v>
      </c>
      <c r="F395">
        <v>2726.59</v>
      </c>
      <c r="G395">
        <v>40577</v>
      </c>
      <c r="H395">
        <v>4280.82</v>
      </c>
      <c r="I395">
        <v>79.88</v>
      </c>
      <c r="J395">
        <f>IFERROR(INDEX(Suppliar[Estimated Carbon Footprint (tons CO₂e)],MATCH('Merge operational &amp; suppliar'!A395,Suppliar[Facility ID],0)),"")</f>
        <v>932.3</v>
      </c>
      <c r="K395">
        <f>IFERROR(INDEX(Suppliar[Income Distribution (%)],MATCH('Merge operational &amp; suppliar'!A395,Suppliar[Facility ID],0)),"")</f>
        <v>10.19</v>
      </c>
    </row>
    <row r="396" spans="1:11" x14ac:dyDescent="0.3">
      <c r="A396" t="s">
        <v>171</v>
      </c>
      <c r="B396" t="s">
        <v>17</v>
      </c>
      <c r="C396" t="s">
        <v>13</v>
      </c>
      <c r="D396" t="s">
        <v>28</v>
      </c>
      <c r="E396" t="s">
        <v>24</v>
      </c>
      <c r="F396">
        <v>4059.4</v>
      </c>
      <c r="G396">
        <v>24502</v>
      </c>
      <c r="H396">
        <v>7466.86</v>
      </c>
      <c r="I396">
        <v>88.83</v>
      </c>
      <c r="J396">
        <f>IFERROR(INDEX(Suppliar[Estimated Carbon Footprint (tons CO₂e)],MATCH('Merge operational &amp; suppliar'!A396,Suppliar[Facility ID],0)),"")</f>
        <v>847.51</v>
      </c>
      <c r="K396">
        <f>IFERROR(INDEX(Suppliar[Income Distribution (%)],MATCH('Merge operational &amp; suppliar'!A396,Suppliar[Facility ID],0)),"")</f>
        <v>26.48</v>
      </c>
    </row>
    <row r="397" spans="1:11" x14ac:dyDescent="0.3">
      <c r="A397" t="s">
        <v>152</v>
      </c>
      <c r="B397" t="s">
        <v>30</v>
      </c>
      <c r="C397" t="s">
        <v>34</v>
      </c>
      <c r="D397" t="s">
        <v>28</v>
      </c>
      <c r="E397" t="s">
        <v>10</v>
      </c>
      <c r="F397">
        <v>3874.1</v>
      </c>
      <c r="G397">
        <v>21914</v>
      </c>
      <c r="H397">
        <v>5897.27</v>
      </c>
      <c r="I397">
        <v>49.41</v>
      </c>
      <c r="J397">
        <f>IFERROR(INDEX(Suppliar[Estimated Carbon Footprint (tons CO₂e)],MATCH('Merge operational &amp; suppliar'!A397,Suppliar[Facility ID],0)),"")</f>
        <v>790.74</v>
      </c>
      <c r="K397">
        <f>IFERROR(INDEX(Suppliar[Income Distribution (%)],MATCH('Merge operational &amp; suppliar'!A397,Suppliar[Facility ID],0)),"")</f>
        <v>15.07</v>
      </c>
    </row>
    <row r="398" spans="1:11" x14ac:dyDescent="0.3">
      <c r="A398" t="s">
        <v>146</v>
      </c>
      <c r="B398" t="s">
        <v>7</v>
      </c>
      <c r="C398" t="s">
        <v>34</v>
      </c>
      <c r="D398" t="s">
        <v>14</v>
      </c>
      <c r="E398" t="s">
        <v>10</v>
      </c>
      <c r="F398">
        <v>870.3</v>
      </c>
      <c r="G398">
        <v>14170</v>
      </c>
      <c r="H398">
        <v>5455.23</v>
      </c>
      <c r="I398">
        <v>25.46</v>
      </c>
      <c r="J398">
        <f>IFERROR(INDEX(Suppliar[Estimated Carbon Footprint (tons CO₂e)],MATCH('Merge operational &amp; suppliar'!A398,Suppliar[Facility ID],0)),"")</f>
        <v>790.74</v>
      </c>
      <c r="K398">
        <f>IFERROR(INDEX(Suppliar[Income Distribution (%)],MATCH('Merge operational &amp; suppliar'!A398,Suppliar[Facility ID],0)),"")</f>
        <v>28.78</v>
      </c>
    </row>
    <row r="399" spans="1:11" x14ac:dyDescent="0.3">
      <c r="A399" t="s">
        <v>171</v>
      </c>
      <c r="B399" t="s">
        <v>17</v>
      </c>
      <c r="C399" t="s">
        <v>8</v>
      </c>
      <c r="D399" t="s">
        <v>28</v>
      </c>
      <c r="E399" t="s">
        <v>24</v>
      </c>
      <c r="F399">
        <v>1471.82</v>
      </c>
      <c r="G399">
        <v>24502</v>
      </c>
      <c r="H399">
        <v>7466.86</v>
      </c>
      <c r="I399">
        <v>88.83</v>
      </c>
      <c r="J399">
        <f>IFERROR(INDEX(Suppliar[Estimated Carbon Footprint (tons CO₂e)],MATCH('Merge operational &amp; suppliar'!A399,Suppliar[Facility ID],0)),"")</f>
        <v>847.51</v>
      </c>
      <c r="K399">
        <f>IFERROR(INDEX(Suppliar[Income Distribution (%)],MATCH('Merge operational &amp; suppliar'!A399,Suppliar[Facility ID],0)),"")</f>
        <v>26.48</v>
      </c>
    </row>
    <row r="400" spans="1:11" x14ac:dyDescent="0.3">
      <c r="A400" t="s">
        <v>191</v>
      </c>
      <c r="B400" t="s">
        <v>12</v>
      </c>
      <c r="C400" t="s">
        <v>8</v>
      </c>
      <c r="D400" t="s">
        <v>9</v>
      </c>
      <c r="E400" t="s">
        <v>10</v>
      </c>
      <c r="F400">
        <v>3436</v>
      </c>
      <c r="G400">
        <v>43346</v>
      </c>
      <c r="H400">
        <v>5559.12</v>
      </c>
      <c r="I400">
        <v>39.4</v>
      </c>
      <c r="J400">
        <f>IFERROR(INDEX(Suppliar[Estimated Carbon Footprint (tons CO₂e)],MATCH('Merge operational &amp; suppliar'!A400,Suppliar[Facility ID],0)),"")</f>
        <v>571.88</v>
      </c>
      <c r="K400">
        <f>IFERROR(INDEX(Suppliar[Income Distribution (%)],MATCH('Merge operational &amp; suppliar'!A400,Suppliar[Facility ID],0)),"")</f>
        <v>32.18</v>
      </c>
    </row>
    <row r="401" spans="1:11" x14ac:dyDescent="0.3">
      <c r="A401" t="s">
        <v>124</v>
      </c>
      <c r="B401" t="s">
        <v>12</v>
      </c>
      <c r="C401" t="s">
        <v>13</v>
      </c>
      <c r="D401" t="s">
        <v>9</v>
      </c>
      <c r="E401" t="s">
        <v>24</v>
      </c>
      <c r="F401">
        <v>479.22</v>
      </c>
      <c r="G401">
        <v>47491</v>
      </c>
      <c r="H401">
        <v>5781.05</v>
      </c>
      <c r="I401">
        <v>92.18</v>
      </c>
      <c r="J401">
        <f>IFERROR(INDEX(Suppliar[Estimated Carbon Footprint (tons CO₂e)],MATCH('Merge operational &amp; suppliar'!A401,Suppliar[Facility ID],0)),"")</f>
        <v>344.93</v>
      </c>
      <c r="K401">
        <f>IFERROR(INDEX(Suppliar[Income Distribution (%)],MATCH('Merge operational &amp; suppliar'!A401,Suppliar[Facility ID],0)),"")</f>
        <v>36.229999999999997</v>
      </c>
    </row>
    <row r="402" spans="1:11" x14ac:dyDescent="0.3">
      <c r="A402" t="s">
        <v>183</v>
      </c>
      <c r="B402" t="s">
        <v>7</v>
      </c>
      <c r="C402" t="s">
        <v>23</v>
      </c>
      <c r="D402" t="s">
        <v>14</v>
      </c>
      <c r="E402" t="s">
        <v>15</v>
      </c>
      <c r="F402">
        <v>2840.69</v>
      </c>
      <c r="G402">
        <v>14009</v>
      </c>
      <c r="H402">
        <v>7528.98</v>
      </c>
      <c r="I402">
        <v>77.62</v>
      </c>
      <c r="J402">
        <f>IFERROR(INDEX(Suppliar[Estimated Carbon Footprint (tons CO₂e)],MATCH('Merge operational &amp; suppliar'!A402,Suppliar[Facility ID],0)),"")</f>
        <v>763.97</v>
      </c>
      <c r="K402">
        <f>IFERROR(INDEX(Suppliar[Income Distribution (%)],MATCH('Merge operational &amp; suppliar'!A402,Suppliar[Facility ID],0)),"")</f>
        <v>24.91</v>
      </c>
    </row>
    <row r="403" spans="1:11" x14ac:dyDescent="0.3">
      <c r="A403" t="s">
        <v>71</v>
      </c>
      <c r="B403" t="s">
        <v>7</v>
      </c>
      <c r="C403" t="s">
        <v>13</v>
      </c>
      <c r="D403" t="s">
        <v>28</v>
      </c>
      <c r="E403" t="s">
        <v>15</v>
      </c>
      <c r="F403">
        <v>1808.08</v>
      </c>
      <c r="G403">
        <v>68018</v>
      </c>
      <c r="H403">
        <v>3523.4</v>
      </c>
      <c r="I403">
        <v>92.26</v>
      </c>
      <c r="J403">
        <f>IFERROR(INDEX(Suppliar[Estimated Carbon Footprint (tons CO₂e)],MATCH('Merge operational &amp; suppliar'!A403,Suppliar[Facility ID],0)),"")</f>
        <v>111.84</v>
      </c>
      <c r="K403">
        <f>IFERROR(INDEX(Suppliar[Income Distribution (%)],MATCH('Merge operational &amp; suppliar'!A403,Suppliar[Facility ID],0)),"")</f>
        <v>15.85</v>
      </c>
    </row>
    <row r="404" spans="1:11" x14ac:dyDescent="0.3">
      <c r="A404" t="s">
        <v>128</v>
      </c>
      <c r="B404" t="s">
        <v>12</v>
      </c>
      <c r="C404" t="s">
        <v>34</v>
      </c>
      <c r="D404" t="s">
        <v>28</v>
      </c>
      <c r="E404" t="s">
        <v>24</v>
      </c>
      <c r="F404">
        <v>425.7</v>
      </c>
      <c r="G404">
        <v>29406</v>
      </c>
      <c r="H404">
        <v>5281.69</v>
      </c>
      <c r="I404">
        <v>27.01</v>
      </c>
      <c r="J404">
        <f>IFERROR(INDEX(Suppliar[Estimated Carbon Footprint (tons CO₂e)],MATCH('Merge operational &amp; suppliar'!A404,Suppliar[Facility ID],0)),"")</f>
        <v>231.68</v>
      </c>
      <c r="K404">
        <f>IFERROR(INDEX(Suppliar[Income Distribution (%)],MATCH('Merge operational &amp; suppliar'!A404,Suppliar[Facility ID],0)),"")</f>
        <v>13.88</v>
      </c>
    </row>
    <row r="405" spans="1:11" x14ac:dyDescent="0.3">
      <c r="A405" t="s">
        <v>118</v>
      </c>
      <c r="B405" t="s">
        <v>30</v>
      </c>
      <c r="C405" t="s">
        <v>34</v>
      </c>
      <c r="D405" t="s">
        <v>14</v>
      </c>
      <c r="E405" t="s">
        <v>10</v>
      </c>
      <c r="F405">
        <v>981.92</v>
      </c>
      <c r="G405">
        <v>68492</v>
      </c>
      <c r="H405">
        <v>3533.88</v>
      </c>
      <c r="I405">
        <v>52.99</v>
      </c>
      <c r="J405">
        <f>IFERROR(INDEX(Suppliar[Estimated Carbon Footprint (tons CO₂e)],MATCH('Merge operational &amp; suppliar'!A405,Suppliar[Facility ID],0)),"")</f>
        <v>847.51</v>
      </c>
      <c r="K405">
        <f>IFERROR(INDEX(Suppliar[Income Distribution (%)],MATCH('Merge operational &amp; suppliar'!A405,Suppliar[Facility ID],0)),"")</f>
        <v>7.14</v>
      </c>
    </row>
    <row r="406" spans="1:11" x14ac:dyDescent="0.3">
      <c r="A406" t="s">
        <v>37</v>
      </c>
      <c r="B406" t="s">
        <v>17</v>
      </c>
      <c r="C406" t="s">
        <v>8</v>
      </c>
      <c r="D406" t="s">
        <v>9</v>
      </c>
      <c r="E406" t="s">
        <v>15</v>
      </c>
      <c r="F406">
        <v>1089.29</v>
      </c>
      <c r="G406">
        <v>71747</v>
      </c>
      <c r="H406">
        <v>9838.66</v>
      </c>
      <c r="I406">
        <v>7.25</v>
      </c>
      <c r="J406">
        <f>IFERROR(INDEX(Suppliar[Estimated Carbon Footprint (tons CO₂e)],MATCH('Merge operational &amp; suppliar'!A406,Suppliar[Facility ID],0)),"")</f>
        <v>224.5</v>
      </c>
      <c r="K406">
        <f>IFERROR(INDEX(Suppliar[Income Distribution (%)],MATCH('Merge operational &amp; suppliar'!A406,Suppliar[Facility ID],0)),"")</f>
        <v>39.29</v>
      </c>
    </row>
    <row r="407" spans="1:11" x14ac:dyDescent="0.3">
      <c r="A407" t="s">
        <v>192</v>
      </c>
      <c r="B407" t="s">
        <v>19</v>
      </c>
      <c r="C407" t="s">
        <v>34</v>
      </c>
      <c r="D407" t="s">
        <v>9</v>
      </c>
      <c r="E407" t="s">
        <v>24</v>
      </c>
      <c r="F407">
        <v>4336.6099999999997</v>
      </c>
      <c r="G407">
        <v>43227</v>
      </c>
      <c r="H407">
        <v>5199.53</v>
      </c>
      <c r="I407">
        <v>44.09</v>
      </c>
      <c r="J407">
        <f>IFERROR(INDEX(Suppliar[Estimated Carbon Footprint (tons CO₂e)],MATCH('Merge operational &amp; suppliar'!A407,Suppliar[Facility ID],0)),"")</f>
        <v>724.63</v>
      </c>
      <c r="K407">
        <f>IFERROR(INDEX(Suppliar[Income Distribution (%)],MATCH('Merge operational &amp; suppliar'!A407,Suppliar[Facility ID],0)),"")</f>
        <v>14.96</v>
      </c>
    </row>
    <row r="408" spans="1:11" x14ac:dyDescent="0.3">
      <c r="A408" t="s">
        <v>58</v>
      </c>
      <c r="B408" t="s">
        <v>17</v>
      </c>
      <c r="C408" t="s">
        <v>23</v>
      </c>
      <c r="D408" t="s">
        <v>9</v>
      </c>
      <c r="E408" t="s">
        <v>15</v>
      </c>
      <c r="F408">
        <v>1820.99</v>
      </c>
      <c r="G408">
        <v>32246</v>
      </c>
      <c r="H408">
        <v>7903.93</v>
      </c>
      <c r="I408">
        <v>42.12</v>
      </c>
      <c r="J408">
        <f>IFERROR(INDEX(Suppliar[Estimated Carbon Footprint (tons CO₂e)],MATCH('Merge operational &amp; suppliar'!A408,Suppliar[Facility ID],0)),"")</f>
        <v>459.56</v>
      </c>
      <c r="K408">
        <f>IFERROR(INDEX(Suppliar[Income Distribution (%)],MATCH('Merge operational &amp; suppliar'!A408,Suppliar[Facility ID],0)),"")</f>
        <v>28.62</v>
      </c>
    </row>
    <row r="409" spans="1:11" x14ac:dyDescent="0.3">
      <c r="A409" t="s">
        <v>80</v>
      </c>
      <c r="B409" t="s">
        <v>17</v>
      </c>
      <c r="C409" t="s">
        <v>13</v>
      </c>
      <c r="D409" t="s">
        <v>14</v>
      </c>
      <c r="E409" t="s">
        <v>15</v>
      </c>
      <c r="F409">
        <v>2772.88</v>
      </c>
      <c r="G409">
        <v>75508</v>
      </c>
      <c r="H409">
        <v>6856.22</v>
      </c>
      <c r="I409">
        <v>18.2</v>
      </c>
      <c r="J409">
        <f>IFERROR(INDEX(Suppliar[Estimated Carbon Footprint (tons CO₂e)],MATCH('Merge operational &amp; suppliar'!A409,Suppliar[Facility ID],0)),"")</f>
        <v>991.03</v>
      </c>
      <c r="K409">
        <f>IFERROR(INDEX(Suppliar[Income Distribution (%)],MATCH('Merge operational &amp; suppliar'!A409,Suppliar[Facility ID],0)),"")</f>
        <v>13.32</v>
      </c>
    </row>
    <row r="410" spans="1:11" x14ac:dyDescent="0.3">
      <c r="A410" t="s">
        <v>75</v>
      </c>
      <c r="B410" t="s">
        <v>19</v>
      </c>
      <c r="C410" t="s">
        <v>13</v>
      </c>
      <c r="D410" t="s">
        <v>14</v>
      </c>
      <c r="E410" t="s">
        <v>24</v>
      </c>
      <c r="F410">
        <v>4985.09</v>
      </c>
      <c r="G410">
        <v>54136</v>
      </c>
      <c r="H410">
        <v>2775.38</v>
      </c>
      <c r="I410">
        <v>75.459999999999994</v>
      </c>
      <c r="J410">
        <f>IFERROR(INDEX(Suppliar[Estimated Carbon Footprint (tons CO₂e)],MATCH('Merge operational &amp; suppliar'!A410,Suppliar[Facility ID],0)),"")</f>
        <v>932.3</v>
      </c>
      <c r="K410">
        <f>IFERROR(INDEX(Suppliar[Income Distribution (%)],MATCH('Merge operational &amp; suppliar'!A410,Suppliar[Facility ID],0)),"")</f>
        <v>16.93</v>
      </c>
    </row>
    <row r="411" spans="1:11" x14ac:dyDescent="0.3">
      <c r="A411" t="s">
        <v>188</v>
      </c>
      <c r="B411" t="s">
        <v>19</v>
      </c>
      <c r="C411" t="s">
        <v>23</v>
      </c>
      <c r="D411" t="s">
        <v>9</v>
      </c>
      <c r="E411" t="s">
        <v>10</v>
      </c>
      <c r="F411">
        <v>4859.13</v>
      </c>
      <c r="G411">
        <v>60513</v>
      </c>
      <c r="H411">
        <v>4578.16</v>
      </c>
      <c r="I411">
        <v>65.53</v>
      </c>
      <c r="J411" t="str">
        <f>IFERROR(INDEX(Suppliar[Estimated Carbon Footprint (tons CO₂e)],MATCH('Merge operational &amp; suppliar'!A411,Suppliar[Facility ID],0)),"")</f>
        <v/>
      </c>
      <c r="K411" t="str">
        <f>IFERROR(INDEX(Suppliar[Income Distribution (%)],MATCH('Merge operational &amp; suppliar'!A411,Suppliar[Facility ID],0)),"")</f>
        <v/>
      </c>
    </row>
    <row r="412" spans="1:11" x14ac:dyDescent="0.3">
      <c r="A412" t="s">
        <v>39</v>
      </c>
      <c r="B412" t="s">
        <v>7</v>
      </c>
      <c r="C412" t="s">
        <v>34</v>
      </c>
      <c r="D412" t="s">
        <v>28</v>
      </c>
      <c r="E412" t="s">
        <v>15</v>
      </c>
      <c r="F412">
        <v>3855.03</v>
      </c>
      <c r="G412">
        <v>80904</v>
      </c>
      <c r="H412">
        <v>3263.09</v>
      </c>
      <c r="I412">
        <v>58.37</v>
      </c>
      <c r="J412">
        <f>IFERROR(INDEX(Suppliar[Estimated Carbon Footprint (tons CO₂e)],MATCH('Merge operational &amp; suppliar'!A412,Suppliar[Facility ID],0)),"")</f>
        <v>756.78</v>
      </c>
      <c r="K412">
        <f>IFERROR(INDEX(Suppliar[Income Distribution (%)],MATCH('Merge operational &amp; suppliar'!A412,Suppliar[Facility ID],0)),"")</f>
        <v>35.950000000000003</v>
      </c>
    </row>
    <row r="413" spans="1:11" x14ac:dyDescent="0.3">
      <c r="A413" t="s">
        <v>111</v>
      </c>
      <c r="B413" t="s">
        <v>19</v>
      </c>
      <c r="C413" t="s">
        <v>8</v>
      </c>
      <c r="D413" t="s">
        <v>9</v>
      </c>
      <c r="E413" t="s">
        <v>24</v>
      </c>
      <c r="F413">
        <v>1087.93</v>
      </c>
      <c r="G413">
        <v>37309</v>
      </c>
      <c r="H413">
        <v>4508.54</v>
      </c>
      <c r="I413">
        <v>47.15</v>
      </c>
      <c r="J413">
        <f>IFERROR(INDEX(Suppliar[Estimated Carbon Footprint (tons CO₂e)],MATCH('Merge operational &amp; suppliar'!A413,Suppliar[Facility ID],0)),"")</f>
        <v>951.35</v>
      </c>
      <c r="K413">
        <f>IFERROR(INDEX(Suppliar[Income Distribution (%)],MATCH('Merge operational &amp; suppliar'!A413,Suppliar[Facility ID],0)),"")</f>
        <v>47.12</v>
      </c>
    </row>
    <row r="414" spans="1:11" x14ac:dyDescent="0.3">
      <c r="A414" t="s">
        <v>26</v>
      </c>
      <c r="B414" t="s">
        <v>17</v>
      </c>
      <c r="C414" t="s">
        <v>8</v>
      </c>
      <c r="D414" t="s">
        <v>14</v>
      </c>
      <c r="E414" t="s">
        <v>10</v>
      </c>
      <c r="F414">
        <v>3311.86</v>
      </c>
      <c r="G414">
        <v>17311</v>
      </c>
      <c r="H414">
        <v>2257.38</v>
      </c>
      <c r="I414">
        <v>91.07</v>
      </c>
      <c r="J414">
        <f>IFERROR(INDEX(Suppliar[Estimated Carbon Footprint (tons CO₂e)],MATCH('Merge operational &amp; suppliar'!A414,Suppliar[Facility ID],0)),"")</f>
        <v>341.24</v>
      </c>
      <c r="K414">
        <f>IFERROR(INDEX(Suppliar[Income Distribution (%)],MATCH('Merge operational &amp; suppliar'!A414,Suppliar[Facility ID],0)),"")</f>
        <v>80.69</v>
      </c>
    </row>
    <row r="415" spans="1:11" x14ac:dyDescent="0.3">
      <c r="A415" t="s">
        <v>188</v>
      </c>
      <c r="B415" t="s">
        <v>19</v>
      </c>
      <c r="C415" t="s">
        <v>8</v>
      </c>
      <c r="D415" t="s">
        <v>9</v>
      </c>
      <c r="E415" t="s">
        <v>24</v>
      </c>
      <c r="F415">
        <v>3496.49</v>
      </c>
      <c r="G415">
        <v>60513</v>
      </c>
      <c r="H415">
        <v>4578.16</v>
      </c>
      <c r="I415">
        <v>65.53</v>
      </c>
      <c r="J415" t="str">
        <f>IFERROR(INDEX(Suppliar[Estimated Carbon Footprint (tons CO₂e)],MATCH('Merge operational &amp; suppliar'!A415,Suppliar[Facility ID],0)),"")</f>
        <v/>
      </c>
      <c r="K415" t="str">
        <f>IFERROR(INDEX(Suppliar[Income Distribution (%)],MATCH('Merge operational &amp; suppliar'!A415,Suppliar[Facility ID],0)),"")</f>
        <v/>
      </c>
    </row>
    <row r="416" spans="1:11" x14ac:dyDescent="0.3">
      <c r="A416" t="s">
        <v>105</v>
      </c>
      <c r="B416" t="s">
        <v>30</v>
      </c>
      <c r="C416" t="s">
        <v>34</v>
      </c>
      <c r="D416" t="s">
        <v>28</v>
      </c>
      <c r="E416" t="s">
        <v>10</v>
      </c>
      <c r="F416">
        <v>3355.28</v>
      </c>
      <c r="G416">
        <v>87337</v>
      </c>
      <c r="H416">
        <v>3603.06</v>
      </c>
      <c r="I416">
        <v>67.13</v>
      </c>
      <c r="J416" t="str">
        <f>IFERROR(INDEX(Suppliar[Estimated Carbon Footprint (tons CO₂e)],MATCH('Merge operational &amp; suppliar'!A416,Suppliar[Facility ID],0)),"")</f>
        <v/>
      </c>
      <c r="K416" t="str">
        <f>IFERROR(INDEX(Suppliar[Income Distribution (%)],MATCH('Merge operational &amp; suppliar'!A416,Suppliar[Facility ID],0)),"")</f>
        <v/>
      </c>
    </row>
    <row r="417" spans="1:11" x14ac:dyDescent="0.3">
      <c r="A417" t="s">
        <v>122</v>
      </c>
      <c r="B417" t="s">
        <v>19</v>
      </c>
      <c r="C417" t="s">
        <v>8</v>
      </c>
      <c r="D417" t="s">
        <v>9</v>
      </c>
      <c r="E417" t="s">
        <v>10</v>
      </c>
      <c r="F417">
        <v>4871.42</v>
      </c>
      <c r="G417">
        <v>95962</v>
      </c>
      <c r="H417">
        <v>524.72</v>
      </c>
      <c r="I417">
        <v>49.55</v>
      </c>
      <c r="J417">
        <f>IFERROR(INDEX(Suppliar[Estimated Carbon Footprint (tons CO₂e)],MATCH('Merge operational &amp; suppliar'!A417,Suppliar[Facility ID],0)),"")</f>
        <v>991.36</v>
      </c>
      <c r="K417">
        <f>IFERROR(INDEX(Suppliar[Income Distribution (%)],MATCH('Merge operational &amp; suppliar'!A417,Suppliar[Facility ID],0)),"")</f>
        <v>18.28</v>
      </c>
    </row>
    <row r="418" spans="1:11" x14ac:dyDescent="0.3">
      <c r="A418" t="s">
        <v>49</v>
      </c>
      <c r="B418" t="s">
        <v>19</v>
      </c>
      <c r="C418" t="s">
        <v>13</v>
      </c>
      <c r="D418" t="s">
        <v>9</v>
      </c>
      <c r="E418" t="s">
        <v>10</v>
      </c>
      <c r="F418">
        <v>1245.54</v>
      </c>
      <c r="G418">
        <v>50306</v>
      </c>
      <c r="H418">
        <v>7031.37</v>
      </c>
      <c r="I418">
        <v>13.27</v>
      </c>
      <c r="J418" t="str">
        <f>IFERROR(INDEX(Suppliar[Estimated Carbon Footprint (tons CO₂e)],MATCH('Merge operational &amp; suppliar'!A418,Suppliar[Facility ID],0)),"")</f>
        <v/>
      </c>
      <c r="K418" t="str">
        <f>IFERROR(INDEX(Suppliar[Income Distribution (%)],MATCH('Merge operational &amp; suppliar'!A418,Suppliar[Facility ID],0)),"")</f>
        <v/>
      </c>
    </row>
    <row r="419" spans="1:11" x14ac:dyDescent="0.3">
      <c r="A419" t="s">
        <v>123</v>
      </c>
      <c r="B419" t="s">
        <v>30</v>
      </c>
      <c r="C419" t="s">
        <v>34</v>
      </c>
      <c r="D419" t="s">
        <v>14</v>
      </c>
      <c r="E419" t="s">
        <v>15</v>
      </c>
      <c r="F419">
        <v>2891.84</v>
      </c>
      <c r="G419">
        <v>73977</v>
      </c>
      <c r="H419">
        <v>1646.75</v>
      </c>
      <c r="I419">
        <v>43.77</v>
      </c>
      <c r="J419" t="str">
        <f>IFERROR(INDEX(Suppliar[Estimated Carbon Footprint (tons CO₂e)],MATCH('Merge operational &amp; suppliar'!A419,Suppliar[Facility ID],0)),"")</f>
        <v/>
      </c>
      <c r="K419" t="str">
        <f>IFERROR(INDEX(Suppliar[Income Distribution (%)],MATCH('Merge operational &amp; suppliar'!A419,Suppliar[Facility ID],0)),"")</f>
        <v/>
      </c>
    </row>
    <row r="420" spans="1:11" x14ac:dyDescent="0.3">
      <c r="A420" t="s">
        <v>54</v>
      </c>
      <c r="B420" t="s">
        <v>12</v>
      </c>
      <c r="C420" t="s">
        <v>8</v>
      </c>
      <c r="D420" t="s">
        <v>14</v>
      </c>
      <c r="E420" t="s">
        <v>10</v>
      </c>
      <c r="F420">
        <v>2482.64</v>
      </c>
      <c r="G420">
        <v>58111</v>
      </c>
      <c r="H420">
        <v>4610.8999999999996</v>
      </c>
      <c r="I420">
        <v>21.53</v>
      </c>
      <c r="J420">
        <f>IFERROR(INDEX(Suppliar[Estimated Carbon Footprint (tons CO₂e)],MATCH('Merge operational &amp; suppliar'!A420,Suppliar[Facility ID],0)),"")</f>
        <v>268.16000000000003</v>
      </c>
      <c r="K420">
        <f>IFERROR(INDEX(Suppliar[Income Distribution (%)],MATCH('Merge operational &amp; suppliar'!A420,Suppliar[Facility ID],0)),"")</f>
        <v>13.78</v>
      </c>
    </row>
    <row r="421" spans="1:11" x14ac:dyDescent="0.3">
      <c r="A421" t="s">
        <v>162</v>
      </c>
      <c r="B421" t="s">
        <v>30</v>
      </c>
      <c r="C421" t="s">
        <v>23</v>
      </c>
      <c r="D421" t="s">
        <v>9</v>
      </c>
      <c r="E421" t="s">
        <v>10</v>
      </c>
      <c r="F421">
        <v>3463.89</v>
      </c>
      <c r="G421">
        <v>94347</v>
      </c>
      <c r="H421">
        <v>2272.58</v>
      </c>
      <c r="I421">
        <v>34.75</v>
      </c>
      <c r="J421">
        <f>IFERROR(INDEX(Suppliar[Estimated Carbon Footprint (tons CO₂e)],MATCH('Merge operational &amp; suppliar'!A421,Suppliar[Facility ID],0)),"")</f>
        <v>472.66</v>
      </c>
      <c r="K421">
        <f>IFERROR(INDEX(Suppliar[Income Distribution (%)],MATCH('Merge operational &amp; suppliar'!A421,Suppliar[Facility ID],0)),"")</f>
        <v>44.97</v>
      </c>
    </row>
    <row r="422" spans="1:11" x14ac:dyDescent="0.3">
      <c r="A422" t="s">
        <v>193</v>
      </c>
      <c r="B422" t="s">
        <v>12</v>
      </c>
      <c r="C422" t="s">
        <v>8</v>
      </c>
      <c r="D422" t="s">
        <v>9</v>
      </c>
      <c r="E422" t="s">
        <v>24</v>
      </c>
      <c r="F422">
        <v>2901.34</v>
      </c>
      <c r="G422">
        <v>13333</v>
      </c>
      <c r="H422">
        <v>6102.15</v>
      </c>
      <c r="I422">
        <v>17.670000000000002</v>
      </c>
      <c r="J422">
        <f>IFERROR(INDEX(Suppliar[Estimated Carbon Footprint (tons CO₂e)],MATCH('Merge operational &amp; suppliar'!A422,Suppliar[Facility ID],0)),"")</f>
        <v>959.2</v>
      </c>
      <c r="K422">
        <f>IFERROR(INDEX(Suppliar[Income Distribution (%)],MATCH('Merge operational &amp; suppliar'!A422,Suppliar[Facility ID],0)),"")</f>
        <v>24.24</v>
      </c>
    </row>
    <row r="423" spans="1:11" x14ac:dyDescent="0.3">
      <c r="A423" t="s">
        <v>194</v>
      </c>
      <c r="B423" t="s">
        <v>17</v>
      </c>
      <c r="C423" t="s">
        <v>34</v>
      </c>
      <c r="D423" t="s">
        <v>14</v>
      </c>
      <c r="E423" t="s">
        <v>15</v>
      </c>
      <c r="F423">
        <v>1323.76</v>
      </c>
      <c r="G423">
        <v>95165</v>
      </c>
      <c r="H423">
        <v>8562.76</v>
      </c>
      <c r="I423">
        <v>37.54</v>
      </c>
      <c r="J423">
        <f>IFERROR(INDEX(Suppliar[Estimated Carbon Footprint (tons CO₂e)],MATCH('Merge operational &amp; suppliar'!A423,Suppliar[Facility ID],0)),"")</f>
        <v>479.41</v>
      </c>
      <c r="K423">
        <f>IFERROR(INDEX(Suppliar[Income Distribution (%)],MATCH('Merge operational &amp; suppliar'!A423,Suppliar[Facility ID],0)),"")</f>
        <v>13.64</v>
      </c>
    </row>
    <row r="424" spans="1:11" x14ac:dyDescent="0.3">
      <c r="A424" t="s">
        <v>190</v>
      </c>
      <c r="B424" t="s">
        <v>17</v>
      </c>
      <c r="C424" t="s">
        <v>8</v>
      </c>
      <c r="D424" t="s">
        <v>9</v>
      </c>
      <c r="E424" t="s">
        <v>24</v>
      </c>
      <c r="F424">
        <v>2332.12</v>
      </c>
      <c r="G424">
        <v>41953</v>
      </c>
      <c r="H424">
        <v>2379.14</v>
      </c>
      <c r="I424">
        <v>65.67</v>
      </c>
      <c r="J424">
        <f>IFERROR(INDEX(Suppliar[Estimated Carbon Footprint (tons CO₂e)],MATCH('Merge operational &amp; suppliar'!A424,Suppliar[Facility ID],0)),"")</f>
        <v>571.66</v>
      </c>
      <c r="K424">
        <f>IFERROR(INDEX(Suppliar[Income Distribution (%)],MATCH('Merge operational &amp; suppliar'!A424,Suppliar[Facility ID],0)),"")</f>
        <v>14.81</v>
      </c>
    </row>
    <row r="425" spans="1:11" x14ac:dyDescent="0.3">
      <c r="A425" t="s">
        <v>141</v>
      </c>
      <c r="B425" t="s">
        <v>7</v>
      </c>
      <c r="C425" t="s">
        <v>8</v>
      </c>
      <c r="D425" t="s">
        <v>28</v>
      </c>
      <c r="E425" t="s">
        <v>24</v>
      </c>
      <c r="F425">
        <v>462.78</v>
      </c>
      <c r="G425">
        <v>45644</v>
      </c>
      <c r="H425">
        <v>7724.73</v>
      </c>
      <c r="I425">
        <v>31</v>
      </c>
      <c r="J425">
        <f>IFERROR(INDEX(Suppliar[Estimated Carbon Footprint (tons CO₂e)],MATCH('Merge operational &amp; suppliar'!A425,Suppliar[Facility ID],0)),"")</f>
        <v>685.27</v>
      </c>
      <c r="K425">
        <f>IFERROR(INDEX(Suppliar[Income Distribution (%)],MATCH('Merge operational &amp; suppliar'!A425,Suppliar[Facility ID],0)),"")</f>
        <v>33.94</v>
      </c>
    </row>
    <row r="426" spans="1:11" x14ac:dyDescent="0.3">
      <c r="A426" t="s">
        <v>193</v>
      </c>
      <c r="B426" t="s">
        <v>12</v>
      </c>
      <c r="C426" t="s">
        <v>23</v>
      </c>
      <c r="D426" t="s">
        <v>14</v>
      </c>
      <c r="E426" t="s">
        <v>15</v>
      </c>
      <c r="F426">
        <v>1229.33</v>
      </c>
      <c r="G426">
        <v>13333</v>
      </c>
      <c r="H426">
        <v>6102.15</v>
      </c>
      <c r="I426">
        <v>17.670000000000002</v>
      </c>
      <c r="J426">
        <f>IFERROR(INDEX(Suppliar[Estimated Carbon Footprint (tons CO₂e)],MATCH('Merge operational &amp; suppliar'!A426,Suppliar[Facility ID],0)),"")</f>
        <v>959.2</v>
      </c>
      <c r="K426">
        <f>IFERROR(INDEX(Suppliar[Income Distribution (%)],MATCH('Merge operational &amp; suppliar'!A426,Suppliar[Facility ID],0)),"")</f>
        <v>24.24</v>
      </c>
    </row>
    <row r="427" spans="1:11" x14ac:dyDescent="0.3">
      <c r="A427" t="s">
        <v>92</v>
      </c>
      <c r="B427" t="s">
        <v>30</v>
      </c>
      <c r="C427" t="s">
        <v>13</v>
      </c>
      <c r="D427" t="s">
        <v>14</v>
      </c>
      <c r="E427" t="s">
        <v>15</v>
      </c>
      <c r="F427">
        <v>3457.79</v>
      </c>
      <c r="G427">
        <v>18726</v>
      </c>
      <c r="H427">
        <v>5099.54</v>
      </c>
      <c r="I427">
        <v>71.05</v>
      </c>
      <c r="J427">
        <f>IFERROR(INDEX(Suppliar[Estimated Carbon Footprint (tons CO₂e)],MATCH('Merge operational &amp; suppliar'!A427,Suppliar[Facility ID],0)),"")</f>
        <v>714.03</v>
      </c>
      <c r="K427">
        <f>IFERROR(INDEX(Suppliar[Income Distribution (%)],MATCH('Merge operational &amp; suppliar'!A427,Suppliar[Facility ID],0)),"")</f>
        <v>32.29</v>
      </c>
    </row>
    <row r="428" spans="1:11" x14ac:dyDescent="0.3">
      <c r="A428" t="s">
        <v>89</v>
      </c>
      <c r="B428" t="s">
        <v>17</v>
      </c>
      <c r="C428" t="s">
        <v>8</v>
      </c>
      <c r="D428" t="s">
        <v>14</v>
      </c>
      <c r="E428" t="s">
        <v>15</v>
      </c>
      <c r="F428">
        <v>3519.41</v>
      </c>
      <c r="G428">
        <v>36171</v>
      </c>
      <c r="H428">
        <v>6864.38</v>
      </c>
      <c r="I428">
        <v>37.03</v>
      </c>
      <c r="J428">
        <f>IFERROR(INDEX(Suppliar[Estimated Carbon Footprint (tons CO₂e)],MATCH('Merge operational &amp; suppliar'!A428,Suppliar[Facility ID],0)),"")</f>
        <v>181.54</v>
      </c>
      <c r="K428">
        <f>IFERROR(INDEX(Suppliar[Income Distribution (%)],MATCH('Merge operational &amp; suppliar'!A428,Suppliar[Facility ID],0)),"")</f>
        <v>55.69</v>
      </c>
    </row>
    <row r="429" spans="1:11" x14ac:dyDescent="0.3">
      <c r="A429" t="s">
        <v>171</v>
      </c>
      <c r="B429" t="s">
        <v>17</v>
      </c>
      <c r="C429" t="s">
        <v>8</v>
      </c>
      <c r="D429" t="s">
        <v>28</v>
      </c>
      <c r="E429" t="s">
        <v>24</v>
      </c>
      <c r="F429">
        <v>2913.47</v>
      </c>
      <c r="G429">
        <v>24502</v>
      </c>
      <c r="H429">
        <v>7466.86</v>
      </c>
      <c r="I429">
        <v>88.83</v>
      </c>
      <c r="J429">
        <f>IFERROR(INDEX(Suppliar[Estimated Carbon Footprint (tons CO₂e)],MATCH('Merge operational &amp; suppliar'!A429,Suppliar[Facility ID],0)),"")</f>
        <v>847.51</v>
      </c>
      <c r="K429">
        <f>IFERROR(INDEX(Suppliar[Income Distribution (%)],MATCH('Merge operational &amp; suppliar'!A429,Suppliar[Facility ID],0)),"")</f>
        <v>26.48</v>
      </c>
    </row>
    <row r="430" spans="1:11" x14ac:dyDescent="0.3">
      <c r="A430" t="s">
        <v>195</v>
      </c>
      <c r="B430" t="s">
        <v>7</v>
      </c>
      <c r="C430" t="s">
        <v>34</v>
      </c>
      <c r="D430" t="s">
        <v>28</v>
      </c>
      <c r="E430" t="s">
        <v>15</v>
      </c>
      <c r="F430">
        <v>1431.51</v>
      </c>
      <c r="G430">
        <v>68278</v>
      </c>
      <c r="H430">
        <v>3272.65</v>
      </c>
      <c r="I430">
        <v>30.47</v>
      </c>
      <c r="J430">
        <f>IFERROR(INDEX(Suppliar[Estimated Carbon Footprint (tons CO₂e)],MATCH('Merge operational &amp; suppliar'!A430,Suppliar[Facility ID],0)),"")</f>
        <v>526.54999999999995</v>
      </c>
      <c r="K430">
        <f>IFERROR(INDEX(Suppliar[Income Distribution (%)],MATCH('Merge operational &amp; suppliar'!A430,Suppliar[Facility ID],0)),"")</f>
        <v>30.4</v>
      </c>
    </row>
    <row r="431" spans="1:11" x14ac:dyDescent="0.3">
      <c r="A431" t="s">
        <v>85</v>
      </c>
      <c r="B431" t="s">
        <v>30</v>
      </c>
      <c r="C431" t="s">
        <v>34</v>
      </c>
      <c r="D431" t="s">
        <v>28</v>
      </c>
      <c r="E431" t="s">
        <v>24</v>
      </c>
      <c r="F431">
        <v>2346.0500000000002</v>
      </c>
      <c r="G431">
        <v>45519</v>
      </c>
      <c r="H431">
        <v>7987.69</v>
      </c>
      <c r="I431">
        <v>10.86</v>
      </c>
      <c r="J431">
        <f>IFERROR(INDEX(Suppliar[Estimated Carbon Footprint (tons CO₂e)],MATCH('Merge operational &amp; suppliar'!A431,Suppliar[Facility ID],0)),"")</f>
        <v>638.89</v>
      </c>
      <c r="K431">
        <f>IFERROR(INDEX(Suppliar[Income Distribution (%)],MATCH('Merge operational &amp; suppliar'!A431,Suppliar[Facility ID],0)),"")</f>
        <v>35.04</v>
      </c>
    </row>
    <row r="432" spans="1:11" x14ac:dyDescent="0.3">
      <c r="A432" t="s">
        <v>122</v>
      </c>
      <c r="B432" t="s">
        <v>19</v>
      </c>
      <c r="C432" t="s">
        <v>8</v>
      </c>
      <c r="D432" t="s">
        <v>28</v>
      </c>
      <c r="E432" t="s">
        <v>15</v>
      </c>
      <c r="F432">
        <v>4191.3599999999997</v>
      </c>
      <c r="G432">
        <v>95962</v>
      </c>
      <c r="H432">
        <v>524.72</v>
      </c>
      <c r="I432">
        <v>49.55</v>
      </c>
      <c r="J432">
        <f>IFERROR(INDEX(Suppliar[Estimated Carbon Footprint (tons CO₂e)],MATCH('Merge operational &amp; suppliar'!A432,Suppliar[Facility ID],0)),"")</f>
        <v>991.36</v>
      </c>
      <c r="K432">
        <f>IFERROR(INDEX(Suppliar[Income Distribution (%)],MATCH('Merge operational &amp; suppliar'!A432,Suppliar[Facility ID],0)),"")</f>
        <v>18.28</v>
      </c>
    </row>
    <row r="433" spans="1:11" x14ac:dyDescent="0.3">
      <c r="A433" t="s">
        <v>87</v>
      </c>
      <c r="B433" t="s">
        <v>12</v>
      </c>
      <c r="C433" t="s">
        <v>34</v>
      </c>
      <c r="D433" t="s">
        <v>9</v>
      </c>
      <c r="E433" t="s">
        <v>15</v>
      </c>
      <c r="F433">
        <v>2422.4699999999998</v>
      </c>
      <c r="G433">
        <v>15333</v>
      </c>
      <c r="H433">
        <v>2570.54</v>
      </c>
      <c r="I433">
        <v>41.07</v>
      </c>
      <c r="J433">
        <f>IFERROR(INDEX(Suppliar[Estimated Carbon Footprint (tons CO₂e)],MATCH('Merge operational &amp; suppliar'!A433,Suppliar[Facility ID],0)),"")</f>
        <v>390.06</v>
      </c>
      <c r="K433">
        <f>IFERROR(INDEX(Suppliar[Income Distribution (%)],MATCH('Merge operational &amp; suppliar'!A433,Suppliar[Facility ID],0)),"")</f>
        <v>31.43</v>
      </c>
    </row>
    <row r="434" spans="1:11" x14ac:dyDescent="0.3">
      <c r="A434" t="s">
        <v>76</v>
      </c>
      <c r="B434" t="s">
        <v>17</v>
      </c>
      <c r="C434" t="s">
        <v>13</v>
      </c>
      <c r="D434" t="s">
        <v>9</v>
      </c>
      <c r="E434" t="s">
        <v>10</v>
      </c>
      <c r="F434">
        <v>3331.66</v>
      </c>
      <c r="G434">
        <v>59617</v>
      </c>
      <c r="H434">
        <v>5000.95</v>
      </c>
      <c r="I434">
        <v>80.36</v>
      </c>
      <c r="J434">
        <f>IFERROR(INDEX(Suppliar[Estimated Carbon Footprint (tons CO₂e)],MATCH('Merge operational &amp; suppliar'!A434,Suppliar[Facility ID],0)),"")</f>
        <v>532.27</v>
      </c>
      <c r="K434">
        <f>IFERROR(INDEX(Suppliar[Income Distribution (%)],MATCH('Merge operational &amp; suppliar'!A434,Suppliar[Facility ID],0)),"")</f>
        <v>25.24</v>
      </c>
    </row>
    <row r="435" spans="1:11" x14ac:dyDescent="0.3">
      <c r="A435" t="s">
        <v>164</v>
      </c>
      <c r="B435" t="s">
        <v>19</v>
      </c>
      <c r="C435" t="s">
        <v>34</v>
      </c>
      <c r="D435" t="s">
        <v>14</v>
      </c>
      <c r="E435" t="s">
        <v>15</v>
      </c>
      <c r="F435">
        <v>1833.49</v>
      </c>
      <c r="G435">
        <v>69636</v>
      </c>
      <c r="H435">
        <v>4246.55</v>
      </c>
      <c r="I435">
        <v>69.290000000000006</v>
      </c>
      <c r="J435">
        <f>IFERROR(INDEX(Suppliar[Estimated Carbon Footprint (tons CO₂e)],MATCH('Merge operational &amp; suppliar'!A435,Suppliar[Facility ID],0)),"")</f>
        <v>362.43</v>
      </c>
      <c r="K435">
        <f>IFERROR(INDEX(Suppliar[Income Distribution (%)],MATCH('Merge operational &amp; suppliar'!A435,Suppliar[Facility ID],0)),"")</f>
        <v>54.81</v>
      </c>
    </row>
    <row r="436" spans="1:11" x14ac:dyDescent="0.3">
      <c r="A436" t="s">
        <v>137</v>
      </c>
      <c r="B436" t="s">
        <v>17</v>
      </c>
      <c r="C436" t="s">
        <v>23</v>
      </c>
      <c r="D436" t="s">
        <v>14</v>
      </c>
      <c r="E436" t="s">
        <v>10</v>
      </c>
      <c r="F436">
        <v>4018.22</v>
      </c>
      <c r="G436">
        <v>19265</v>
      </c>
      <c r="H436">
        <v>776.6</v>
      </c>
      <c r="I436">
        <v>39.75</v>
      </c>
      <c r="J436">
        <f>IFERROR(INDEX(Suppliar[Estimated Carbon Footprint (tons CO₂e)],MATCH('Merge operational &amp; suppliar'!A436,Suppliar[Facility ID],0)),"")</f>
        <v>289.77</v>
      </c>
      <c r="K436">
        <f>IFERROR(INDEX(Suppliar[Income Distribution (%)],MATCH('Merge operational &amp; suppliar'!A436,Suppliar[Facility ID],0)),"")</f>
        <v>37.270000000000003</v>
      </c>
    </row>
    <row r="437" spans="1:11" x14ac:dyDescent="0.3">
      <c r="A437" t="s">
        <v>140</v>
      </c>
      <c r="B437" t="s">
        <v>17</v>
      </c>
      <c r="C437" t="s">
        <v>23</v>
      </c>
      <c r="D437" t="s">
        <v>9</v>
      </c>
      <c r="E437" t="s">
        <v>10</v>
      </c>
      <c r="F437">
        <v>2681.92</v>
      </c>
      <c r="G437">
        <v>88308</v>
      </c>
      <c r="H437">
        <v>7802.07</v>
      </c>
      <c r="I437">
        <v>36.130000000000003</v>
      </c>
      <c r="J437">
        <f>IFERROR(INDEX(Suppliar[Estimated Carbon Footprint (tons CO₂e)],MATCH('Merge operational &amp; suppliar'!A437,Suppliar[Facility ID],0)),"")</f>
        <v>557.72</v>
      </c>
      <c r="K437">
        <f>IFERROR(INDEX(Suppliar[Income Distribution (%)],MATCH('Merge operational &amp; suppliar'!A437,Suppliar[Facility ID],0)),"")</f>
        <v>62.75</v>
      </c>
    </row>
    <row r="438" spans="1:11" x14ac:dyDescent="0.3">
      <c r="A438" t="s">
        <v>89</v>
      </c>
      <c r="B438" t="s">
        <v>17</v>
      </c>
      <c r="C438" t="s">
        <v>13</v>
      </c>
      <c r="D438" t="s">
        <v>9</v>
      </c>
      <c r="E438" t="s">
        <v>24</v>
      </c>
      <c r="F438">
        <v>1889.49</v>
      </c>
      <c r="G438">
        <v>36171</v>
      </c>
      <c r="H438">
        <v>6864.38</v>
      </c>
      <c r="I438">
        <v>37.03</v>
      </c>
      <c r="J438">
        <f>IFERROR(INDEX(Suppliar[Estimated Carbon Footprint (tons CO₂e)],MATCH('Merge operational &amp; suppliar'!A438,Suppliar[Facility ID],0)),"")</f>
        <v>181.54</v>
      </c>
      <c r="K438">
        <f>IFERROR(INDEX(Suppliar[Income Distribution (%)],MATCH('Merge operational &amp; suppliar'!A438,Suppliar[Facility ID],0)),"")</f>
        <v>55.69</v>
      </c>
    </row>
    <row r="439" spans="1:11" x14ac:dyDescent="0.3">
      <c r="A439" t="s">
        <v>196</v>
      </c>
      <c r="B439" t="s">
        <v>30</v>
      </c>
      <c r="C439" t="s">
        <v>34</v>
      </c>
      <c r="D439" t="s">
        <v>14</v>
      </c>
      <c r="E439" t="s">
        <v>10</v>
      </c>
      <c r="F439">
        <v>1407.92</v>
      </c>
      <c r="G439">
        <v>12262</v>
      </c>
      <c r="H439">
        <v>7106.18</v>
      </c>
      <c r="I439">
        <v>45.69</v>
      </c>
      <c r="J439">
        <f>IFERROR(INDEX(Suppliar[Estimated Carbon Footprint (tons CO₂e)],MATCH('Merge operational &amp; suppliar'!A439,Suppliar[Facility ID],0)),"")</f>
        <v>459.56</v>
      </c>
      <c r="K439">
        <f>IFERROR(INDEX(Suppliar[Income Distribution (%)],MATCH('Merge operational &amp; suppliar'!A439,Suppliar[Facility ID],0)),"")</f>
        <v>29.71</v>
      </c>
    </row>
    <row r="440" spans="1:11" x14ac:dyDescent="0.3">
      <c r="A440" t="s">
        <v>99</v>
      </c>
      <c r="B440" t="s">
        <v>19</v>
      </c>
      <c r="C440" t="s">
        <v>34</v>
      </c>
      <c r="D440" t="s">
        <v>14</v>
      </c>
      <c r="E440" t="s">
        <v>15</v>
      </c>
      <c r="F440">
        <v>4935.72</v>
      </c>
      <c r="G440">
        <v>77400</v>
      </c>
      <c r="H440">
        <v>7504.8</v>
      </c>
      <c r="I440">
        <v>68.819999999999993</v>
      </c>
      <c r="J440" t="str">
        <f>IFERROR(INDEX(Suppliar[Estimated Carbon Footprint (tons CO₂e)],MATCH('Merge operational &amp; suppliar'!A440,Suppliar[Facility ID],0)),"")</f>
        <v/>
      </c>
      <c r="K440" t="str">
        <f>IFERROR(INDEX(Suppliar[Income Distribution (%)],MATCH('Merge operational &amp; suppliar'!A440,Suppliar[Facility ID],0)),"")</f>
        <v/>
      </c>
    </row>
    <row r="441" spans="1:11" x14ac:dyDescent="0.3">
      <c r="A441" t="s">
        <v>59</v>
      </c>
      <c r="B441" t="s">
        <v>17</v>
      </c>
      <c r="C441" t="s">
        <v>8</v>
      </c>
      <c r="D441" t="s">
        <v>9</v>
      </c>
      <c r="E441" t="s">
        <v>15</v>
      </c>
      <c r="F441">
        <v>2103.19</v>
      </c>
      <c r="G441">
        <v>15553</v>
      </c>
      <c r="H441">
        <v>3909.51</v>
      </c>
      <c r="I441">
        <v>46.44</v>
      </c>
      <c r="J441" t="str">
        <f>IFERROR(INDEX(Suppliar[Estimated Carbon Footprint (tons CO₂e)],MATCH('Merge operational &amp; suppliar'!A441,Suppliar[Facility ID],0)),"")</f>
        <v/>
      </c>
      <c r="K441" t="str">
        <f>IFERROR(INDEX(Suppliar[Income Distribution (%)],MATCH('Merge operational &amp; suppliar'!A441,Suppliar[Facility ID],0)),"")</f>
        <v/>
      </c>
    </row>
    <row r="442" spans="1:11" x14ac:dyDescent="0.3">
      <c r="A442" t="s">
        <v>148</v>
      </c>
      <c r="B442" t="s">
        <v>17</v>
      </c>
      <c r="C442" t="s">
        <v>23</v>
      </c>
      <c r="D442" t="s">
        <v>28</v>
      </c>
      <c r="E442" t="s">
        <v>10</v>
      </c>
      <c r="F442">
        <v>2046.76</v>
      </c>
      <c r="G442">
        <v>44994</v>
      </c>
      <c r="H442">
        <v>7305.59</v>
      </c>
      <c r="I442">
        <v>91.53</v>
      </c>
      <c r="J442">
        <f>IFERROR(INDEX(Suppliar[Estimated Carbon Footprint (tons CO₂e)],MATCH('Merge operational &amp; suppliar'!A442,Suppliar[Facility ID],0)),"")</f>
        <v>790.74</v>
      </c>
      <c r="K442">
        <f>IFERROR(INDEX(Suppliar[Income Distribution (%)],MATCH('Merge operational &amp; suppliar'!A442,Suppliar[Facility ID],0)),"")</f>
        <v>27.44</v>
      </c>
    </row>
    <row r="443" spans="1:11" x14ac:dyDescent="0.3">
      <c r="A443" t="s">
        <v>85</v>
      </c>
      <c r="B443" t="s">
        <v>30</v>
      </c>
      <c r="C443" t="s">
        <v>8</v>
      </c>
      <c r="D443" t="s">
        <v>14</v>
      </c>
      <c r="E443" t="s">
        <v>24</v>
      </c>
      <c r="F443">
        <v>3397.43</v>
      </c>
      <c r="G443">
        <v>45519</v>
      </c>
      <c r="H443">
        <v>7987.69</v>
      </c>
      <c r="I443">
        <v>10.86</v>
      </c>
      <c r="J443">
        <f>IFERROR(INDEX(Suppliar[Estimated Carbon Footprint (tons CO₂e)],MATCH('Merge operational &amp; suppliar'!A443,Suppliar[Facility ID],0)),"")</f>
        <v>638.89</v>
      </c>
      <c r="K443">
        <f>IFERROR(INDEX(Suppliar[Income Distribution (%)],MATCH('Merge operational &amp; suppliar'!A443,Suppliar[Facility ID],0)),"")</f>
        <v>35.04</v>
      </c>
    </row>
    <row r="444" spans="1:11" x14ac:dyDescent="0.3">
      <c r="A444" t="s">
        <v>195</v>
      </c>
      <c r="B444" t="s">
        <v>7</v>
      </c>
      <c r="C444" t="s">
        <v>13</v>
      </c>
      <c r="D444" t="s">
        <v>9</v>
      </c>
      <c r="E444" t="s">
        <v>10</v>
      </c>
      <c r="F444">
        <v>3221.57</v>
      </c>
      <c r="G444">
        <v>68278</v>
      </c>
      <c r="H444">
        <v>3272.65</v>
      </c>
      <c r="I444">
        <v>30.47</v>
      </c>
      <c r="J444">
        <f>IFERROR(INDEX(Suppliar[Estimated Carbon Footprint (tons CO₂e)],MATCH('Merge operational &amp; suppliar'!A444,Suppliar[Facility ID],0)),"")</f>
        <v>526.54999999999995</v>
      </c>
      <c r="K444">
        <f>IFERROR(INDEX(Suppliar[Income Distribution (%)],MATCH('Merge operational &amp; suppliar'!A444,Suppliar[Facility ID],0)),"")</f>
        <v>30.4</v>
      </c>
    </row>
    <row r="445" spans="1:11" x14ac:dyDescent="0.3">
      <c r="A445" t="s">
        <v>121</v>
      </c>
      <c r="B445" t="s">
        <v>30</v>
      </c>
      <c r="C445" t="s">
        <v>13</v>
      </c>
      <c r="D445" t="s">
        <v>9</v>
      </c>
      <c r="E445" t="s">
        <v>15</v>
      </c>
      <c r="F445">
        <v>4882.47</v>
      </c>
      <c r="G445">
        <v>58895</v>
      </c>
      <c r="H445">
        <v>3039.17</v>
      </c>
      <c r="I445">
        <v>59.82</v>
      </c>
      <c r="J445">
        <f>IFERROR(INDEX(Suppliar[Estimated Carbon Footprint (tons CO₂e)],MATCH('Merge operational &amp; suppliar'!A445,Suppliar[Facility ID],0)),"")</f>
        <v>785.8</v>
      </c>
      <c r="K445">
        <f>IFERROR(INDEX(Suppliar[Income Distribution (%)],MATCH('Merge operational &amp; suppliar'!A445,Suppliar[Facility ID],0)),"")</f>
        <v>22.92</v>
      </c>
    </row>
    <row r="446" spans="1:11" x14ac:dyDescent="0.3">
      <c r="A446" t="s">
        <v>197</v>
      </c>
      <c r="B446" t="s">
        <v>30</v>
      </c>
      <c r="C446" t="s">
        <v>13</v>
      </c>
      <c r="D446" t="s">
        <v>28</v>
      </c>
      <c r="E446" t="s">
        <v>24</v>
      </c>
      <c r="F446">
        <v>2857.09</v>
      </c>
      <c r="G446">
        <v>56752</v>
      </c>
      <c r="H446">
        <v>4177.68</v>
      </c>
      <c r="I446">
        <v>10.96</v>
      </c>
      <c r="J446">
        <f>IFERROR(INDEX(Suppliar[Estimated Carbon Footprint (tons CO₂e)],MATCH('Merge operational &amp; suppliar'!A446,Suppliar[Facility ID],0)),"")</f>
        <v>694.92</v>
      </c>
      <c r="K446">
        <f>IFERROR(INDEX(Suppliar[Income Distribution (%)],MATCH('Merge operational &amp; suppliar'!A446,Suppliar[Facility ID],0)),"")</f>
        <v>9.8699999999999992</v>
      </c>
    </row>
    <row r="447" spans="1:11" x14ac:dyDescent="0.3">
      <c r="A447" t="s">
        <v>143</v>
      </c>
      <c r="B447" t="s">
        <v>17</v>
      </c>
      <c r="C447" t="s">
        <v>8</v>
      </c>
      <c r="D447" t="s">
        <v>14</v>
      </c>
      <c r="E447" t="s">
        <v>24</v>
      </c>
      <c r="F447">
        <v>1140.1600000000001</v>
      </c>
      <c r="G447">
        <v>94704</v>
      </c>
      <c r="H447">
        <v>6632.95</v>
      </c>
      <c r="I447">
        <v>14.76</v>
      </c>
      <c r="J447">
        <f>IFERROR(INDEX(Suppliar[Estimated Carbon Footprint (tons CO₂e)],MATCH('Merge operational &amp; suppliar'!A447,Suppliar[Facility ID],0)),"")</f>
        <v>459.56</v>
      </c>
      <c r="K447">
        <f>IFERROR(INDEX(Suppliar[Income Distribution (%)],MATCH('Merge operational &amp; suppliar'!A447,Suppliar[Facility ID],0)),"")</f>
        <v>7.54</v>
      </c>
    </row>
    <row r="448" spans="1:11" x14ac:dyDescent="0.3">
      <c r="A448" t="s">
        <v>52</v>
      </c>
      <c r="B448" t="s">
        <v>19</v>
      </c>
      <c r="C448" t="s">
        <v>34</v>
      </c>
      <c r="D448" t="s">
        <v>9</v>
      </c>
      <c r="E448" t="s">
        <v>24</v>
      </c>
      <c r="F448">
        <v>2822.94</v>
      </c>
      <c r="G448">
        <v>94949</v>
      </c>
      <c r="H448">
        <v>9714.76</v>
      </c>
      <c r="I448">
        <v>64.900000000000006</v>
      </c>
      <c r="J448">
        <f>IFERROR(INDEX(Suppliar[Estimated Carbon Footprint (tons CO₂e)],MATCH('Merge operational &amp; suppliar'!A448,Suppliar[Facility ID],0)),"")</f>
        <v>241.41</v>
      </c>
      <c r="K448">
        <f>IFERROR(INDEX(Suppliar[Income Distribution (%)],MATCH('Merge operational &amp; suppliar'!A448,Suppliar[Facility ID],0)),"")</f>
        <v>20.62</v>
      </c>
    </row>
    <row r="449" spans="1:11" x14ac:dyDescent="0.3">
      <c r="A449" t="s">
        <v>129</v>
      </c>
      <c r="B449" t="s">
        <v>17</v>
      </c>
      <c r="C449" t="s">
        <v>23</v>
      </c>
      <c r="D449" t="s">
        <v>28</v>
      </c>
      <c r="E449" t="s">
        <v>15</v>
      </c>
      <c r="F449">
        <v>727.78</v>
      </c>
      <c r="G449">
        <v>95292</v>
      </c>
      <c r="H449">
        <v>697.47</v>
      </c>
      <c r="I449">
        <v>88.35</v>
      </c>
      <c r="J449">
        <f>IFERROR(INDEX(Suppliar[Estimated Carbon Footprint (tons CO₂e)],MATCH('Merge operational &amp; suppliar'!A449,Suppliar[Facility ID],0)),"")</f>
        <v>114.57</v>
      </c>
      <c r="K449">
        <f>IFERROR(INDEX(Suppliar[Income Distribution (%)],MATCH('Merge operational &amp; suppliar'!A449,Suppliar[Facility ID],0)),"")</f>
        <v>36.04</v>
      </c>
    </row>
    <row r="450" spans="1:11" x14ac:dyDescent="0.3">
      <c r="A450" t="s">
        <v>183</v>
      </c>
      <c r="B450" t="s">
        <v>7</v>
      </c>
      <c r="C450" t="s">
        <v>8</v>
      </c>
      <c r="D450" t="s">
        <v>9</v>
      </c>
      <c r="E450" t="s">
        <v>10</v>
      </c>
      <c r="F450">
        <v>367.9</v>
      </c>
      <c r="G450">
        <v>14009</v>
      </c>
      <c r="H450">
        <v>7528.98</v>
      </c>
      <c r="I450">
        <v>77.62</v>
      </c>
      <c r="J450">
        <f>IFERROR(INDEX(Suppliar[Estimated Carbon Footprint (tons CO₂e)],MATCH('Merge operational &amp; suppliar'!A450,Suppliar[Facility ID],0)),"")</f>
        <v>763.97</v>
      </c>
      <c r="K450">
        <f>IFERROR(INDEX(Suppliar[Income Distribution (%)],MATCH('Merge operational &amp; suppliar'!A450,Suppliar[Facility ID],0)),"")</f>
        <v>24.91</v>
      </c>
    </row>
    <row r="451" spans="1:11" x14ac:dyDescent="0.3">
      <c r="A451" t="s">
        <v>198</v>
      </c>
      <c r="B451" t="s">
        <v>12</v>
      </c>
      <c r="C451" t="s">
        <v>34</v>
      </c>
      <c r="D451" t="s">
        <v>14</v>
      </c>
      <c r="E451" t="s">
        <v>10</v>
      </c>
      <c r="F451">
        <v>2303.56</v>
      </c>
      <c r="G451">
        <v>58113</v>
      </c>
      <c r="H451">
        <v>6382.12</v>
      </c>
      <c r="I451">
        <v>56.66</v>
      </c>
      <c r="J451">
        <f>IFERROR(INDEX(Suppliar[Estimated Carbon Footprint (tons CO₂e)],MATCH('Merge operational &amp; suppliar'!A451,Suppliar[Facility ID],0)),"")</f>
        <v>431.16</v>
      </c>
      <c r="K451">
        <f>IFERROR(INDEX(Suppliar[Income Distribution (%)],MATCH('Merge operational &amp; suppliar'!A451,Suppliar[Facility ID],0)),"")</f>
        <v>48.25</v>
      </c>
    </row>
    <row r="452" spans="1:11" x14ac:dyDescent="0.3">
      <c r="A452" t="s">
        <v>147</v>
      </c>
      <c r="B452" t="s">
        <v>17</v>
      </c>
      <c r="C452" t="s">
        <v>34</v>
      </c>
      <c r="D452" t="s">
        <v>14</v>
      </c>
      <c r="E452" t="s">
        <v>15</v>
      </c>
      <c r="F452">
        <v>1650.12</v>
      </c>
      <c r="G452">
        <v>24095</v>
      </c>
      <c r="H452">
        <v>3167.52</v>
      </c>
      <c r="I452">
        <v>31.02</v>
      </c>
      <c r="J452">
        <f>IFERROR(INDEX(Suppliar[Estimated Carbon Footprint (tons CO₂e)],MATCH('Merge operational &amp; suppliar'!A452,Suppliar[Facility ID],0)),"")</f>
        <v>608.07000000000005</v>
      </c>
      <c r="K452">
        <f>IFERROR(INDEX(Suppliar[Income Distribution (%)],MATCH('Merge operational &amp; suppliar'!A452,Suppliar[Facility ID],0)),"")</f>
        <v>13.98</v>
      </c>
    </row>
    <row r="453" spans="1:11" x14ac:dyDescent="0.3">
      <c r="A453" t="s">
        <v>134</v>
      </c>
      <c r="B453" t="s">
        <v>7</v>
      </c>
      <c r="C453" t="s">
        <v>8</v>
      </c>
      <c r="D453" t="s">
        <v>9</v>
      </c>
      <c r="E453" t="s">
        <v>15</v>
      </c>
      <c r="F453">
        <v>4564.3999999999996</v>
      </c>
      <c r="G453">
        <v>39568</v>
      </c>
      <c r="H453">
        <v>3580.54</v>
      </c>
      <c r="I453">
        <v>78.08</v>
      </c>
      <c r="J453">
        <f>IFERROR(INDEX(Suppliar[Estimated Carbon Footprint (tons CO₂e)],MATCH('Merge operational &amp; suppliar'!A453,Suppliar[Facility ID],0)),"")</f>
        <v>635.72</v>
      </c>
      <c r="K453">
        <f>IFERROR(INDEX(Suppliar[Income Distribution (%)],MATCH('Merge operational &amp; suppliar'!A453,Suppliar[Facility ID],0)),"")</f>
        <v>67.36</v>
      </c>
    </row>
    <row r="454" spans="1:11" x14ac:dyDescent="0.3">
      <c r="A454" t="s">
        <v>124</v>
      </c>
      <c r="B454" t="s">
        <v>12</v>
      </c>
      <c r="C454" t="s">
        <v>8</v>
      </c>
      <c r="D454" t="s">
        <v>14</v>
      </c>
      <c r="E454" t="s">
        <v>24</v>
      </c>
      <c r="F454">
        <v>3466.51</v>
      </c>
      <c r="G454">
        <v>47491</v>
      </c>
      <c r="H454">
        <v>5781.05</v>
      </c>
      <c r="I454">
        <v>92.18</v>
      </c>
      <c r="J454">
        <f>IFERROR(INDEX(Suppliar[Estimated Carbon Footprint (tons CO₂e)],MATCH('Merge operational &amp; suppliar'!A454,Suppliar[Facility ID],0)),"")</f>
        <v>344.93</v>
      </c>
      <c r="K454">
        <f>IFERROR(INDEX(Suppliar[Income Distribution (%)],MATCH('Merge operational &amp; suppliar'!A454,Suppliar[Facility ID],0)),"")</f>
        <v>36.229999999999997</v>
      </c>
    </row>
    <row r="455" spans="1:11" x14ac:dyDescent="0.3">
      <c r="A455" t="s">
        <v>172</v>
      </c>
      <c r="B455" t="s">
        <v>7</v>
      </c>
      <c r="C455" t="s">
        <v>13</v>
      </c>
      <c r="D455" t="s">
        <v>14</v>
      </c>
      <c r="E455" t="s">
        <v>15</v>
      </c>
      <c r="F455">
        <v>4237.8100000000004</v>
      </c>
      <c r="G455">
        <v>68820</v>
      </c>
      <c r="H455">
        <v>9612.25</v>
      </c>
      <c r="I455">
        <v>83.51</v>
      </c>
      <c r="J455">
        <f>IFERROR(INDEX(Suppliar[Estimated Carbon Footprint (tons CO₂e)],MATCH('Merge operational &amp; suppliar'!A455,Suppliar[Facility ID],0)),"")</f>
        <v>867.66</v>
      </c>
      <c r="K455">
        <f>IFERROR(INDEX(Suppliar[Income Distribution (%)],MATCH('Merge operational &amp; suppliar'!A455,Suppliar[Facility ID],0)),"")</f>
        <v>18.88</v>
      </c>
    </row>
    <row r="456" spans="1:11" x14ac:dyDescent="0.3">
      <c r="A456" t="s">
        <v>36</v>
      </c>
      <c r="B456" t="s">
        <v>12</v>
      </c>
      <c r="C456" t="s">
        <v>23</v>
      </c>
      <c r="D456" t="s">
        <v>28</v>
      </c>
      <c r="E456" t="s">
        <v>24</v>
      </c>
      <c r="F456">
        <v>323.04000000000002</v>
      </c>
      <c r="G456">
        <v>40226</v>
      </c>
      <c r="H456">
        <v>7868.86</v>
      </c>
      <c r="I456">
        <v>80.53</v>
      </c>
      <c r="J456">
        <f>IFERROR(INDEX(Suppliar[Estimated Carbon Footprint (tons CO₂e)],MATCH('Merge operational &amp; suppliar'!A456,Suppliar[Facility ID],0)),"")</f>
        <v>231.68</v>
      </c>
      <c r="K456">
        <f>IFERROR(INDEX(Suppliar[Income Distribution (%)],MATCH('Merge operational &amp; suppliar'!A456,Suppliar[Facility ID],0)),"")</f>
        <v>15.92</v>
      </c>
    </row>
    <row r="457" spans="1:11" x14ac:dyDescent="0.3">
      <c r="A457" t="s">
        <v>134</v>
      </c>
      <c r="B457" t="s">
        <v>7</v>
      </c>
      <c r="C457" t="s">
        <v>23</v>
      </c>
      <c r="D457" t="s">
        <v>28</v>
      </c>
      <c r="E457" t="s">
        <v>24</v>
      </c>
      <c r="F457">
        <v>3867.63</v>
      </c>
      <c r="G457">
        <v>39568</v>
      </c>
      <c r="H457">
        <v>3580.54</v>
      </c>
      <c r="I457">
        <v>78.08</v>
      </c>
      <c r="J457">
        <f>IFERROR(INDEX(Suppliar[Estimated Carbon Footprint (tons CO₂e)],MATCH('Merge operational &amp; suppliar'!A457,Suppliar[Facility ID],0)),"")</f>
        <v>635.72</v>
      </c>
      <c r="K457">
        <f>IFERROR(INDEX(Suppliar[Income Distribution (%)],MATCH('Merge operational &amp; suppliar'!A457,Suppliar[Facility ID],0)),"")</f>
        <v>67.36</v>
      </c>
    </row>
    <row r="458" spans="1:11" x14ac:dyDescent="0.3">
      <c r="A458" t="s">
        <v>172</v>
      </c>
      <c r="B458" t="s">
        <v>7</v>
      </c>
      <c r="C458" t="s">
        <v>23</v>
      </c>
      <c r="D458" t="s">
        <v>9</v>
      </c>
      <c r="E458" t="s">
        <v>15</v>
      </c>
      <c r="F458">
        <v>748.11</v>
      </c>
      <c r="G458">
        <v>68820</v>
      </c>
      <c r="H458">
        <v>9612.25</v>
      </c>
      <c r="I458">
        <v>83.51</v>
      </c>
      <c r="J458">
        <f>IFERROR(INDEX(Suppliar[Estimated Carbon Footprint (tons CO₂e)],MATCH('Merge operational &amp; suppliar'!A458,Suppliar[Facility ID],0)),"")</f>
        <v>867.66</v>
      </c>
      <c r="K458">
        <f>IFERROR(INDEX(Suppliar[Income Distribution (%)],MATCH('Merge operational &amp; suppliar'!A458,Suppliar[Facility ID],0)),"")</f>
        <v>18.88</v>
      </c>
    </row>
    <row r="459" spans="1:11" x14ac:dyDescent="0.3">
      <c r="A459" t="s">
        <v>37</v>
      </c>
      <c r="B459" t="s">
        <v>17</v>
      </c>
      <c r="C459" t="s">
        <v>23</v>
      </c>
      <c r="D459" t="s">
        <v>9</v>
      </c>
      <c r="E459" t="s">
        <v>15</v>
      </c>
      <c r="F459">
        <v>654.86</v>
      </c>
      <c r="G459">
        <v>71747</v>
      </c>
      <c r="H459">
        <v>9838.66</v>
      </c>
      <c r="I459">
        <v>7.25</v>
      </c>
      <c r="J459">
        <f>IFERROR(INDEX(Suppliar[Estimated Carbon Footprint (tons CO₂e)],MATCH('Merge operational &amp; suppliar'!A459,Suppliar[Facility ID],0)),"")</f>
        <v>224.5</v>
      </c>
      <c r="K459">
        <f>IFERROR(INDEX(Suppliar[Income Distribution (%)],MATCH('Merge operational &amp; suppliar'!A459,Suppliar[Facility ID],0)),"")</f>
        <v>39.29</v>
      </c>
    </row>
    <row r="460" spans="1:11" x14ac:dyDescent="0.3">
      <c r="A460" t="s">
        <v>50</v>
      </c>
      <c r="B460" t="s">
        <v>19</v>
      </c>
      <c r="C460" t="s">
        <v>8</v>
      </c>
      <c r="D460" t="s">
        <v>14</v>
      </c>
      <c r="E460" t="s">
        <v>24</v>
      </c>
      <c r="F460">
        <v>2241.89</v>
      </c>
      <c r="G460">
        <v>40577</v>
      </c>
      <c r="H460">
        <v>4280.82</v>
      </c>
      <c r="I460">
        <v>79.88</v>
      </c>
      <c r="J460">
        <f>IFERROR(INDEX(Suppliar[Estimated Carbon Footprint (tons CO₂e)],MATCH('Merge operational &amp; suppliar'!A460,Suppliar[Facility ID],0)),"")</f>
        <v>932.3</v>
      </c>
      <c r="K460">
        <f>IFERROR(INDEX(Suppliar[Income Distribution (%)],MATCH('Merge operational &amp; suppliar'!A460,Suppliar[Facility ID],0)),"")</f>
        <v>10.19</v>
      </c>
    </row>
    <row r="461" spans="1:11" x14ac:dyDescent="0.3">
      <c r="A461" t="s">
        <v>48</v>
      </c>
      <c r="B461" t="s">
        <v>19</v>
      </c>
      <c r="C461" t="s">
        <v>13</v>
      </c>
      <c r="D461" t="s">
        <v>28</v>
      </c>
      <c r="E461" t="s">
        <v>10</v>
      </c>
      <c r="F461">
        <v>3489.31</v>
      </c>
      <c r="G461">
        <v>11952</v>
      </c>
      <c r="H461">
        <v>4637.74</v>
      </c>
      <c r="I461">
        <v>63.78</v>
      </c>
      <c r="J461">
        <f>IFERROR(INDEX(Suppliar[Estimated Carbon Footprint (tons CO₂e)],MATCH('Merge operational &amp; suppliar'!A461,Suppliar[Facility ID],0)),"")</f>
        <v>886.71</v>
      </c>
      <c r="K461">
        <f>IFERROR(INDEX(Suppliar[Income Distribution (%)],MATCH('Merge operational &amp; suppliar'!A461,Suppliar[Facility ID],0)),"")</f>
        <v>29.53</v>
      </c>
    </row>
    <row r="462" spans="1:11" x14ac:dyDescent="0.3">
      <c r="A462" t="s">
        <v>123</v>
      </c>
      <c r="B462" t="s">
        <v>30</v>
      </c>
      <c r="C462" t="s">
        <v>23</v>
      </c>
      <c r="D462" t="s">
        <v>14</v>
      </c>
      <c r="E462" t="s">
        <v>15</v>
      </c>
      <c r="F462">
        <v>2200.2199999999998</v>
      </c>
      <c r="G462">
        <v>73977</v>
      </c>
      <c r="H462">
        <v>1646.75</v>
      </c>
      <c r="I462">
        <v>43.77</v>
      </c>
      <c r="J462" t="str">
        <f>IFERROR(INDEX(Suppliar[Estimated Carbon Footprint (tons CO₂e)],MATCH('Merge operational &amp; suppliar'!A462,Suppliar[Facility ID],0)),"")</f>
        <v/>
      </c>
      <c r="K462" t="str">
        <f>IFERROR(INDEX(Suppliar[Income Distribution (%)],MATCH('Merge operational &amp; suppliar'!A462,Suppliar[Facility ID],0)),"")</f>
        <v/>
      </c>
    </row>
    <row r="463" spans="1:11" x14ac:dyDescent="0.3">
      <c r="A463" t="s">
        <v>198</v>
      </c>
      <c r="B463" t="s">
        <v>12</v>
      </c>
      <c r="C463" t="s">
        <v>23</v>
      </c>
      <c r="D463" t="s">
        <v>14</v>
      </c>
      <c r="E463" t="s">
        <v>15</v>
      </c>
      <c r="F463">
        <v>3247.72</v>
      </c>
      <c r="G463">
        <v>58113</v>
      </c>
      <c r="H463">
        <v>6382.12</v>
      </c>
      <c r="I463">
        <v>56.66</v>
      </c>
      <c r="J463">
        <f>IFERROR(INDEX(Suppliar[Estimated Carbon Footprint (tons CO₂e)],MATCH('Merge operational &amp; suppliar'!A463,Suppliar[Facility ID],0)),"")</f>
        <v>431.16</v>
      </c>
      <c r="K463">
        <f>IFERROR(INDEX(Suppliar[Income Distribution (%)],MATCH('Merge operational &amp; suppliar'!A463,Suppliar[Facility ID],0)),"")</f>
        <v>48.25</v>
      </c>
    </row>
    <row r="464" spans="1:11" x14ac:dyDescent="0.3">
      <c r="A464" t="s">
        <v>69</v>
      </c>
      <c r="B464" t="s">
        <v>7</v>
      </c>
      <c r="C464" t="s">
        <v>13</v>
      </c>
      <c r="D464" t="s">
        <v>28</v>
      </c>
      <c r="E464" t="s">
        <v>24</v>
      </c>
      <c r="F464">
        <v>3855.39</v>
      </c>
      <c r="G464">
        <v>34725</v>
      </c>
      <c r="H464">
        <v>3269.89</v>
      </c>
      <c r="I464">
        <v>78.86</v>
      </c>
      <c r="J464">
        <f>IFERROR(INDEX(Suppliar[Estimated Carbon Footprint (tons CO₂e)],MATCH('Merge operational &amp; suppliar'!A464,Suppliar[Facility ID],0)),"")</f>
        <v>436.04</v>
      </c>
      <c r="K464">
        <f>IFERROR(INDEX(Suppliar[Income Distribution (%)],MATCH('Merge operational &amp; suppliar'!A464,Suppliar[Facility ID],0)),"")</f>
        <v>31.8</v>
      </c>
    </row>
    <row r="465" spans="1:11" x14ac:dyDescent="0.3">
      <c r="A465" t="s">
        <v>35</v>
      </c>
      <c r="B465" t="s">
        <v>19</v>
      </c>
      <c r="C465" t="s">
        <v>8</v>
      </c>
      <c r="D465" t="s">
        <v>9</v>
      </c>
      <c r="E465" t="s">
        <v>24</v>
      </c>
      <c r="F465">
        <v>3111.26</v>
      </c>
      <c r="G465">
        <v>42382</v>
      </c>
      <c r="H465">
        <v>5116.6899999999996</v>
      </c>
      <c r="I465">
        <v>80.42</v>
      </c>
      <c r="J465">
        <f>IFERROR(INDEX(Suppliar[Estimated Carbon Footprint (tons CO₂e)],MATCH('Merge operational &amp; suppliar'!A465,Suppliar[Facility ID],0)),"")</f>
        <v>626.54</v>
      </c>
      <c r="K465">
        <f>IFERROR(INDEX(Suppliar[Income Distribution (%)],MATCH('Merge operational &amp; suppliar'!A465,Suppliar[Facility ID],0)),"")</f>
        <v>70.540000000000006</v>
      </c>
    </row>
    <row r="466" spans="1:11" x14ac:dyDescent="0.3">
      <c r="A466" t="s">
        <v>29</v>
      </c>
      <c r="B466" t="s">
        <v>30</v>
      </c>
      <c r="C466" t="s">
        <v>34</v>
      </c>
      <c r="D466" t="s">
        <v>14</v>
      </c>
      <c r="E466" t="s">
        <v>10</v>
      </c>
      <c r="F466">
        <v>2036.83</v>
      </c>
      <c r="G466">
        <v>32131</v>
      </c>
      <c r="H466">
        <v>1474.23</v>
      </c>
      <c r="I466">
        <v>45.47</v>
      </c>
      <c r="J466">
        <f>IFERROR(INDEX(Suppliar[Estimated Carbon Footprint (tons CO₂e)],MATCH('Merge operational &amp; suppliar'!A466,Suppliar[Facility ID],0)),"")</f>
        <v>830.73</v>
      </c>
      <c r="K466">
        <f>IFERROR(INDEX(Suppliar[Income Distribution (%)],MATCH('Merge operational &amp; suppliar'!A466,Suppliar[Facility ID],0)),"")</f>
        <v>17.97</v>
      </c>
    </row>
    <row r="467" spans="1:11" x14ac:dyDescent="0.3">
      <c r="A467" t="s">
        <v>63</v>
      </c>
      <c r="B467" t="s">
        <v>12</v>
      </c>
      <c r="C467" t="s">
        <v>8</v>
      </c>
      <c r="D467" t="s">
        <v>14</v>
      </c>
      <c r="E467" t="s">
        <v>15</v>
      </c>
      <c r="F467">
        <v>4876.37</v>
      </c>
      <c r="G467">
        <v>33688</v>
      </c>
      <c r="H467">
        <v>9495.48</v>
      </c>
      <c r="I467">
        <v>55.55</v>
      </c>
      <c r="J467">
        <f>IFERROR(INDEX(Suppliar[Estimated Carbon Footprint (tons CO₂e)],MATCH('Merge operational &amp; suppliar'!A467,Suppliar[Facility ID],0)),"")</f>
        <v>780.4</v>
      </c>
      <c r="K467">
        <f>IFERROR(INDEX(Suppliar[Income Distribution (%)],MATCH('Merge operational &amp; suppliar'!A467,Suppliar[Facility ID],0)),"")</f>
        <v>30.98</v>
      </c>
    </row>
    <row r="468" spans="1:11" x14ac:dyDescent="0.3">
      <c r="A468" t="s">
        <v>149</v>
      </c>
      <c r="B468" t="s">
        <v>17</v>
      </c>
      <c r="C468" t="s">
        <v>8</v>
      </c>
      <c r="D468" t="s">
        <v>14</v>
      </c>
      <c r="E468" t="s">
        <v>24</v>
      </c>
      <c r="F468">
        <v>4256.16</v>
      </c>
      <c r="G468">
        <v>49885</v>
      </c>
      <c r="H468">
        <v>6845.46</v>
      </c>
      <c r="I468">
        <v>58.4</v>
      </c>
      <c r="J468">
        <f>IFERROR(INDEX(Suppliar[Estimated Carbon Footprint (tons CO₂e)],MATCH('Merge operational &amp; suppliar'!A468,Suppliar[Facility ID],0)),"")</f>
        <v>341.24</v>
      </c>
      <c r="K468">
        <f>IFERROR(INDEX(Suppliar[Income Distribution (%)],MATCH('Merge operational &amp; suppliar'!A468,Suppliar[Facility ID],0)),"")</f>
        <v>19.309999999999999</v>
      </c>
    </row>
    <row r="469" spans="1:11" x14ac:dyDescent="0.3">
      <c r="A469" t="s">
        <v>36</v>
      </c>
      <c r="B469" t="s">
        <v>12</v>
      </c>
      <c r="C469" t="s">
        <v>13</v>
      </c>
      <c r="D469" t="s">
        <v>14</v>
      </c>
      <c r="E469" t="s">
        <v>15</v>
      </c>
      <c r="F469">
        <v>4947.18</v>
      </c>
      <c r="G469">
        <v>40226</v>
      </c>
      <c r="H469">
        <v>7868.86</v>
      </c>
      <c r="I469">
        <v>80.53</v>
      </c>
      <c r="J469">
        <f>IFERROR(INDEX(Suppliar[Estimated Carbon Footprint (tons CO₂e)],MATCH('Merge operational &amp; suppliar'!A469,Suppliar[Facility ID],0)),"")</f>
        <v>231.68</v>
      </c>
      <c r="K469">
        <f>IFERROR(INDEX(Suppliar[Income Distribution (%)],MATCH('Merge operational &amp; suppliar'!A469,Suppliar[Facility ID],0)),"")</f>
        <v>15.92</v>
      </c>
    </row>
    <row r="470" spans="1:11" x14ac:dyDescent="0.3">
      <c r="A470" t="s">
        <v>38</v>
      </c>
      <c r="B470" t="s">
        <v>30</v>
      </c>
      <c r="C470" t="s">
        <v>34</v>
      </c>
      <c r="D470" t="s">
        <v>28</v>
      </c>
      <c r="E470" t="s">
        <v>10</v>
      </c>
      <c r="F470">
        <v>425.91</v>
      </c>
      <c r="G470">
        <v>57215</v>
      </c>
      <c r="H470">
        <v>3227.1</v>
      </c>
      <c r="I470">
        <v>32.909999999999997</v>
      </c>
      <c r="J470">
        <f>IFERROR(INDEX(Suppliar[Estimated Carbon Footprint (tons CO₂e)],MATCH('Merge operational &amp; suppliar'!A470,Suppliar[Facility ID],0)),"")</f>
        <v>951.35</v>
      </c>
      <c r="K470">
        <f>IFERROR(INDEX(Suppliar[Income Distribution (%)],MATCH('Merge operational &amp; suppliar'!A470,Suppliar[Facility ID],0)),"")</f>
        <v>33.299999999999997</v>
      </c>
    </row>
    <row r="471" spans="1:11" x14ac:dyDescent="0.3">
      <c r="A471" t="s">
        <v>182</v>
      </c>
      <c r="B471" t="s">
        <v>12</v>
      </c>
      <c r="C471" t="s">
        <v>8</v>
      </c>
      <c r="D471" t="s">
        <v>28</v>
      </c>
      <c r="E471" t="s">
        <v>10</v>
      </c>
      <c r="F471">
        <v>4620.84</v>
      </c>
      <c r="G471">
        <v>21081</v>
      </c>
      <c r="H471">
        <v>9001.77</v>
      </c>
      <c r="I471">
        <v>49.27</v>
      </c>
      <c r="J471">
        <f>IFERROR(INDEX(Suppliar[Estimated Carbon Footprint (tons CO₂e)],MATCH('Merge operational &amp; suppliar'!A471,Suppliar[Facility ID],0)),"")</f>
        <v>114.57</v>
      </c>
      <c r="K471">
        <f>IFERROR(INDEX(Suppliar[Income Distribution (%)],MATCH('Merge operational &amp; suppliar'!A471,Suppliar[Facility ID],0)),"")</f>
        <v>44.17</v>
      </c>
    </row>
    <row r="472" spans="1:11" x14ac:dyDescent="0.3">
      <c r="A472" t="s">
        <v>87</v>
      </c>
      <c r="B472" t="s">
        <v>12</v>
      </c>
      <c r="C472" t="s">
        <v>8</v>
      </c>
      <c r="D472" t="s">
        <v>9</v>
      </c>
      <c r="E472" t="s">
        <v>24</v>
      </c>
      <c r="F472">
        <v>4302.5</v>
      </c>
      <c r="G472">
        <v>15333</v>
      </c>
      <c r="H472">
        <v>2570.54</v>
      </c>
      <c r="I472">
        <v>41.07</v>
      </c>
      <c r="J472">
        <f>IFERROR(INDEX(Suppliar[Estimated Carbon Footprint (tons CO₂e)],MATCH('Merge operational &amp; suppliar'!A472,Suppliar[Facility ID],0)),"")</f>
        <v>390.06</v>
      </c>
      <c r="K472">
        <f>IFERROR(INDEX(Suppliar[Income Distribution (%)],MATCH('Merge operational &amp; suppliar'!A472,Suppliar[Facility ID],0)),"")</f>
        <v>31.43</v>
      </c>
    </row>
    <row r="473" spans="1:11" x14ac:dyDescent="0.3">
      <c r="A473" t="s">
        <v>159</v>
      </c>
      <c r="B473" t="s">
        <v>7</v>
      </c>
      <c r="C473" t="s">
        <v>34</v>
      </c>
      <c r="D473" t="s">
        <v>14</v>
      </c>
      <c r="E473" t="s">
        <v>15</v>
      </c>
      <c r="F473">
        <v>2571.46</v>
      </c>
      <c r="G473">
        <v>47727</v>
      </c>
      <c r="H473">
        <v>8907.33</v>
      </c>
      <c r="I473">
        <v>47.4</v>
      </c>
      <c r="J473">
        <f>IFERROR(INDEX(Suppliar[Estimated Carbon Footprint (tons CO₂e)],MATCH('Merge operational &amp; suppliar'!A473,Suppliar[Facility ID],0)),"")</f>
        <v>344.93</v>
      </c>
      <c r="K473">
        <f>IFERROR(INDEX(Suppliar[Income Distribution (%)],MATCH('Merge operational &amp; suppliar'!A473,Suppliar[Facility ID],0)),"")</f>
        <v>43.18</v>
      </c>
    </row>
    <row r="474" spans="1:11" x14ac:dyDescent="0.3">
      <c r="A474" t="s">
        <v>106</v>
      </c>
      <c r="B474" t="s">
        <v>12</v>
      </c>
      <c r="C474" t="s">
        <v>8</v>
      </c>
      <c r="D474" t="s">
        <v>14</v>
      </c>
      <c r="E474" t="s">
        <v>15</v>
      </c>
      <c r="F474">
        <v>968.92</v>
      </c>
      <c r="G474">
        <v>21386</v>
      </c>
      <c r="H474">
        <v>2271.92</v>
      </c>
      <c r="I474">
        <v>49.67</v>
      </c>
      <c r="J474" t="str">
        <f>IFERROR(INDEX(Suppliar[Estimated Carbon Footprint (tons CO₂e)],MATCH('Merge operational &amp; suppliar'!A474,Suppliar[Facility ID],0)),"")</f>
        <v/>
      </c>
      <c r="K474" t="str">
        <f>IFERROR(INDEX(Suppliar[Income Distribution (%)],MATCH('Merge operational &amp; suppliar'!A474,Suppliar[Facility ID],0)),"")</f>
        <v/>
      </c>
    </row>
    <row r="475" spans="1:11" x14ac:dyDescent="0.3">
      <c r="A475" t="s">
        <v>18</v>
      </c>
      <c r="B475" t="s">
        <v>19</v>
      </c>
      <c r="C475" t="s">
        <v>23</v>
      </c>
      <c r="D475" t="s">
        <v>9</v>
      </c>
      <c r="E475" t="s">
        <v>24</v>
      </c>
      <c r="F475">
        <v>2916.99</v>
      </c>
      <c r="G475">
        <v>98682</v>
      </c>
      <c r="H475">
        <v>6220.56</v>
      </c>
      <c r="I475">
        <v>70.099999999999994</v>
      </c>
      <c r="J475">
        <f>IFERROR(INDEX(Suppliar[Estimated Carbon Footprint (tons CO₂e)],MATCH('Merge operational &amp; suppliar'!A475,Suppliar[Facility ID],0)),"")</f>
        <v>724.63</v>
      </c>
      <c r="K475">
        <f>IFERROR(INDEX(Suppliar[Income Distribution (%)],MATCH('Merge operational &amp; suppliar'!A475,Suppliar[Facility ID],0)),"")</f>
        <v>27.81</v>
      </c>
    </row>
    <row r="476" spans="1:11" x14ac:dyDescent="0.3">
      <c r="A476" t="s">
        <v>33</v>
      </c>
      <c r="B476" t="s">
        <v>19</v>
      </c>
      <c r="C476" t="s">
        <v>8</v>
      </c>
      <c r="D476" t="s">
        <v>9</v>
      </c>
      <c r="E476" t="s">
        <v>10</v>
      </c>
      <c r="F476">
        <v>4400.8900000000003</v>
      </c>
      <c r="G476">
        <v>65719</v>
      </c>
      <c r="H476">
        <v>9362.41</v>
      </c>
      <c r="I476">
        <v>86.55</v>
      </c>
      <c r="J476">
        <f>IFERROR(INDEX(Suppliar[Estimated Carbon Footprint (tons CO₂e)],MATCH('Merge operational &amp; suppliar'!A476,Suppliar[Facility ID],0)),"")</f>
        <v>932.3</v>
      </c>
      <c r="K476">
        <f>IFERROR(INDEX(Suppliar[Income Distribution (%)],MATCH('Merge operational &amp; suppliar'!A476,Suppliar[Facility ID],0)),"")</f>
        <v>28.9</v>
      </c>
    </row>
    <row r="477" spans="1:11" x14ac:dyDescent="0.3">
      <c r="A477" t="s">
        <v>195</v>
      </c>
      <c r="B477" t="s">
        <v>7</v>
      </c>
      <c r="C477" t="s">
        <v>13</v>
      </c>
      <c r="D477" t="s">
        <v>9</v>
      </c>
      <c r="E477" t="s">
        <v>10</v>
      </c>
      <c r="F477">
        <v>1791.29</v>
      </c>
      <c r="G477">
        <v>68278</v>
      </c>
      <c r="H477">
        <v>3272.65</v>
      </c>
      <c r="I477">
        <v>30.47</v>
      </c>
      <c r="J477">
        <f>IFERROR(INDEX(Suppliar[Estimated Carbon Footprint (tons CO₂e)],MATCH('Merge operational &amp; suppliar'!A477,Suppliar[Facility ID],0)),"")</f>
        <v>526.54999999999995</v>
      </c>
      <c r="K477">
        <f>IFERROR(INDEX(Suppliar[Income Distribution (%)],MATCH('Merge operational &amp; suppliar'!A477,Suppliar[Facility ID],0)),"")</f>
        <v>30.4</v>
      </c>
    </row>
    <row r="478" spans="1:11" x14ac:dyDescent="0.3">
      <c r="A478" t="s">
        <v>61</v>
      </c>
      <c r="B478" t="s">
        <v>30</v>
      </c>
      <c r="C478" t="s">
        <v>8</v>
      </c>
      <c r="D478" t="s">
        <v>14</v>
      </c>
      <c r="E478" t="s">
        <v>15</v>
      </c>
      <c r="F478">
        <v>594.47</v>
      </c>
      <c r="G478">
        <v>95718</v>
      </c>
      <c r="H478">
        <v>2443.12</v>
      </c>
      <c r="I478">
        <v>35.49</v>
      </c>
      <c r="J478">
        <f>IFERROR(INDEX(Suppliar[Estimated Carbon Footprint (tons CO₂e)],MATCH('Merge operational &amp; suppliar'!A478,Suppliar[Facility ID],0)),"")</f>
        <v>818.45</v>
      </c>
      <c r="K478">
        <f>IFERROR(INDEX(Suppliar[Income Distribution (%)],MATCH('Merge operational &amp; suppliar'!A478,Suppliar[Facility ID],0)),"")</f>
        <v>9.9499999999999993</v>
      </c>
    </row>
    <row r="479" spans="1:11" x14ac:dyDescent="0.3">
      <c r="A479" t="s">
        <v>199</v>
      </c>
      <c r="B479" t="s">
        <v>17</v>
      </c>
      <c r="C479" t="s">
        <v>34</v>
      </c>
      <c r="D479" t="s">
        <v>28</v>
      </c>
      <c r="E479" t="s">
        <v>15</v>
      </c>
      <c r="F479">
        <v>2602.85</v>
      </c>
      <c r="G479">
        <v>77317</v>
      </c>
      <c r="H479">
        <v>4862.95</v>
      </c>
      <c r="I479">
        <v>89.78</v>
      </c>
      <c r="J479">
        <f>IFERROR(INDEX(Suppliar[Estimated Carbon Footprint (tons CO₂e)],MATCH('Merge operational &amp; suppliar'!A479,Suppliar[Facility ID],0)),"")</f>
        <v>960.4</v>
      </c>
      <c r="K479">
        <f>IFERROR(INDEX(Suppliar[Income Distribution (%)],MATCH('Merge operational &amp; suppliar'!A479,Suppliar[Facility ID],0)),"")</f>
        <v>31.34</v>
      </c>
    </row>
    <row r="480" spans="1:11" x14ac:dyDescent="0.3">
      <c r="A480" t="s">
        <v>31</v>
      </c>
      <c r="B480" t="s">
        <v>30</v>
      </c>
      <c r="C480" t="s">
        <v>8</v>
      </c>
      <c r="D480" t="s">
        <v>14</v>
      </c>
      <c r="E480" t="s">
        <v>24</v>
      </c>
      <c r="F480">
        <v>558.53</v>
      </c>
      <c r="G480">
        <v>84851</v>
      </c>
      <c r="H480">
        <v>560.75</v>
      </c>
      <c r="I480">
        <v>80.23</v>
      </c>
      <c r="J480">
        <f>IFERROR(INDEX(Suppliar[Estimated Carbon Footprint (tons CO₂e)],MATCH('Merge operational &amp; suppliar'!A480,Suppliar[Facility ID],0)),"")</f>
        <v>610.79999999999995</v>
      </c>
      <c r="K480">
        <f>IFERROR(INDEX(Suppliar[Income Distribution (%)],MATCH('Merge operational &amp; suppliar'!A480,Suppliar[Facility ID],0)),"")</f>
        <v>26.58</v>
      </c>
    </row>
    <row r="481" spans="1:11" x14ac:dyDescent="0.3">
      <c r="A481" t="s">
        <v>105</v>
      </c>
      <c r="B481" t="s">
        <v>30</v>
      </c>
      <c r="C481" t="s">
        <v>23</v>
      </c>
      <c r="D481" t="s">
        <v>28</v>
      </c>
      <c r="E481" t="s">
        <v>24</v>
      </c>
      <c r="F481">
        <v>3004.54</v>
      </c>
      <c r="G481">
        <v>87337</v>
      </c>
      <c r="H481">
        <v>3603.06</v>
      </c>
      <c r="I481">
        <v>67.13</v>
      </c>
      <c r="J481" t="str">
        <f>IFERROR(INDEX(Suppliar[Estimated Carbon Footprint (tons CO₂e)],MATCH('Merge operational &amp; suppliar'!A481,Suppliar[Facility ID],0)),"")</f>
        <v/>
      </c>
      <c r="K481" t="str">
        <f>IFERROR(INDEX(Suppliar[Income Distribution (%)],MATCH('Merge operational &amp; suppliar'!A481,Suppliar[Facility ID],0)),"")</f>
        <v/>
      </c>
    </row>
    <row r="482" spans="1:11" x14ac:dyDescent="0.3">
      <c r="A482" t="s">
        <v>104</v>
      </c>
      <c r="B482" t="s">
        <v>17</v>
      </c>
      <c r="C482" t="s">
        <v>34</v>
      </c>
      <c r="D482" t="s">
        <v>14</v>
      </c>
      <c r="E482" t="s">
        <v>15</v>
      </c>
      <c r="F482">
        <v>1288.92</v>
      </c>
      <c r="G482">
        <v>16868</v>
      </c>
      <c r="H482">
        <v>1378.01</v>
      </c>
      <c r="I482">
        <v>47.52</v>
      </c>
      <c r="J482" t="str">
        <f>IFERROR(INDEX(Suppliar[Estimated Carbon Footprint (tons CO₂e)],MATCH('Merge operational &amp; suppliar'!A482,Suppliar[Facility ID],0)),"")</f>
        <v/>
      </c>
      <c r="K482" t="str">
        <f>IFERROR(INDEX(Suppliar[Income Distribution (%)],MATCH('Merge operational &amp; suppliar'!A482,Suppliar[Facility ID],0)),"")</f>
        <v/>
      </c>
    </row>
    <row r="483" spans="1:11" x14ac:dyDescent="0.3">
      <c r="A483" t="s">
        <v>200</v>
      </c>
      <c r="B483" t="s">
        <v>30</v>
      </c>
      <c r="C483" t="s">
        <v>8</v>
      </c>
      <c r="D483" t="s">
        <v>9</v>
      </c>
      <c r="E483" t="s">
        <v>24</v>
      </c>
      <c r="F483">
        <v>4950.7700000000004</v>
      </c>
      <c r="G483">
        <v>46863</v>
      </c>
      <c r="H483">
        <v>6762.98</v>
      </c>
      <c r="I483">
        <v>23.45</v>
      </c>
      <c r="J483">
        <f>IFERROR(INDEX(Suppliar[Estimated Carbon Footprint (tons CO₂e)],MATCH('Merge operational &amp; suppliar'!A483,Suppliar[Facility ID],0)),"")</f>
        <v>231.68</v>
      </c>
      <c r="K483">
        <f>IFERROR(INDEX(Suppliar[Income Distribution (%)],MATCH('Merge operational &amp; suppliar'!A483,Suppliar[Facility ID],0)),"")</f>
        <v>35.92</v>
      </c>
    </row>
    <row r="484" spans="1:11" x14ac:dyDescent="0.3">
      <c r="A484" t="s">
        <v>33</v>
      </c>
      <c r="B484" t="s">
        <v>19</v>
      </c>
      <c r="C484" t="s">
        <v>34</v>
      </c>
      <c r="D484" t="s">
        <v>28</v>
      </c>
      <c r="E484" t="s">
        <v>24</v>
      </c>
      <c r="F484">
        <v>3982.02</v>
      </c>
      <c r="G484">
        <v>65719</v>
      </c>
      <c r="H484">
        <v>9362.41</v>
      </c>
      <c r="I484">
        <v>86.55</v>
      </c>
      <c r="J484">
        <f>IFERROR(INDEX(Suppliar[Estimated Carbon Footprint (tons CO₂e)],MATCH('Merge operational &amp; suppliar'!A484,Suppliar[Facility ID],0)),"")</f>
        <v>932.3</v>
      </c>
      <c r="K484">
        <f>IFERROR(INDEX(Suppliar[Income Distribution (%)],MATCH('Merge operational &amp; suppliar'!A484,Suppliar[Facility ID],0)),"")</f>
        <v>28.9</v>
      </c>
    </row>
    <row r="485" spans="1:11" x14ac:dyDescent="0.3">
      <c r="A485" t="s">
        <v>196</v>
      </c>
      <c r="B485" t="s">
        <v>30</v>
      </c>
      <c r="C485" t="s">
        <v>8</v>
      </c>
      <c r="D485" t="s">
        <v>28</v>
      </c>
      <c r="E485" t="s">
        <v>24</v>
      </c>
      <c r="F485">
        <v>106.32</v>
      </c>
      <c r="G485">
        <v>12262</v>
      </c>
      <c r="H485">
        <v>7106.18</v>
      </c>
      <c r="I485">
        <v>45.69</v>
      </c>
      <c r="J485">
        <f>IFERROR(INDEX(Suppliar[Estimated Carbon Footprint (tons CO₂e)],MATCH('Merge operational &amp; suppliar'!A485,Suppliar[Facility ID],0)),"")</f>
        <v>459.56</v>
      </c>
      <c r="K485">
        <f>IFERROR(INDEX(Suppliar[Income Distribution (%)],MATCH('Merge operational &amp; suppliar'!A485,Suppliar[Facility ID],0)),"")</f>
        <v>29.71</v>
      </c>
    </row>
    <row r="486" spans="1:11" x14ac:dyDescent="0.3">
      <c r="A486" t="s">
        <v>201</v>
      </c>
      <c r="B486" t="s">
        <v>12</v>
      </c>
      <c r="C486" t="s">
        <v>34</v>
      </c>
      <c r="D486" t="s">
        <v>9</v>
      </c>
      <c r="E486" t="s">
        <v>10</v>
      </c>
      <c r="F486">
        <v>1752.03</v>
      </c>
      <c r="G486">
        <v>58439</v>
      </c>
      <c r="H486">
        <v>5817.93</v>
      </c>
      <c r="I486">
        <v>63.77</v>
      </c>
      <c r="J486">
        <f>IFERROR(INDEX(Suppliar[Estimated Carbon Footprint (tons CO₂e)],MATCH('Merge operational &amp; suppliar'!A486,Suppliar[Facility ID],0)),"")</f>
        <v>143.16999999999999</v>
      </c>
      <c r="K486">
        <f>IFERROR(INDEX(Suppliar[Income Distribution (%)],MATCH('Merge operational &amp; suppliar'!A486,Suppliar[Facility ID],0)),"")</f>
        <v>52.46</v>
      </c>
    </row>
    <row r="487" spans="1:11" x14ac:dyDescent="0.3">
      <c r="A487" t="s">
        <v>129</v>
      </c>
      <c r="B487" t="s">
        <v>17</v>
      </c>
      <c r="C487" t="s">
        <v>13</v>
      </c>
      <c r="D487" t="s">
        <v>28</v>
      </c>
      <c r="E487" t="s">
        <v>15</v>
      </c>
      <c r="F487">
        <v>2963</v>
      </c>
      <c r="G487">
        <v>95292</v>
      </c>
      <c r="H487">
        <v>697.47</v>
      </c>
      <c r="I487">
        <v>88.35</v>
      </c>
      <c r="J487">
        <f>IFERROR(INDEX(Suppliar[Estimated Carbon Footprint (tons CO₂e)],MATCH('Merge operational &amp; suppliar'!A487,Suppliar[Facility ID],0)),"")</f>
        <v>114.57</v>
      </c>
      <c r="K487">
        <f>IFERROR(INDEX(Suppliar[Income Distribution (%)],MATCH('Merge operational &amp; suppliar'!A487,Suppliar[Facility ID],0)),"")</f>
        <v>36.04</v>
      </c>
    </row>
    <row r="488" spans="1:11" x14ac:dyDescent="0.3">
      <c r="A488" t="s">
        <v>180</v>
      </c>
      <c r="B488" t="s">
        <v>30</v>
      </c>
      <c r="C488" t="s">
        <v>13</v>
      </c>
      <c r="D488" t="s">
        <v>28</v>
      </c>
      <c r="E488" t="s">
        <v>10</v>
      </c>
      <c r="F488">
        <v>2067.13</v>
      </c>
      <c r="G488">
        <v>72846</v>
      </c>
      <c r="H488">
        <v>5169.53</v>
      </c>
      <c r="I488">
        <v>76.709999999999994</v>
      </c>
      <c r="J488" t="str">
        <f>IFERROR(INDEX(Suppliar[Estimated Carbon Footprint (tons CO₂e)],MATCH('Merge operational &amp; suppliar'!A488,Suppliar[Facility ID],0)),"")</f>
        <v/>
      </c>
      <c r="K488" t="str">
        <f>IFERROR(INDEX(Suppliar[Income Distribution (%)],MATCH('Merge operational &amp; suppliar'!A488,Suppliar[Facility ID],0)),"")</f>
        <v/>
      </c>
    </row>
    <row r="489" spans="1:11" x14ac:dyDescent="0.3">
      <c r="A489" t="s">
        <v>181</v>
      </c>
      <c r="B489" t="s">
        <v>30</v>
      </c>
      <c r="C489" t="s">
        <v>8</v>
      </c>
      <c r="D489" t="s">
        <v>28</v>
      </c>
      <c r="E489" t="s">
        <v>15</v>
      </c>
      <c r="F489">
        <v>1493.38</v>
      </c>
      <c r="G489">
        <v>28704</v>
      </c>
      <c r="H489">
        <v>6009.24</v>
      </c>
      <c r="I489">
        <v>39.31</v>
      </c>
      <c r="J489">
        <f>IFERROR(INDEX(Suppliar[Estimated Carbon Footprint (tons CO₂e)],MATCH('Merge operational &amp; suppliar'!A489,Suppliar[Facility ID],0)),"")</f>
        <v>479.41</v>
      </c>
      <c r="K489">
        <f>IFERROR(INDEX(Suppliar[Income Distribution (%)],MATCH('Merge operational &amp; suppliar'!A489,Suppliar[Facility ID],0)),"")</f>
        <v>19.7</v>
      </c>
    </row>
    <row r="490" spans="1:11" x14ac:dyDescent="0.3">
      <c r="A490" t="s">
        <v>173</v>
      </c>
      <c r="B490" t="s">
        <v>30</v>
      </c>
      <c r="C490" t="s">
        <v>8</v>
      </c>
      <c r="D490" t="s">
        <v>9</v>
      </c>
      <c r="E490" t="s">
        <v>24</v>
      </c>
      <c r="F490">
        <v>1311.82</v>
      </c>
      <c r="G490">
        <v>49620</v>
      </c>
      <c r="H490">
        <v>2424.31</v>
      </c>
      <c r="I490">
        <v>62.09</v>
      </c>
      <c r="J490">
        <f>IFERROR(INDEX(Suppliar[Estimated Carbon Footprint (tons CO₂e)],MATCH('Merge operational &amp; suppliar'!A490,Suppliar[Facility ID],0)),"")</f>
        <v>184.92</v>
      </c>
      <c r="K490">
        <f>IFERROR(INDEX(Suppliar[Income Distribution (%)],MATCH('Merge operational &amp; suppliar'!A490,Suppliar[Facility ID],0)),"")</f>
        <v>19.55</v>
      </c>
    </row>
    <row r="491" spans="1:11" x14ac:dyDescent="0.3">
      <c r="A491" t="s">
        <v>200</v>
      </c>
      <c r="B491" t="s">
        <v>30</v>
      </c>
      <c r="C491" t="s">
        <v>8</v>
      </c>
      <c r="D491" t="s">
        <v>9</v>
      </c>
      <c r="E491" t="s">
        <v>15</v>
      </c>
      <c r="F491">
        <v>3998.63</v>
      </c>
      <c r="G491">
        <v>46863</v>
      </c>
      <c r="H491">
        <v>6762.98</v>
      </c>
      <c r="I491">
        <v>23.45</v>
      </c>
      <c r="J491">
        <f>IFERROR(INDEX(Suppliar[Estimated Carbon Footprint (tons CO₂e)],MATCH('Merge operational &amp; suppliar'!A491,Suppliar[Facility ID],0)),"")</f>
        <v>231.68</v>
      </c>
      <c r="K491">
        <f>IFERROR(INDEX(Suppliar[Income Distribution (%)],MATCH('Merge operational &amp; suppliar'!A491,Suppliar[Facility ID],0)),"")</f>
        <v>35.92</v>
      </c>
    </row>
    <row r="492" spans="1:11" x14ac:dyDescent="0.3">
      <c r="A492" t="s">
        <v>33</v>
      </c>
      <c r="B492" t="s">
        <v>19</v>
      </c>
      <c r="C492" t="s">
        <v>34</v>
      </c>
      <c r="D492" t="s">
        <v>14</v>
      </c>
      <c r="E492" t="s">
        <v>10</v>
      </c>
      <c r="F492">
        <v>4224.63</v>
      </c>
      <c r="G492">
        <v>65719</v>
      </c>
      <c r="H492">
        <v>9362.41</v>
      </c>
      <c r="I492">
        <v>86.55</v>
      </c>
      <c r="J492">
        <f>IFERROR(INDEX(Suppliar[Estimated Carbon Footprint (tons CO₂e)],MATCH('Merge operational &amp; suppliar'!A492,Suppliar[Facility ID],0)),"")</f>
        <v>932.3</v>
      </c>
      <c r="K492">
        <f>IFERROR(INDEX(Suppliar[Income Distribution (%)],MATCH('Merge operational &amp; suppliar'!A492,Suppliar[Facility ID],0)),"")</f>
        <v>28.9</v>
      </c>
    </row>
    <row r="493" spans="1:11" x14ac:dyDescent="0.3">
      <c r="A493" t="s">
        <v>96</v>
      </c>
      <c r="B493" t="s">
        <v>19</v>
      </c>
      <c r="C493" t="s">
        <v>34</v>
      </c>
      <c r="D493" t="s">
        <v>9</v>
      </c>
      <c r="E493" t="s">
        <v>15</v>
      </c>
      <c r="F493">
        <v>2249.11</v>
      </c>
      <c r="G493">
        <v>53942</v>
      </c>
      <c r="H493">
        <v>5904.31</v>
      </c>
      <c r="I493">
        <v>32.78</v>
      </c>
      <c r="J493">
        <f>IFERROR(INDEX(Suppliar[Estimated Carbon Footprint (tons CO₂e)],MATCH('Merge operational &amp; suppliar'!A493,Suppliar[Facility ID],0)),"")</f>
        <v>553.44000000000005</v>
      </c>
      <c r="K493">
        <f>IFERROR(INDEX(Suppliar[Income Distribution (%)],MATCH('Merge operational &amp; suppliar'!A493,Suppliar[Facility ID],0)),"")</f>
        <v>29.01</v>
      </c>
    </row>
    <row r="494" spans="1:11" x14ac:dyDescent="0.3">
      <c r="A494" t="s">
        <v>105</v>
      </c>
      <c r="B494" t="s">
        <v>30</v>
      </c>
      <c r="C494" t="s">
        <v>23</v>
      </c>
      <c r="D494" t="s">
        <v>28</v>
      </c>
      <c r="E494" t="s">
        <v>24</v>
      </c>
      <c r="F494">
        <v>1492.82</v>
      </c>
      <c r="G494">
        <v>87337</v>
      </c>
      <c r="H494">
        <v>3603.06</v>
      </c>
      <c r="I494">
        <v>67.13</v>
      </c>
      <c r="J494" t="str">
        <f>IFERROR(INDEX(Suppliar[Estimated Carbon Footprint (tons CO₂e)],MATCH('Merge operational &amp; suppliar'!A494,Suppliar[Facility ID],0)),"")</f>
        <v/>
      </c>
      <c r="K494" t="str">
        <f>IFERROR(INDEX(Suppliar[Income Distribution (%)],MATCH('Merge operational &amp; suppliar'!A494,Suppliar[Facility ID],0)),"")</f>
        <v/>
      </c>
    </row>
    <row r="495" spans="1:11" x14ac:dyDescent="0.3">
      <c r="A495" t="s">
        <v>132</v>
      </c>
      <c r="B495" t="s">
        <v>19</v>
      </c>
      <c r="C495" t="s">
        <v>8</v>
      </c>
      <c r="D495" t="s">
        <v>9</v>
      </c>
      <c r="E495" t="s">
        <v>24</v>
      </c>
      <c r="F495">
        <v>4652.88</v>
      </c>
      <c r="G495">
        <v>29860</v>
      </c>
      <c r="H495">
        <v>3956.23</v>
      </c>
      <c r="I495">
        <v>57.5</v>
      </c>
      <c r="J495">
        <f>IFERROR(INDEX(Suppliar[Estimated Carbon Footprint (tons CO₂e)],MATCH('Merge operational &amp; suppliar'!A495,Suppliar[Facility ID],0)),"")</f>
        <v>432.23</v>
      </c>
      <c r="K495">
        <f>IFERROR(INDEX(Suppliar[Income Distribution (%)],MATCH('Merge operational &amp; suppliar'!A495,Suppliar[Facility ID],0)),"")</f>
        <v>17.78</v>
      </c>
    </row>
    <row r="496" spans="1:11" x14ac:dyDescent="0.3">
      <c r="A496" t="s">
        <v>69</v>
      </c>
      <c r="B496" t="s">
        <v>7</v>
      </c>
      <c r="C496" t="s">
        <v>34</v>
      </c>
      <c r="D496" t="s">
        <v>14</v>
      </c>
      <c r="E496" t="s">
        <v>10</v>
      </c>
      <c r="F496">
        <v>2725.88</v>
      </c>
      <c r="G496">
        <v>34725</v>
      </c>
      <c r="H496">
        <v>3269.89</v>
      </c>
      <c r="I496">
        <v>78.86</v>
      </c>
      <c r="J496">
        <f>IFERROR(INDEX(Suppliar[Estimated Carbon Footprint (tons CO₂e)],MATCH('Merge operational &amp; suppliar'!A496,Suppliar[Facility ID],0)),"")</f>
        <v>436.04</v>
      </c>
      <c r="K496">
        <f>IFERROR(INDEX(Suppliar[Income Distribution (%)],MATCH('Merge operational &amp; suppliar'!A496,Suppliar[Facility ID],0)),"")</f>
        <v>31.8</v>
      </c>
    </row>
    <row r="497" spans="1:11" x14ac:dyDescent="0.3">
      <c r="A497" t="s">
        <v>75</v>
      </c>
      <c r="B497" t="s">
        <v>19</v>
      </c>
      <c r="C497" t="s">
        <v>23</v>
      </c>
      <c r="D497" t="s">
        <v>9</v>
      </c>
      <c r="E497" t="s">
        <v>24</v>
      </c>
      <c r="F497">
        <v>3666.38</v>
      </c>
      <c r="G497">
        <v>54136</v>
      </c>
      <c r="H497">
        <v>2775.38</v>
      </c>
      <c r="I497">
        <v>75.459999999999994</v>
      </c>
      <c r="J497">
        <f>IFERROR(INDEX(Suppliar[Estimated Carbon Footprint (tons CO₂e)],MATCH('Merge operational &amp; suppliar'!A497,Suppliar[Facility ID],0)),"")</f>
        <v>932.3</v>
      </c>
      <c r="K497">
        <f>IFERROR(INDEX(Suppliar[Income Distribution (%)],MATCH('Merge operational &amp; suppliar'!A497,Suppliar[Facility ID],0)),"")</f>
        <v>16.93</v>
      </c>
    </row>
    <row r="498" spans="1:11" x14ac:dyDescent="0.3">
      <c r="A498" t="s">
        <v>202</v>
      </c>
      <c r="B498" t="s">
        <v>12</v>
      </c>
      <c r="C498" t="s">
        <v>23</v>
      </c>
      <c r="D498" t="s">
        <v>28</v>
      </c>
      <c r="E498" t="s">
        <v>15</v>
      </c>
      <c r="F498">
        <v>216.52</v>
      </c>
      <c r="G498">
        <v>28400</v>
      </c>
      <c r="H498">
        <v>3056.67</v>
      </c>
      <c r="I498">
        <v>52.68</v>
      </c>
      <c r="J498">
        <f>IFERROR(INDEX(Suppliar[Estimated Carbon Footprint (tons CO₂e)],MATCH('Merge operational &amp; suppliar'!A498,Suppliar[Facility ID],0)),"")</f>
        <v>571.88</v>
      </c>
      <c r="K498">
        <f>IFERROR(INDEX(Suppliar[Income Distribution (%)],MATCH('Merge operational &amp; suppliar'!A498,Suppliar[Facility ID],0)),"")</f>
        <v>8.6199999999999992</v>
      </c>
    </row>
    <row r="499" spans="1:11" x14ac:dyDescent="0.3">
      <c r="A499" t="s">
        <v>203</v>
      </c>
      <c r="B499" t="s">
        <v>12</v>
      </c>
      <c r="C499" t="s">
        <v>34</v>
      </c>
      <c r="D499" t="s">
        <v>14</v>
      </c>
      <c r="E499" t="s">
        <v>10</v>
      </c>
      <c r="F499">
        <v>1898.59</v>
      </c>
      <c r="G499">
        <v>66398</v>
      </c>
      <c r="H499">
        <v>8713.61</v>
      </c>
      <c r="I499">
        <v>83.44</v>
      </c>
      <c r="J499">
        <f>IFERROR(INDEX(Suppliar[Estimated Carbon Footprint (tons CO₂e)],MATCH('Merge operational &amp; suppliar'!A499,Suppliar[Facility ID],0)),"")</f>
        <v>763.97</v>
      </c>
      <c r="K499">
        <f>IFERROR(INDEX(Suppliar[Income Distribution (%)],MATCH('Merge operational &amp; suppliar'!A499,Suppliar[Facility ID],0)),"")</f>
        <v>22.42</v>
      </c>
    </row>
    <row r="500" spans="1:11" x14ac:dyDescent="0.3">
      <c r="A500" t="s">
        <v>94</v>
      </c>
      <c r="B500" t="s">
        <v>7</v>
      </c>
      <c r="C500" t="s">
        <v>23</v>
      </c>
      <c r="D500" t="s">
        <v>9</v>
      </c>
      <c r="E500" t="s">
        <v>10</v>
      </c>
      <c r="F500">
        <v>3557.57</v>
      </c>
      <c r="G500">
        <v>26338</v>
      </c>
      <c r="H500">
        <v>578.73</v>
      </c>
      <c r="I500">
        <v>72.52</v>
      </c>
      <c r="J500">
        <f>IFERROR(INDEX(Suppliar[Estimated Carbon Footprint (tons CO₂e)],MATCH('Merge operational &amp; suppliar'!A500,Suppliar[Facility ID],0)),"")</f>
        <v>991.36</v>
      </c>
      <c r="K500">
        <f>IFERROR(INDEX(Suppliar[Income Distribution (%)],MATCH('Merge operational &amp; suppliar'!A500,Suppliar[Facility ID],0)),"")</f>
        <v>35.39</v>
      </c>
    </row>
    <row r="501" spans="1:11" x14ac:dyDescent="0.3">
      <c r="A501" t="s">
        <v>116</v>
      </c>
      <c r="B501" t="s">
        <v>17</v>
      </c>
      <c r="C501" t="s">
        <v>13</v>
      </c>
      <c r="D501" t="s">
        <v>9</v>
      </c>
      <c r="E501" t="s">
        <v>15</v>
      </c>
      <c r="F501">
        <v>1488.08</v>
      </c>
      <c r="G501">
        <v>68216</v>
      </c>
      <c r="H501">
        <v>9562.33</v>
      </c>
      <c r="I501">
        <v>63.59</v>
      </c>
      <c r="J501">
        <f>IFERROR(INDEX(Suppliar[Estimated Carbon Footprint (tons CO₂e)],MATCH('Merge operational &amp; suppliar'!A501,Suppliar[Facility ID],0)),"")</f>
        <v>830.73</v>
      </c>
      <c r="K501">
        <f>IFERROR(INDEX(Suppliar[Income Distribution (%)],MATCH('Merge operational &amp; suppliar'!A501,Suppliar[Facility ID],0)),"")</f>
        <v>46.68</v>
      </c>
    </row>
    <row r="502" spans="1:11" x14ac:dyDescent="0.3">
      <c r="A502" t="s">
        <v>6</v>
      </c>
      <c r="B502" t="s">
        <v>7</v>
      </c>
      <c r="C502" t="s">
        <v>23</v>
      </c>
      <c r="D502" t="s">
        <v>14</v>
      </c>
      <c r="E502" t="s">
        <v>10</v>
      </c>
      <c r="F502">
        <v>4949.0200000000004</v>
      </c>
      <c r="G502">
        <v>77330</v>
      </c>
      <c r="H502">
        <v>6936.58</v>
      </c>
      <c r="I502">
        <v>82.3</v>
      </c>
      <c r="J502">
        <f>IFERROR(INDEX(Suppliar[Estimated Carbon Footprint (tons CO₂e)],MATCH('Merge operational &amp; suppliar'!A502,Suppliar[Facility ID],0)),"")</f>
        <v>264.23</v>
      </c>
      <c r="K502">
        <f>IFERROR(INDEX(Suppliar[Income Distribution (%)],MATCH('Merge operational &amp; suppliar'!A502,Suppliar[Facility ID],0)),"")</f>
        <v>28.19</v>
      </c>
    </row>
    <row r="503" spans="1:11" x14ac:dyDescent="0.3">
      <c r="A503" t="s">
        <v>56</v>
      </c>
      <c r="B503" t="s">
        <v>19</v>
      </c>
      <c r="C503" t="s">
        <v>34</v>
      </c>
      <c r="D503" t="s">
        <v>9</v>
      </c>
      <c r="E503" t="s">
        <v>15</v>
      </c>
      <c r="F503">
        <v>601.16999999999996</v>
      </c>
      <c r="G503">
        <v>43747</v>
      </c>
      <c r="H503">
        <v>3453.48</v>
      </c>
      <c r="I503">
        <v>98.78</v>
      </c>
      <c r="J503">
        <f>IFERROR(INDEX(Suppliar[Estimated Carbon Footprint (tons CO₂e)],MATCH('Merge operational &amp; suppliar'!A503,Suppliar[Facility ID],0)),"")</f>
        <v>459.56</v>
      </c>
      <c r="K503">
        <f>IFERROR(INDEX(Suppliar[Income Distribution (%)],MATCH('Merge operational &amp; suppliar'!A503,Suppliar[Facility ID],0)),"")</f>
        <v>23.81</v>
      </c>
    </row>
    <row r="504" spans="1:11" x14ac:dyDescent="0.3">
      <c r="A504" t="s">
        <v>32</v>
      </c>
      <c r="B504" t="s">
        <v>7</v>
      </c>
      <c r="C504" t="s">
        <v>23</v>
      </c>
      <c r="D504" t="s">
        <v>9</v>
      </c>
      <c r="E504" t="s">
        <v>15</v>
      </c>
      <c r="F504">
        <v>4121.8599999999997</v>
      </c>
      <c r="G504">
        <v>10933</v>
      </c>
      <c r="H504">
        <v>9004.3700000000008</v>
      </c>
      <c r="I504">
        <v>26.84</v>
      </c>
      <c r="J504" t="str">
        <f>IFERROR(INDEX(Suppliar[Estimated Carbon Footprint (tons CO₂e)],MATCH('Merge operational &amp; suppliar'!A504,Suppliar[Facility ID],0)),"")</f>
        <v/>
      </c>
      <c r="K504" t="str">
        <f>IFERROR(INDEX(Suppliar[Income Distribution (%)],MATCH('Merge operational &amp; suppliar'!A504,Suppliar[Facility ID],0)),"")</f>
        <v/>
      </c>
    </row>
    <row r="505" spans="1:11" x14ac:dyDescent="0.3">
      <c r="A505" t="s">
        <v>96</v>
      </c>
      <c r="B505" t="s">
        <v>19</v>
      </c>
      <c r="C505" t="s">
        <v>13</v>
      </c>
      <c r="D505" t="s">
        <v>28</v>
      </c>
      <c r="E505" t="s">
        <v>15</v>
      </c>
      <c r="F505">
        <v>2038.67</v>
      </c>
      <c r="G505">
        <v>53942</v>
      </c>
      <c r="H505">
        <v>5904.31</v>
      </c>
      <c r="I505">
        <v>32.78</v>
      </c>
      <c r="J505">
        <f>IFERROR(INDEX(Suppliar[Estimated Carbon Footprint (tons CO₂e)],MATCH('Merge operational &amp; suppliar'!A505,Suppliar[Facility ID],0)),"")</f>
        <v>553.44000000000005</v>
      </c>
      <c r="K505">
        <f>IFERROR(INDEX(Suppliar[Income Distribution (%)],MATCH('Merge operational &amp; suppliar'!A505,Suppliar[Facility ID],0)),"")</f>
        <v>29.01</v>
      </c>
    </row>
    <row r="506" spans="1:11" x14ac:dyDescent="0.3">
      <c r="A506" t="s">
        <v>151</v>
      </c>
      <c r="B506" t="s">
        <v>12</v>
      </c>
      <c r="C506" t="s">
        <v>23</v>
      </c>
      <c r="D506" t="s">
        <v>14</v>
      </c>
      <c r="E506" t="s">
        <v>10</v>
      </c>
      <c r="F506">
        <v>1823.3</v>
      </c>
      <c r="G506">
        <v>61207</v>
      </c>
      <c r="H506">
        <v>6922.33</v>
      </c>
      <c r="I506">
        <v>9.1999999999999993</v>
      </c>
      <c r="J506" t="str">
        <f>IFERROR(INDEX(Suppliar[Estimated Carbon Footprint (tons CO₂e)],MATCH('Merge operational &amp; suppliar'!A506,Suppliar[Facility ID],0)),"")</f>
        <v/>
      </c>
      <c r="K506" t="str">
        <f>IFERROR(INDEX(Suppliar[Income Distribution (%)],MATCH('Merge operational &amp; suppliar'!A506,Suppliar[Facility ID],0)),"")</f>
        <v/>
      </c>
    </row>
    <row r="507" spans="1:11" x14ac:dyDescent="0.3">
      <c r="A507" t="s">
        <v>204</v>
      </c>
      <c r="B507" t="s">
        <v>30</v>
      </c>
      <c r="C507" t="s">
        <v>8</v>
      </c>
      <c r="D507" t="s">
        <v>9</v>
      </c>
      <c r="E507" t="s">
        <v>10</v>
      </c>
      <c r="F507">
        <v>380.6</v>
      </c>
      <c r="G507">
        <v>36423</v>
      </c>
      <c r="H507">
        <v>589.96</v>
      </c>
      <c r="I507">
        <v>30.9</v>
      </c>
      <c r="J507">
        <f>IFERROR(INDEX(Suppliar[Estimated Carbon Footprint (tons CO₂e)],MATCH('Merge operational &amp; suppliar'!A507,Suppliar[Facility ID],0)),"")</f>
        <v>111.84</v>
      </c>
      <c r="K507">
        <f>IFERROR(INDEX(Suppliar[Income Distribution (%)],MATCH('Merge operational &amp; suppliar'!A507,Suppliar[Facility ID],0)),"")</f>
        <v>23.26</v>
      </c>
    </row>
    <row r="508" spans="1:11" x14ac:dyDescent="0.3">
      <c r="A508" t="s">
        <v>189</v>
      </c>
      <c r="B508" t="s">
        <v>19</v>
      </c>
      <c r="C508" t="s">
        <v>13</v>
      </c>
      <c r="D508" t="s">
        <v>28</v>
      </c>
      <c r="E508" t="s">
        <v>15</v>
      </c>
      <c r="F508">
        <v>3069.63</v>
      </c>
      <c r="G508">
        <v>27681</v>
      </c>
      <c r="H508">
        <v>928.26</v>
      </c>
      <c r="I508">
        <v>44.97</v>
      </c>
      <c r="J508" t="str">
        <f>IFERROR(INDEX(Suppliar[Estimated Carbon Footprint (tons CO₂e)],MATCH('Merge operational &amp; suppliar'!A508,Suppliar[Facility ID],0)),"")</f>
        <v/>
      </c>
      <c r="K508" t="str">
        <f>IFERROR(INDEX(Suppliar[Income Distribution (%)],MATCH('Merge operational &amp; suppliar'!A508,Suppliar[Facility ID],0)),"")</f>
        <v/>
      </c>
    </row>
    <row r="509" spans="1:11" x14ac:dyDescent="0.3">
      <c r="A509" t="s">
        <v>121</v>
      </c>
      <c r="B509" t="s">
        <v>30</v>
      </c>
      <c r="C509" t="s">
        <v>8</v>
      </c>
      <c r="D509" t="s">
        <v>28</v>
      </c>
      <c r="E509" t="s">
        <v>15</v>
      </c>
      <c r="F509">
        <v>1532.06</v>
      </c>
      <c r="G509">
        <v>58895</v>
      </c>
      <c r="H509">
        <v>3039.17</v>
      </c>
      <c r="I509">
        <v>59.82</v>
      </c>
      <c r="J509">
        <f>IFERROR(INDEX(Suppliar[Estimated Carbon Footprint (tons CO₂e)],MATCH('Merge operational &amp; suppliar'!A509,Suppliar[Facility ID],0)),"")</f>
        <v>785.8</v>
      </c>
      <c r="K509">
        <f>IFERROR(INDEX(Suppliar[Income Distribution (%)],MATCH('Merge operational &amp; suppliar'!A509,Suppliar[Facility ID],0)),"")</f>
        <v>22.92</v>
      </c>
    </row>
    <row r="510" spans="1:11" x14ac:dyDescent="0.3">
      <c r="A510" t="s">
        <v>125</v>
      </c>
      <c r="B510" t="s">
        <v>7</v>
      </c>
      <c r="C510" t="s">
        <v>8</v>
      </c>
      <c r="D510" t="s">
        <v>28</v>
      </c>
      <c r="E510" t="s">
        <v>10</v>
      </c>
      <c r="F510">
        <v>3269.38</v>
      </c>
      <c r="G510">
        <v>56392</v>
      </c>
      <c r="H510">
        <v>5703.76</v>
      </c>
      <c r="I510">
        <v>23.04</v>
      </c>
      <c r="J510">
        <f>IFERROR(INDEX(Suppliar[Estimated Carbon Footprint (tons CO₂e)],MATCH('Merge operational &amp; suppliar'!A510,Suppliar[Facility ID],0)),"")</f>
        <v>991.03</v>
      </c>
      <c r="K510">
        <f>IFERROR(INDEX(Suppliar[Income Distribution (%)],MATCH('Merge operational &amp; suppliar'!A510,Suppliar[Facility ID],0)),"")</f>
        <v>27.62</v>
      </c>
    </row>
    <row r="511" spans="1:11" x14ac:dyDescent="0.3">
      <c r="A511" t="s">
        <v>75</v>
      </c>
      <c r="B511" t="s">
        <v>19</v>
      </c>
      <c r="C511" t="s">
        <v>8</v>
      </c>
      <c r="D511" t="s">
        <v>9</v>
      </c>
      <c r="E511" t="s">
        <v>10</v>
      </c>
      <c r="F511">
        <v>2397.75</v>
      </c>
      <c r="G511">
        <v>54136</v>
      </c>
      <c r="H511">
        <v>2775.38</v>
      </c>
      <c r="I511">
        <v>75.459999999999994</v>
      </c>
      <c r="J511">
        <f>IFERROR(INDEX(Suppliar[Estimated Carbon Footprint (tons CO₂e)],MATCH('Merge operational &amp; suppliar'!A511,Suppliar[Facility ID],0)),"")</f>
        <v>932.3</v>
      </c>
      <c r="K511">
        <f>IFERROR(INDEX(Suppliar[Income Distribution (%)],MATCH('Merge operational &amp; suppliar'!A511,Suppliar[Facility ID],0)),"")</f>
        <v>16.93</v>
      </c>
    </row>
    <row r="512" spans="1:11" x14ac:dyDescent="0.3">
      <c r="A512" t="s">
        <v>58</v>
      </c>
      <c r="B512" t="s">
        <v>17</v>
      </c>
      <c r="C512" t="s">
        <v>34</v>
      </c>
      <c r="D512" t="s">
        <v>14</v>
      </c>
      <c r="E512" t="s">
        <v>10</v>
      </c>
      <c r="F512">
        <v>1104.3599999999999</v>
      </c>
      <c r="G512">
        <v>32246</v>
      </c>
      <c r="H512">
        <v>7903.93</v>
      </c>
      <c r="I512">
        <v>42.12</v>
      </c>
      <c r="J512">
        <f>IFERROR(INDEX(Suppliar[Estimated Carbon Footprint (tons CO₂e)],MATCH('Merge operational &amp; suppliar'!A512,Suppliar[Facility ID],0)),"")</f>
        <v>459.56</v>
      </c>
      <c r="K512">
        <f>IFERROR(INDEX(Suppliar[Income Distribution (%)],MATCH('Merge operational &amp; suppliar'!A512,Suppliar[Facility ID],0)),"")</f>
        <v>28.62</v>
      </c>
    </row>
    <row r="513" spans="1:11" x14ac:dyDescent="0.3">
      <c r="A513" t="s">
        <v>89</v>
      </c>
      <c r="B513" t="s">
        <v>17</v>
      </c>
      <c r="C513" t="s">
        <v>8</v>
      </c>
      <c r="D513" t="s">
        <v>9</v>
      </c>
      <c r="E513" t="s">
        <v>24</v>
      </c>
      <c r="F513">
        <v>5406.29</v>
      </c>
      <c r="G513">
        <v>36171</v>
      </c>
      <c r="H513">
        <v>6864.38</v>
      </c>
      <c r="I513">
        <v>37.03</v>
      </c>
      <c r="J513">
        <f>IFERROR(INDEX(Suppliar[Estimated Carbon Footprint (tons CO₂e)],MATCH('Merge operational &amp; suppliar'!A513,Suppliar[Facility ID],0)),"")</f>
        <v>181.54</v>
      </c>
      <c r="K513">
        <f>IFERROR(INDEX(Suppliar[Income Distribution (%)],MATCH('Merge operational &amp; suppliar'!A513,Suppliar[Facility ID],0)),"")</f>
        <v>55.69</v>
      </c>
    </row>
    <row r="514" spans="1:11" x14ac:dyDescent="0.3">
      <c r="A514" t="s">
        <v>97</v>
      </c>
      <c r="B514" t="s">
        <v>7</v>
      </c>
      <c r="C514" t="s">
        <v>8</v>
      </c>
      <c r="D514" t="s">
        <v>28</v>
      </c>
      <c r="E514" t="s">
        <v>15</v>
      </c>
      <c r="F514">
        <v>2419.31</v>
      </c>
      <c r="G514">
        <v>78624</v>
      </c>
      <c r="H514">
        <v>2373.27</v>
      </c>
      <c r="I514">
        <v>25.07</v>
      </c>
      <c r="J514" t="str">
        <f>IFERROR(INDEX(Suppliar[Estimated Carbon Footprint (tons CO₂e)],MATCH('Merge operational &amp; suppliar'!A514,Suppliar[Facility ID],0)),"")</f>
        <v/>
      </c>
      <c r="K514" t="str">
        <f>IFERROR(INDEX(Suppliar[Income Distribution (%)],MATCH('Merge operational &amp; suppliar'!A514,Suppliar[Facility ID],0)),"")</f>
        <v/>
      </c>
    </row>
    <row r="515" spans="1:11" x14ac:dyDescent="0.3">
      <c r="A515" t="s">
        <v>153</v>
      </c>
      <c r="B515" t="s">
        <v>7</v>
      </c>
      <c r="C515" t="s">
        <v>34</v>
      </c>
      <c r="D515" t="s">
        <v>9</v>
      </c>
      <c r="E515" t="s">
        <v>24</v>
      </c>
      <c r="F515">
        <v>1984.27</v>
      </c>
      <c r="G515">
        <v>21388</v>
      </c>
      <c r="H515">
        <v>5249.39</v>
      </c>
      <c r="I515">
        <v>64.2</v>
      </c>
      <c r="J515">
        <f>IFERROR(INDEX(Suppliar[Estimated Carbon Footprint (tons CO₂e)],MATCH('Merge operational &amp; suppliar'!A515,Suppliar[Facility ID],0)),"")</f>
        <v>571.66</v>
      </c>
      <c r="K515">
        <f>IFERROR(INDEX(Suppliar[Income Distribution (%)],MATCH('Merge operational &amp; suppliar'!A515,Suppliar[Facility ID],0)),"")</f>
        <v>17.87</v>
      </c>
    </row>
    <row r="516" spans="1:11" x14ac:dyDescent="0.3">
      <c r="A516" t="s">
        <v>74</v>
      </c>
      <c r="B516" t="s">
        <v>19</v>
      </c>
      <c r="C516" t="s">
        <v>13</v>
      </c>
      <c r="D516" t="s">
        <v>28</v>
      </c>
      <c r="E516" t="s">
        <v>15</v>
      </c>
      <c r="F516">
        <v>2554.5100000000002</v>
      </c>
      <c r="G516">
        <v>18175</v>
      </c>
      <c r="H516">
        <v>8349.49</v>
      </c>
      <c r="I516">
        <v>39.97</v>
      </c>
      <c r="J516">
        <f>IFERROR(INDEX(Suppliar[Estimated Carbon Footprint (tons CO₂e)],MATCH('Merge operational &amp; suppliar'!A516,Suppliar[Facility ID],0)),"")</f>
        <v>818.45</v>
      </c>
      <c r="K516">
        <f>IFERROR(INDEX(Suppliar[Income Distribution (%)],MATCH('Merge operational &amp; suppliar'!A516,Suppliar[Facility ID],0)),"")</f>
        <v>19.04</v>
      </c>
    </row>
    <row r="517" spans="1:11" x14ac:dyDescent="0.3">
      <c r="A517" t="s">
        <v>193</v>
      </c>
      <c r="B517" t="s">
        <v>12</v>
      </c>
      <c r="C517" t="s">
        <v>23</v>
      </c>
      <c r="D517" t="s">
        <v>14</v>
      </c>
      <c r="E517" t="s">
        <v>10</v>
      </c>
      <c r="F517">
        <v>2087.4</v>
      </c>
      <c r="G517">
        <v>13333</v>
      </c>
      <c r="H517">
        <v>6102.15</v>
      </c>
      <c r="I517">
        <v>17.670000000000002</v>
      </c>
      <c r="J517">
        <f>IFERROR(INDEX(Suppliar[Estimated Carbon Footprint (tons CO₂e)],MATCH('Merge operational &amp; suppliar'!A517,Suppliar[Facility ID],0)),"")</f>
        <v>959.2</v>
      </c>
      <c r="K517">
        <f>IFERROR(INDEX(Suppliar[Income Distribution (%)],MATCH('Merge operational &amp; suppliar'!A517,Suppliar[Facility ID],0)),"")</f>
        <v>24.24</v>
      </c>
    </row>
    <row r="518" spans="1:11" x14ac:dyDescent="0.3">
      <c r="A518" t="s">
        <v>121</v>
      </c>
      <c r="B518" t="s">
        <v>30</v>
      </c>
      <c r="C518" t="s">
        <v>34</v>
      </c>
      <c r="D518" t="s">
        <v>28</v>
      </c>
      <c r="E518" t="s">
        <v>15</v>
      </c>
      <c r="F518">
        <v>3785.96</v>
      </c>
      <c r="G518">
        <v>58895</v>
      </c>
      <c r="H518">
        <v>3039.17</v>
      </c>
      <c r="I518">
        <v>59.82</v>
      </c>
      <c r="J518">
        <f>IFERROR(INDEX(Suppliar[Estimated Carbon Footprint (tons CO₂e)],MATCH('Merge operational &amp; suppliar'!A518,Suppliar[Facility ID],0)),"")</f>
        <v>785.8</v>
      </c>
      <c r="K518">
        <f>IFERROR(INDEX(Suppliar[Income Distribution (%)],MATCH('Merge operational &amp; suppliar'!A518,Suppliar[Facility ID],0)),"")</f>
        <v>22.92</v>
      </c>
    </row>
    <row r="519" spans="1:11" x14ac:dyDescent="0.3">
      <c r="A519" t="s">
        <v>110</v>
      </c>
      <c r="B519" t="s">
        <v>12</v>
      </c>
      <c r="C519" t="s">
        <v>23</v>
      </c>
      <c r="D519" t="s">
        <v>14</v>
      </c>
      <c r="E519" t="s">
        <v>15</v>
      </c>
      <c r="F519">
        <v>4818.79</v>
      </c>
      <c r="G519">
        <v>70481</v>
      </c>
      <c r="H519">
        <v>4452.83</v>
      </c>
      <c r="I519">
        <v>91.26</v>
      </c>
      <c r="J519" t="str">
        <f>IFERROR(INDEX(Suppliar[Estimated Carbon Footprint (tons CO₂e)],MATCH('Merge operational &amp; suppliar'!A519,Suppliar[Facility ID],0)),"")</f>
        <v/>
      </c>
      <c r="K519" t="str">
        <f>IFERROR(INDEX(Suppliar[Income Distribution (%)],MATCH('Merge operational &amp; suppliar'!A519,Suppliar[Facility ID],0)),"")</f>
        <v/>
      </c>
    </row>
    <row r="520" spans="1:11" x14ac:dyDescent="0.3">
      <c r="A520" t="s">
        <v>105</v>
      </c>
      <c r="B520" t="s">
        <v>30</v>
      </c>
      <c r="C520" t="s">
        <v>13</v>
      </c>
      <c r="D520" t="s">
        <v>14</v>
      </c>
      <c r="E520" t="s">
        <v>15</v>
      </c>
      <c r="F520">
        <v>4888.34</v>
      </c>
      <c r="G520">
        <v>87337</v>
      </c>
      <c r="H520">
        <v>3603.06</v>
      </c>
      <c r="I520">
        <v>67.13</v>
      </c>
      <c r="J520" t="str">
        <f>IFERROR(INDEX(Suppliar[Estimated Carbon Footprint (tons CO₂e)],MATCH('Merge operational &amp; suppliar'!A520,Suppliar[Facility ID],0)),"")</f>
        <v/>
      </c>
      <c r="K520" t="str">
        <f>IFERROR(INDEX(Suppliar[Income Distribution (%)],MATCH('Merge operational &amp; suppliar'!A520,Suppliar[Facility ID],0)),"")</f>
        <v/>
      </c>
    </row>
    <row r="521" spans="1:11" x14ac:dyDescent="0.3">
      <c r="A521" t="s">
        <v>16</v>
      </c>
      <c r="B521" t="s">
        <v>17</v>
      </c>
      <c r="C521" t="s">
        <v>34</v>
      </c>
      <c r="D521" t="s">
        <v>14</v>
      </c>
      <c r="E521" t="s">
        <v>15</v>
      </c>
      <c r="F521">
        <v>3595.37</v>
      </c>
      <c r="G521">
        <v>43512</v>
      </c>
      <c r="H521">
        <v>5352.18</v>
      </c>
      <c r="I521">
        <v>6.17</v>
      </c>
      <c r="J521">
        <f>IFERROR(INDEX(Suppliar[Estimated Carbon Footprint (tons CO₂e)],MATCH('Merge operational &amp; suppliar'!A521,Suppliar[Facility ID],0)),"")</f>
        <v>311.36</v>
      </c>
      <c r="K521">
        <f>IFERROR(INDEX(Suppliar[Income Distribution (%)],MATCH('Merge operational &amp; suppliar'!A521,Suppliar[Facility ID],0)),"")</f>
        <v>28.72</v>
      </c>
    </row>
    <row r="522" spans="1:11" x14ac:dyDescent="0.3">
      <c r="A522" t="s">
        <v>109</v>
      </c>
      <c r="B522" t="s">
        <v>12</v>
      </c>
      <c r="C522" t="s">
        <v>34</v>
      </c>
      <c r="D522" t="s">
        <v>14</v>
      </c>
      <c r="E522" t="s">
        <v>10</v>
      </c>
      <c r="F522">
        <v>4258.79</v>
      </c>
      <c r="G522">
        <v>84721</v>
      </c>
      <c r="H522">
        <v>2278.9699999999998</v>
      </c>
      <c r="I522">
        <v>68.53</v>
      </c>
      <c r="J522">
        <f>IFERROR(INDEX(Suppliar[Estimated Carbon Footprint (tons CO₂e)],MATCH('Merge operational &amp; suppliar'!A522,Suppliar[Facility ID],0)),"")</f>
        <v>796.34</v>
      </c>
      <c r="K522">
        <f>IFERROR(INDEX(Suppliar[Income Distribution (%)],MATCH('Merge operational &amp; suppliar'!A522,Suppliar[Facility ID],0)),"")</f>
        <v>33.590000000000003</v>
      </c>
    </row>
    <row r="523" spans="1:11" x14ac:dyDescent="0.3">
      <c r="A523" t="s">
        <v>186</v>
      </c>
      <c r="B523" t="s">
        <v>30</v>
      </c>
      <c r="C523" t="s">
        <v>34</v>
      </c>
      <c r="D523" t="s">
        <v>28</v>
      </c>
      <c r="E523" t="s">
        <v>15</v>
      </c>
      <c r="F523">
        <v>2679.07</v>
      </c>
      <c r="G523">
        <v>85868</v>
      </c>
      <c r="H523">
        <v>907.72</v>
      </c>
      <c r="I523">
        <v>90.36</v>
      </c>
      <c r="J523">
        <f>IFERROR(INDEX(Suppliar[Estimated Carbon Footprint (tons CO₂e)],MATCH('Merge operational &amp; suppliar'!A523,Suppliar[Facility ID],0)),"")</f>
        <v>960.4</v>
      </c>
      <c r="K523">
        <f>IFERROR(INDEX(Suppliar[Income Distribution (%)],MATCH('Merge operational &amp; suppliar'!A523,Suppliar[Facility ID],0)),"")</f>
        <v>10.65</v>
      </c>
    </row>
    <row r="524" spans="1:11" x14ac:dyDescent="0.3">
      <c r="A524" t="s">
        <v>53</v>
      </c>
      <c r="B524" t="s">
        <v>7</v>
      </c>
      <c r="C524" t="s">
        <v>8</v>
      </c>
      <c r="D524" t="s">
        <v>28</v>
      </c>
      <c r="E524" t="s">
        <v>24</v>
      </c>
      <c r="F524">
        <v>3884.75</v>
      </c>
      <c r="G524">
        <v>90632</v>
      </c>
      <c r="H524">
        <v>5292.17</v>
      </c>
      <c r="I524">
        <v>78.45</v>
      </c>
      <c r="J524">
        <f>IFERROR(INDEX(Suppliar[Estimated Carbon Footprint (tons CO₂e)],MATCH('Merge operational &amp; suppliar'!A524,Suppliar[Facility ID],0)),"")</f>
        <v>571.88</v>
      </c>
      <c r="K524">
        <f>IFERROR(INDEX(Suppliar[Income Distribution (%)],MATCH('Merge operational &amp; suppliar'!A524,Suppliar[Facility ID],0)),"")</f>
        <v>20.93</v>
      </c>
    </row>
    <row r="525" spans="1:11" x14ac:dyDescent="0.3">
      <c r="A525" t="s">
        <v>52</v>
      </c>
      <c r="B525" t="s">
        <v>19</v>
      </c>
      <c r="C525" t="s">
        <v>34</v>
      </c>
      <c r="D525" t="s">
        <v>28</v>
      </c>
      <c r="E525" t="s">
        <v>24</v>
      </c>
      <c r="F525">
        <v>3771</v>
      </c>
      <c r="G525">
        <v>94949</v>
      </c>
      <c r="H525">
        <v>9714.76</v>
      </c>
      <c r="I525">
        <v>64.900000000000006</v>
      </c>
      <c r="J525">
        <f>IFERROR(INDEX(Suppliar[Estimated Carbon Footprint (tons CO₂e)],MATCH('Merge operational &amp; suppliar'!A525,Suppliar[Facility ID],0)),"")</f>
        <v>241.41</v>
      </c>
      <c r="K525">
        <f>IFERROR(INDEX(Suppliar[Income Distribution (%)],MATCH('Merge operational &amp; suppliar'!A525,Suppliar[Facility ID],0)),"")</f>
        <v>20.62</v>
      </c>
    </row>
    <row r="526" spans="1:11" x14ac:dyDescent="0.3">
      <c r="A526" t="s">
        <v>152</v>
      </c>
      <c r="B526" t="s">
        <v>30</v>
      </c>
      <c r="C526" t="s">
        <v>8</v>
      </c>
      <c r="D526" t="s">
        <v>9</v>
      </c>
      <c r="E526" t="s">
        <v>10</v>
      </c>
      <c r="F526">
        <v>3711.39</v>
      </c>
      <c r="G526">
        <v>21914</v>
      </c>
      <c r="H526">
        <v>5897.27</v>
      </c>
      <c r="I526">
        <v>49.41</v>
      </c>
      <c r="J526">
        <f>IFERROR(INDEX(Suppliar[Estimated Carbon Footprint (tons CO₂e)],MATCH('Merge operational &amp; suppliar'!A526,Suppliar[Facility ID],0)),"")</f>
        <v>790.74</v>
      </c>
      <c r="K526">
        <f>IFERROR(INDEX(Suppliar[Income Distribution (%)],MATCH('Merge operational &amp; suppliar'!A526,Suppliar[Facility ID],0)),"")</f>
        <v>15.07</v>
      </c>
    </row>
    <row r="527" spans="1:11" x14ac:dyDescent="0.3">
      <c r="A527" t="s">
        <v>74</v>
      </c>
      <c r="B527" t="s">
        <v>19</v>
      </c>
      <c r="C527" t="s">
        <v>34</v>
      </c>
      <c r="D527" t="s">
        <v>14</v>
      </c>
      <c r="E527" t="s">
        <v>15</v>
      </c>
      <c r="F527">
        <v>506.34</v>
      </c>
      <c r="G527">
        <v>18175</v>
      </c>
      <c r="H527">
        <v>8349.49</v>
      </c>
      <c r="I527">
        <v>39.97</v>
      </c>
      <c r="J527">
        <f>IFERROR(INDEX(Suppliar[Estimated Carbon Footprint (tons CO₂e)],MATCH('Merge operational &amp; suppliar'!A527,Suppliar[Facility ID],0)),"")</f>
        <v>818.45</v>
      </c>
      <c r="K527">
        <f>IFERROR(INDEX(Suppliar[Income Distribution (%)],MATCH('Merge operational &amp; suppliar'!A527,Suppliar[Facility ID],0)),"")</f>
        <v>19.04</v>
      </c>
    </row>
    <row r="528" spans="1:11" x14ac:dyDescent="0.3">
      <c r="A528" t="s">
        <v>67</v>
      </c>
      <c r="B528" t="s">
        <v>7</v>
      </c>
      <c r="C528" t="s">
        <v>8</v>
      </c>
      <c r="D528" t="s">
        <v>9</v>
      </c>
      <c r="E528" t="s">
        <v>10</v>
      </c>
      <c r="F528">
        <v>2868.75</v>
      </c>
      <c r="G528">
        <v>70582</v>
      </c>
      <c r="H528">
        <v>7517.59</v>
      </c>
      <c r="I528">
        <v>95.71</v>
      </c>
      <c r="J528" t="str">
        <f>IFERROR(INDEX(Suppliar[Estimated Carbon Footprint (tons CO₂e)],MATCH('Merge operational &amp; suppliar'!A528,Suppliar[Facility ID],0)),"")</f>
        <v/>
      </c>
      <c r="K528" t="str">
        <f>IFERROR(INDEX(Suppliar[Income Distribution (%)],MATCH('Merge operational &amp; suppliar'!A528,Suppliar[Facility ID],0)),"")</f>
        <v/>
      </c>
    </row>
    <row r="529" spans="1:11" x14ac:dyDescent="0.3">
      <c r="A529" t="s">
        <v>180</v>
      </c>
      <c r="B529" t="s">
        <v>30</v>
      </c>
      <c r="C529" t="s">
        <v>13</v>
      </c>
      <c r="D529" t="s">
        <v>28</v>
      </c>
      <c r="E529" t="s">
        <v>15</v>
      </c>
      <c r="F529">
        <v>4633.6899999999996</v>
      </c>
      <c r="G529">
        <v>72846</v>
      </c>
      <c r="H529">
        <v>5169.53</v>
      </c>
      <c r="I529">
        <v>76.709999999999994</v>
      </c>
      <c r="J529" t="str">
        <f>IFERROR(INDEX(Suppliar[Estimated Carbon Footprint (tons CO₂e)],MATCH('Merge operational &amp; suppliar'!A529,Suppliar[Facility ID],0)),"")</f>
        <v/>
      </c>
      <c r="K529" t="str">
        <f>IFERROR(INDEX(Suppliar[Income Distribution (%)],MATCH('Merge operational &amp; suppliar'!A529,Suppliar[Facility ID],0)),"")</f>
        <v/>
      </c>
    </row>
    <row r="530" spans="1:11" x14ac:dyDescent="0.3">
      <c r="A530" t="s">
        <v>63</v>
      </c>
      <c r="B530" t="s">
        <v>12</v>
      </c>
      <c r="C530" t="s">
        <v>23</v>
      </c>
      <c r="D530" t="s">
        <v>28</v>
      </c>
      <c r="E530" t="s">
        <v>15</v>
      </c>
      <c r="F530">
        <v>822.11</v>
      </c>
      <c r="G530">
        <v>33688</v>
      </c>
      <c r="H530">
        <v>9495.48</v>
      </c>
      <c r="I530">
        <v>55.55</v>
      </c>
      <c r="J530">
        <f>IFERROR(INDEX(Suppliar[Estimated Carbon Footprint (tons CO₂e)],MATCH('Merge operational &amp; suppliar'!A530,Suppliar[Facility ID],0)),"")</f>
        <v>780.4</v>
      </c>
      <c r="K530">
        <f>IFERROR(INDEX(Suppliar[Income Distribution (%)],MATCH('Merge operational &amp; suppliar'!A530,Suppliar[Facility ID],0)),"")</f>
        <v>30.98</v>
      </c>
    </row>
    <row r="531" spans="1:11" x14ac:dyDescent="0.3">
      <c r="A531" t="s">
        <v>119</v>
      </c>
      <c r="B531" t="s">
        <v>30</v>
      </c>
      <c r="C531" t="s">
        <v>34</v>
      </c>
      <c r="D531" t="s">
        <v>28</v>
      </c>
      <c r="E531" t="s">
        <v>24</v>
      </c>
      <c r="F531">
        <v>381.04</v>
      </c>
      <c r="G531">
        <v>80488</v>
      </c>
      <c r="H531">
        <v>7629.95</v>
      </c>
      <c r="I531">
        <v>63.83</v>
      </c>
      <c r="J531">
        <f>IFERROR(INDEX(Suppliar[Estimated Carbon Footprint (tons CO₂e)],MATCH('Merge operational &amp; suppliar'!A531,Suppliar[Facility ID],0)),"")</f>
        <v>847.51</v>
      </c>
      <c r="K531">
        <f>IFERROR(INDEX(Suppliar[Income Distribution (%)],MATCH('Merge operational &amp; suppliar'!A531,Suppliar[Facility ID],0)),"")</f>
        <v>9.9</v>
      </c>
    </row>
    <row r="532" spans="1:11" x14ac:dyDescent="0.3">
      <c r="A532" t="s">
        <v>113</v>
      </c>
      <c r="B532" t="s">
        <v>30</v>
      </c>
      <c r="C532" t="s">
        <v>23</v>
      </c>
      <c r="D532" t="s">
        <v>14</v>
      </c>
      <c r="E532" t="s">
        <v>10</v>
      </c>
      <c r="F532">
        <v>4854.5</v>
      </c>
      <c r="G532">
        <v>90679</v>
      </c>
      <c r="H532">
        <v>7266.82</v>
      </c>
      <c r="I532">
        <v>23.3</v>
      </c>
      <c r="J532">
        <f>IFERROR(INDEX(Suppliar[Estimated Carbon Footprint (tons CO₂e)],MATCH('Merge operational &amp; suppliar'!A532,Suppliar[Facility ID],0)),"")</f>
        <v>943.59</v>
      </c>
      <c r="K532">
        <f>IFERROR(INDEX(Suppliar[Income Distribution (%)],MATCH('Merge operational &amp; suppliar'!A532,Suppliar[Facility ID],0)),"")</f>
        <v>15.81</v>
      </c>
    </row>
    <row r="533" spans="1:11" x14ac:dyDescent="0.3">
      <c r="A533" t="s">
        <v>38</v>
      </c>
      <c r="B533" t="s">
        <v>30</v>
      </c>
      <c r="C533" t="s">
        <v>34</v>
      </c>
      <c r="D533" t="s">
        <v>14</v>
      </c>
      <c r="E533" t="s">
        <v>10</v>
      </c>
      <c r="F533">
        <v>4069.56</v>
      </c>
      <c r="G533">
        <v>57215</v>
      </c>
      <c r="H533">
        <v>3227.1</v>
      </c>
      <c r="I533">
        <v>32.909999999999997</v>
      </c>
      <c r="J533">
        <f>IFERROR(INDEX(Suppliar[Estimated Carbon Footprint (tons CO₂e)],MATCH('Merge operational &amp; suppliar'!A533,Suppliar[Facility ID],0)),"")</f>
        <v>951.35</v>
      </c>
      <c r="K533">
        <f>IFERROR(INDEX(Suppliar[Income Distribution (%)],MATCH('Merge operational &amp; suppliar'!A533,Suppliar[Facility ID],0)),"")</f>
        <v>33.299999999999997</v>
      </c>
    </row>
    <row r="534" spans="1:11" x14ac:dyDescent="0.3">
      <c r="A534" t="s">
        <v>141</v>
      </c>
      <c r="B534" t="s">
        <v>7</v>
      </c>
      <c r="C534" t="s">
        <v>8</v>
      </c>
      <c r="D534" t="s">
        <v>28</v>
      </c>
      <c r="E534" t="s">
        <v>24</v>
      </c>
      <c r="F534">
        <v>4573.76</v>
      </c>
      <c r="G534">
        <v>45644</v>
      </c>
      <c r="H534">
        <v>7724.73</v>
      </c>
      <c r="I534">
        <v>31</v>
      </c>
      <c r="J534">
        <f>IFERROR(INDEX(Suppliar[Estimated Carbon Footprint (tons CO₂e)],MATCH('Merge operational &amp; suppliar'!A534,Suppliar[Facility ID],0)),"")</f>
        <v>685.27</v>
      </c>
      <c r="K534">
        <f>IFERROR(INDEX(Suppliar[Income Distribution (%)],MATCH('Merge operational &amp; suppliar'!A534,Suppliar[Facility ID],0)),"")</f>
        <v>33.94</v>
      </c>
    </row>
    <row r="535" spans="1:11" x14ac:dyDescent="0.3">
      <c r="A535" t="s">
        <v>160</v>
      </c>
      <c r="B535" t="s">
        <v>30</v>
      </c>
      <c r="C535" t="s">
        <v>34</v>
      </c>
      <c r="D535" t="s">
        <v>28</v>
      </c>
      <c r="E535" t="s">
        <v>15</v>
      </c>
      <c r="F535">
        <v>202.63</v>
      </c>
      <c r="G535">
        <v>18341</v>
      </c>
      <c r="H535">
        <v>8465.57</v>
      </c>
      <c r="I535">
        <v>38.39</v>
      </c>
      <c r="J535" t="str">
        <f>IFERROR(INDEX(Suppliar[Estimated Carbon Footprint (tons CO₂e)],MATCH('Merge operational &amp; suppliar'!A535,Suppliar[Facility ID],0)),"")</f>
        <v/>
      </c>
      <c r="K535" t="str">
        <f>IFERROR(INDEX(Suppliar[Income Distribution (%)],MATCH('Merge operational &amp; suppliar'!A535,Suppliar[Facility ID],0)),"")</f>
        <v/>
      </c>
    </row>
    <row r="536" spans="1:11" x14ac:dyDescent="0.3">
      <c r="A536" t="s">
        <v>107</v>
      </c>
      <c r="B536" t="s">
        <v>30</v>
      </c>
      <c r="C536" t="s">
        <v>34</v>
      </c>
      <c r="D536" t="s">
        <v>14</v>
      </c>
      <c r="E536" t="s">
        <v>10</v>
      </c>
      <c r="F536">
        <v>948.57</v>
      </c>
      <c r="G536">
        <v>69305</v>
      </c>
      <c r="H536">
        <v>3203.67</v>
      </c>
      <c r="I536">
        <v>83.65</v>
      </c>
      <c r="J536">
        <f>IFERROR(INDEX(Suppliar[Estimated Carbon Footprint (tons CO₂e)],MATCH('Merge operational &amp; suppliar'!A536,Suppliar[Facility ID],0)),"")</f>
        <v>173.67</v>
      </c>
      <c r="K536">
        <f>IFERROR(INDEX(Suppliar[Income Distribution (%)],MATCH('Merge operational &amp; suppliar'!A536,Suppliar[Facility ID],0)),"")</f>
        <v>67.040000000000006</v>
      </c>
    </row>
    <row r="537" spans="1:11" x14ac:dyDescent="0.3">
      <c r="A537" t="s">
        <v>155</v>
      </c>
      <c r="B537" t="s">
        <v>7</v>
      </c>
      <c r="C537" t="s">
        <v>23</v>
      </c>
      <c r="D537" t="s">
        <v>9</v>
      </c>
      <c r="E537" t="s">
        <v>24</v>
      </c>
      <c r="F537">
        <v>1391.94</v>
      </c>
      <c r="G537">
        <v>72224</v>
      </c>
      <c r="H537">
        <v>1613.32</v>
      </c>
      <c r="I537">
        <v>39.21</v>
      </c>
      <c r="J537">
        <f>IFERROR(INDEX(Suppliar[Estimated Carbon Footprint (tons CO₂e)],MATCH('Merge operational &amp; suppliar'!A537,Suppliar[Facility ID],0)),"")</f>
        <v>111.84</v>
      </c>
      <c r="K537">
        <f>IFERROR(INDEX(Suppliar[Income Distribution (%)],MATCH('Merge operational &amp; suppliar'!A537,Suppliar[Facility ID],0)),"")</f>
        <v>28.69</v>
      </c>
    </row>
    <row r="538" spans="1:11" x14ac:dyDescent="0.3">
      <c r="A538" t="s">
        <v>103</v>
      </c>
      <c r="B538" t="s">
        <v>19</v>
      </c>
      <c r="C538" t="s">
        <v>8</v>
      </c>
      <c r="D538" t="s">
        <v>9</v>
      </c>
      <c r="E538" t="s">
        <v>10</v>
      </c>
      <c r="F538">
        <v>262.76</v>
      </c>
      <c r="G538">
        <v>38869</v>
      </c>
      <c r="H538">
        <v>5109.76</v>
      </c>
      <c r="I538">
        <v>35.270000000000003</v>
      </c>
      <c r="J538">
        <f>IFERROR(INDEX(Suppliar[Estimated Carbon Footprint (tons CO₂e)],MATCH('Merge operational &amp; suppliar'!A538,Suppliar[Facility ID],0)),"")</f>
        <v>986.62</v>
      </c>
      <c r="K538">
        <f>IFERROR(INDEX(Suppliar[Income Distribution (%)],MATCH('Merge operational &amp; suppliar'!A538,Suppliar[Facility ID],0)),"")</f>
        <v>40.86</v>
      </c>
    </row>
    <row r="539" spans="1:11" x14ac:dyDescent="0.3">
      <c r="A539" t="s">
        <v>53</v>
      </c>
      <c r="B539" t="s">
        <v>7</v>
      </c>
      <c r="C539" t="s">
        <v>23</v>
      </c>
      <c r="D539" t="s">
        <v>28</v>
      </c>
      <c r="E539" t="s">
        <v>24</v>
      </c>
      <c r="F539">
        <v>1987.36</v>
      </c>
      <c r="G539">
        <v>90632</v>
      </c>
      <c r="H539">
        <v>5292.17</v>
      </c>
      <c r="I539">
        <v>78.45</v>
      </c>
      <c r="J539">
        <f>IFERROR(INDEX(Suppliar[Estimated Carbon Footprint (tons CO₂e)],MATCH('Merge operational &amp; suppliar'!A539,Suppliar[Facility ID],0)),"")</f>
        <v>571.88</v>
      </c>
      <c r="K539">
        <f>IFERROR(INDEX(Suppliar[Income Distribution (%)],MATCH('Merge operational &amp; suppliar'!A539,Suppliar[Facility ID],0)),"")</f>
        <v>20.93</v>
      </c>
    </row>
    <row r="540" spans="1:11" x14ac:dyDescent="0.3">
      <c r="A540" t="s">
        <v>178</v>
      </c>
      <c r="B540" t="s">
        <v>30</v>
      </c>
      <c r="C540" t="s">
        <v>34</v>
      </c>
      <c r="D540" t="s">
        <v>14</v>
      </c>
      <c r="E540" t="s">
        <v>10</v>
      </c>
      <c r="F540">
        <v>4710.57</v>
      </c>
      <c r="G540">
        <v>88188</v>
      </c>
      <c r="H540">
        <v>815.86</v>
      </c>
      <c r="I540">
        <v>57.53</v>
      </c>
      <c r="J540">
        <f>IFERROR(INDEX(Suppliar[Estimated Carbon Footprint (tons CO₂e)],MATCH('Merge operational &amp; suppliar'!A540,Suppliar[Facility ID],0)),"")</f>
        <v>557.72</v>
      </c>
      <c r="K540">
        <f>IFERROR(INDEX(Suppliar[Income Distribution (%)],MATCH('Merge operational &amp; suppliar'!A540,Suppliar[Facility ID],0)),"")</f>
        <v>37.25</v>
      </c>
    </row>
    <row r="541" spans="1:11" x14ac:dyDescent="0.3">
      <c r="A541" t="s">
        <v>135</v>
      </c>
      <c r="B541" t="s">
        <v>12</v>
      </c>
      <c r="C541" t="s">
        <v>23</v>
      </c>
      <c r="D541" t="s">
        <v>9</v>
      </c>
      <c r="E541" t="s">
        <v>15</v>
      </c>
      <c r="F541">
        <v>897.12</v>
      </c>
      <c r="G541">
        <v>39560</v>
      </c>
      <c r="H541">
        <v>8380.77</v>
      </c>
      <c r="I541">
        <v>94.01</v>
      </c>
      <c r="J541" t="str">
        <f>IFERROR(INDEX(Suppliar[Estimated Carbon Footprint (tons CO₂e)],MATCH('Merge operational &amp; suppliar'!A541,Suppliar[Facility ID],0)),"")</f>
        <v/>
      </c>
      <c r="K541" t="str">
        <f>IFERROR(INDEX(Suppliar[Income Distribution (%)],MATCH('Merge operational &amp; suppliar'!A541,Suppliar[Facility ID],0)),"")</f>
        <v/>
      </c>
    </row>
    <row r="542" spans="1:11" x14ac:dyDescent="0.3">
      <c r="A542" t="s">
        <v>52</v>
      </c>
      <c r="B542" t="s">
        <v>19</v>
      </c>
      <c r="C542" t="s">
        <v>8</v>
      </c>
      <c r="D542" t="s">
        <v>28</v>
      </c>
      <c r="E542" t="s">
        <v>10</v>
      </c>
      <c r="F542">
        <v>4466.1000000000004</v>
      </c>
      <c r="G542">
        <v>94949</v>
      </c>
      <c r="H542">
        <v>9714.76</v>
      </c>
      <c r="I542">
        <v>64.900000000000006</v>
      </c>
      <c r="J542">
        <f>IFERROR(INDEX(Suppliar[Estimated Carbon Footprint (tons CO₂e)],MATCH('Merge operational &amp; suppliar'!A542,Suppliar[Facility ID],0)),"")</f>
        <v>241.41</v>
      </c>
      <c r="K542">
        <f>IFERROR(INDEX(Suppliar[Income Distribution (%)],MATCH('Merge operational &amp; suppliar'!A542,Suppliar[Facility ID],0)),"")</f>
        <v>20.62</v>
      </c>
    </row>
    <row r="543" spans="1:11" x14ac:dyDescent="0.3">
      <c r="A543" t="s">
        <v>55</v>
      </c>
      <c r="B543" t="s">
        <v>12</v>
      </c>
      <c r="C543" t="s">
        <v>13</v>
      </c>
      <c r="D543" t="s">
        <v>28</v>
      </c>
      <c r="E543" t="s">
        <v>24</v>
      </c>
      <c r="F543">
        <v>4306.16</v>
      </c>
      <c r="G543">
        <v>38181</v>
      </c>
      <c r="H543">
        <v>691.84</v>
      </c>
      <c r="I543">
        <v>33.53</v>
      </c>
      <c r="J543">
        <f>IFERROR(INDEX(Suppliar[Estimated Carbon Footprint (tons CO₂e)],MATCH('Merge operational &amp; suppliar'!A543,Suppliar[Facility ID],0)),"")</f>
        <v>114.57</v>
      </c>
      <c r="K543">
        <f>IFERROR(INDEX(Suppliar[Income Distribution (%)],MATCH('Merge operational &amp; suppliar'!A543,Suppliar[Facility ID],0)),"")</f>
        <v>9.9600000000000009</v>
      </c>
    </row>
    <row r="544" spans="1:11" x14ac:dyDescent="0.3">
      <c r="A544" t="s">
        <v>205</v>
      </c>
      <c r="B544" t="s">
        <v>17</v>
      </c>
      <c r="C544" t="s">
        <v>13</v>
      </c>
      <c r="D544" t="s">
        <v>28</v>
      </c>
      <c r="E544" t="s">
        <v>24</v>
      </c>
      <c r="F544">
        <v>3510.58</v>
      </c>
      <c r="G544">
        <v>52594</v>
      </c>
      <c r="H544">
        <v>8715.0400000000009</v>
      </c>
      <c r="I544">
        <v>90.54</v>
      </c>
      <c r="J544">
        <f>IFERROR(INDEX(Suppliar[Estimated Carbon Footprint (tons CO₂e)],MATCH('Merge operational &amp; suppliar'!A544,Suppliar[Facility ID],0)),"")</f>
        <v>553.44000000000005</v>
      </c>
      <c r="K544">
        <f>IFERROR(INDEX(Suppliar[Income Distribution (%)],MATCH('Merge operational &amp; suppliar'!A544,Suppliar[Facility ID],0)),"")</f>
        <v>23.44</v>
      </c>
    </row>
    <row r="545" spans="1:11" x14ac:dyDescent="0.3">
      <c r="A545" t="s">
        <v>50</v>
      </c>
      <c r="B545" t="s">
        <v>19</v>
      </c>
      <c r="C545" t="s">
        <v>13</v>
      </c>
      <c r="D545" t="s">
        <v>14</v>
      </c>
      <c r="E545" t="s">
        <v>24</v>
      </c>
      <c r="F545">
        <v>1053.8399999999999</v>
      </c>
      <c r="G545">
        <v>40577</v>
      </c>
      <c r="H545">
        <v>4280.82</v>
      </c>
      <c r="I545">
        <v>79.88</v>
      </c>
      <c r="J545">
        <f>IFERROR(INDEX(Suppliar[Estimated Carbon Footprint (tons CO₂e)],MATCH('Merge operational &amp; suppliar'!A545,Suppliar[Facility ID],0)),"")</f>
        <v>932.3</v>
      </c>
      <c r="K545">
        <f>IFERROR(INDEX(Suppliar[Income Distribution (%)],MATCH('Merge operational &amp; suppliar'!A545,Suppliar[Facility ID],0)),"")</f>
        <v>10.19</v>
      </c>
    </row>
    <row r="546" spans="1:11" x14ac:dyDescent="0.3">
      <c r="A546" t="s">
        <v>185</v>
      </c>
      <c r="B546" t="s">
        <v>30</v>
      </c>
      <c r="C546" t="s">
        <v>13</v>
      </c>
      <c r="D546" t="s">
        <v>14</v>
      </c>
      <c r="E546" t="s">
        <v>15</v>
      </c>
      <c r="F546">
        <v>1084.81</v>
      </c>
      <c r="G546">
        <v>24913</v>
      </c>
      <c r="H546">
        <v>5727.27</v>
      </c>
      <c r="I546">
        <v>78.849999999999994</v>
      </c>
      <c r="J546" t="str">
        <f>IFERROR(INDEX(Suppliar[Estimated Carbon Footprint (tons CO₂e)],MATCH('Merge operational &amp; suppliar'!A546,Suppliar[Facility ID],0)),"")</f>
        <v/>
      </c>
      <c r="K546" t="str">
        <f>IFERROR(INDEX(Suppliar[Income Distribution (%)],MATCH('Merge operational &amp; suppliar'!A546,Suppliar[Facility ID],0)),"")</f>
        <v/>
      </c>
    </row>
    <row r="547" spans="1:11" x14ac:dyDescent="0.3">
      <c r="A547" t="s">
        <v>124</v>
      </c>
      <c r="B547" t="s">
        <v>12</v>
      </c>
      <c r="C547" t="s">
        <v>34</v>
      </c>
      <c r="D547" t="s">
        <v>14</v>
      </c>
      <c r="E547" t="s">
        <v>10</v>
      </c>
      <c r="F547">
        <v>618.54</v>
      </c>
      <c r="G547">
        <v>47491</v>
      </c>
      <c r="H547">
        <v>5781.05</v>
      </c>
      <c r="I547">
        <v>92.18</v>
      </c>
      <c r="J547">
        <f>IFERROR(INDEX(Suppliar[Estimated Carbon Footprint (tons CO₂e)],MATCH('Merge operational &amp; suppliar'!A547,Suppliar[Facility ID],0)),"")</f>
        <v>344.93</v>
      </c>
      <c r="K547">
        <f>IFERROR(INDEX(Suppliar[Income Distribution (%)],MATCH('Merge operational &amp; suppliar'!A547,Suppliar[Facility ID],0)),"")</f>
        <v>36.229999999999997</v>
      </c>
    </row>
    <row r="548" spans="1:11" x14ac:dyDescent="0.3">
      <c r="A548" t="s">
        <v>138</v>
      </c>
      <c r="B548" t="s">
        <v>12</v>
      </c>
      <c r="C548" t="s">
        <v>13</v>
      </c>
      <c r="D548" t="s">
        <v>28</v>
      </c>
      <c r="E548" t="s">
        <v>24</v>
      </c>
      <c r="F548">
        <v>3730.83</v>
      </c>
      <c r="G548">
        <v>57353</v>
      </c>
      <c r="H548">
        <v>2274.71</v>
      </c>
      <c r="I548">
        <v>65.34</v>
      </c>
      <c r="J548">
        <f>IFERROR(INDEX(Suppliar[Estimated Carbon Footprint (tons CO₂e)],MATCH('Merge operational &amp; suppliar'!A548,Suppliar[Facility ID],0)),"")</f>
        <v>931.73</v>
      </c>
      <c r="K548">
        <f>IFERROR(INDEX(Suppliar[Income Distribution (%)],MATCH('Merge operational &amp; suppliar'!A548,Suppliar[Facility ID],0)),"")</f>
        <v>46.27</v>
      </c>
    </row>
    <row r="549" spans="1:11" x14ac:dyDescent="0.3">
      <c r="A549" t="s">
        <v>178</v>
      </c>
      <c r="B549" t="s">
        <v>30</v>
      </c>
      <c r="C549" t="s">
        <v>8</v>
      </c>
      <c r="D549" t="s">
        <v>9</v>
      </c>
      <c r="E549" t="s">
        <v>24</v>
      </c>
      <c r="F549">
        <v>3608.02</v>
      </c>
      <c r="G549">
        <v>88188</v>
      </c>
      <c r="H549">
        <v>815.86</v>
      </c>
      <c r="I549">
        <v>57.53</v>
      </c>
      <c r="J549">
        <f>IFERROR(INDEX(Suppliar[Estimated Carbon Footprint (tons CO₂e)],MATCH('Merge operational &amp; suppliar'!A549,Suppliar[Facility ID],0)),"")</f>
        <v>557.72</v>
      </c>
      <c r="K549">
        <f>IFERROR(INDEX(Suppliar[Income Distribution (%)],MATCH('Merge operational &amp; suppliar'!A549,Suppliar[Facility ID],0)),"")</f>
        <v>37.25</v>
      </c>
    </row>
    <row r="550" spans="1:11" x14ac:dyDescent="0.3">
      <c r="A550" t="s">
        <v>129</v>
      </c>
      <c r="B550" t="s">
        <v>17</v>
      </c>
      <c r="C550" t="s">
        <v>34</v>
      </c>
      <c r="D550" t="s">
        <v>14</v>
      </c>
      <c r="E550" t="s">
        <v>24</v>
      </c>
      <c r="F550">
        <v>4037.93</v>
      </c>
      <c r="G550">
        <v>95292</v>
      </c>
      <c r="H550">
        <v>697.47</v>
      </c>
      <c r="I550">
        <v>88.35</v>
      </c>
      <c r="J550">
        <f>IFERROR(INDEX(Suppliar[Estimated Carbon Footprint (tons CO₂e)],MATCH('Merge operational &amp; suppliar'!A550,Suppliar[Facility ID],0)),"")</f>
        <v>114.57</v>
      </c>
      <c r="K550">
        <f>IFERROR(INDEX(Suppliar[Income Distribution (%)],MATCH('Merge operational &amp; suppliar'!A550,Suppliar[Facility ID],0)),"")</f>
        <v>36.04</v>
      </c>
    </row>
    <row r="551" spans="1:11" x14ac:dyDescent="0.3">
      <c r="A551" t="s">
        <v>35</v>
      </c>
      <c r="B551" t="s">
        <v>19</v>
      </c>
      <c r="C551" t="s">
        <v>8</v>
      </c>
      <c r="D551" t="s">
        <v>9</v>
      </c>
      <c r="E551" t="s">
        <v>24</v>
      </c>
      <c r="F551">
        <v>454.38</v>
      </c>
      <c r="G551">
        <v>42382</v>
      </c>
      <c r="H551">
        <v>5116.6899999999996</v>
      </c>
      <c r="I551">
        <v>80.42</v>
      </c>
      <c r="J551">
        <f>IFERROR(INDEX(Suppliar[Estimated Carbon Footprint (tons CO₂e)],MATCH('Merge operational &amp; suppliar'!A551,Suppliar[Facility ID],0)),"")</f>
        <v>626.54</v>
      </c>
      <c r="K551">
        <f>IFERROR(INDEX(Suppliar[Income Distribution (%)],MATCH('Merge operational &amp; suppliar'!A551,Suppliar[Facility ID],0)),"")</f>
        <v>70.540000000000006</v>
      </c>
    </row>
    <row r="552" spans="1:11" x14ac:dyDescent="0.3">
      <c r="A552" t="s">
        <v>118</v>
      </c>
      <c r="B552" t="s">
        <v>30</v>
      </c>
      <c r="C552" t="s">
        <v>34</v>
      </c>
      <c r="D552" t="s">
        <v>14</v>
      </c>
      <c r="E552" t="s">
        <v>24</v>
      </c>
      <c r="F552">
        <v>3824.73</v>
      </c>
      <c r="G552">
        <v>68492</v>
      </c>
      <c r="H552">
        <v>3533.88</v>
      </c>
      <c r="I552">
        <v>52.99</v>
      </c>
      <c r="J552">
        <f>IFERROR(INDEX(Suppliar[Estimated Carbon Footprint (tons CO₂e)],MATCH('Merge operational &amp; suppliar'!A552,Suppliar[Facility ID],0)),"")</f>
        <v>847.51</v>
      </c>
      <c r="K552">
        <f>IFERROR(INDEX(Suppliar[Income Distribution (%)],MATCH('Merge operational &amp; suppliar'!A552,Suppliar[Facility ID],0)),"")</f>
        <v>7.14</v>
      </c>
    </row>
    <row r="553" spans="1:11" x14ac:dyDescent="0.3">
      <c r="A553" t="s">
        <v>127</v>
      </c>
      <c r="B553" t="s">
        <v>17</v>
      </c>
      <c r="C553" t="s">
        <v>23</v>
      </c>
      <c r="D553" t="s">
        <v>9</v>
      </c>
      <c r="E553" t="s">
        <v>15</v>
      </c>
      <c r="F553">
        <v>2188.67</v>
      </c>
      <c r="G553">
        <v>17416</v>
      </c>
      <c r="H553">
        <v>812.06</v>
      </c>
      <c r="I553">
        <v>5.7</v>
      </c>
      <c r="J553">
        <f>IFERROR(INDEX(Suppliar[Estimated Carbon Footprint (tons CO₂e)],MATCH('Merge operational &amp; suppliar'!A553,Suppliar[Facility ID],0)),"")</f>
        <v>568.27</v>
      </c>
      <c r="K553">
        <f>IFERROR(INDEX(Suppliar[Income Distribution (%)],MATCH('Merge operational &amp; suppliar'!A553,Suppliar[Facility ID],0)),"")</f>
        <v>18.03</v>
      </c>
    </row>
    <row r="554" spans="1:11" x14ac:dyDescent="0.3">
      <c r="A554" t="s">
        <v>57</v>
      </c>
      <c r="B554" t="s">
        <v>19</v>
      </c>
      <c r="C554" t="s">
        <v>23</v>
      </c>
      <c r="D554" t="s">
        <v>14</v>
      </c>
      <c r="E554" t="s">
        <v>24</v>
      </c>
      <c r="F554">
        <v>1638.41</v>
      </c>
      <c r="G554">
        <v>41027</v>
      </c>
      <c r="H554">
        <v>7285.85</v>
      </c>
      <c r="I554">
        <v>59.87</v>
      </c>
      <c r="J554">
        <f>IFERROR(INDEX(Suppliar[Estimated Carbon Footprint (tons CO₂e)],MATCH('Merge operational &amp; suppliar'!A554,Suppliar[Facility ID],0)),"")</f>
        <v>763.97</v>
      </c>
      <c r="K554">
        <f>IFERROR(INDEX(Suppliar[Income Distribution (%)],MATCH('Merge operational &amp; suppliar'!A554,Suppliar[Facility ID],0)),"")</f>
        <v>34.14</v>
      </c>
    </row>
    <row r="555" spans="1:11" x14ac:dyDescent="0.3">
      <c r="A555" t="s">
        <v>41</v>
      </c>
      <c r="B555" t="s">
        <v>30</v>
      </c>
      <c r="C555" t="s">
        <v>8</v>
      </c>
      <c r="D555" t="s">
        <v>14</v>
      </c>
      <c r="E555" t="s">
        <v>15</v>
      </c>
      <c r="F555">
        <v>4638.62</v>
      </c>
      <c r="G555">
        <v>61743</v>
      </c>
      <c r="H555">
        <v>7426.75</v>
      </c>
      <c r="I555">
        <v>26.39</v>
      </c>
      <c r="J555">
        <f>IFERROR(INDEX(Suppliar[Estimated Carbon Footprint (tons CO₂e)],MATCH('Merge operational &amp; suppliar'!A555,Suppliar[Facility ID],0)),"")</f>
        <v>527.37</v>
      </c>
      <c r="K555">
        <f>IFERROR(INDEX(Suppliar[Income Distribution (%)],MATCH('Merge operational &amp; suppliar'!A555,Suppliar[Facility ID],0)),"")</f>
        <v>39.28</v>
      </c>
    </row>
    <row r="556" spans="1:11" x14ac:dyDescent="0.3">
      <c r="A556" t="s">
        <v>21</v>
      </c>
      <c r="B556" t="s">
        <v>19</v>
      </c>
      <c r="C556" t="s">
        <v>13</v>
      </c>
      <c r="D556" t="s">
        <v>14</v>
      </c>
      <c r="E556" t="s">
        <v>15</v>
      </c>
      <c r="F556">
        <v>2700.91</v>
      </c>
      <c r="G556">
        <v>61157</v>
      </c>
      <c r="H556">
        <v>7331.54</v>
      </c>
      <c r="I556">
        <v>55.52</v>
      </c>
      <c r="J556">
        <f>IFERROR(INDEX(Suppliar[Estimated Carbon Footprint (tons CO₂e)],MATCH('Merge operational &amp; suppliar'!A556,Suppliar[Facility ID],0)),"")</f>
        <v>783.77</v>
      </c>
      <c r="K556">
        <f>IFERROR(INDEX(Suppliar[Income Distribution (%)],MATCH('Merge operational &amp; suppliar'!A556,Suppliar[Facility ID],0)),"")</f>
        <v>31.59</v>
      </c>
    </row>
    <row r="557" spans="1:11" x14ac:dyDescent="0.3">
      <c r="A557" t="s">
        <v>36</v>
      </c>
      <c r="B557" t="s">
        <v>12</v>
      </c>
      <c r="C557" t="s">
        <v>8</v>
      </c>
      <c r="D557" t="s">
        <v>14</v>
      </c>
      <c r="E557" t="s">
        <v>24</v>
      </c>
      <c r="F557">
        <v>4888.18</v>
      </c>
      <c r="G557">
        <v>40226</v>
      </c>
      <c r="H557">
        <v>7868.86</v>
      </c>
      <c r="I557">
        <v>80.53</v>
      </c>
      <c r="J557">
        <f>IFERROR(INDEX(Suppliar[Estimated Carbon Footprint (tons CO₂e)],MATCH('Merge operational &amp; suppliar'!A557,Suppliar[Facility ID],0)),"")</f>
        <v>231.68</v>
      </c>
      <c r="K557">
        <f>IFERROR(INDEX(Suppliar[Income Distribution (%)],MATCH('Merge operational &amp; suppliar'!A557,Suppliar[Facility ID],0)),"")</f>
        <v>15.92</v>
      </c>
    </row>
    <row r="558" spans="1:11" x14ac:dyDescent="0.3">
      <c r="A558" t="s">
        <v>79</v>
      </c>
      <c r="B558" t="s">
        <v>17</v>
      </c>
      <c r="C558" t="s">
        <v>8</v>
      </c>
      <c r="D558" t="s">
        <v>9</v>
      </c>
      <c r="E558" t="s">
        <v>10</v>
      </c>
      <c r="F558">
        <v>1395.93</v>
      </c>
      <c r="G558">
        <v>40503</v>
      </c>
      <c r="H558">
        <v>7447.46</v>
      </c>
      <c r="I558">
        <v>98.27</v>
      </c>
      <c r="J558">
        <f>IFERROR(INDEX(Suppliar[Estimated Carbon Footprint (tons CO₂e)],MATCH('Merge operational &amp; suppliar'!A558,Suppliar[Facility ID],0)),"")</f>
        <v>209.33</v>
      </c>
      <c r="K558">
        <f>IFERROR(INDEX(Suppliar[Income Distribution (%)],MATCH('Merge operational &amp; suppliar'!A558,Suppliar[Facility ID],0)),"")</f>
        <v>39.549999999999997</v>
      </c>
    </row>
    <row r="559" spans="1:11" x14ac:dyDescent="0.3">
      <c r="A559" t="s">
        <v>186</v>
      </c>
      <c r="B559" t="s">
        <v>30</v>
      </c>
      <c r="C559" t="s">
        <v>34</v>
      </c>
      <c r="D559" t="s">
        <v>28</v>
      </c>
      <c r="E559" t="s">
        <v>24</v>
      </c>
      <c r="F559">
        <v>2978</v>
      </c>
      <c r="G559">
        <v>85868</v>
      </c>
      <c r="H559">
        <v>907.72</v>
      </c>
      <c r="I559">
        <v>90.36</v>
      </c>
      <c r="J559">
        <f>IFERROR(INDEX(Suppliar[Estimated Carbon Footprint (tons CO₂e)],MATCH('Merge operational &amp; suppliar'!A559,Suppliar[Facility ID],0)),"")</f>
        <v>960.4</v>
      </c>
      <c r="K559">
        <f>IFERROR(INDEX(Suppliar[Income Distribution (%)],MATCH('Merge operational &amp; suppliar'!A559,Suppliar[Facility ID],0)),"")</f>
        <v>10.65</v>
      </c>
    </row>
    <row r="560" spans="1:11" x14ac:dyDescent="0.3">
      <c r="A560" t="s">
        <v>183</v>
      </c>
      <c r="B560" t="s">
        <v>7</v>
      </c>
      <c r="C560" t="s">
        <v>23</v>
      </c>
      <c r="D560" t="s">
        <v>14</v>
      </c>
      <c r="E560" t="s">
        <v>10</v>
      </c>
      <c r="F560">
        <v>2047.72</v>
      </c>
      <c r="G560">
        <v>14009</v>
      </c>
      <c r="H560">
        <v>7528.98</v>
      </c>
      <c r="I560">
        <v>77.62</v>
      </c>
      <c r="J560">
        <f>IFERROR(INDEX(Suppliar[Estimated Carbon Footprint (tons CO₂e)],MATCH('Merge operational &amp; suppliar'!A560,Suppliar[Facility ID],0)),"")</f>
        <v>763.97</v>
      </c>
      <c r="K560">
        <f>IFERROR(INDEX(Suppliar[Income Distribution (%)],MATCH('Merge operational &amp; suppliar'!A560,Suppliar[Facility ID],0)),"")</f>
        <v>24.91</v>
      </c>
    </row>
    <row r="561" spans="1:11" x14ac:dyDescent="0.3">
      <c r="A561" t="s">
        <v>206</v>
      </c>
      <c r="B561" t="s">
        <v>19</v>
      </c>
      <c r="C561" t="s">
        <v>23</v>
      </c>
      <c r="D561" t="s">
        <v>14</v>
      </c>
      <c r="E561" t="s">
        <v>15</v>
      </c>
      <c r="F561">
        <v>2384.92</v>
      </c>
      <c r="G561">
        <v>10250</v>
      </c>
      <c r="H561">
        <v>4717</v>
      </c>
      <c r="I561">
        <v>16.600000000000001</v>
      </c>
      <c r="J561">
        <f>IFERROR(INDEX(Suppliar[Estimated Carbon Footprint (tons CO₂e)],MATCH('Merge operational &amp; suppliar'!A561,Suppliar[Facility ID],0)),"")</f>
        <v>249.3</v>
      </c>
      <c r="K561">
        <f>IFERROR(INDEX(Suppliar[Income Distribution (%)],MATCH('Merge operational &amp; suppliar'!A561,Suppliar[Facility ID],0)),"")</f>
        <v>32.97</v>
      </c>
    </row>
    <row r="562" spans="1:11" x14ac:dyDescent="0.3">
      <c r="A562" t="s">
        <v>80</v>
      </c>
      <c r="B562" t="s">
        <v>17</v>
      </c>
      <c r="C562" t="s">
        <v>23</v>
      </c>
      <c r="D562" t="s">
        <v>9</v>
      </c>
      <c r="E562" t="s">
        <v>10</v>
      </c>
      <c r="F562">
        <v>1560.19</v>
      </c>
      <c r="G562">
        <v>75508</v>
      </c>
      <c r="H562">
        <v>6856.22</v>
      </c>
      <c r="I562">
        <v>18.2</v>
      </c>
      <c r="J562">
        <f>IFERROR(INDEX(Suppliar[Estimated Carbon Footprint (tons CO₂e)],MATCH('Merge operational &amp; suppliar'!A562,Suppliar[Facility ID],0)),"")</f>
        <v>991.03</v>
      </c>
      <c r="K562">
        <f>IFERROR(INDEX(Suppliar[Income Distribution (%)],MATCH('Merge operational &amp; suppliar'!A562,Suppliar[Facility ID],0)),"")</f>
        <v>13.32</v>
      </c>
    </row>
    <row r="563" spans="1:11" x14ac:dyDescent="0.3">
      <c r="A563" t="s">
        <v>64</v>
      </c>
      <c r="B563" t="s">
        <v>30</v>
      </c>
      <c r="C563" t="s">
        <v>8</v>
      </c>
      <c r="D563" t="s">
        <v>14</v>
      </c>
      <c r="E563" t="s">
        <v>24</v>
      </c>
      <c r="F563">
        <v>4290.7299999999996</v>
      </c>
      <c r="G563">
        <v>52836</v>
      </c>
      <c r="H563">
        <v>9330.2999999999993</v>
      </c>
      <c r="I563">
        <v>87.27</v>
      </c>
      <c r="J563" t="str">
        <f>IFERROR(INDEX(Suppliar[Estimated Carbon Footprint (tons CO₂e)],MATCH('Merge operational &amp; suppliar'!A563,Suppliar[Facility ID],0)),"")</f>
        <v/>
      </c>
      <c r="K563" t="str">
        <f>IFERROR(INDEX(Suppliar[Income Distribution (%)],MATCH('Merge operational &amp; suppliar'!A563,Suppliar[Facility ID],0)),"")</f>
        <v/>
      </c>
    </row>
    <row r="564" spans="1:11" x14ac:dyDescent="0.3">
      <c r="A564" t="s">
        <v>192</v>
      </c>
      <c r="B564" t="s">
        <v>19</v>
      </c>
      <c r="C564" t="s">
        <v>8</v>
      </c>
      <c r="D564" t="s">
        <v>9</v>
      </c>
      <c r="E564" t="s">
        <v>24</v>
      </c>
      <c r="F564">
        <v>2521.88</v>
      </c>
      <c r="G564">
        <v>43227</v>
      </c>
      <c r="H564">
        <v>5199.53</v>
      </c>
      <c r="I564">
        <v>44.09</v>
      </c>
      <c r="J564">
        <f>IFERROR(INDEX(Suppliar[Estimated Carbon Footprint (tons CO₂e)],MATCH('Merge operational &amp; suppliar'!A564,Suppliar[Facility ID],0)),"")</f>
        <v>724.63</v>
      </c>
      <c r="K564">
        <f>IFERROR(INDEX(Suppliar[Income Distribution (%)],MATCH('Merge operational &amp; suppliar'!A564,Suppliar[Facility ID],0)),"")</f>
        <v>14.96</v>
      </c>
    </row>
    <row r="565" spans="1:11" x14ac:dyDescent="0.3">
      <c r="A565" t="s">
        <v>177</v>
      </c>
      <c r="B565" t="s">
        <v>7</v>
      </c>
      <c r="C565" t="s">
        <v>13</v>
      </c>
      <c r="D565" t="s">
        <v>28</v>
      </c>
      <c r="E565" t="s">
        <v>15</v>
      </c>
      <c r="F565">
        <v>3941.05</v>
      </c>
      <c r="G565">
        <v>17097</v>
      </c>
      <c r="H565">
        <v>9061.7800000000007</v>
      </c>
      <c r="I565">
        <v>95.92</v>
      </c>
      <c r="J565">
        <f>IFERROR(INDEX(Suppliar[Estimated Carbon Footprint (tons CO₂e)],MATCH('Merge operational &amp; suppliar'!A565,Suppliar[Facility ID],0)),"")</f>
        <v>390.06</v>
      </c>
      <c r="K565">
        <f>IFERROR(INDEX(Suppliar[Income Distribution (%)],MATCH('Merge operational &amp; suppliar'!A565,Suppliar[Facility ID],0)),"")</f>
        <v>18.010000000000002</v>
      </c>
    </row>
    <row r="566" spans="1:11" x14ac:dyDescent="0.3">
      <c r="A566" t="s">
        <v>189</v>
      </c>
      <c r="B566" t="s">
        <v>19</v>
      </c>
      <c r="C566" t="s">
        <v>23</v>
      </c>
      <c r="D566" t="s">
        <v>14</v>
      </c>
      <c r="E566" t="s">
        <v>24</v>
      </c>
      <c r="F566">
        <v>992.87</v>
      </c>
      <c r="G566">
        <v>27681</v>
      </c>
      <c r="H566">
        <v>928.26</v>
      </c>
      <c r="I566">
        <v>44.97</v>
      </c>
      <c r="J566" t="str">
        <f>IFERROR(INDEX(Suppliar[Estimated Carbon Footprint (tons CO₂e)],MATCH('Merge operational &amp; suppliar'!A566,Suppliar[Facility ID],0)),"")</f>
        <v/>
      </c>
      <c r="K566" t="str">
        <f>IFERROR(INDEX(Suppliar[Income Distribution (%)],MATCH('Merge operational &amp; suppliar'!A566,Suppliar[Facility ID],0)),"")</f>
        <v/>
      </c>
    </row>
    <row r="567" spans="1:11" x14ac:dyDescent="0.3">
      <c r="A567" t="s">
        <v>74</v>
      </c>
      <c r="B567" t="s">
        <v>19</v>
      </c>
      <c r="C567" t="s">
        <v>34</v>
      </c>
      <c r="D567" t="s">
        <v>14</v>
      </c>
      <c r="E567" t="s">
        <v>10</v>
      </c>
      <c r="F567">
        <v>3998.2</v>
      </c>
      <c r="G567">
        <v>18175</v>
      </c>
      <c r="H567">
        <v>8349.49</v>
      </c>
      <c r="I567">
        <v>39.97</v>
      </c>
      <c r="J567">
        <f>IFERROR(INDEX(Suppliar[Estimated Carbon Footprint (tons CO₂e)],MATCH('Merge operational &amp; suppliar'!A567,Suppliar[Facility ID],0)),"")</f>
        <v>818.45</v>
      </c>
      <c r="K567">
        <f>IFERROR(INDEX(Suppliar[Income Distribution (%)],MATCH('Merge operational &amp; suppliar'!A567,Suppliar[Facility ID],0)),"")</f>
        <v>19.04</v>
      </c>
    </row>
    <row r="568" spans="1:11" x14ac:dyDescent="0.3">
      <c r="A568" t="s">
        <v>116</v>
      </c>
      <c r="B568" t="s">
        <v>17</v>
      </c>
      <c r="C568" t="s">
        <v>13</v>
      </c>
      <c r="D568" t="s">
        <v>28</v>
      </c>
      <c r="E568" t="s">
        <v>24</v>
      </c>
      <c r="F568">
        <v>951.15</v>
      </c>
      <c r="G568">
        <v>68216</v>
      </c>
      <c r="H568">
        <v>9562.33</v>
      </c>
      <c r="I568">
        <v>63.59</v>
      </c>
      <c r="J568">
        <f>IFERROR(INDEX(Suppliar[Estimated Carbon Footprint (tons CO₂e)],MATCH('Merge operational &amp; suppliar'!A568,Suppliar[Facility ID],0)),"")</f>
        <v>830.73</v>
      </c>
      <c r="K568">
        <f>IFERROR(INDEX(Suppliar[Income Distribution (%)],MATCH('Merge operational &amp; suppliar'!A568,Suppliar[Facility ID],0)),"")</f>
        <v>46.68</v>
      </c>
    </row>
    <row r="569" spans="1:11" x14ac:dyDescent="0.3">
      <c r="A569" t="s">
        <v>207</v>
      </c>
      <c r="B569" t="s">
        <v>17</v>
      </c>
      <c r="C569" t="s">
        <v>34</v>
      </c>
      <c r="D569" t="s">
        <v>9</v>
      </c>
      <c r="E569" t="s">
        <v>10</v>
      </c>
      <c r="F569">
        <v>602.29</v>
      </c>
      <c r="G569">
        <v>99115</v>
      </c>
      <c r="H569">
        <v>827.26</v>
      </c>
      <c r="I569">
        <v>28.88</v>
      </c>
      <c r="J569">
        <f>IFERROR(INDEX(Suppliar[Estimated Carbon Footprint (tons CO₂e)],MATCH('Merge operational &amp; suppliar'!A569,Suppliar[Facility ID],0)),"")</f>
        <v>818.45</v>
      </c>
      <c r="K569">
        <f>IFERROR(INDEX(Suppliar[Income Distribution (%)],MATCH('Merge operational &amp; suppliar'!A569,Suppliar[Facility ID],0)),"")</f>
        <v>27.59</v>
      </c>
    </row>
    <row r="570" spans="1:11" x14ac:dyDescent="0.3">
      <c r="A570" t="s">
        <v>21</v>
      </c>
      <c r="B570" t="s">
        <v>19</v>
      </c>
      <c r="C570" t="s">
        <v>13</v>
      </c>
      <c r="D570" t="s">
        <v>14</v>
      </c>
      <c r="E570" t="s">
        <v>15</v>
      </c>
      <c r="F570">
        <v>4791.01</v>
      </c>
      <c r="G570">
        <v>61157</v>
      </c>
      <c r="H570">
        <v>7331.54</v>
      </c>
      <c r="I570">
        <v>55.52</v>
      </c>
      <c r="J570">
        <f>IFERROR(INDEX(Suppliar[Estimated Carbon Footprint (tons CO₂e)],MATCH('Merge operational &amp; suppliar'!A570,Suppliar[Facility ID],0)),"")</f>
        <v>783.77</v>
      </c>
      <c r="K570">
        <f>IFERROR(INDEX(Suppliar[Income Distribution (%)],MATCH('Merge operational &amp; suppliar'!A570,Suppliar[Facility ID],0)),"")</f>
        <v>31.59</v>
      </c>
    </row>
    <row r="571" spans="1:11" x14ac:dyDescent="0.3">
      <c r="A571" t="s">
        <v>70</v>
      </c>
      <c r="B571" t="s">
        <v>19</v>
      </c>
      <c r="C571" t="s">
        <v>23</v>
      </c>
      <c r="D571" t="s">
        <v>14</v>
      </c>
      <c r="E571" t="s">
        <v>15</v>
      </c>
      <c r="F571">
        <v>2408.38</v>
      </c>
      <c r="G571">
        <v>42485</v>
      </c>
      <c r="H571">
        <v>4755.75</v>
      </c>
      <c r="I571">
        <v>10.19</v>
      </c>
      <c r="J571">
        <f>IFERROR(INDEX(Suppliar[Estimated Carbon Footprint (tons CO₂e)],MATCH('Merge operational &amp; suppliar'!A571,Suppliar[Facility ID],0)),"")</f>
        <v>662.74</v>
      </c>
      <c r="K571">
        <f>IFERROR(INDEX(Suppliar[Income Distribution (%)],MATCH('Merge operational &amp; suppliar'!A571,Suppliar[Facility ID],0)),"")</f>
        <v>36.79</v>
      </c>
    </row>
    <row r="572" spans="1:11" x14ac:dyDescent="0.3">
      <c r="A572" t="s">
        <v>40</v>
      </c>
      <c r="B572" t="s">
        <v>19</v>
      </c>
      <c r="C572" t="s">
        <v>13</v>
      </c>
      <c r="D572" t="s">
        <v>9</v>
      </c>
      <c r="E572" t="s">
        <v>10</v>
      </c>
      <c r="F572">
        <v>2703.07</v>
      </c>
      <c r="G572">
        <v>96474</v>
      </c>
      <c r="H572">
        <v>7574.39</v>
      </c>
      <c r="I572">
        <v>95.54</v>
      </c>
      <c r="J572">
        <f>IFERROR(INDEX(Suppliar[Estimated Carbon Footprint (tons CO₂e)],MATCH('Merge operational &amp; suppliar'!A572,Suppliar[Facility ID],0)),"")</f>
        <v>886.71</v>
      </c>
      <c r="K572">
        <f>IFERROR(INDEX(Suppliar[Income Distribution (%)],MATCH('Merge operational &amp; suppliar'!A572,Suppliar[Facility ID],0)),"")</f>
        <v>24.84</v>
      </c>
    </row>
    <row r="573" spans="1:11" x14ac:dyDescent="0.3">
      <c r="A573" t="s">
        <v>189</v>
      </c>
      <c r="B573" t="s">
        <v>19</v>
      </c>
      <c r="C573" t="s">
        <v>34</v>
      </c>
      <c r="D573" t="s">
        <v>28</v>
      </c>
      <c r="E573" t="s">
        <v>15</v>
      </c>
      <c r="F573">
        <v>4204.6899999999996</v>
      </c>
      <c r="G573">
        <v>27681</v>
      </c>
      <c r="H573">
        <v>928.26</v>
      </c>
      <c r="I573">
        <v>44.97</v>
      </c>
      <c r="J573" t="str">
        <f>IFERROR(INDEX(Suppliar[Estimated Carbon Footprint (tons CO₂e)],MATCH('Merge operational &amp; suppliar'!A573,Suppliar[Facility ID],0)),"")</f>
        <v/>
      </c>
      <c r="K573" t="str">
        <f>IFERROR(INDEX(Suppliar[Income Distribution (%)],MATCH('Merge operational &amp; suppliar'!A573,Suppliar[Facility ID],0)),"")</f>
        <v/>
      </c>
    </row>
    <row r="574" spans="1:11" x14ac:dyDescent="0.3">
      <c r="A574" t="s">
        <v>18</v>
      </c>
      <c r="B574" t="s">
        <v>19</v>
      </c>
      <c r="C574" t="s">
        <v>34</v>
      </c>
      <c r="D574" t="s">
        <v>9</v>
      </c>
      <c r="E574" t="s">
        <v>24</v>
      </c>
      <c r="F574">
        <v>947.61</v>
      </c>
      <c r="G574">
        <v>98682</v>
      </c>
      <c r="H574">
        <v>6220.56</v>
      </c>
      <c r="I574">
        <v>70.099999999999994</v>
      </c>
      <c r="J574">
        <f>IFERROR(INDEX(Suppliar[Estimated Carbon Footprint (tons CO₂e)],MATCH('Merge operational &amp; suppliar'!A574,Suppliar[Facility ID],0)),"")</f>
        <v>724.63</v>
      </c>
      <c r="K574">
        <f>IFERROR(INDEX(Suppliar[Income Distribution (%)],MATCH('Merge operational &amp; suppliar'!A574,Suppliar[Facility ID],0)),"")</f>
        <v>27.81</v>
      </c>
    </row>
    <row r="575" spans="1:11" x14ac:dyDescent="0.3">
      <c r="A575" t="s">
        <v>157</v>
      </c>
      <c r="B575" t="s">
        <v>30</v>
      </c>
      <c r="C575" t="s">
        <v>13</v>
      </c>
      <c r="D575" t="s">
        <v>28</v>
      </c>
      <c r="E575" t="s">
        <v>10</v>
      </c>
      <c r="F575">
        <v>3632.9</v>
      </c>
      <c r="G575">
        <v>76544</v>
      </c>
      <c r="H575">
        <v>8632.77</v>
      </c>
      <c r="I575">
        <v>12.87</v>
      </c>
      <c r="J575">
        <f>IFERROR(INDEX(Suppliar[Estimated Carbon Footprint (tons CO₂e)],MATCH('Merge operational &amp; suppliar'!A575,Suppliar[Facility ID],0)),"")</f>
        <v>571.88</v>
      </c>
      <c r="K575">
        <f>IFERROR(INDEX(Suppliar[Income Distribution (%)],MATCH('Merge operational &amp; suppliar'!A575,Suppliar[Facility ID],0)),"")</f>
        <v>30.1</v>
      </c>
    </row>
    <row r="576" spans="1:11" x14ac:dyDescent="0.3">
      <c r="A576" t="s">
        <v>108</v>
      </c>
      <c r="B576" t="s">
        <v>7</v>
      </c>
      <c r="C576" t="s">
        <v>8</v>
      </c>
      <c r="D576" t="s">
        <v>9</v>
      </c>
      <c r="E576" t="s">
        <v>15</v>
      </c>
      <c r="F576">
        <v>3124.89</v>
      </c>
      <c r="G576">
        <v>22201</v>
      </c>
      <c r="H576">
        <v>2853.66</v>
      </c>
      <c r="I576">
        <v>71.94</v>
      </c>
      <c r="J576">
        <f>IFERROR(INDEX(Suppliar[Estimated Carbon Footprint (tons CO₂e)],MATCH('Merge operational &amp; suppliar'!A576,Suppliar[Facility ID],0)),"")</f>
        <v>991.03</v>
      </c>
      <c r="K576">
        <f>IFERROR(INDEX(Suppliar[Income Distribution (%)],MATCH('Merge operational &amp; suppliar'!A576,Suppliar[Facility ID],0)),"")</f>
        <v>21.4</v>
      </c>
    </row>
    <row r="577" spans="1:11" x14ac:dyDescent="0.3">
      <c r="A577" t="s">
        <v>63</v>
      </c>
      <c r="B577" t="s">
        <v>12</v>
      </c>
      <c r="C577" t="s">
        <v>34</v>
      </c>
      <c r="D577" t="s">
        <v>14</v>
      </c>
      <c r="E577" t="s">
        <v>24</v>
      </c>
      <c r="F577">
        <v>4679.05</v>
      </c>
      <c r="G577">
        <v>33688</v>
      </c>
      <c r="H577">
        <v>9495.48</v>
      </c>
      <c r="I577">
        <v>55.55</v>
      </c>
      <c r="J577">
        <f>IFERROR(INDEX(Suppliar[Estimated Carbon Footprint (tons CO₂e)],MATCH('Merge operational &amp; suppliar'!A577,Suppliar[Facility ID],0)),"")</f>
        <v>780.4</v>
      </c>
      <c r="K577">
        <f>IFERROR(INDEX(Suppliar[Income Distribution (%)],MATCH('Merge operational &amp; suppliar'!A577,Suppliar[Facility ID],0)),"")</f>
        <v>30.98</v>
      </c>
    </row>
    <row r="578" spans="1:11" x14ac:dyDescent="0.3">
      <c r="A578" t="s">
        <v>147</v>
      </c>
      <c r="B578" t="s">
        <v>17</v>
      </c>
      <c r="C578" t="s">
        <v>8</v>
      </c>
      <c r="D578" t="s">
        <v>9</v>
      </c>
      <c r="E578" t="s">
        <v>10</v>
      </c>
      <c r="F578">
        <v>4154.1000000000004</v>
      </c>
      <c r="G578">
        <v>24095</v>
      </c>
      <c r="H578">
        <v>3167.52</v>
      </c>
      <c r="I578">
        <v>31.02</v>
      </c>
      <c r="J578">
        <f>IFERROR(INDEX(Suppliar[Estimated Carbon Footprint (tons CO₂e)],MATCH('Merge operational &amp; suppliar'!A578,Suppliar[Facility ID],0)),"")</f>
        <v>608.07000000000005</v>
      </c>
      <c r="K578">
        <f>IFERROR(INDEX(Suppliar[Income Distribution (%)],MATCH('Merge operational &amp; suppliar'!A578,Suppliar[Facility ID],0)),"")</f>
        <v>13.98</v>
      </c>
    </row>
    <row r="579" spans="1:11" x14ac:dyDescent="0.3">
      <c r="A579" t="s">
        <v>118</v>
      </c>
      <c r="B579" t="s">
        <v>30</v>
      </c>
      <c r="C579" t="s">
        <v>8</v>
      </c>
      <c r="D579" t="s">
        <v>14</v>
      </c>
      <c r="E579" t="s">
        <v>10</v>
      </c>
      <c r="F579">
        <v>132.24</v>
      </c>
      <c r="G579">
        <v>68492</v>
      </c>
      <c r="H579">
        <v>3533.88</v>
      </c>
      <c r="I579">
        <v>52.99</v>
      </c>
      <c r="J579">
        <f>IFERROR(INDEX(Suppliar[Estimated Carbon Footprint (tons CO₂e)],MATCH('Merge operational &amp; suppliar'!A579,Suppliar[Facility ID],0)),"")</f>
        <v>847.51</v>
      </c>
      <c r="K579">
        <f>IFERROR(INDEX(Suppliar[Income Distribution (%)],MATCH('Merge operational &amp; suppliar'!A579,Suppliar[Facility ID],0)),"")</f>
        <v>7.14</v>
      </c>
    </row>
    <row r="580" spans="1:11" x14ac:dyDescent="0.3">
      <c r="A580" t="s">
        <v>201</v>
      </c>
      <c r="B580" t="s">
        <v>12</v>
      </c>
      <c r="C580" t="s">
        <v>34</v>
      </c>
      <c r="D580" t="s">
        <v>14</v>
      </c>
      <c r="E580" t="s">
        <v>15</v>
      </c>
      <c r="F580">
        <v>3066.65</v>
      </c>
      <c r="G580">
        <v>58439</v>
      </c>
      <c r="H580">
        <v>5817.93</v>
      </c>
      <c r="I580">
        <v>63.77</v>
      </c>
      <c r="J580">
        <f>IFERROR(INDEX(Suppliar[Estimated Carbon Footprint (tons CO₂e)],MATCH('Merge operational &amp; suppliar'!A580,Suppliar[Facility ID],0)),"")</f>
        <v>143.16999999999999</v>
      </c>
      <c r="K580">
        <f>IFERROR(INDEX(Suppliar[Income Distribution (%)],MATCH('Merge operational &amp; suppliar'!A580,Suppliar[Facility ID],0)),"")</f>
        <v>52.46</v>
      </c>
    </row>
    <row r="581" spans="1:11" x14ac:dyDescent="0.3">
      <c r="A581" t="s">
        <v>142</v>
      </c>
      <c r="B581" t="s">
        <v>17</v>
      </c>
      <c r="C581" t="s">
        <v>23</v>
      </c>
      <c r="D581" t="s">
        <v>9</v>
      </c>
      <c r="E581" t="s">
        <v>15</v>
      </c>
      <c r="F581">
        <v>1342.88</v>
      </c>
      <c r="G581">
        <v>75736</v>
      </c>
      <c r="H581">
        <v>6287.07</v>
      </c>
      <c r="I581">
        <v>63.11</v>
      </c>
      <c r="J581">
        <f>IFERROR(INDEX(Suppliar[Estimated Carbon Footprint (tons CO₂e)],MATCH('Merge operational &amp; suppliar'!A581,Suppliar[Facility ID],0)),"")</f>
        <v>851.48</v>
      </c>
      <c r="K581">
        <f>IFERROR(INDEX(Suppliar[Income Distribution (%)],MATCH('Merge operational &amp; suppliar'!A581,Suppliar[Facility ID],0)),"")</f>
        <v>25.39</v>
      </c>
    </row>
    <row r="582" spans="1:11" x14ac:dyDescent="0.3">
      <c r="A582" t="s">
        <v>65</v>
      </c>
      <c r="B582" t="s">
        <v>30</v>
      </c>
      <c r="C582" t="s">
        <v>23</v>
      </c>
      <c r="D582" t="s">
        <v>14</v>
      </c>
      <c r="E582" t="s">
        <v>24</v>
      </c>
      <c r="F582">
        <v>3919.95</v>
      </c>
      <c r="G582">
        <v>99026</v>
      </c>
      <c r="H582">
        <v>5453.2</v>
      </c>
      <c r="I582">
        <v>57.49</v>
      </c>
      <c r="J582">
        <f>IFERROR(INDEX(Suppliar[Estimated Carbon Footprint (tons CO₂e)],MATCH('Merge operational &amp; suppliar'!A582,Suppliar[Facility ID],0)),"")</f>
        <v>231.68</v>
      </c>
      <c r="K582">
        <f>IFERROR(INDEX(Suppliar[Income Distribution (%)],MATCH('Merge operational &amp; suppliar'!A582,Suppliar[Facility ID],0)),"")</f>
        <v>24.26</v>
      </c>
    </row>
    <row r="583" spans="1:11" x14ac:dyDescent="0.3">
      <c r="A583" t="s">
        <v>143</v>
      </c>
      <c r="B583" t="s">
        <v>17</v>
      </c>
      <c r="C583" t="s">
        <v>8</v>
      </c>
      <c r="D583" t="s">
        <v>14</v>
      </c>
      <c r="E583" t="s">
        <v>24</v>
      </c>
      <c r="F583">
        <v>4408.78</v>
      </c>
      <c r="G583">
        <v>94704</v>
      </c>
      <c r="H583">
        <v>6632.95</v>
      </c>
      <c r="I583">
        <v>14.76</v>
      </c>
      <c r="J583">
        <f>IFERROR(INDEX(Suppliar[Estimated Carbon Footprint (tons CO₂e)],MATCH('Merge operational &amp; suppliar'!A583,Suppliar[Facility ID],0)),"")</f>
        <v>459.56</v>
      </c>
      <c r="K583">
        <f>IFERROR(INDEX(Suppliar[Income Distribution (%)],MATCH('Merge operational &amp; suppliar'!A583,Suppliar[Facility ID],0)),"")</f>
        <v>7.54</v>
      </c>
    </row>
    <row r="584" spans="1:11" x14ac:dyDescent="0.3">
      <c r="A584" t="s">
        <v>120</v>
      </c>
      <c r="B584" t="s">
        <v>30</v>
      </c>
      <c r="C584" t="s">
        <v>34</v>
      </c>
      <c r="D584" t="s">
        <v>14</v>
      </c>
      <c r="E584" t="s">
        <v>15</v>
      </c>
      <c r="F584">
        <v>4970.6899999999996</v>
      </c>
      <c r="G584">
        <v>79495</v>
      </c>
      <c r="H584">
        <v>7157.48</v>
      </c>
      <c r="I584">
        <v>26.84</v>
      </c>
      <c r="J584">
        <f>IFERROR(INDEX(Suppliar[Estimated Carbon Footprint (tons CO₂e)],MATCH('Merge operational &amp; suppliar'!A584,Suppliar[Facility ID],0)),"")</f>
        <v>114.57</v>
      </c>
      <c r="K584">
        <f>IFERROR(INDEX(Suppliar[Income Distribution (%)],MATCH('Merge operational &amp; suppliar'!A584,Suppliar[Facility ID],0)),"")</f>
        <v>9.83</v>
      </c>
    </row>
    <row r="585" spans="1:11" x14ac:dyDescent="0.3">
      <c r="A585" t="s">
        <v>192</v>
      </c>
      <c r="B585" t="s">
        <v>19</v>
      </c>
      <c r="C585" t="s">
        <v>8</v>
      </c>
      <c r="D585" t="s">
        <v>9</v>
      </c>
      <c r="E585" t="s">
        <v>15</v>
      </c>
      <c r="F585">
        <v>1694.19</v>
      </c>
      <c r="G585">
        <v>43227</v>
      </c>
      <c r="H585">
        <v>5199.53</v>
      </c>
      <c r="I585">
        <v>44.09</v>
      </c>
      <c r="J585">
        <f>IFERROR(INDEX(Suppliar[Estimated Carbon Footprint (tons CO₂e)],MATCH('Merge operational &amp; suppliar'!A585,Suppliar[Facility ID],0)),"")</f>
        <v>724.63</v>
      </c>
      <c r="K585">
        <f>IFERROR(INDEX(Suppliar[Income Distribution (%)],MATCH('Merge operational &amp; suppliar'!A585,Suppliar[Facility ID],0)),"")</f>
        <v>14.96</v>
      </c>
    </row>
    <row r="586" spans="1:11" x14ac:dyDescent="0.3">
      <c r="A586" t="s">
        <v>103</v>
      </c>
      <c r="B586" t="s">
        <v>19</v>
      </c>
      <c r="C586" t="s">
        <v>34</v>
      </c>
      <c r="D586" t="s">
        <v>14</v>
      </c>
      <c r="E586" t="s">
        <v>15</v>
      </c>
      <c r="F586">
        <v>4225.8</v>
      </c>
      <c r="G586">
        <v>38869</v>
      </c>
      <c r="H586">
        <v>5109.76</v>
      </c>
      <c r="I586">
        <v>35.270000000000003</v>
      </c>
      <c r="J586">
        <f>IFERROR(INDEX(Suppliar[Estimated Carbon Footprint (tons CO₂e)],MATCH('Merge operational &amp; suppliar'!A586,Suppliar[Facility ID],0)),"")</f>
        <v>986.62</v>
      </c>
      <c r="K586">
        <f>IFERROR(INDEX(Suppliar[Income Distribution (%)],MATCH('Merge operational &amp; suppliar'!A586,Suppliar[Facility ID],0)),"")</f>
        <v>40.86</v>
      </c>
    </row>
    <row r="587" spans="1:11" x14ac:dyDescent="0.3">
      <c r="A587" t="s">
        <v>89</v>
      </c>
      <c r="B587" t="s">
        <v>17</v>
      </c>
      <c r="C587" t="s">
        <v>8</v>
      </c>
      <c r="D587" t="s">
        <v>14</v>
      </c>
      <c r="E587" t="s">
        <v>15</v>
      </c>
      <c r="F587">
        <v>2933.56</v>
      </c>
      <c r="G587">
        <v>36171</v>
      </c>
      <c r="H587">
        <v>6864.38</v>
      </c>
      <c r="I587">
        <v>37.03</v>
      </c>
      <c r="J587">
        <f>IFERROR(INDEX(Suppliar[Estimated Carbon Footprint (tons CO₂e)],MATCH('Merge operational &amp; suppliar'!A587,Suppliar[Facility ID],0)),"")</f>
        <v>181.54</v>
      </c>
      <c r="K587">
        <f>IFERROR(INDEX(Suppliar[Income Distribution (%)],MATCH('Merge operational &amp; suppliar'!A587,Suppliar[Facility ID],0)),"")</f>
        <v>55.69</v>
      </c>
    </row>
    <row r="588" spans="1:11" x14ac:dyDescent="0.3">
      <c r="A588" t="s">
        <v>111</v>
      </c>
      <c r="B588" t="s">
        <v>19</v>
      </c>
      <c r="C588" t="s">
        <v>23</v>
      </c>
      <c r="D588" t="s">
        <v>9</v>
      </c>
      <c r="E588" t="s">
        <v>10</v>
      </c>
      <c r="F588">
        <v>1192.33</v>
      </c>
      <c r="G588">
        <v>37309</v>
      </c>
      <c r="H588">
        <v>4508.54</v>
      </c>
      <c r="I588">
        <v>47.15</v>
      </c>
      <c r="J588">
        <f>IFERROR(INDEX(Suppliar[Estimated Carbon Footprint (tons CO₂e)],MATCH('Merge operational &amp; suppliar'!A588,Suppliar[Facility ID],0)),"")</f>
        <v>951.35</v>
      </c>
      <c r="K588">
        <f>IFERROR(INDEX(Suppliar[Income Distribution (%)],MATCH('Merge operational &amp; suppliar'!A588,Suppliar[Facility ID],0)),"")</f>
        <v>47.12</v>
      </c>
    </row>
    <row r="589" spans="1:11" x14ac:dyDescent="0.3">
      <c r="A589" t="s">
        <v>183</v>
      </c>
      <c r="B589" t="s">
        <v>7</v>
      </c>
      <c r="C589" t="s">
        <v>8</v>
      </c>
      <c r="D589" t="s">
        <v>14</v>
      </c>
      <c r="E589" t="s">
        <v>24</v>
      </c>
      <c r="F589">
        <v>2457.1</v>
      </c>
      <c r="G589">
        <v>14009</v>
      </c>
      <c r="H589">
        <v>7528.98</v>
      </c>
      <c r="I589">
        <v>77.62</v>
      </c>
      <c r="J589">
        <f>IFERROR(INDEX(Suppliar[Estimated Carbon Footprint (tons CO₂e)],MATCH('Merge operational &amp; suppliar'!A589,Suppliar[Facility ID],0)),"")</f>
        <v>763.97</v>
      </c>
      <c r="K589">
        <f>IFERROR(INDEX(Suppliar[Income Distribution (%)],MATCH('Merge operational &amp; suppliar'!A589,Suppliar[Facility ID],0)),"")</f>
        <v>24.91</v>
      </c>
    </row>
    <row r="590" spans="1:11" x14ac:dyDescent="0.3">
      <c r="A590" t="s">
        <v>116</v>
      </c>
      <c r="B590" t="s">
        <v>17</v>
      </c>
      <c r="C590" t="s">
        <v>13</v>
      </c>
      <c r="D590" t="s">
        <v>28</v>
      </c>
      <c r="E590" t="s">
        <v>24</v>
      </c>
      <c r="F590">
        <v>3801.93</v>
      </c>
      <c r="G590">
        <v>68216</v>
      </c>
      <c r="H590">
        <v>9562.33</v>
      </c>
      <c r="I590">
        <v>63.59</v>
      </c>
      <c r="J590">
        <f>IFERROR(INDEX(Suppliar[Estimated Carbon Footprint (tons CO₂e)],MATCH('Merge operational &amp; suppliar'!A590,Suppliar[Facility ID],0)),"")</f>
        <v>830.73</v>
      </c>
      <c r="K590">
        <f>IFERROR(INDEX(Suppliar[Income Distribution (%)],MATCH('Merge operational &amp; suppliar'!A590,Suppliar[Facility ID],0)),"")</f>
        <v>46.68</v>
      </c>
    </row>
    <row r="591" spans="1:11" x14ac:dyDescent="0.3">
      <c r="A591" t="s">
        <v>72</v>
      </c>
      <c r="B591" t="s">
        <v>19</v>
      </c>
      <c r="C591" t="s">
        <v>34</v>
      </c>
      <c r="D591" t="s">
        <v>28</v>
      </c>
      <c r="E591" t="s">
        <v>24</v>
      </c>
      <c r="F591">
        <v>2334.69</v>
      </c>
      <c r="G591">
        <v>29318</v>
      </c>
      <c r="H591">
        <v>9860.6200000000008</v>
      </c>
      <c r="I591">
        <v>14.58</v>
      </c>
      <c r="J591">
        <f>IFERROR(INDEX(Suppliar[Estimated Carbon Footprint (tons CO₂e)],MATCH('Merge operational &amp; suppliar'!A591,Suppliar[Facility ID],0)),"")</f>
        <v>571.66</v>
      </c>
      <c r="K591">
        <f>IFERROR(INDEX(Suppliar[Income Distribution (%)],MATCH('Merge operational &amp; suppliar'!A591,Suppliar[Facility ID],0)),"")</f>
        <v>6.78</v>
      </c>
    </row>
    <row r="592" spans="1:11" x14ac:dyDescent="0.3">
      <c r="A592" t="s">
        <v>94</v>
      </c>
      <c r="B592" t="s">
        <v>7</v>
      </c>
      <c r="C592" t="s">
        <v>13</v>
      </c>
      <c r="D592" t="s">
        <v>28</v>
      </c>
      <c r="E592" t="s">
        <v>10</v>
      </c>
      <c r="F592">
        <v>4761.95</v>
      </c>
      <c r="G592">
        <v>26338</v>
      </c>
      <c r="H592">
        <v>578.73</v>
      </c>
      <c r="I592">
        <v>72.52</v>
      </c>
      <c r="J592">
        <f>IFERROR(INDEX(Suppliar[Estimated Carbon Footprint (tons CO₂e)],MATCH('Merge operational &amp; suppliar'!A592,Suppliar[Facility ID],0)),"")</f>
        <v>991.36</v>
      </c>
      <c r="K592">
        <f>IFERROR(INDEX(Suppliar[Income Distribution (%)],MATCH('Merge operational &amp; suppliar'!A592,Suppliar[Facility ID],0)),"")</f>
        <v>35.39</v>
      </c>
    </row>
    <row r="593" spans="1:11" x14ac:dyDescent="0.3">
      <c r="A593" t="s">
        <v>135</v>
      </c>
      <c r="B593" t="s">
        <v>12</v>
      </c>
      <c r="C593" t="s">
        <v>34</v>
      </c>
      <c r="D593" t="s">
        <v>14</v>
      </c>
      <c r="E593" t="s">
        <v>24</v>
      </c>
      <c r="F593">
        <v>4516.03</v>
      </c>
      <c r="G593">
        <v>39560</v>
      </c>
      <c r="H593">
        <v>8380.77</v>
      </c>
      <c r="I593">
        <v>94.01</v>
      </c>
      <c r="J593" t="str">
        <f>IFERROR(INDEX(Suppliar[Estimated Carbon Footprint (tons CO₂e)],MATCH('Merge operational &amp; suppliar'!A593,Suppliar[Facility ID],0)),"")</f>
        <v/>
      </c>
      <c r="K593" t="str">
        <f>IFERROR(INDEX(Suppliar[Income Distribution (%)],MATCH('Merge operational &amp; suppliar'!A593,Suppliar[Facility ID],0)),"")</f>
        <v/>
      </c>
    </row>
    <row r="594" spans="1:11" x14ac:dyDescent="0.3">
      <c r="A594" t="s">
        <v>190</v>
      </c>
      <c r="B594" t="s">
        <v>17</v>
      </c>
      <c r="C594" t="s">
        <v>8</v>
      </c>
      <c r="D594" t="s">
        <v>9</v>
      </c>
      <c r="E594" t="s">
        <v>24</v>
      </c>
      <c r="F594">
        <v>4645.59</v>
      </c>
      <c r="G594">
        <v>41953</v>
      </c>
      <c r="H594">
        <v>2379.14</v>
      </c>
      <c r="I594">
        <v>65.67</v>
      </c>
      <c r="J594">
        <f>IFERROR(INDEX(Suppliar[Estimated Carbon Footprint (tons CO₂e)],MATCH('Merge operational &amp; suppliar'!A594,Suppliar[Facility ID],0)),"")</f>
        <v>571.66</v>
      </c>
      <c r="K594">
        <f>IFERROR(INDEX(Suppliar[Income Distribution (%)],MATCH('Merge operational &amp; suppliar'!A594,Suppliar[Facility ID],0)),"")</f>
        <v>14.81</v>
      </c>
    </row>
    <row r="595" spans="1:11" x14ac:dyDescent="0.3">
      <c r="A595" t="s">
        <v>63</v>
      </c>
      <c r="B595" t="s">
        <v>12</v>
      </c>
      <c r="C595" t="s">
        <v>23</v>
      </c>
      <c r="D595" t="s">
        <v>28</v>
      </c>
      <c r="E595" t="s">
        <v>24</v>
      </c>
      <c r="F595">
        <v>3245.36</v>
      </c>
      <c r="G595">
        <v>33688</v>
      </c>
      <c r="H595">
        <v>9495.48</v>
      </c>
      <c r="I595">
        <v>55.55</v>
      </c>
      <c r="J595">
        <f>IFERROR(INDEX(Suppliar[Estimated Carbon Footprint (tons CO₂e)],MATCH('Merge operational &amp; suppliar'!A595,Suppliar[Facility ID],0)),"")</f>
        <v>780.4</v>
      </c>
      <c r="K595">
        <f>IFERROR(INDEX(Suppliar[Income Distribution (%)],MATCH('Merge operational &amp; suppliar'!A595,Suppliar[Facility ID],0)),"")</f>
        <v>30.98</v>
      </c>
    </row>
    <row r="596" spans="1:11" x14ac:dyDescent="0.3">
      <c r="A596" t="s">
        <v>208</v>
      </c>
      <c r="B596" t="s">
        <v>19</v>
      </c>
      <c r="C596" t="s">
        <v>23</v>
      </c>
      <c r="D596" t="s">
        <v>14</v>
      </c>
      <c r="E596" t="s">
        <v>10</v>
      </c>
      <c r="F596">
        <v>3907.47</v>
      </c>
      <c r="G596">
        <v>40553</v>
      </c>
      <c r="H596">
        <v>4875.2299999999996</v>
      </c>
      <c r="I596">
        <v>23.33</v>
      </c>
      <c r="J596">
        <f>IFERROR(INDEX(Suppliar[Estimated Carbon Footprint (tons CO₂e)],MATCH('Merge operational &amp; suppliar'!A596,Suppliar[Facility ID],0)),"")</f>
        <v>818.45</v>
      </c>
      <c r="K596">
        <f>IFERROR(INDEX(Suppliar[Income Distribution (%)],MATCH('Merge operational &amp; suppliar'!A596,Suppliar[Facility ID],0)),"")</f>
        <v>19.420000000000002</v>
      </c>
    </row>
    <row r="597" spans="1:11" x14ac:dyDescent="0.3">
      <c r="A597" t="s">
        <v>176</v>
      </c>
      <c r="B597" t="s">
        <v>19</v>
      </c>
      <c r="C597" t="s">
        <v>13</v>
      </c>
      <c r="D597" t="s">
        <v>9</v>
      </c>
      <c r="E597" t="s">
        <v>10</v>
      </c>
      <c r="F597">
        <v>1337.85</v>
      </c>
      <c r="G597">
        <v>10907</v>
      </c>
      <c r="H597">
        <v>4748.66</v>
      </c>
      <c r="I597">
        <v>39.36</v>
      </c>
      <c r="J597">
        <f>IFERROR(INDEX(Suppliar[Estimated Carbon Footprint (tons CO₂e)],MATCH('Merge operational &amp; suppliar'!A597,Suppliar[Facility ID],0)),"")</f>
        <v>986.62</v>
      </c>
      <c r="K597">
        <f>IFERROR(INDEX(Suppliar[Income Distribution (%)],MATCH('Merge operational &amp; suppliar'!A597,Suppliar[Facility ID],0)),"")</f>
        <v>17.04</v>
      </c>
    </row>
    <row r="598" spans="1:11" x14ac:dyDescent="0.3">
      <c r="A598" t="s">
        <v>43</v>
      </c>
      <c r="B598" t="s">
        <v>17</v>
      </c>
      <c r="C598" t="s">
        <v>23</v>
      </c>
      <c r="D598" t="s">
        <v>28</v>
      </c>
      <c r="E598" t="s">
        <v>10</v>
      </c>
      <c r="F598">
        <v>3487.09</v>
      </c>
      <c r="G598">
        <v>41168</v>
      </c>
      <c r="H598">
        <v>8226.77</v>
      </c>
      <c r="I598">
        <v>42.55</v>
      </c>
      <c r="J598">
        <f>IFERROR(INDEX(Suppliar[Estimated Carbon Footprint (tons CO₂e)],MATCH('Merge operational &amp; suppliar'!A598,Suppliar[Facility ID],0)),"")</f>
        <v>724.63</v>
      </c>
      <c r="K598">
        <f>IFERROR(INDEX(Suppliar[Income Distribution (%)],MATCH('Merge operational &amp; suppliar'!A598,Suppliar[Facility ID],0)),"")</f>
        <v>12.64</v>
      </c>
    </row>
    <row r="599" spans="1:11" x14ac:dyDescent="0.3">
      <c r="A599" t="s">
        <v>209</v>
      </c>
      <c r="B599" t="s">
        <v>7</v>
      </c>
      <c r="C599" t="s">
        <v>23</v>
      </c>
      <c r="D599" t="s">
        <v>9</v>
      </c>
      <c r="E599" t="s">
        <v>15</v>
      </c>
      <c r="F599">
        <v>4959.59</v>
      </c>
      <c r="G599">
        <v>52357</v>
      </c>
      <c r="H599">
        <v>5643.16</v>
      </c>
      <c r="I599">
        <v>37.130000000000003</v>
      </c>
      <c r="J599">
        <f>IFERROR(INDEX(Suppliar[Estimated Carbon Footprint (tons CO₂e)],MATCH('Merge operational &amp; suppliar'!A599,Suppliar[Facility ID],0)),"")</f>
        <v>932.3</v>
      </c>
      <c r="K599">
        <f>IFERROR(INDEX(Suppliar[Income Distribution (%)],MATCH('Merge operational &amp; suppliar'!A599,Suppliar[Facility ID],0)),"")</f>
        <v>13.43</v>
      </c>
    </row>
    <row r="600" spans="1:11" x14ac:dyDescent="0.3">
      <c r="A600" t="s">
        <v>129</v>
      </c>
      <c r="B600" t="s">
        <v>17</v>
      </c>
      <c r="C600" t="s">
        <v>8</v>
      </c>
      <c r="D600" t="s">
        <v>28</v>
      </c>
      <c r="E600" t="s">
        <v>15</v>
      </c>
      <c r="F600">
        <v>4294.03</v>
      </c>
      <c r="G600">
        <v>95292</v>
      </c>
      <c r="H600">
        <v>697.47</v>
      </c>
      <c r="I600">
        <v>88.35</v>
      </c>
      <c r="J600">
        <f>IFERROR(INDEX(Suppliar[Estimated Carbon Footprint (tons CO₂e)],MATCH('Merge operational &amp; suppliar'!A600,Suppliar[Facility ID],0)),"")</f>
        <v>114.57</v>
      </c>
      <c r="K600">
        <f>IFERROR(INDEX(Suppliar[Income Distribution (%)],MATCH('Merge operational &amp; suppliar'!A600,Suppliar[Facility ID],0)),"")</f>
        <v>36.04</v>
      </c>
    </row>
    <row r="601" spans="1:11" x14ac:dyDescent="0.3">
      <c r="A601" t="s">
        <v>25</v>
      </c>
      <c r="B601" t="s">
        <v>19</v>
      </c>
      <c r="C601" t="s">
        <v>8</v>
      </c>
      <c r="D601" t="s">
        <v>14</v>
      </c>
      <c r="E601" t="s">
        <v>10</v>
      </c>
      <c r="F601">
        <v>648.78</v>
      </c>
      <c r="G601">
        <v>95306</v>
      </c>
      <c r="H601">
        <v>9037.76</v>
      </c>
      <c r="I601">
        <v>13.35</v>
      </c>
      <c r="J601">
        <f>IFERROR(INDEX(Suppliar[Estimated Carbon Footprint (tons CO₂e)],MATCH('Merge operational &amp; suppliar'!A601,Suppliar[Facility ID],0)),"")</f>
        <v>724.63</v>
      </c>
      <c r="K601">
        <f>IFERROR(INDEX(Suppliar[Income Distribution (%)],MATCH('Merge operational &amp; suppliar'!A601,Suppliar[Facility ID],0)),"")</f>
        <v>21.2</v>
      </c>
    </row>
    <row r="602" spans="1:11" x14ac:dyDescent="0.3">
      <c r="A602" t="s">
        <v>25</v>
      </c>
      <c r="B602" t="s">
        <v>19</v>
      </c>
      <c r="C602" t="s">
        <v>13</v>
      </c>
      <c r="D602" t="s">
        <v>14</v>
      </c>
      <c r="E602" t="s">
        <v>10</v>
      </c>
      <c r="F602">
        <v>3771.9</v>
      </c>
      <c r="G602">
        <v>95306</v>
      </c>
      <c r="H602">
        <v>9037.76</v>
      </c>
      <c r="I602">
        <v>13.35</v>
      </c>
      <c r="J602">
        <f>IFERROR(INDEX(Suppliar[Estimated Carbon Footprint (tons CO₂e)],MATCH('Merge operational &amp; suppliar'!A602,Suppliar[Facility ID],0)),"")</f>
        <v>724.63</v>
      </c>
      <c r="K602">
        <f>IFERROR(INDEX(Suppliar[Income Distribution (%)],MATCH('Merge operational &amp; suppliar'!A602,Suppliar[Facility ID],0)),"")</f>
        <v>21.2</v>
      </c>
    </row>
    <row r="603" spans="1:11" x14ac:dyDescent="0.3">
      <c r="A603" t="s">
        <v>116</v>
      </c>
      <c r="B603" t="s">
        <v>17</v>
      </c>
      <c r="C603" t="s">
        <v>34</v>
      </c>
      <c r="D603" t="s">
        <v>9</v>
      </c>
      <c r="E603" t="s">
        <v>24</v>
      </c>
      <c r="F603">
        <v>3071.55</v>
      </c>
      <c r="G603">
        <v>68216</v>
      </c>
      <c r="H603">
        <v>9562.33</v>
      </c>
      <c r="I603">
        <v>63.59</v>
      </c>
      <c r="J603">
        <f>IFERROR(INDEX(Suppliar[Estimated Carbon Footprint (tons CO₂e)],MATCH('Merge operational &amp; suppliar'!A603,Suppliar[Facility ID],0)),"")</f>
        <v>830.73</v>
      </c>
      <c r="K603">
        <f>IFERROR(INDEX(Suppliar[Income Distribution (%)],MATCH('Merge operational &amp; suppliar'!A603,Suppliar[Facility ID],0)),"")</f>
        <v>46.68</v>
      </c>
    </row>
    <row r="604" spans="1:11" x14ac:dyDescent="0.3">
      <c r="A604" t="s">
        <v>50</v>
      </c>
      <c r="B604" t="s">
        <v>19</v>
      </c>
      <c r="C604" t="s">
        <v>13</v>
      </c>
      <c r="D604" t="s">
        <v>28</v>
      </c>
      <c r="E604" t="s">
        <v>24</v>
      </c>
      <c r="F604">
        <v>2591.1799999999998</v>
      </c>
      <c r="G604">
        <v>40577</v>
      </c>
      <c r="H604">
        <v>4280.82</v>
      </c>
      <c r="I604">
        <v>79.88</v>
      </c>
      <c r="J604">
        <f>IFERROR(INDEX(Suppliar[Estimated Carbon Footprint (tons CO₂e)],MATCH('Merge operational &amp; suppliar'!A604,Suppliar[Facility ID],0)),"")</f>
        <v>932.3</v>
      </c>
      <c r="K604">
        <f>IFERROR(INDEX(Suppliar[Income Distribution (%)],MATCH('Merge operational &amp; suppliar'!A604,Suppliar[Facility ID],0)),"")</f>
        <v>10.19</v>
      </c>
    </row>
    <row r="605" spans="1:11" x14ac:dyDescent="0.3">
      <c r="A605" t="s">
        <v>36</v>
      </c>
      <c r="B605" t="s">
        <v>12</v>
      </c>
      <c r="C605" t="s">
        <v>23</v>
      </c>
      <c r="D605" t="s">
        <v>14</v>
      </c>
      <c r="E605" t="s">
        <v>15</v>
      </c>
      <c r="F605">
        <v>3280.07</v>
      </c>
      <c r="G605">
        <v>40226</v>
      </c>
      <c r="H605">
        <v>7868.86</v>
      </c>
      <c r="I605">
        <v>80.53</v>
      </c>
      <c r="J605">
        <f>IFERROR(INDEX(Suppliar[Estimated Carbon Footprint (tons CO₂e)],MATCH('Merge operational &amp; suppliar'!A605,Suppliar[Facility ID],0)),"")</f>
        <v>231.68</v>
      </c>
      <c r="K605">
        <f>IFERROR(INDEX(Suppliar[Income Distribution (%)],MATCH('Merge operational &amp; suppliar'!A605,Suppliar[Facility ID],0)),"")</f>
        <v>15.92</v>
      </c>
    </row>
    <row r="606" spans="1:11" x14ac:dyDescent="0.3">
      <c r="A606" t="s">
        <v>46</v>
      </c>
      <c r="B606" t="s">
        <v>30</v>
      </c>
      <c r="C606" t="s">
        <v>34</v>
      </c>
      <c r="D606" t="s">
        <v>28</v>
      </c>
      <c r="E606" t="s">
        <v>15</v>
      </c>
      <c r="F606">
        <v>632.11</v>
      </c>
      <c r="G606">
        <v>43490</v>
      </c>
      <c r="H606">
        <v>9300.8799999999992</v>
      </c>
      <c r="I606">
        <v>58.43</v>
      </c>
      <c r="J606">
        <f>IFERROR(INDEX(Suppliar[Estimated Carbon Footprint (tons CO₂e)],MATCH('Merge operational &amp; suppliar'!A606,Suppliar[Facility ID],0)),"")</f>
        <v>264.23</v>
      </c>
      <c r="K606">
        <f>IFERROR(INDEX(Suppliar[Income Distribution (%)],MATCH('Merge operational &amp; suppliar'!A606,Suppliar[Facility ID],0)),"")</f>
        <v>11.71</v>
      </c>
    </row>
    <row r="607" spans="1:11" x14ac:dyDescent="0.3">
      <c r="A607" t="s">
        <v>175</v>
      </c>
      <c r="B607" t="s">
        <v>7</v>
      </c>
      <c r="C607" t="s">
        <v>13</v>
      </c>
      <c r="D607" t="s">
        <v>14</v>
      </c>
      <c r="E607" t="s">
        <v>10</v>
      </c>
      <c r="F607">
        <v>2914.08</v>
      </c>
      <c r="G607">
        <v>83923</v>
      </c>
      <c r="H607">
        <v>8768.7999999999993</v>
      </c>
      <c r="I607">
        <v>65.290000000000006</v>
      </c>
      <c r="J607">
        <f>IFERROR(INDEX(Suppliar[Estimated Carbon Footprint (tons CO₂e)],MATCH('Merge operational &amp; suppliar'!A607,Suppliar[Facility ID],0)),"")</f>
        <v>579.80999999999995</v>
      </c>
      <c r="K607">
        <f>IFERROR(INDEX(Suppliar[Income Distribution (%)],MATCH('Merge operational &amp; suppliar'!A607,Suppliar[Facility ID],0)),"")</f>
        <v>34.93</v>
      </c>
    </row>
    <row r="608" spans="1:11" x14ac:dyDescent="0.3">
      <c r="A608" t="s">
        <v>63</v>
      </c>
      <c r="B608" t="s">
        <v>12</v>
      </c>
      <c r="C608" t="s">
        <v>34</v>
      </c>
      <c r="D608" t="s">
        <v>28</v>
      </c>
      <c r="E608" t="s">
        <v>10</v>
      </c>
      <c r="F608">
        <v>637.63</v>
      </c>
      <c r="G608">
        <v>33688</v>
      </c>
      <c r="H608">
        <v>9495.48</v>
      </c>
      <c r="I608">
        <v>55.55</v>
      </c>
      <c r="J608">
        <f>IFERROR(INDEX(Suppliar[Estimated Carbon Footprint (tons CO₂e)],MATCH('Merge operational &amp; suppliar'!A608,Suppliar[Facility ID],0)),"")</f>
        <v>780.4</v>
      </c>
      <c r="K608">
        <f>IFERROR(INDEX(Suppliar[Income Distribution (%)],MATCH('Merge operational &amp; suppliar'!A608,Suppliar[Facility ID],0)),"")</f>
        <v>30.98</v>
      </c>
    </row>
    <row r="609" spans="1:11" x14ac:dyDescent="0.3">
      <c r="A609" t="s">
        <v>97</v>
      </c>
      <c r="B609" t="s">
        <v>7</v>
      </c>
      <c r="C609" t="s">
        <v>23</v>
      </c>
      <c r="D609" t="s">
        <v>14</v>
      </c>
      <c r="E609" t="s">
        <v>24</v>
      </c>
      <c r="F609">
        <v>1996.46</v>
      </c>
      <c r="G609">
        <v>78624</v>
      </c>
      <c r="H609">
        <v>2373.27</v>
      </c>
      <c r="I609">
        <v>25.07</v>
      </c>
      <c r="J609" t="str">
        <f>IFERROR(INDEX(Suppliar[Estimated Carbon Footprint (tons CO₂e)],MATCH('Merge operational &amp; suppliar'!A609,Suppliar[Facility ID],0)),"")</f>
        <v/>
      </c>
      <c r="K609" t="str">
        <f>IFERROR(INDEX(Suppliar[Income Distribution (%)],MATCH('Merge operational &amp; suppliar'!A609,Suppliar[Facility ID],0)),"")</f>
        <v/>
      </c>
    </row>
    <row r="610" spans="1:11" x14ac:dyDescent="0.3">
      <c r="A610" t="s">
        <v>48</v>
      </c>
      <c r="B610" t="s">
        <v>19</v>
      </c>
      <c r="C610" t="s">
        <v>23</v>
      </c>
      <c r="D610" t="s">
        <v>14</v>
      </c>
      <c r="E610" t="s">
        <v>24</v>
      </c>
      <c r="F610">
        <v>1059.26</v>
      </c>
      <c r="G610">
        <v>11952</v>
      </c>
      <c r="H610">
        <v>4637.74</v>
      </c>
      <c r="I610">
        <v>63.78</v>
      </c>
      <c r="J610">
        <f>IFERROR(INDEX(Suppliar[Estimated Carbon Footprint (tons CO₂e)],MATCH('Merge operational &amp; suppliar'!A610,Suppliar[Facility ID],0)),"")</f>
        <v>886.71</v>
      </c>
      <c r="K610">
        <f>IFERROR(INDEX(Suppliar[Income Distribution (%)],MATCH('Merge operational &amp; suppliar'!A610,Suppliar[Facility ID],0)),"")</f>
        <v>29.53</v>
      </c>
    </row>
    <row r="611" spans="1:11" x14ac:dyDescent="0.3">
      <c r="A611" t="s">
        <v>36</v>
      </c>
      <c r="B611" t="s">
        <v>12</v>
      </c>
      <c r="C611" t="s">
        <v>13</v>
      </c>
      <c r="D611" t="s">
        <v>9</v>
      </c>
      <c r="E611" t="s">
        <v>24</v>
      </c>
      <c r="F611">
        <v>3555.94</v>
      </c>
      <c r="G611">
        <v>40226</v>
      </c>
      <c r="H611">
        <v>7868.86</v>
      </c>
      <c r="I611">
        <v>80.53</v>
      </c>
      <c r="J611">
        <f>IFERROR(INDEX(Suppliar[Estimated Carbon Footprint (tons CO₂e)],MATCH('Merge operational &amp; suppliar'!A611,Suppliar[Facility ID],0)),"")</f>
        <v>231.68</v>
      </c>
      <c r="K611">
        <f>IFERROR(INDEX(Suppliar[Income Distribution (%)],MATCH('Merge operational &amp; suppliar'!A611,Suppliar[Facility ID],0)),"")</f>
        <v>15.92</v>
      </c>
    </row>
    <row r="612" spans="1:11" x14ac:dyDescent="0.3">
      <c r="A612" t="s">
        <v>99</v>
      </c>
      <c r="B612" t="s">
        <v>19</v>
      </c>
      <c r="C612" t="s">
        <v>34</v>
      </c>
      <c r="D612" t="s">
        <v>14</v>
      </c>
      <c r="E612" t="s">
        <v>15</v>
      </c>
      <c r="F612">
        <v>3698.27</v>
      </c>
      <c r="G612">
        <v>77400</v>
      </c>
      <c r="H612">
        <v>7504.8</v>
      </c>
      <c r="I612">
        <v>68.819999999999993</v>
      </c>
      <c r="J612" t="str">
        <f>IFERROR(INDEX(Suppliar[Estimated Carbon Footprint (tons CO₂e)],MATCH('Merge operational &amp; suppliar'!A612,Suppliar[Facility ID],0)),"")</f>
        <v/>
      </c>
      <c r="K612" t="str">
        <f>IFERROR(INDEX(Suppliar[Income Distribution (%)],MATCH('Merge operational &amp; suppliar'!A612,Suppliar[Facility ID],0)),"")</f>
        <v/>
      </c>
    </row>
    <row r="613" spans="1:11" x14ac:dyDescent="0.3">
      <c r="A613" t="s">
        <v>175</v>
      </c>
      <c r="B613" t="s">
        <v>7</v>
      </c>
      <c r="C613" t="s">
        <v>34</v>
      </c>
      <c r="D613" t="s">
        <v>14</v>
      </c>
      <c r="E613" t="s">
        <v>15</v>
      </c>
      <c r="F613">
        <v>2286.9699999999998</v>
      </c>
      <c r="G613">
        <v>83923</v>
      </c>
      <c r="H613">
        <v>8768.7999999999993</v>
      </c>
      <c r="I613">
        <v>65.290000000000006</v>
      </c>
      <c r="J613">
        <f>IFERROR(INDEX(Suppliar[Estimated Carbon Footprint (tons CO₂e)],MATCH('Merge operational &amp; suppliar'!A613,Suppliar[Facility ID],0)),"")</f>
        <v>579.80999999999995</v>
      </c>
      <c r="K613">
        <f>IFERROR(INDEX(Suppliar[Income Distribution (%)],MATCH('Merge operational &amp; suppliar'!A613,Suppliar[Facility ID],0)),"")</f>
        <v>34.93</v>
      </c>
    </row>
    <row r="614" spans="1:11" x14ac:dyDescent="0.3">
      <c r="A614" t="s">
        <v>41</v>
      </c>
      <c r="B614" t="s">
        <v>30</v>
      </c>
      <c r="C614" t="s">
        <v>34</v>
      </c>
      <c r="D614" t="s">
        <v>14</v>
      </c>
      <c r="E614" t="s">
        <v>24</v>
      </c>
      <c r="F614">
        <v>3316.45</v>
      </c>
      <c r="G614">
        <v>61743</v>
      </c>
      <c r="H614">
        <v>7426.75</v>
      </c>
      <c r="I614">
        <v>26.39</v>
      </c>
      <c r="J614">
        <f>IFERROR(INDEX(Suppliar[Estimated Carbon Footprint (tons CO₂e)],MATCH('Merge operational &amp; suppliar'!A614,Suppliar[Facility ID],0)),"")</f>
        <v>527.37</v>
      </c>
      <c r="K614">
        <f>IFERROR(INDEX(Suppliar[Income Distribution (%)],MATCH('Merge operational &amp; suppliar'!A614,Suppliar[Facility ID],0)),"")</f>
        <v>39.28</v>
      </c>
    </row>
    <row r="615" spans="1:11" x14ac:dyDescent="0.3">
      <c r="A615" t="s">
        <v>95</v>
      </c>
      <c r="B615" t="s">
        <v>30</v>
      </c>
      <c r="C615" t="s">
        <v>23</v>
      </c>
      <c r="D615" t="s">
        <v>28</v>
      </c>
      <c r="E615" t="s">
        <v>24</v>
      </c>
      <c r="F615">
        <v>1242.96</v>
      </c>
      <c r="G615">
        <v>51800</v>
      </c>
      <c r="H615">
        <v>3042.95</v>
      </c>
      <c r="I615">
        <v>71.87</v>
      </c>
      <c r="J615">
        <f>IFERROR(INDEX(Suppliar[Estimated Carbon Footprint (tons CO₂e)],MATCH('Merge operational &amp; suppliar'!A615,Suppliar[Facility ID],0)),"")</f>
        <v>714.03</v>
      </c>
      <c r="K615">
        <f>IFERROR(INDEX(Suppliar[Income Distribution (%)],MATCH('Merge operational &amp; suppliar'!A615,Suppliar[Facility ID],0)),"")</f>
        <v>10.84</v>
      </c>
    </row>
    <row r="616" spans="1:11" x14ac:dyDescent="0.3">
      <c r="A616" t="s">
        <v>48</v>
      </c>
      <c r="B616" t="s">
        <v>19</v>
      </c>
      <c r="C616" t="s">
        <v>34</v>
      </c>
      <c r="D616" t="s">
        <v>28</v>
      </c>
      <c r="E616" t="s">
        <v>10</v>
      </c>
      <c r="F616">
        <v>3792.28</v>
      </c>
      <c r="G616">
        <v>11952</v>
      </c>
      <c r="H616">
        <v>4637.74</v>
      </c>
      <c r="I616">
        <v>63.78</v>
      </c>
      <c r="J616">
        <f>IFERROR(INDEX(Suppliar[Estimated Carbon Footprint (tons CO₂e)],MATCH('Merge operational &amp; suppliar'!A616,Suppliar[Facility ID],0)),"")</f>
        <v>886.71</v>
      </c>
      <c r="K616">
        <f>IFERROR(INDEX(Suppliar[Income Distribution (%)],MATCH('Merge operational &amp; suppliar'!A616,Suppliar[Facility ID],0)),"")</f>
        <v>29.53</v>
      </c>
    </row>
    <row r="617" spans="1:11" x14ac:dyDescent="0.3">
      <c r="A617" t="s">
        <v>107</v>
      </c>
      <c r="B617" t="s">
        <v>30</v>
      </c>
      <c r="C617" t="s">
        <v>34</v>
      </c>
      <c r="D617" t="s">
        <v>9</v>
      </c>
      <c r="E617" t="s">
        <v>15</v>
      </c>
      <c r="F617">
        <v>4685.3100000000004</v>
      </c>
      <c r="G617">
        <v>69305</v>
      </c>
      <c r="H617">
        <v>3203.67</v>
      </c>
      <c r="I617">
        <v>83.65</v>
      </c>
      <c r="J617">
        <f>IFERROR(INDEX(Suppliar[Estimated Carbon Footprint (tons CO₂e)],MATCH('Merge operational &amp; suppliar'!A617,Suppliar[Facility ID],0)),"")</f>
        <v>173.67</v>
      </c>
      <c r="K617">
        <f>IFERROR(INDEX(Suppliar[Income Distribution (%)],MATCH('Merge operational &amp; suppliar'!A617,Suppliar[Facility ID],0)),"")</f>
        <v>67.040000000000006</v>
      </c>
    </row>
    <row r="618" spans="1:11" x14ac:dyDescent="0.3">
      <c r="A618" t="s">
        <v>26</v>
      </c>
      <c r="B618" t="s">
        <v>17</v>
      </c>
      <c r="C618" t="s">
        <v>13</v>
      </c>
      <c r="D618" t="s">
        <v>28</v>
      </c>
      <c r="E618" t="s">
        <v>24</v>
      </c>
      <c r="F618">
        <v>2273.65</v>
      </c>
      <c r="G618">
        <v>17311</v>
      </c>
      <c r="H618">
        <v>2257.38</v>
      </c>
      <c r="I618">
        <v>91.07</v>
      </c>
      <c r="J618">
        <f>IFERROR(INDEX(Suppliar[Estimated Carbon Footprint (tons CO₂e)],MATCH('Merge operational &amp; suppliar'!A618,Suppliar[Facility ID],0)),"")</f>
        <v>341.24</v>
      </c>
      <c r="K618">
        <f>IFERROR(INDEX(Suppliar[Income Distribution (%)],MATCH('Merge operational &amp; suppliar'!A618,Suppliar[Facility ID],0)),"")</f>
        <v>80.69</v>
      </c>
    </row>
    <row r="619" spans="1:11" x14ac:dyDescent="0.3">
      <c r="A619" t="s">
        <v>144</v>
      </c>
      <c r="B619" t="s">
        <v>30</v>
      </c>
      <c r="C619" t="s">
        <v>23</v>
      </c>
      <c r="D619" t="s">
        <v>9</v>
      </c>
      <c r="E619" t="s">
        <v>24</v>
      </c>
      <c r="F619">
        <v>3021.59</v>
      </c>
      <c r="G619">
        <v>11426</v>
      </c>
      <c r="H619">
        <v>4439.5600000000004</v>
      </c>
      <c r="I619">
        <v>52.71</v>
      </c>
      <c r="J619" t="str">
        <f>IFERROR(INDEX(Suppliar[Estimated Carbon Footprint (tons CO₂e)],MATCH('Merge operational &amp; suppliar'!A619,Suppliar[Facility ID],0)),"")</f>
        <v/>
      </c>
      <c r="K619" t="str">
        <f>IFERROR(INDEX(Suppliar[Income Distribution (%)],MATCH('Merge operational &amp; suppliar'!A619,Suppliar[Facility ID],0)),"")</f>
        <v/>
      </c>
    </row>
    <row r="620" spans="1:11" x14ac:dyDescent="0.3">
      <c r="A620" t="s">
        <v>43</v>
      </c>
      <c r="B620" t="s">
        <v>17</v>
      </c>
      <c r="C620" t="s">
        <v>34</v>
      </c>
      <c r="D620" t="s">
        <v>28</v>
      </c>
      <c r="E620" t="s">
        <v>24</v>
      </c>
      <c r="F620">
        <v>1312.78</v>
      </c>
      <c r="G620">
        <v>41168</v>
      </c>
      <c r="H620">
        <v>8226.77</v>
      </c>
      <c r="I620">
        <v>42.55</v>
      </c>
      <c r="J620">
        <f>IFERROR(INDEX(Suppliar[Estimated Carbon Footprint (tons CO₂e)],MATCH('Merge operational &amp; suppliar'!A620,Suppliar[Facility ID],0)),"")</f>
        <v>724.63</v>
      </c>
      <c r="K620">
        <f>IFERROR(INDEX(Suppliar[Income Distribution (%)],MATCH('Merge operational &amp; suppliar'!A620,Suppliar[Facility ID],0)),"")</f>
        <v>12.64</v>
      </c>
    </row>
    <row r="621" spans="1:11" x14ac:dyDescent="0.3">
      <c r="A621" t="s">
        <v>21</v>
      </c>
      <c r="B621" t="s">
        <v>19</v>
      </c>
      <c r="C621" t="s">
        <v>34</v>
      </c>
      <c r="D621" t="s">
        <v>9</v>
      </c>
      <c r="E621" t="s">
        <v>15</v>
      </c>
      <c r="F621">
        <v>1829.71</v>
      </c>
      <c r="G621">
        <v>61157</v>
      </c>
      <c r="H621">
        <v>7331.54</v>
      </c>
      <c r="I621">
        <v>55.52</v>
      </c>
      <c r="J621">
        <f>IFERROR(INDEX(Suppliar[Estimated Carbon Footprint (tons CO₂e)],MATCH('Merge operational &amp; suppliar'!A621,Suppliar[Facility ID],0)),"")</f>
        <v>783.77</v>
      </c>
      <c r="K621">
        <f>IFERROR(INDEX(Suppliar[Income Distribution (%)],MATCH('Merge operational &amp; suppliar'!A621,Suppliar[Facility ID],0)),"")</f>
        <v>31.59</v>
      </c>
    </row>
    <row r="622" spans="1:11" x14ac:dyDescent="0.3">
      <c r="A622" t="s">
        <v>101</v>
      </c>
      <c r="B622" t="s">
        <v>19</v>
      </c>
      <c r="C622" t="s">
        <v>34</v>
      </c>
      <c r="D622" t="s">
        <v>9</v>
      </c>
      <c r="E622" t="s">
        <v>15</v>
      </c>
      <c r="F622">
        <v>1549.72</v>
      </c>
      <c r="G622">
        <v>39050</v>
      </c>
      <c r="H622">
        <v>5885.73</v>
      </c>
      <c r="I622">
        <v>93.04</v>
      </c>
      <c r="J622">
        <f>IFERROR(INDEX(Suppliar[Estimated Carbon Footprint (tons CO₂e)],MATCH('Merge operational &amp; suppliar'!A622,Suppliar[Facility ID],0)),"")</f>
        <v>318.55</v>
      </c>
      <c r="K622">
        <f>IFERROR(INDEX(Suppliar[Income Distribution (%)],MATCH('Merge operational &amp; suppliar'!A622,Suppliar[Facility ID],0)),"")</f>
        <v>39.81</v>
      </c>
    </row>
    <row r="623" spans="1:11" x14ac:dyDescent="0.3">
      <c r="A623" t="s">
        <v>136</v>
      </c>
      <c r="B623" t="s">
        <v>17</v>
      </c>
      <c r="C623" t="s">
        <v>8</v>
      </c>
      <c r="D623" t="s">
        <v>28</v>
      </c>
      <c r="E623" t="s">
        <v>10</v>
      </c>
      <c r="F623">
        <v>2500.38</v>
      </c>
      <c r="G623">
        <v>15128</v>
      </c>
      <c r="H623">
        <v>8847.09</v>
      </c>
      <c r="I623">
        <v>5.25</v>
      </c>
      <c r="J623">
        <f>IFERROR(INDEX(Suppliar[Estimated Carbon Footprint (tons CO₂e)],MATCH('Merge operational &amp; suppliar'!A623,Suppliar[Facility ID],0)),"")</f>
        <v>230.57</v>
      </c>
      <c r="K623">
        <f>IFERROR(INDEX(Suppliar[Income Distribution (%)],MATCH('Merge operational &amp; suppliar'!A623,Suppliar[Facility ID],0)),"")</f>
        <v>60.48</v>
      </c>
    </row>
    <row r="624" spans="1:11" x14ac:dyDescent="0.3">
      <c r="A624" t="s">
        <v>56</v>
      </c>
      <c r="B624" t="s">
        <v>19</v>
      </c>
      <c r="C624" t="s">
        <v>13</v>
      </c>
      <c r="D624" t="s">
        <v>28</v>
      </c>
      <c r="E624" t="s">
        <v>24</v>
      </c>
      <c r="F624">
        <v>1314.88</v>
      </c>
      <c r="G624">
        <v>43747</v>
      </c>
      <c r="H624">
        <v>3453.48</v>
      </c>
      <c r="I624">
        <v>98.78</v>
      </c>
      <c r="J624">
        <f>IFERROR(INDEX(Suppliar[Estimated Carbon Footprint (tons CO₂e)],MATCH('Merge operational &amp; suppliar'!A624,Suppliar[Facility ID],0)),"")</f>
        <v>459.56</v>
      </c>
      <c r="K624">
        <f>IFERROR(INDEX(Suppliar[Income Distribution (%)],MATCH('Merge operational &amp; suppliar'!A624,Suppliar[Facility ID],0)),"")</f>
        <v>23.81</v>
      </c>
    </row>
    <row r="625" spans="1:11" x14ac:dyDescent="0.3">
      <c r="A625" t="s">
        <v>141</v>
      </c>
      <c r="B625" t="s">
        <v>7</v>
      </c>
      <c r="C625" t="s">
        <v>34</v>
      </c>
      <c r="D625" t="s">
        <v>28</v>
      </c>
      <c r="E625" t="s">
        <v>24</v>
      </c>
      <c r="F625">
        <v>2425.58</v>
      </c>
      <c r="G625">
        <v>45644</v>
      </c>
      <c r="H625">
        <v>7724.73</v>
      </c>
      <c r="I625">
        <v>31</v>
      </c>
      <c r="J625">
        <f>IFERROR(INDEX(Suppliar[Estimated Carbon Footprint (tons CO₂e)],MATCH('Merge operational &amp; suppliar'!A625,Suppliar[Facility ID],0)),"")</f>
        <v>685.27</v>
      </c>
      <c r="K625">
        <f>IFERROR(INDEX(Suppliar[Income Distribution (%)],MATCH('Merge operational &amp; suppliar'!A625,Suppliar[Facility ID],0)),"")</f>
        <v>33.94</v>
      </c>
    </row>
    <row r="626" spans="1:11" x14ac:dyDescent="0.3">
      <c r="A626" t="s">
        <v>35</v>
      </c>
      <c r="B626" t="s">
        <v>19</v>
      </c>
      <c r="C626" t="s">
        <v>13</v>
      </c>
      <c r="D626" t="s">
        <v>14</v>
      </c>
      <c r="E626" t="s">
        <v>15</v>
      </c>
      <c r="F626">
        <v>3143.07</v>
      </c>
      <c r="G626">
        <v>42382</v>
      </c>
      <c r="H626">
        <v>5116.6899999999996</v>
      </c>
      <c r="I626">
        <v>80.42</v>
      </c>
      <c r="J626">
        <f>IFERROR(INDEX(Suppliar[Estimated Carbon Footprint (tons CO₂e)],MATCH('Merge operational &amp; suppliar'!A626,Suppliar[Facility ID],0)),"")</f>
        <v>626.54</v>
      </c>
      <c r="K626">
        <f>IFERROR(INDEX(Suppliar[Income Distribution (%)],MATCH('Merge operational &amp; suppliar'!A626,Suppliar[Facility ID],0)),"")</f>
        <v>70.540000000000006</v>
      </c>
    </row>
    <row r="627" spans="1:11" x14ac:dyDescent="0.3">
      <c r="A627" t="s">
        <v>210</v>
      </c>
      <c r="B627" t="s">
        <v>7</v>
      </c>
      <c r="C627" t="s">
        <v>34</v>
      </c>
      <c r="D627" t="s">
        <v>28</v>
      </c>
      <c r="E627" t="s">
        <v>15</v>
      </c>
      <c r="F627">
        <v>3426.65</v>
      </c>
      <c r="G627">
        <v>65666</v>
      </c>
      <c r="H627">
        <v>7269.98</v>
      </c>
      <c r="I627">
        <v>75.62</v>
      </c>
      <c r="J627" t="str">
        <f>IFERROR(INDEX(Suppliar[Estimated Carbon Footprint (tons CO₂e)],MATCH('Merge operational &amp; suppliar'!A627,Suppliar[Facility ID],0)),"")</f>
        <v/>
      </c>
      <c r="K627" t="str">
        <f>IFERROR(INDEX(Suppliar[Income Distribution (%)],MATCH('Merge operational &amp; suppliar'!A627,Suppliar[Facility ID],0)),"")</f>
        <v/>
      </c>
    </row>
    <row r="628" spans="1:11" x14ac:dyDescent="0.3">
      <c r="A628" t="s">
        <v>50</v>
      </c>
      <c r="B628" t="s">
        <v>19</v>
      </c>
      <c r="C628" t="s">
        <v>34</v>
      </c>
      <c r="D628" t="s">
        <v>9</v>
      </c>
      <c r="E628" t="s">
        <v>15</v>
      </c>
      <c r="F628">
        <v>3334.69</v>
      </c>
      <c r="G628">
        <v>40577</v>
      </c>
      <c r="H628">
        <v>4280.82</v>
      </c>
      <c r="I628">
        <v>79.88</v>
      </c>
      <c r="J628">
        <f>IFERROR(INDEX(Suppliar[Estimated Carbon Footprint (tons CO₂e)],MATCH('Merge operational &amp; suppliar'!A628,Suppliar[Facility ID],0)),"")</f>
        <v>932.3</v>
      </c>
      <c r="K628">
        <f>IFERROR(INDEX(Suppliar[Income Distribution (%)],MATCH('Merge operational &amp; suppliar'!A628,Suppliar[Facility ID],0)),"")</f>
        <v>10.19</v>
      </c>
    </row>
    <row r="629" spans="1:11" x14ac:dyDescent="0.3">
      <c r="A629" t="s">
        <v>103</v>
      </c>
      <c r="B629" t="s">
        <v>19</v>
      </c>
      <c r="C629" t="s">
        <v>8</v>
      </c>
      <c r="D629" t="s">
        <v>28</v>
      </c>
      <c r="E629" t="s">
        <v>24</v>
      </c>
      <c r="F629">
        <v>1554.47</v>
      </c>
      <c r="G629">
        <v>38869</v>
      </c>
      <c r="H629">
        <v>5109.76</v>
      </c>
      <c r="I629">
        <v>35.270000000000003</v>
      </c>
      <c r="J629">
        <f>IFERROR(INDEX(Suppliar[Estimated Carbon Footprint (tons CO₂e)],MATCH('Merge operational &amp; suppliar'!A629,Suppliar[Facility ID],0)),"")</f>
        <v>986.62</v>
      </c>
      <c r="K629">
        <f>IFERROR(INDEX(Suppliar[Income Distribution (%)],MATCH('Merge operational &amp; suppliar'!A629,Suppliar[Facility ID],0)),"")</f>
        <v>40.86</v>
      </c>
    </row>
    <row r="630" spans="1:11" x14ac:dyDescent="0.3">
      <c r="A630" t="s">
        <v>163</v>
      </c>
      <c r="B630" t="s">
        <v>19</v>
      </c>
      <c r="C630" t="s">
        <v>13</v>
      </c>
      <c r="D630" t="s">
        <v>9</v>
      </c>
      <c r="E630" t="s">
        <v>24</v>
      </c>
      <c r="F630">
        <v>613.22</v>
      </c>
      <c r="G630">
        <v>87482</v>
      </c>
      <c r="H630">
        <v>2231.7399999999998</v>
      </c>
      <c r="I630">
        <v>45.43</v>
      </c>
      <c r="J630">
        <f>IFERROR(INDEX(Suppliar[Estimated Carbon Footprint (tons CO₂e)],MATCH('Merge operational &amp; suppliar'!A630,Suppliar[Facility ID],0)),"")</f>
        <v>638.89</v>
      </c>
      <c r="K630">
        <f>IFERROR(INDEX(Suppliar[Income Distribution (%)],MATCH('Merge operational &amp; suppliar'!A630,Suppliar[Facility ID],0)),"")</f>
        <v>24.69</v>
      </c>
    </row>
    <row r="631" spans="1:11" x14ac:dyDescent="0.3">
      <c r="A631" t="s">
        <v>72</v>
      </c>
      <c r="B631" t="s">
        <v>19</v>
      </c>
      <c r="C631" t="s">
        <v>34</v>
      </c>
      <c r="D631" t="s">
        <v>28</v>
      </c>
      <c r="E631" t="s">
        <v>24</v>
      </c>
      <c r="F631">
        <v>2269.8200000000002</v>
      </c>
      <c r="G631">
        <v>29318</v>
      </c>
      <c r="H631">
        <v>9860.6200000000008</v>
      </c>
      <c r="I631">
        <v>14.58</v>
      </c>
      <c r="J631">
        <f>IFERROR(INDEX(Suppliar[Estimated Carbon Footprint (tons CO₂e)],MATCH('Merge operational &amp; suppliar'!A631,Suppliar[Facility ID],0)),"")</f>
        <v>571.66</v>
      </c>
      <c r="K631">
        <f>IFERROR(INDEX(Suppliar[Income Distribution (%)],MATCH('Merge operational &amp; suppliar'!A631,Suppliar[Facility ID],0)),"")</f>
        <v>6.78</v>
      </c>
    </row>
    <row r="632" spans="1:11" x14ac:dyDescent="0.3">
      <c r="A632" t="s">
        <v>155</v>
      </c>
      <c r="B632" t="s">
        <v>7</v>
      </c>
      <c r="C632" t="s">
        <v>8</v>
      </c>
      <c r="D632" t="s">
        <v>9</v>
      </c>
      <c r="E632" t="s">
        <v>24</v>
      </c>
      <c r="F632">
        <v>1258.56</v>
      </c>
      <c r="G632">
        <v>72224</v>
      </c>
      <c r="H632">
        <v>1613.32</v>
      </c>
      <c r="I632">
        <v>39.21</v>
      </c>
      <c r="J632">
        <f>IFERROR(INDEX(Suppliar[Estimated Carbon Footprint (tons CO₂e)],MATCH('Merge operational &amp; suppliar'!A632,Suppliar[Facility ID],0)),"")</f>
        <v>111.84</v>
      </c>
      <c r="K632">
        <f>IFERROR(INDEX(Suppliar[Income Distribution (%)],MATCH('Merge operational &amp; suppliar'!A632,Suppliar[Facility ID],0)),"")</f>
        <v>28.69</v>
      </c>
    </row>
    <row r="633" spans="1:11" x14ac:dyDescent="0.3">
      <c r="A633" t="s">
        <v>18</v>
      </c>
      <c r="B633" t="s">
        <v>19</v>
      </c>
      <c r="C633" t="s">
        <v>8</v>
      </c>
      <c r="D633" t="s">
        <v>14</v>
      </c>
      <c r="E633" t="s">
        <v>10</v>
      </c>
      <c r="F633">
        <v>2102.71</v>
      </c>
      <c r="G633">
        <v>98682</v>
      </c>
      <c r="H633">
        <v>6220.56</v>
      </c>
      <c r="I633">
        <v>70.099999999999994</v>
      </c>
      <c r="J633">
        <f>IFERROR(INDEX(Suppliar[Estimated Carbon Footprint (tons CO₂e)],MATCH('Merge operational &amp; suppliar'!A633,Suppliar[Facility ID],0)),"")</f>
        <v>724.63</v>
      </c>
      <c r="K633">
        <f>IFERROR(INDEX(Suppliar[Income Distribution (%)],MATCH('Merge operational &amp; suppliar'!A633,Suppliar[Facility ID],0)),"")</f>
        <v>27.81</v>
      </c>
    </row>
    <row r="634" spans="1:11" x14ac:dyDescent="0.3">
      <c r="A634" t="s">
        <v>91</v>
      </c>
      <c r="B634" t="s">
        <v>30</v>
      </c>
      <c r="C634" t="s">
        <v>13</v>
      </c>
      <c r="D634" t="s">
        <v>28</v>
      </c>
      <c r="E634" t="s">
        <v>15</v>
      </c>
      <c r="F634">
        <v>1951.99</v>
      </c>
      <c r="G634">
        <v>20207</v>
      </c>
      <c r="H634">
        <v>5369.46</v>
      </c>
      <c r="I634">
        <v>57.51</v>
      </c>
      <c r="J634">
        <f>IFERROR(INDEX(Suppliar[Estimated Carbon Footprint (tons CO₂e)],MATCH('Merge operational &amp; suppliar'!A634,Suppliar[Facility ID],0)),"")</f>
        <v>847.51</v>
      </c>
      <c r="K634">
        <f>IFERROR(INDEX(Suppliar[Income Distribution (%)],MATCH('Merge operational &amp; suppliar'!A634,Suppliar[Facility ID],0)),"")</f>
        <v>28.45</v>
      </c>
    </row>
    <row r="635" spans="1:11" x14ac:dyDescent="0.3">
      <c r="A635" t="s">
        <v>165</v>
      </c>
      <c r="B635" t="s">
        <v>7</v>
      </c>
      <c r="C635" t="s">
        <v>8</v>
      </c>
      <c r="D635" t="s">
        <v>9</v>
      </c>
      <c r="E635" t="s">
        <v>10</v>
      </c>
      <c r="F635">
        <v>942.66</v>
      </c>
      <c r="G635">
        <v>32991</v>
      </c>
      <c r="H635">
        <v>8540.14</v>
      </c>
      <c r="I635">
        <v>37.75</v>
      </c>
      <c r="J635">
        <f>IFERROR(INDEX(Suppliar[Estimated Carbon Footprint (tons CO₂e)],MATCH('Merge operational &amp; suppliar'!A635,Suppliar[Facility ID],0)),"")</f>
        <v>268.16000000000003</v>
      </c>
      <c r="K635">
        <f>IFERROR(INDEX(Suppliar[Income Distribution (%)],MATCH('Merge operational &amp; suppliar'!A635,Suppliar[Facility ID],0)),"")</f>
        <v>9.08</v>
      </c>
    </row>
    <row r="636" spans="1:11" x14ac:dyDescent="0.3">
      <c r="A636" t="s">
        <v>18</v>
      </c>
      <c r="B636" t="s">
        <v>19</v>
      </c>
      <c r="C636" t="s">
        <v>8</v>
      </c>
      <c r="D636" t="s">
        <v>14</v>
      </c>
      <c r="E636" t="s">
        <v>24</v>
      </c>
      <c r="F636">
        <v>4612.42</v>
      </c>
      <c r="G636">
        <v>98682</v>
      </c>
      <c r="H636">
        <v>6220.56</v>
      </c>
      <c r="I636">
        <v>70.099999999999994</v>
      </c>
      <c r="J636">
        <f>IFERROR(INDEX(Suppliar[Estimated Carbon Footprint (tons CO₂e)],MATCH('Merge operational &amp; suppliar'!A636,Suppliar[Facility ID],0)),"")</f>
        <v>724.63</v>
      </c>
      <c r="K636">
        <f>IFERROR(INDEX(Suppliar[Income Distribution (%)],MATCH('Merge operational &amp; suppliar'!A636,Suppliar[Facility ID],0)),"")</f>
        <v>27.81</v>
      </c>
    </row>
    <row r="637" spans="1:11" x14ac:dyDescent="0.3">
      <c r="A637" t="s">
        <v>137</v>
      </c>
      <c r="B637" t="s">
        <v>17</v>
      </c>
      <c r="C637" t="s">
        <v>23</v>
      </c>
      <c r="D637" t="s">
        <v>9</v>
      </c>
      <c r="E637" t="s">
        <v>15</v>
      </c>
      <c r="F637">
        <v>5180.6899999999996</v>
      </c>
      <c r="G637">
        <v>19265</v>
      </c>
      <c r="H637">
        <v>776.6</v>
      </c>
      <c r="I637">
        <v>39.75</v>
      </c>
      <c r="J637">
        <f>IFERROR(INDEX(Suppliar[Estimated Carbon Footprint (tons CO₂e)],MATCH('Merge operational &amp; suppliar'!A637,Suppliar[Facility ID],0)),"")</f>
        <v>289.77</v>
      </c>
      <c r="K637">
        <f>IFERROR(INDEX(Suppliar[Income Distribution (%)],MATCH('Merge operational &amp; suppliar'!A637,Suppliar[Facility ID],0)),"")</f>
        <v>37.270000000000003</v>
      </c>
    </row>
    <row r="638" spans="1:11" x14ac:dyDescent="0.3">
      <c r="A638" t="s">
        <v>111</v>
      </c>
      <c r="B638" t="s">
        <v>19</v>
      </c>
      <c r="C638" t="s">
        <v>23</v>
      </c>
      <c r="D638" t="s">
        <v>9</v>
      </c>
      <c r="E638" t="s">
        <v>10</v>
      </c>
      <c r="F638">
        <v>3307.68</v>
      </c>
      <c r="G638">
        <v>37309</v>
      </c>
      <c r="H638">
        <v>4508.54</v>
      </c>
      <c r="I638">
        <v>47.15</v>
      </c>
      <c r="J638">
        <f>IFERROR(INDEX(Suppliar[Estimated Carbon Footprint (tons CO₂e)],MATCH('Merge operational &amp; suppliar'!A638,Suppliar[Facility ID],0)),"")</f>
        <v>951.35</v>
      </c>
      <c r="K638">
        <f>IFERROR(INDEX(Suppliar[Income Distribution (%)],MATCH('Merge operational &amp; suppliar'!A638,Suppliar[Facility ID],0)),"")</f>
        <v>47.12</v>
      </c>
    </row>
    <row r="639" spans="1:11" x14ac:dyDescent="0.3">
      <c r="A639" t="s">
        <v>211</v>
      </c>
      <c r="B639" t="s">
        <v>7</v>
      </c>
      <c r="C639" t="s">
        <v>8</v>
      </c>
      <c r="D639" t="s">
        <v>28</v>
      </c>
      <c r="E639" t="s">
        <v>24</v>
      </c>
      <c r="F639">
        <v>4673.95</v>
      </c>
      <c r="G639">
        <v>27028</v>
      </c>
      <c r="H639">
        <v>4617.92</v>
      </c>
      <c r="I639">
        <v>57.62</v>
      </c>
      <c r="J639">
        <f>IFERROR(INDEX(Suppliar[Estimated Carbon Footprint (tons CO₂e)],MATCH('Merge operational &amp; suppliar'!A639,Suppliar[Facility ID],0)),"")</f>
        <v>780.4</v>
      </c>
      <c r="K639">
        <f>IFERROR(INDEX(Suppliar[Income Distribution (%)],MATCH('Merge operational &amp; suppliar'!A639,Suppliar[Facility ID],0)),"")</f>
        <v>24.87</v>
      </c>
    </row>
    <row r="640" spans="1:11" x14ac:dyDescent="0.3">
      <c r="A640" t="s">
        <v>143</v>
      </c>
      <c r="B640" t="s">
        <v>17</v>
      </c>
      <c r="C640" t="s">
        <v>8</v>
      </c>
      <c r="D640" t="s">
        <v>28</v>
      </c>
      <c r="E640" t="s">
        <v>24</v>
      </c>
      <c r="F640">
        <v>2977.11</v>
      </c>
      <c r="G640">
        <v>94704</v>
      </c>
      <c r="H640">
        <v>6632.95</v>
      </c>
      <c r="I640">
        <v>14.76</v>
      </c>
      <c r="J640">
        <f>IFERROR(INDEX(Suppliar[Estimated Carbon Footprint (tons CO₂e)],MATCH('Merge operational &amp; suppliar'!A640,Suppliar[Facility ID],0)),"")</f>
        <v>459.56</v>
      </c>
      <c r="K640">
        <f>IFERROR(INDEX(Suppliar[Income Distribution (%)],MATCH('Merge operational &amp; suppliar'!A640,Suppliar[Facility ID],0)),"")</f>
        <v>7.54</v>
      </c>
    </row>
    <row r="641" spans="1:11" x14ac:dyDescent="0.3">
      <c r="A641" t="s">
        <v>6</v>
      </c>
      <c r="B641" t="s">
        <v>7</v>
      </c>
      <c r="C641" t="s">
        <v>34</v>
      </c>
      <c r="D641" t="s">
        <v>9</v>
      </c>
      <c r="E641" t="s">
        <v>15</v>
      </c>
      <c r="F641">
        <v>2214.86</v>
      </c>
      <c r="G641">
        <v>77330</v>
      </c>
      <c r="H641">
        <v>6936.58</v>
      </c>
      <c r="I641">
        <v>82.3</v>
      </c>
      <c r="J641">
        <f>IFERROR(INDEX(Suppliar[Estimated Carbon Footprint (tons CO₂e)],MATCH('Merge operational &amp; suppliar'!A641,Suppliar[Facility ID],0)),"")</f>
        <v>264.23</v>
      </c>
      <c r="K641">
        <f>IFERROR(INDEX(Suppliar[Income Distribution (%)],MATCH('Merge operational &amp; suppliar'!A641,Suppliar[Facility ID],0)),"")</f>
        <v>28.19</v>
      </c>
    </row>
    <row r="642" spans="1:11" x14ac:dyDescent="0.3">
      <c r="A642" t="s">
        <v>127</v>
      </c>
      <c r="B642" t="s">
        <v>17</v>
      </c>
      <c r="C642" t="s">
        <v>34</v>
      </c>
      <c r="D642" t="s">
        <v>28</v>
      </c>
      <c r="E642" t="s">
        <v>15</v>
      </c>
      <c r="F642">
        <v>2253.86</v>
      </c>
      <c r="G642">
        <v>17416</v>
      </c>
      <c r="H642">
        <v>812.06</v>
      </c>
      <c r="I642">
        <v>5.7</v>
      </c>
      <c r="J642">
        <f>IFERROR(INDEX(Suppliar[Estimated Carbon Footprint (tons CO₂e)],MATCH('Merge operational &amp; suppliar'!A642,Suppliar[Facility ID],0)),"")</f>
        <v>568.27</v>
      </c>
      <c r="K642">
        <f>IFERROR(INDEX(Suppliar[Income Distribution (%)],MATCH('Merge operational &amp; suppliar'!A642,Suppliar[Facility ID],0)),"")</f>
        <v>18.03</v>
      </c>
    </row>
    <row r="643" spans="1:11" x14ac:dyDescent="0.3">
      <c r="A643" t="s">
        <v>112</v>
      </c>
      <c r="B643" t="s">
        <v>30</v>
      </c>
      <c r="C643" t="s">
        <v>34</v>
      </c>
      <c r="D643" t="s">
        <v>9</v>
      </c>
      <c r="E643" t="s">
        <v>10</v>
      </c>
      <c r="F643">
        <v>2426.7199999999998</v>
      </c>
      <c r="G643">
        <v>43294</v>
      </c>
      <c r="H643">
        <v>3802.13</v>
      </c>
      <c r="I643">
        <v>45.84</v>
      </c>
      <c r="J643">
        <f>IFERROR(INDEX(Suppliar[Estimated Carbon Footprint (tons CO₂e)],MATCH('Merge operational &amp; suppliar'!A643,Suppliar[Facility ID],0)),"")</f>
        <v>756.78</v>
      </c>
      <c r="K643">
        <f>IFERROR(INDEX(Suppliar[Income Distribution (%)],MATCH('Merge operational &amp; suppliar'!A643,Suppliar[Facility ID],0)),"")</f>
        <v>28.42</v>
      </c>
    </row>
    <row r="644" spans="1:11" x14ac:dyDescent="0.3">
      <c r="A644" t="s">
        <v>115</v>
      </c>
      <c r="B644" t="s">
        <v>19</v>
      </c>
      <c r="C644" t="s">
        <v>13</v>
      </c>
      <c r="D644" t="s">
        <v>14</v>
      </c>
      <c r="E644" t="s">
        <v>24</v>
      </c>
      <c r="F644">
        <v>2903.42</v>
      </c>
      <c r="G644">
        <v>17162</v>
      </c>
      <c r="H644">
        <v>5079.95</v>
      </c>
      <c r="I644">
        <v>19.239999999999998</v>
      </c>
      <c r="J644">
        <f>IFERROR(INDEX(Suppliar[Estimated Carbon Footprint (tons CO₂e)],MATCH('Merge operational &amp; suppliar'!A644,Suppliar[Facility ID],0)),"")</f>
        <v>769.39</v>
      </c>
      <c r="K644">
        <f>IFERROR(INDEX(Suppliar[Income Distribution (%)],MATCH('Merge operational &amp; suppliar'!A644,Suppliar[Facility ID],0)),"")</f>
        <v>35.29</v>
      </c>
    </row>
    <row r="645" spans="1:11" x14ac:dyDescent="0.3">
      <c r="A645" t="s">
        <v>202</v>
      </c>
      <c r="B645" t="s">
        <v>12</v>
      </c>
      <c r="C645" t="s">
        <v>13</v>
      </c>
      <c r="D645" t="s">
        <v>9</v>
      </c>
      <c r="E645" t="s">
        <v>10</v>
      </c>
      <c r="F645">
        <v>3101.84</v>
      </c>
      <c r="G645">
        <v>28400</v>
      </c>
      <c r="H645">
        <v>3056.67</v>
      </c>
      <c r="I645">
        <v>52.68</v>
      </c>
      <c r="J645">
        <f>IFERROR(INDEX(Suppliar[Estimated Carbon Footprint (tons CO₂e)],MATCH('Merge operational &amp; suppliar'!A645,Suppliar[Facility ID],0)),"")</f>
        <v>571.88</v>
      </c>
      <c r="K645">
        <f>IFERROR(INDEX(Suppliar[Income Distribution (%)],MATCH('Merge operational &amp; suppliar'!A645,Suppliar[Facility ID],0)),"")</f>
        <v>8.6199999999999992</v>
      </c>
    </row>
    <row r="646" spans="1:11" x14ac:dyDescent="0.3">
      <c r="A646" t="s">
        <v>139</v>
      </c>
      <c r="B646" t="s">
        <v>7</v>
      </c>
      <c r="C646" t="s">
        <v>8</v>
      </c>
      <c r="D646" t="s">
        <v>9</v>
      </c>
      <c r="E646" t="s">
        <v>10</v>
      </c>
      <c r="F646">
        <v>3483.93</v>
      </c>
      <c r="G646">
        <v>10067</v>
      </c>
      <c r="H646">
        <v>1953.33</v>
      </c>
      <c r="I646">
        <v>25.15</v>
      </c>
      <c r="J646">
        <f>IFERROR(INDEX(Suppliar[Estimated Carbon Footprint (tons CO₂e)],MATCH('Merge operational &amp; suppliar'!A646,Suppliar[Facility ID],0)),"")</f>
        <v>785.8</v>
      </c>
      <c r="K646">
        <f>IFERROR(INDEX(Suppliar[Income Distribution (%)],MATCH('Merge operational &amp; suppliar'!A646,Suppliar[Facility ID],0)),"")</f>
        <v>19.649999999999999</v>
      </c>
    </row>
    <row r="647" spans="1:11" x14ac:dyDescent="0.3">
      <c r="A647" t="s">
        <v>41</v>
      </c>
      <c r="B647" t="s">
        <v>30</v>
      </c>
      <c r="C647" t="s">
        <v>8</v>
      </c>
      <c r="D647" t="s">
        <v>28</v>
      </c>
      <c r="E647" t="s">
        <v>15</v>
      </c>
      <c r="F647">
        <v>4798.16</v>
      </c>
      <c r="G647">
        <v>61743</v>
      </c>
      <c r="H647">
        <v>7426.75</v>
      </c>
      <c r="I647">
        <v>26.39</v>
      </c>
      <c r="J647">
        <f>IFERROR(INDEX(Suppliar[Estimated Carbon Footprint (tons CO₂e)],MATCH('Merge operational &amp; suppliar'!A647,Suppliar[Facility ID],0)),"")</f>
        <v>527.37</v>
      </c>
      <c r="K647">
        <f>IFERROR(INDEX(Suppliar[Income Distribution (%)],MATCH('Merge operational &amp; suppliar'!A647,Suppliar[Facility ID],0)),"")</f>
        <v>39.28</v>
      </c>
    </row>
    <row r="648" spans="1:11" x14ac:dyDescent="0.3">
      <c r="A648" t="s">
        <v>188</v>
      </c>
      <c r="B648" t="s">
        <v>19</v>
      </c>
      <c r="C648" t="s">
        <v>13</v>
      </c>
      <c r="D648" t="s">
        <v>28</v>
      </c>
      <c r="E648" t="s">
        <v>10</v>
      </c>
      <c r="F648">
        <v>2226.6</v>
      </c>
      <c r="G648">
        <v>60513</v>
      </c>
      <c r="H648">
        <v>4578.16</v>
      </c>
      <c r="I648">
        <v>65.53</v>
      </c>
      <c r="J648" t="str">
        <f>IFERROR(INDEX(Suppliar[Estimated Carbon Footprint (tons CO₂e)],MATCH('Merge operational &amp; suppliar'!A648,Suppliar[Facility ID],0)),"")</f>
        <v/>
      </c>
      <c r="K648" t="str">
        <f>IFERROR(INDEX(Suppliar[Income Distribution (%)],MATCH('Merge operational &amp; suppliar'!A648,Suppliar[Facility ID],0)),"")</f>
        <v/>
      </c>
    </row>
    <row r="649" spans="1:11" x14ac:dyDescent="0.3">
      <c r="A649" t="s">
        <v>156</v>
      </c>
      <c r="B649" t="s">
        <v>17</v>
      </c>
      <c r="C649" t="s">
        <v>23</v>
      </c>
      <c r="D649" t="s">
        <v>9</v>
      </c>
      <c r="E649" t="s">
        <v>15</v>
      </c>
      <c r="F649">
        <v>2848.95</v>
      </c>
      <c r="G649">
        <v>81057</v>
      </c>
      <c r="H649">
        <v>675.41</v>
      </c>
      <c r="I649">
        <v>55.44</v>
      </c>
      <c r="J649">
        <f>IFERROR(INDEX(Suppliar[Estimated Carbon Footprint (tons CO₂e)],MATCH('Merge operational &amp; suppliar'!A649,Suppliar[Facility ID],0)),"")</f>
        <v>847.51</v>
      </c>
      <c r="K649">
        <f>IFERROR(INDEX(Suppliar[Income Distribution (%)],MATCH('Merge operational &amp; suppliar'!A649,Suppliar[Facility ID],0)),"")</f>
        <v>28.03</v>
      </c>
    </row>
    <row r="650" spans="1:11" x14ac:dyDescent="0.3">
      <c r="A650" t="s">
        <v>11</v>
      </c>
      <c r="B650" t="s">
        <v>12</v>
      </c>
      <c r="C650" t="s">
        <v>8</v>
      </c>
      <c r="D650" t="s">
        <v>14</v>
      </c>
      <c r="E650" t="s">
        <v>24</v>
      </c>
      <c r="F650">
        <v>751.3</v>
      </c>
      <c r="G650">
        <v>44657</v>
      </c>
      <c r="H650">
        <v>7867.98</v>
      </c>
      <c r="I650">
        <v>96.01</v>
      </c>
      <c r="J650">
        <f>IFERROR(INDEX(Suppliar[Estimated Carbon Footprint (tons CO₂e)],MATCH('Merge operational &amp; suppliar'!A650,Suppliar[Facility ID],0)),"")</f>
        <v>694.92</v>
      </c>
      <c r="K650">
        <f>IFERROR(INDEX(Suppliar[Income Distribution (%)],MATCH('Merge operational &amp; suppliar'!A650,Suppliar[Facility ID],0)),"")</f>
        <v>26.24</v>
      </c>
    </row>
    <row r="651" spans="1:11" x14ac:dyDescent="0.3">
      <c r="A651" t="s">
        <v>64</v>
      </c>
      <c r="B651" t="s">
        <v>30</v>
      </c>
      <c r="C651" t="s">
        <v>23</v>
      </c>
      <c r="D651" t="s">
        <v>28</v>
      </c>
      <c r="E651" t="s">
        <v>15</v>
      </c>
      <c r="F651">
        <v>3286.05</v>
      </c>
      <c r="G651">
        <v>52836</v>
      </c>
      <c r="H651">
        <v>9330.2999999999993</v>
      </c>
      <c r="I651">
        <v>87.27</v>
      </c>
      <c r="J651" t="str">
        <f>IFERROR(INDEX(Suppliar[Estimated Carbon Footprint (tons CO₂e)],MATCH('Merge operational &amp; suppliar'!A651,Suppliar[Facility ID],0)),"")</f>
        <v/>
      </c>
      <c r="K651" t="str">
        <f>IFERROR(INDEX(Suppliar[Income Distribution (%)],MATCH('Merge operational &amp; suppliar'!A651,Suppliar[Facility ID],0)),"")</f>
        <v/>
      </c>
    </row>
    <row r="652" spans="1:11" x14ac:dyDescent="0.3">
      <c r="A652" t="s">
        <v>100</v>
      </c>
      <c r="B652" t="s">
        <v>7</v>
      </c>
      <c r="C652" t="s">
        <v>13</v>
      </c>
      <c r="D652" t="s">
        <v>28</v>
      </c>
      <c r="E652" t="s">
        <v>15</v>
      </c>
      <c r="F652">
        <v>1018.05</v>
      </c>
      <c r="G652">
        <v>17468</v>
      </c>
      <c r="H652">
        <v>6359.73</v>
      </c>
      <c r="I652">
        <v>5.22</v>
      </c>
      <c r="J652">
        <f>IFERROR(INDEX(Suppliar[Estimated Carbon Footprint (tons CO₂e)],MATCH('Merge operational &amp; suppliar'!A652,Suppliar[Facility ID],0)),"")</f>
        <v>959.2</v>
      </c>
      <c r="K652">
        <f>IFERROR(INDEX(Suppliar[Income Distribution (%)],MATCH('Merge operational &amp; suppliar'!A652,Suppliar[Facility ID],0)),"")</f>
        <v>36.92</v>
      </c>
    </row>
    <row r="653" spans="1:11" x14ac:dyDescent="0.3">
      <c r="A653" t="s">
        <v>189</v>
      </c>
      <c r="B653" t="s">
        <v>19</v>
      </c>
      <c r="C653" t="s">
        <v>34</v>
      </c>
      <c r="D653" t="s">
        <v>14</v>
      </c>
      <c r="E653" t="s">
        <v>24</v>
      </c>
      <c r="F653">
        <v>2978.67</v>
      </c>
      <c r="G653">
        <v>27681</v>
      </c>
      <c r="H653">
        <v>928.26</v>
      </c>
      <c r="I653">
        <v>44.97</v>
      </c>
      <c r="J653" t="str">
        <f>IFERROR(INDEX(Suppliar[Estimated Carbon Footprint (tons CO₂e)],MATCH('Merge operational &amp; suppliar'!A653,Suppliar[Facility ID],0)),"")</f>
        <v/>
      </c>
      <c r="K653" t="str">
        <f>IFERROR(INDEX(Suppliar[Income Distribution (%)],MATCH('Merge operational &amp; suppliar'!A653,Suppliar[Facility ID],0)),"")</f>
        <v/>
      </c>
    </row>
    <row r="654" spans="1:11" x14ac:dyDescent="0.3">
      <c r="A654" t="s">
        <v>26</v>
      </c>
      <c r="B654" t="s">
        <v>17</v>
      </c>
      <c r="C654" t="s">
        <v>23</v>
      </c>
      <c r="D654" t="s">
        <v>28</v>
      </c>
      <c r="E654" t="s">
        <v>15</v>
      </c>
      <c r="F654">
        <v>1158.82</v>
      </c>
      <c r="G654">
        <v>17311</v>
      </c>
      <c r="H654">
        <v>2257.38</v>
      </c>
      <c r="I654">
        <v>91.07</v>
      </c>
      <c r="J654">
        <f>IFERROR(INDEX(Suppliar[Estimated Carbon Footprint (tons CO₂e)],MATCH('Merge operational &amp; suppliar'!A654,Suppliar[Facility ID],0)),"")</f>
        <v>341.24</v>
      </c>
      <c r="K654">
        <f>IFERROR(INDEX(Suppliar[Income Distribution (%)],MATCH('Merge operational &amp; suppliar'!A654,Suppliar[Facility ID],0)),"")</f>
        <v>80.69</v>
      </c>
    </row>
    <row r="655" spans="1:11" x14ac:dyDescent="0.3">
      <c r="A655" t="s">
        <v>63</v>
      </c>
      <c r="B655" t="s">
        <v>12</v>
      </c>
      <c r="C655" t="s">
        <v>8</v>
      </c>
      <c r="D655" t="s">
        <v>9</v>
      </c>
      <c r="E655" t="s">
        <v>10</v>
      </c>
      <c r="F655">
        <v>4416.21</v>
      </c>
      <c r="G655">
        <v>33688</v>
      </c>
      <c r="H655">
        <v>9495.48</v>
      </c>
      <c r="I655">
        <v>55.55</v>
      </c>
      <c r="J655">
        <f>IFERROR(INDEX(Suppliar[Estimated Carbon Footprint (tons CO₂e)],MATCH('Merge operational &amp; suppliar'!A655,Suppliar[Facility ID],0)),"")</f>
        <v>780.4</v>
      </c>
      <c r="K655">
        <f>IFERROR(INDEX(Suppliar[Income Distribution (%)],MATCH('Merge operational &amp; suppliar'!A655,Suppliar[Facility ID],0)),"")</f>
        <v>30.98</v>
      </c>
    </row>
    <row r="656" spans="1:11" x14ac:dyDescent="0.3">
      <c r="A656" t="s">
        <v>90</v>
      </c>
      <c r="B656" t="s">
        <v>19</v>
      </c>
      <c r="C656" t="s">
        <v>13</v>
      </c>
      <c r="D656" t="s">
        <v>9</v>
      </c>
      <c r="E656" t="s">
        <v>10</v>
      </c>
      <c r="F656">
        <v>1348.03</v>
      </c>
      <c r="G656">
        <v>97337</v>
      </c>
      <c r="H656">
        <v>3362.06</v>
      </c>
      <c r="I656">
        <v>55.46</v>
      </c>
      <c r="J656">
        <f>IFERROR(INDEX(Suppliar[Estimated Carbon Footprint (tons CO₂e)],MATCH('Merge operational &amp; suppliar'!A656,Suppliar[Facility ID],0)),"")</f>
        <v>459.56</v>
      </c>
      <c r="K656">
        <f>IFERROR(INDEX(Suppliar[Income Distribution (%)],MATCH('Merge operational &amp; suppliar'!A656,Suppliar[Facility ID],0)),"")</f>
        <v>10.31</v>
      </c>
    </row>
    <row r="657" spans="1:11" x14ac:dyDescent="0.3">
      <c r="A657" t="s">
        <v>33</v>
      </c>
      <c r="B657" t="s">
        <v>19</v>
      </c>
      <c r="C657" t="s">
        <v>34</v>
      </c>
      <c r="D657" t="s">
        <v>28</v>
      </c>
      <c r="E657" t="s">
        <v>10</v>
      </c>
      <c r="F657">
        <v>2825.42</v>
      </c>
      <c r="G657">
        <v>65719</v>
      </c>
      <c r="H657">
        <v>9362.41</v>
      </c>
      <c r="I657">
        <v>86.55</v>
      </c>
      <c r="J657">
        <f>IFERROR(INDEX(Suppliar[Estimated Carbon Footprint (tons CO₂e)],MATCH('Merge operational &amp; suppliar'!A657,Suppliar[Facility ID],0)),"")</f>
        <v>932.3</v>
      </c>
      <c r="K657">
        <f>IFERROR(INDEX(Suppliar[Income Distribution (%)],MATCH('Merge operational &amp; suppliar'!A657,Suppliar[Facility ID],0)),"")</f>
        <v>28.9</v>
      </c>
    </row>
    <row r="658" spans="1:11" x14ac:dyDescent="0.3">
      <c r="A658" t="s">
        <v>113</v>
      </c>
      <c r="B658" t="s">
        <v>30</v>
      </c>
      <c r="C658" t="s">
        <v>8</v>
      </c>
      <c r="D658" t="s">
        <v>9</v>
      </c>
      <c r="E658" t="s">
        <v>24</v>
      </c>
      <c r="F658">
        <v>4051.47</v>
      </c>
      <c r="G658">
        <v>90679</v>
      </c>
      <c r="H658">
        <v>7266.82</v>
      </c>
      <c r="I658">
        <v>23.3</v>
      </c>
      <c r="J658">
        <f>IFERROR(INDEX(Suppliar[Estimated Carbon Footprint (tons CO₂e)],MATCH('Merge operational &amp; suppliar'!A658,Suppliar[Facility ID],0)),"")</f>
        <v>943.59</v>
      </c>
      <c r="K658">
        <f>IFERROR(INDEX(Suppliar[Income Distribution (%)],MATCH('Merge operational &amp; suppliar'!A658,Suppliar[Facility ID],0)),"")</f>
        <v>15.81</v>
      </c>
    </row>
    <row r="659" spans="1:11" x14ac:dyDescent="0.3">
      <c r="A659" t="s">
        <v>59</v>
      </c>
      <c r="B659" t="s">
        <v>17</v>
      </c>
      <c r="C659" t="s">
        <v>34</v>
      </c>
      <c r="D659" t="s">
        <v>28</v>
      </c>
      <c r="E659" t="s">
        <v>24</v>
      </c>
      <c r="F659">
        <v>3797.37</v>
      </c>
      <c r="G659">
        <v>15553</v>
      </c>
      <c r="H659">
        <v>3909.51</v>
      </c>
      <c r="I659">
        <v>46.44</v>
      </c>
      <c r="J659" t="str">
        <f>IFERROR(INDEX(Suppliar[Estimated Carbon Footprint (tons CO₂e)],MATCH('Merge operational &amp; suppliar'!A659,Suppliar[Facility ID],0)),"")</f>
        <v/>
      </c>
      <c r="K659" t="str">
        <f>IFERROR(INDEX(Suppliar[Income Distribution (%)],MATCH('Merge operational &amp; suppliar'!A659,Suppliar[Facility ID],0)),"")</f>
        <v/>
      </c>
    </row>
    <row r="660" spans="1:11" x14ac:dyDescent="0.3">
      <c r="A660" t="s">
        <v>175</v>
      </c>
      <c r="B660" t="s">
        <v>7</v>
      </c>
      <c r="C660" t="s">
        <v>34</v>
      </c>
      <c r="D660" t="s">
        <v>28</v>
      </c>
      <c r="E660" t="s">
        <v>24</v>
      </c>
      <c r="F660">
        <v>4111.7700000000004</v>
      </c>
      <c r="G660">
        <v>83923</v>
      </c>
      <c r="H660">
        <v>8768.7999999999993</v>
      </c>
      <c r="I660">
        <v>65.290000000000006</v>
      </c>
      <c r="J660">
        <f>IFERROR(INDEX(Suppliar[Estimated Carbon Footprint (tons CO₂e)],MATCH('Merge operational &amp; suppliar'!A660,Suppliar[Facility ID],0)),"")</f>
        <v>579.80999999999995</v>
      </c>
      <c r="K660">
        <f>IFERROR(INDEX(Suppliar[Income Distribution (%)],MATCH('Merge operational &amp; suppliar'!A660,Suppliar[Facility ID],0)),"")</f>
        <v>34.93</v>
      </c>
    </row>
    <row r="661" spans="1:11" x14ac:dyDescent="0.3">
      <c r="A661" t="s">
        <v>195</v>
      </c>
      <c r="B661" t="s">
        <v>7</v>
      </c>
      <c r="C661" t="s">
        <v>34</v>
      </c>
      <c r="D661" t="s">
        <v>9</v>
      </c>
      <c r="E661" t="s">
        <v>10</v>
      </c>
      <c r="F661">
        <v>1444.13</v>
      </c>
      <c r="G661">
        <v>68278</v>
      </c>
      <c r="H661">
        <v>3272.65</v>
      </c>
      <c r="I661">
        <v>30.47</v>
      </c>
      <c r="J661">
        <f>IFERROR(INDEX(Suppliar[Estimated Carbon Footprint (tons CO₂e)],MATCH('Merge operational &amp; suppliar'!A661,Suppliar[Facility ID],0)),"")</f>
        <v>526.54999999999995</v>
      </c>
      <c r="K661">
        <f>IFERROR(INDEX(Suppliar[Income Distribution (%)],MATCH('Merge operational &amp; suppliar'!A661,Suppliar[Facility ID],0)),"")</f>
        <v>30.4</v>
      </c>
    </row>
    <row r="662" spans="1:11" x14ac:dyDescent="0.3">
      <c r="A662" t="s">
        <v>155</v>
      </c>
      <c r="B662" t="s">
        <v>7</v>
      </c>
      <c r="C662" t="s">
        <v>13</v>
      </c>
      <c r="D662" t="s">
        <v>28</v>
      </c>
      <c r="E662" t="s">
        <v>10</v>
      </c>
      <c r="F662">
        <v>3062.42</v>
      </c>
      <c r="G662">
        <v>72224</v>
      </c>
      <c r="H662">
        <v>1613.32</v>
      </c>
      <c r="I662">
        <v>39.21</v>
      </c>
      <c r="J662">
        <f>IFERROR(INDEX(Suppliar[Estimated Carbon Footprint (tons CO₂e)],MATCH('Merge operational &amp; suppliar'!A662,Suppliar[Facility ID],0)),"")</f>
        <v>111.84</v>
      </c>
      <c r="K662">
        <f>IFERROR(INDEX(Suppliar[Income Distribution (%)],MATCH('Merge operational &amp; suppliar'!A662,Suppliar[Facility ID],0)),"")</f>
        <v>28.69</v>
      </c>
    </row>
    <row r="663" spans="1:11" x14ac:dyDescent="0.3">
      <c r="A663" t="s">
        <v>76</v>
      </c>
      <c r="B663" t="s">
        <v>17</v>
      </c>
      <c r="C663" t="s">
        <v>34</v>
      </c>
      <c r="D663" t="s">
        <v>14</v>
      </c>
      <c r="E663" t="s">
        <v>10</v>
      </c>
      <c r="F663">
        <v>1226.9100000000001</v>
      </c>
      <c r="G663">
        <v>59617</v>
      </c>
      <c r="H663">
        <v>5000.95</v>
      </c>
      <c r="I663">
        <v>80.36</v>
      </c>
      <c r="J663">
        <f>IFERROR(INDEX(Suppliar[Estimated Carbon Footprint (tons CO₂e)],MATCH('Merge operational &amp; suppliar'!A663,Suppliar[Facility ID],0)),"")</f>
        <v>532.27</v>
      </c>
      <c r="K663">
        <f>IFERROR(INDEX(Suppliar[Income Distribution (%)],MATCH('Merge operational &amp; suppliar'!A663,Suppliar[Facility ID],0)),"")</f>
        <v>25.24</v>
      </c>
    </row>
    <row r="664" spans="1:11" x14ac:dyDescent="0.3">
      <c r="A664" t="s">
        <v>168</v>
      </c>
      <c r="B664" t="s">
        <v>17</v>
      </c>
      <c r="C664" t="s">
        <v>13</v>
      </c>
      <c r="D664" t="s">
        <v>14</v>
      </c>
      <c r="E664" t="s">
        <v>24</v>
      </c>
      <c r="F664">
        <v>1442.19</v>
      </c>
      <c r="G664">
        <v>41050</v>
      </c>
      <c r="H664">
        <v>6025.84</v>
      </c>
      <c r="I664">
        <v>53.53</v>
      </c>
      <c r="J664">
        <f>IFERROR(INDEX(Suppliar[Estimated Carbon Footprint (tons CO₂e)],MATCH('Merge operational &amp; suppliar'!A664,Suppliar[Facility ID],0)),"")</f>
        <v>289.77</v>
      </c>
      <c r="K664">
        <f>IFERROR(INDEX(Suppliar[Income Distribution (%)],MATCH('Merge operational &amp; suppliar'!A664,Suppliar[Facility ID],0)),"")</f>
        <v>19.260000000000002</v>
      </c>
    </row>
    <row r="665" spans="1:11" x14ac:dyDescent="0.3">
      <c r="A665" t="s">
        <v>182</v>
      </c>
      <c r="B665" t="s">
        <v>12</v>
      </c>
      <c r="C665" t="s">
        <v>13</v>
      </c>
      <c r="D665" t="s">
        <v>14</v>
      </c>
      <c r="E665" t="s">
        <v>24</v>
      </c>
      <c r="F665">
        <v>3767.87</v>
      </c>
      <c r="G665">
        <v>21081</v>
      </c>
      <c r="H665">
        <v>9001.77</v>
      </c>
      <c r="I665">
        <v>49.27</v>
      </c>
      <c r="J665">
        <f>IFERROR(INDEX(Suppliar[Estimated Carbon Footprint (tons CO₂e)],MATCH('Merge operational &amp; suppliar'!A665,Suppliar[Facility ID],0)),"")</f>
        <v>114.57</v>
      </c>
      <c r="K665">
        <f>IFERROR(INDEX(Suppliar[Income Distribution (%)],MATCH('Merge operational &amp; suppliar'!A665,Suppliar[Facility ID],0)),"")</f>
        <v>44.17</v>
      </c>
    </row>
    <row r="666" spans="1:11" x14ac:dyDescent="0.3">
      <c r="A666" t="s">
        <v>91</v>
      </c>
      <c r="B666" t="s">
        <v>30</v>
      </c>
      <c r="C666" t="s">
        <v>23</v>
      </c>
      <c r="D666" t="s">
        <v>14</v>
      </c>
      <c r="E666" t="s">
        <v>24</v>
      </c>
      <c r="F666">
        <v>1528.64</v>
      </c>
      <c r="G666">
        <v>20207</v>
      </c>
      <c r="H666">
        <v>5369.46</v>
      </c>
      <c r="I666">
        <v>57.51</v>
      </c>
      <c r="J666">
        <f>IFERROR(INDEX(Suppliar[Estimated Carbon Footprint (tons CO₂e)],MATCH('Merge operational &amp; suppliar'!A666,Suppliar[Facility ID],0)),"")</f>
        <v>847.51</v>
      </c>
      <c r="K666">
        <f>IFERROR(INDEX(Suppliar[Income Distribution (%)],MATCH('Merge operational &amp; suppliar'!A666,Suppliar[Facility ID],0)),"")</f>
        <v>28.45</v>
      </c>
    </row>
    <row r="667" spans="1:11" x14ac:dyDescent="0.3">
      <c r="A667" t="s">
        <v>85</v>
      </c>
      <c r="B667" t="s">
        <v>30</v>
      </c>
      <c r="C667" t="s">
        <v>23</v>
      </c>
      <c r="D667" t="s">
        <v>28</v>
      </c>
      <c r="E667" t="s">
        <v>15</v>
      </c>
      <c r="F667">
        <v>438.03</v>
      </c>
      <c r="G667">
        <v>45519</v>
      </c>
      <c r="H667">
        <v>7987.69</v>
      </c>
      <c r="I667">
        <v>10.86</v>
      </c>
      <c r="J667">
        <f>IFERROR(INDEX(Suppliar[Estimated Carbon Footprint (tons CO₂e)],MATCH('Merge operational &amp; suppliar'!A667,Suppliar[Facility ID],0)),"")</f>
        <v>638.89</v>
      </c>
      <c r="K667">
        <f>IFERROR(INDEX(Suppliar[Income Distribution (%)],MATCH('Merge operational &amp; suppliar'!A667,Suppliar[Facility ID],0)),"")</f>
        <v>35.04</v>
      </c>
    </row>
    <row r="668" spans="1:11" x14ac:dyDescent="0.3">
      <c r="A668" t="s">
        <v>119</v>
      </c>
      <c r="B668" t="s">
        <v>30</v>
      </c>
      <c r="C668" t="s">
        <v>13</v>
      </c>
      <c r="D668" t="s">
        <v>14</v>
      </c>
      <c r="E668" t="s">
        <v>10</v>
      </c>
      <c r="F668">
        <v>2291.7800000000002</v>
      </c>
      <c r="G668">
        <v>80488</v>
      </c>
      <c r="H668">
        <v>7629.95</v>
      </c>
      <c r="I668">
        <v>63.83</v>
      </c>
      <c r="J668">
        <f>IFERROR(INDEX(Suppliar[Estimated Carbon Footprint (tons CO₂e)],MATCH('Merge operational &amp; suppliar'!A668,Suppliar[Facility ID],0)),"")</f>
        <v>847.51</v>
      </c>
      <c r="K668">
        <f>IFERROR(INDEX(Suppliar[Income Distribution (%)],MATCH('Merge operational &amp; suppliar'!A668,Suppliar[Facility ID],0)),"")</f>
        <v>9.9</v>
      </c>
    </row>
    <row r="669" spans="1:11" x14ac:dyDescent="0.3">
      <c r="A669" t="s">
        <v>42</v>
      </c>
      <c r="B669" t="s">
        <v>30</v>
      </c>
      <c r="C669" t="s">
        <v>13</v>
      </c>
      <c r="D669" t="s">
        <v>28</v>
      </c>
      <c r="E669" t="s">
        <v>10</v>
      </c>
      <c r="F669">
        <v>4099.03</v>
      </c>
      <c r="G669">
        <v>41539</v>
      </c>
      <c r="H669">
        <v>982.8</v>
      </c>
      <c r="I669">
        <v>79.7</v>
      </c>
      <c r="J669">
        <f>IFERROR(INDEX(Suppliar[Estimated Carbon Footprint (tons CO₂e)],MATCH('Merge operational &amp; suppliar'!A669,Suppliar[Facility ID],0)),"")</f>
        <v>851.48</v>
      </c>
      <c r="K669">
        <f>IFERROR(INDEX(Suppliar[Income Distribution (%)],MATCH('Merge operational &amp; suppliar'!A669,Suppliar[Facility ID],0)),"")</f>
        <v>13.07</v>
      </c>
    </row>
    <row r="670" spans="1:11" x14ac:dyDescent="0.3">
      <c r="A670" t="s">
        <v>122</v>
      </c>
      <c r="B670" t="s">
        <v>19</v>
      </c>
      <c r="C670" t="s">
        <v>23</v>
      </c>
      <c r="D670" t="s">
        <v>9</v>
      </c>
      <c r="E670" t="s">
        <v>10</v>
      </c>
      <c r="F670">
        <v>2713.32</v>
      </c>
      <c r="G670">
        <v>95962</v>
      </c>
      <c r="H670">
        <v>524.72</v>
      </c>
      <c r="I670">
        <v>49.55</v>
      </c>
      <c r="J670">
        <f>IFERROR(INDEX(Suppliar[Estimated Carbon Footprint (tons CO₂e)],MATCH('Merge operational &amp; suppliar'!A670,Suppliar[Facility ID],0)),"")</f>
        <v>991.36</v>
      </c>
      <c r="K670">
        <f>IFERROR(INDEX(Suppliar[Income Distribution (%)],MATCH('Merge operational &amp; suppliar'!A670,Suppliar[Facility ID],0)),"")</f>
        <v>18.28</v>
      </c>
    </row>
    <row r="671" spans="1:11" x14ac:dyDescent="0.3">
      <c r="A671" t="s">
        <v>25</v>
      </c>
      <c r="B671" t="s">
        <v>19</v>
      </c>
      <c r="C671" t="s">
        <v>13</v>
      </c>
      <c r="D671" t="s">
        <v>14</v>
      </c>
      <c r="E671" t="s">
        <v>15</v>
      </c>
      <c r="F671">
        <v>769.84</v>
      </c>
      <c r="G671">
        <v>95306</v>
      </c>
      <c r="H671">
        <v>9037.76</v>
      </c>
      <c r="I671">
        <v>13.35</v>
      </c>
      <c r="J671">
        <f>IFERROR(INDEX(Suppliar[Estimated Carbon Footprint (tons CO₂e)],MATCH('Merge operational &amp; suppliar'!A671,Suppliar[Facility ID],0)),"")</f>
        <v>724.63</v>
      </c>
      <c r="K671">
        <f>IFERROR(INDEX(Suppliar[Income Distribution (%)],MATCH('Merge operational &amp; suppliar'!A671,Suppliar[Facility ID],0)),"")</f>
        <v>21.2</v>
      </c>
    </row>
    <row r="672" spans="1:11" x14ac:dyDescent="0.3">
      <c r="A672" t="s">
        <v>100</v>
      </c>
      <c r="B672" t="s">
        <v>7</v>
      </c>
      <c r="C672" t="s">
        <v>23</v>
      </c>
      <c r="D672" t="s">
        <v>28</v>
      </c>
      <c r="E672" t="s">
        <v>10</v>
      </c>
      <c r="F672">
        <v>3217.94</v>
      </c>
      <c r="G672">
        <v>17468</v>
      </c>
      <c r="H672">
        <v>6359.73</v>
      </c>
      <c r="I672">
        <v>5.22</v>
      </c>
      <c r="J672">
        <f>IFERROR(INDEX(Suppliar[Estimated Carbon Footprint (tons CO₂e)],MATCH('Merge operational &amp; suppliar'!A672,Suppliar[Facility ID],0)),"")</f>
        <v>959.2</v>
      </c>
      <c r="K672">
        <f>IFERROR(INDEX(Suppliar[Income Distribution (%)],MATCH('Merge operational &amp; suppliar'!A672,Suppliar[Facility ID],0)),"")</f>
        <v>36.92</v>
      </c>
    </row>
    <row r="673" spans="1:11" x14ac:dyDescent="0.3">
      <c r="A673" t="s">
        <v>179</v>
      </c>
      <c r="B673" t="s">
        <v>7</v>
      </c>
      <c r="C673" t="s">
        <v>23</v>
      </c>
      <c r="D673" t="s">
        <v>9</v>
      </c>
      <c r="E673" t="s">
        <v>15</v>
      </c>
      <c r="F673">
        <v>3817.75</v>
      </c>
      <c r="G673">
        <v>94393</v>
      </c>
      <c r="H673">
        <v>6691.7</v>
      </c>
      <c r="I673">
        <v>74.790000000000006</v>
      </c>
      <c r="J673">
        <f>IFERROR(INDEX(Suppliar[Estimated Carbon Footprint (tons CO₂e)],MATCH('Merge operational &amp; suppliar'!A673,Suppliar[Facility ID],0)),"")</f>
        <v>867.66</v>
      </c>
      <c r="K673">
        <f>IFERROR(INDEX(Suppliar[Income Distribution (%)],MATCH('Merge operational &amp; suppliar'!A673,Suppliar[Facility ID],0)),"")</f>
        <v>32.97</v>
      </c>
    </row>
    <row r="674" spans="1:11" x14ac:dyDescent="0.3">
      <c r="A674" t="s">
        <v>160</v>
      </c>
      <c r="B674" t="s">
        <v>30</v>
      </c>
      <c r="C674" t="s">
        <v>34</v>
      </c>
      <c r="D674" t="s">
        <v>14</v>
      </c>
      <c r="E674" t="s">
        <v>10</v>
      </c>
      <c r="F674">
        <v>3796.86</v>
      </c>
      <c r="G674">
        <v>18341</v>
      </c>
      <c r="H674">
        <v>8465.57</v>
      </c>
      <c r="I674">
        <v>38.39</v>
      </c>
      <c r="J674" t="str">
        <f>IFERROR(INDEX(Suppliar[Estimated Carbon Footprint (tons CO₂e)],MATCH('Merge operational &amp; suppliar'!A674,Suppliar[Facility ID],0)),"")</f>
        <v/>
      </c>
      <c r="K674" t="str">
        <f>IFERROR(INDEX(Suppliar[Income Distribution (%)],MATCH('Merge operational &amp; suppliar'!A674,Suppliar[Facility ID],0)),"")</f>
        <v/>
      </c>
    </row>
    <row r="675" spans="1:11" x14ac:dyDescent="0.3">
      <c r="A675" t="s">
        <v>163</v>
      </c>
      <c r="B675" t="s">
        <v>19</v>
      </c>
      <c r="C675" t="s">
        <v>8</v>
      </c>
      <c r="D675" t="s">
        <v>28</v>
      </c>
      <c r="E675" t="s">
        <v>15</v>
      </c>
      <c r="F675">
        <v>1722.54</v>
      </c>
      <c r="G675">
        <v>87482</v>
      </c>
      <c r="H675">
        <v>2231.7399999999998</v>
      </c>
      <c r="I675">
        <v>45.43</v>
      </c>
      <c r="J675">
        <f>IFERROR(INDEX(Suppliar[Estimated Carbon Footprint (tons CO₂e)],MATCH('Merge operational &amp; suppliar'!A675,Suppliar[Facility ID],0)),"")</f>
        <v>638.89</v>
      </c>
      <c r="K675">
        <f>IFERROR(INDEX(Suppliar[Income Distribution (%)],MATCH('Merge operational &amp; suppliar'!A675,Suppliar[Facility ID],0)),"")</f>
        <v>24.69</v>
      </c>
    </row>
    <row r="676" spans="1:11" x14ac:dyDescent="0.3">
      <c r="A676" t="s">
        <v>190</v>
      </c>
      <c r="B676" t="s">
        <v>17</v>
      </c>
      <c r="C676" t="s">
        <v>23</v>
      </c>
      <c r="D676" t="s">
        <v>14</v>
      </c>
      <c r="E676" t="s">
        <v>24</v>
      </c>
      <c r="F676">
        <v>2472.08</v>
      </c>
      <c r="G676">
        <v>41953</v>
      </c>
      <c r="H676">
        <v>2379.14</v>
      </c>
      <c r="I676">
        <v>65.67</v>
      </c>
      <c r="J676">
        <f>IFERROR(INDEX(Suppliar[Estimated Carbon Footprint (tons CO₂e)],MATCH('Merge operational &amp; suppliar'!A676,Suppliar[Facility ID],0)),"")</f>
        <v>571.66</v>
      </c>
      <c r="K676">
        <f>IFERROR(INDEX(Suppliar[Income Distribution (%)],MATCH('Merge operational &amp; suppliar'!A676,Suppliar[Facility ID],0)),"")</f>
        <v>14.81</v>
      </c>
    </row>
    <row r="677" spans="1:11" x14ac:dyDescent="0.3">
      <c r="A677" t="s">
        <v>129</v>
      </c>
      <c r="B677" t="s">
        <v>17</v>
      </c>
      <c r="C677" t="s">
        <v>34</v>
      </c>
      <c r="D677" t="s">
        <v>28</v>
      </c>
      <c r="E677" t="s">
        <v>24</v>
      </c>
      <c r="F677">
        <v>3592.6</v>
      </c>
      <c r="G677">
        <v>95292</v>
      </c>
      <c r="H677">
        <v>697.47</v>
      </c>
      <c r="I677">
        <v>88.35</v>
      </c>
      <c r="J677">
        <f>IFERROR(INDEX(Suppliar[Estimated Carbon Footprint (tons CO₂e)],MATCH('Merge operational &amp; suppliar'!A677,Suppliar[Facility ID],0)),"")</f>
        <v>114.57</v>
      </c>
      <c r="K677">
        <f>IFERROR(INDEX(Suppliar[Income Distribution (%)],MATCH('Merge operational &amp; suppliar'!A677,Suppliar[Facility ID],0)),"")</f>
        <v>36.04</v>
      </c>
    </row>
    <row r="678" spans="1:11" x14ac:dyDescent="0.3">
      <c r="A678" t="s">
        <v>80</v>
      </c>
      <c r="B678" t="s">
        <v>17</v>
      </c>
      <c r="C678" t="s">
        <v>34</v>
      </c>
      <c r="D678" t="s">
        <v>28</v>
      </c>
      <c r="E678" t="s">
        <v>15</v>
      </c>
      <c r="F678">
        <v>4482.0600000000004</v>
      </c>
      <c r="G678">
        <v>75508</v>
      </c>
      <c r="H678">
        <v>6856.22</v>
      </c>
      <c r="I678">
        <v>18.2</v>
      </c>
      <c r="J678">
        <f>IFERROR(INDEX(Suppliar[Estimated Carbon Footprint (tons CO₂e)],MATCH('Merge operational &amp; suppliar'!A678,Suppliar[Facility ID],0)),"")</f>
        <v>991.03</v>
      </c>
      <c r="K678">
        <f>IFERROR(INDEX(Suppliar[Income Distribution (%)],MATCH('Merge operational &amp; suppliar'!A678,Suppliar[Facility ID],0)),"")</f>
        <v>13.32</v>
      </c>
    </row>
    <row r="679" spans="1:11" x14ac:dyDescent="0.3">
      <c r="A679" t="s">
        <v>156</v>
      </c>
      <c r="B679" t="s">
        <v>17</v>
      </c>
      <c r="C679" t="s">
        <v>23</v>
      </c>
      <c r="D679" t="s">
        <v>9</v>
      </c>
      <c r="E679" t="s">
        <v>15</v>
      </c>
      <c r="F679">
        <v>3888.63</v>
      </c>
      <c r="G679">
        <v>81057</v>
      </c>
      <c r="H679">
        <v>675.41</v>
      </c>
      <c r="I679">
        <v>55.44</v>
      </c>
      <c r="J679">
        <f>IFERROR(INDEX(Suppliar[Estimated Carbon Footprint (tons CO₂e)],MATCH('Merge operational &amp; suppliar'!A679,Suppliar[Facility ID],0)),"")</f>
        <v>847.51</v>
      </c>
      <c r="K679">
        <f>IFERROR(INDEX(Suppliar[Income Distribution (%)],MATCH('Merge operational &amp; suppliar'!A679,Suppliar[Facility ID],0)),"")</f>
        <v>28.03</v>
      </c>
    </row>
    <row r="680" spans="1:11" x14ac:dyDescent="0.3">
      <c r="A680" t="s">
        <v>204</v>
      </c>
      <c r="B680" t="s">
        <v>30</v>
      </c>
      <c r="C680" t="s">
        <v>34</v>
      </c>
      <c r="D680" t="s">
        <v>9</v>
      </c>
      <c r="E680" t="s">
        <v>15</v>
      </c>
      <c r="F680">
        <v>1035.25</v>
      </c>
      <c r="G680">
        <v>36423</v>
      </c>
      <c r="H680">
        <v>589.96</v>
      </c>
      <c r="I680">
        <v>30.9</v>
      </c>
      <c r="J680">
        <f>IFERROR(INDEX(Suppliar[Estimated Carbon Footprint (tons CO₂e)],MATCH('Merge operational &amp; suppliar'!A680,Suppliar[Facility ID],0)),"")</f>
        <v>111.84</v>
      </c>
      <c r="K680">
        <f>IFERROR(INDEX(Suppliar[Income Distribution (%)],MATCH('Merge operational &amp; suppliar'!A680,Suppliar[Facility ID],0)),"")</f>
        <v>23.26</v>
      </c>
    </row>
    <row r="681" spans="1:11" x14ac:dyDescent="0.3">
      <c r="A681" t="s">
        <v>107</v>
      </c>
      <c r="B681" t="s">
        <v>30</v>
      </c>
      <c r="C681" t="s">
        <v>34</v>
      </c>
      <c r="D681" t="s">
        <v>14</v>
      </c>
      <c r="E681" t="s">
        <v>15</v>
      </c>
      <c r="F681">
        <v>93.17</v>
      </c>
      <c r="G681">
        <v>69305</v>
      </c>
      <c r="H681">
        <v>3203.67</v>
      </c>
      <c r="I681">
        <v>83.65</v>
      </c>
      <c r="J681">
        <f>IFERROR(INDEX(Suppliar[Estimated Carbon Footprint (tons CO₂e)],MATCH('Merge operational &amp; suppliar'!A681,Suppliar[Facility ID],0)),"")</f>
        <v>173.67</v>
      </c>
      <c r="K681">
        <f>IFERROR(INDEX(Suppliar[Income Distribution (%)],MATCH('Merge operational &amp; suppliar'!A681,Suppliar[Facility ID],0)),"")</f>
        <v>67.040000000000006</v>
      </c>
    </row>
    <row r="682" spans="1:11" x14ac:dyDescent="0.3">
      <c r="A682" t="s">
        <v>64</v>
      </c>
      <c r="B682" t="s">
        <v>30</v>
      </c>
      <c r="C682" t="s">
        <v>8</v>
      </c>
      <c r="D682" t="s">
        <v>14</v>
      </c>
      <c r="E682" t="s">
        <v>15</v>
      </c>
      <c r="F682">
        <v>489.88</v>
      </c>
      <c r="G682">
        <v>52836</v>
      </c>
      <c r="H682">
        <v>9330.2999999999993</v>
      </c>
      <c r="I682">
        <v>87.27</v>
      </c>
      <c r="J682" t="str">
        <f>IFERROR(INDEX(Suppliar[Estimated Carbon Footprint (tons CO₂e)],MATCH('Merge operational &amp; suppliar'!A682,Suppliar[Facility ID],0)),"")</f>
        <v/>
      </c>
      <c r="K682" t="str">
        <f>IFERROR(INDEX(Suppliar[Income Distribution (%)],MATCH('Merge operational &amp; suppliar'!A682,Suppliar[Facility ID],0)),"")</f>
        <v/>
      </c>
    </row>
    <row r="683" spans="1:11" x14ac:dyDescent="0.3">
      <c r="A683" t="s">
        <v>42</v>
      </c>
      <c r="B683" t="s">
        <v>30</v>
      </c>
      <c r="C683" t="s">
        <v>8</v>
      </c>
      <c r="D683" t="s">
        <v>28</v>
      </c>
      <c r="E683" t="s">
        <v>24</v>
      </c>
      <c r="F683">
        <v>627.29999999999995</v>
      </c>
      <c r="G683">
        <v>41539</v>
      </c>
      <c r="H683">
        <v>982.8</v>
      </c>
      <c r="I683">
        <v>79.7</v>
      </c>
      <c r="J683">
        <f>IFERROR(INDEX(Suppliar[Estimated Carbon Footprint (tons CO₂e)],MATCH('Merge operational &amp; suppliar'!A683,Suppliar[Facility ID],0)),"")</f>
        <v>851.48</v>
      </c>
      <c r="K683">
        <f>IFERROR(INDEX(Suppliar[Income Distribution (%)],MATCH('Merge operational &amp; suppliar'!A683,Suppliar[Facility ID],0)),"")</f>
        <v>13.07</v>
      </c>
    </row>
    <row r="684" spans="1:11" x14ac:dyDescent="0.3">
      <c r="A684" t="s">
        <v>169</v>
      </c>
      <c r="B684" t="s">
        <v>12</v>
      </c>
      <c r="C684" t="s">
        <v>23</v>
      </c>
      <c r="D684" t="s">
        <v>28</v>
      </c>
      <c r="E684" t="s">
        <v>24</v>
      </c>
      <c r="F684">
        <v>4443.8500000000004</v>
      </c>
      <c r="G684">
        <v>82377</v>
      </c>
      <c r="H684">
        <v>7974.74</v>
      </c>
      <c r="I684">
        <v>9.17</v>
      </c>
      <c r="J684" t="str">
        <f>IFERROR(INDEX(Suppliar[Estimated Carbon Footprint (tons CO₂e)],MATCH('Merge operational &amp; suppliar'!A684,Suppliar[Facility ID],0)),"")</f>
        <v/>
      </c>
      <c r="K684" t="str">
        <f>IFERROR(INDEX(Suppliar[Income Distribution (%)],MATCH('Merge operational &amp; suppliar'!A684,Suppliar[Facility ID],0)),"")</f>
        <v/>
      </c>
    </row>
    <row r="685" spans="1:11" x14ac:dyDescent="0.3">
      <c r="A685" t="s">
        <v>188</v>
      </c>
      <c r="B685" t="s">
        <v>19</v>
      </c>
      <c r="C685" t="s">
        <v>8</v>
      </c>
      <c r="D685" t="s">
        <v>14</v>
      </c>
      <c r="E685" t="s">
        <v>15</v>
      </c>
      <c r="F685">
        <v>2192.52</v>
      </c>
      <c r="G685">
        <v>60513</v>
      </c>
      <c r="H685">
        <v>4578.16</v>
      </c>
      <c r="I685">
        <v>65.53</v>
      </c>
      <c r="J685" t="str">
        <f>IFERROR(INDEX(Suppliar[Estimated Carbon Footprint (tons CO₂e)],MATCH('Merge operational &amp; suppliar'!A685,Suppliar[Facility ID],0)),"")</f>
        <v/>
      </c>
      <c r="K685" t="str">
        <f>IFERROR(INDEX(Suppliar[Income Distribution (%)],MATCH('Merge operational &amp; suppliar'!A685,Suppliar[Facility ID],0)),"")</f>
        <v/>
      </c>
    </row>
    <row r="686" spans="1:11" x14ac:dyDescent="0.3">
      <c r="A686" t="s">
        <v>35</v>
      </c>
      <c r="B686" t="s">
        <v>19</v>
      </c>
      <c r="C686" t="s">
        <v>34</v>
      </c>
      <c r="D686" t="s">
        <v>9</v>
      </c>
      <c r="E686" t="s">
        <v>15</v>
      </c>
      <c r="F686">
        <v>1166.77</v>
      </c>
      <c r="G686">
        <v>42382</v>
      </c>
      <c r="H686">
        <v>5116.6899999999996</v>
      </c>
      <c r="I686">
        <v>80.42</v>
      </c>
      <c r="J686">
        <f>IFERROR(INDEX(Suppliar[Estimated Carbon Footprint (tons CO₂e)],MATCH('Merge operational &amp; suppliar'!A686,Suppliar[Facility ID],0)),"")</f>
        <v>626.54</v>
      </c>
      <c r="K686">
        <f>IFERROR(INDEX(Suppliar[Income Distribution (%)],MATCH('Merge operational &amp; suppliar'!A686,Suppliar[Facility ID],0)),"")</f>
        <v>70.540000000000006</v>
      </c>
    </row>
    <row r="687" spans="1:11" x14ac:dyDescent="0.3">
      <c r="A687" t="s">
        <v>156</v>
      </c>
      <c r="B687" t="s">
        <v>17</v>
      </c>
      <c r="C687" t="s">
        <v>8</v>
      </c>
      <c r="D687" t="s">
        <v>9</v>
      </c>
      <c r="E687" t="s">
        <v>10</v>
      </c>
      <c r="F687">
        <v>3803.96</v>
      </c>
      <c r="G687">
        <v>81057</v>
      </c>
      <c r="H687">
        <v>675.41</v>
      </c>
      <c r="I687">
        <v>55.44</v>
      </c>
      <c r="J687">
        <f>IFERROR(INDEX(Suppliar[Estimated Carbon Footprint (tons CO₂e)],MATCH('Merge operational &amp; suppliar'!A687,Suppliar[Facility ID],0)),"")</f>
        <v>847.51</v>
      </c>
      <c r="K687">
        <f>IFERROR(INDEX(Suppliar[Income Distribution (%)],MATCH('Merge operational &amp; suppliar'!A687,Suppliar[Facility ID],0)),"")</f>
        <v>28.03</v>
      </c>
    </row>
    <row r="688" spans="1:11" x14ac:dyDescent="0.3">
      <c r="A688" t="s">
        <v>48</v>
      </c>
      <c r="B688" t="s">
        <v>19</v>
      </c>
      <c r="C688" t="s">
        <v>8</v>
      </c>
      <c r="D688" t="s">
        <v>14</v>
      </c>
      <c r="E688" t="s">
        <v>24</v>
      </c>
      <c r="F688">
        <v>4902.53</v>
      </c>
      <c r="G688">
        <v>11952</v>
      </c>
      <c r="H688">
        <v>4637.74</v>
      </c>
      <c r="I688">
        <v>63.78</v>
      </c>
      <c r="J688">
        <f>IFERROR(INDEX(Suppliar[Estimated Carbon Footprint (tons CO₂e)],MATCH('Merge operational &amp; suppliar'!A688,Suppliar[Facility ID],0)),"")</f>
        <v>886.71</v>
      </c>
      <c r="K688">
        <f>IFERROR(INDEX(Suppliar[Income Distribution (%)],MATCH('Merge operational &amp; suppliar'!A688,Suppliar[Facility ID],0)),"")</f>
        <v>29.53</v>
      </c>
    </row>
    <row r="689" spans="1:11" x14ac:dyDescent="0.3">
      <c r="A689" t="s">
        <v>193</v>
      </c>
      <c r="B689" t="s">
        <v>12</v>
      </c>
      <c r="C689" t="s">
        <v>23</v>
      </c>
      <c r="D689" t="s">
        <v>28</v>
      </c>
      <c r="E689" t="s">
        <v>24</v>
      </c>
      <c r="F689">
        <v>1144.49</v>
      </c>
      <c r="G689">
        <v>13333</v>
      </c>
      <c r="H689">
        <v>6102.15</v>
      </c>
      <c r="I689">
        <v>17.670000000000002</v>
      </c>
      <c r="J689">
        <f>IFERROR(INDEX(Suppliar[Estimated Carbon Footprint (tons CO₂e)],MATCH('Merge operational &amp; suppliar'!A689,Suppliar[Facility ID],0)),"")</f>
        <v>959.2</v>
      </c>
      <c r="K689">
        <f>IFERROR(INDEX(Suppliar[Income Distribution (%)],MATCH('Merge operational &amp; suppliar'!A689,Suppliar[Facility ID],0)),"")</f>
        <v>24.24</v>
      </c>
    </row>
    <row r="690" spans="1:11" x14ac:dyDescent="0.3">
      <c r="A690" t="s">
        <v>67</v>
      </c>
      <c r="B690" t="s">
        <v>7</v>
      </c>
      <c r="C690" t="s">
        <v>13</v>
      </c>
      <c r="D690" t="s">
        <v>9</v>
      </c>
      <c r="E690" t="s">
        <v>15</v>
      </c>
      <c r="F690">
        <v>4243.1099999999997</v>
      </c>
      <c r="G690">
        <v>70582</v>
      </c>
      <c r="H690">
        <v>7517.59</v>
      </c>
      <c r="I690">
        <v>95.71</v>
      </c>
      <c r="J690" t="str">
        <f>IFERROR(INDEX(Suppliar[Estimated Carbon Footprint (tons CO₂e)],MATCH('Merge operational &amp; suppliar'!A690,Suppliar[Facility ID],0)),"")</f>
        <v/>
      </c>
      <c r="K690" t="str">
        <f>IFERROR(INDEX(Suppliar[Income Distribution (%)],MATCH('Merge operational &amp; suppliar'!A690,Suppliar[Facility ID],0)),"")</f>
        <v/>
      </c>
    </row>
    <row r="691" spans="1:11" x14ac:dyDescent="0.3">
      <c r="A691" t="s">
        <v>22</v>
      </c>
      <c r="B691" t="s">
        <v>12</v>
      </c>
      <c r="C691" t="s">
        <v>8</v>
      </c>
      <c r="D691" t="s">
        <v>28</v>
      </c>
      <c r="E691" t="s">
        <v>24</v>
      </c>
      <c r="F691">
        <v>2303.31</v>
      </c>
      <c r="G691">
        <v>47484</v>
      </c>
      <c r="H691">
        <v>3396.39</v>
      </c>
      <c r="I691">
        <v>19.510000000000002</v>
      </c>
      <c r="J691">
        <f>IFERROR(INDEX(Suppliar[Estimated Carbon Footprint (tons CO₂e)],MATCH('Merge operational &amp; suppliar'!A691,Suppliar[Facility ID],0)),"")</f>
        <v>790.74</v>
      </c>
      <c r="K691">
        <f>IFERROR(INDEX(Suppliar[Income Distribution (%)],MATCH('Merge operational &amp; suppliar'!A691,Suppliar[Facility ID],0)),"")</f>
        <v>12.77</v>
      </c>
    </row>
    <row r="692" spans="1:11" x14ac:dyDescent="0.3">
      <c r="A692" t="s">
        <v>95</v>
      </c>
      <c r="B692" t="s">
        <v>30</v>
      </c>
      <c r="C692" t="s">
        <v>23</v>
      </c>
      <c r="D692" t="s">
        <v>14</v>
      </c>
      <c r="E692" t="s">
        <v>10</v>
      </c>
      <c r="F692">
        <v>3192.9</v>
      </c>
      <c r="G692">
        <v>51800</v>
      </c>
      <c r="H692">
        <v>3042.95</v>
      </c>
      <c r="I692">
        <v>71.87</v>
      </c>
      <c r="J692">
        <f>IFERROR(INDEX(Suppliar[Estimated Carbon Footprint (tons CO₂e)],MATCH('Merge operational &amp; suppliar'!A692,Suppliar[Facility ID],0)),"")</f>
        <v>714.03</v>
      </c>
      <c r="K692">
        <f>IFERROR(INDEX(Suppliar[Income Distribution (%)],MATCH('Merge operational &amp; suppliar'!A692,Suppliar[Facility ID],0)),"")</f>
        <v>10.84</v>
      </c>
    </row>
    <row r="693" spans="1:11" x14ac:dyDescent="0.3">
      <c r="A693" t="s">
        <v>71</v>
      </c>
      <c r="B693" t="s">
        <v>7</v>
      </c>
      <c r="C693" t="s">
        <v>13</v>
      </c>
      <c r="D693" t="s">
        <v>28</v>
      </c>
      <c r="E693" t="s">
        <v>15</v>
      </c>
      <c r="F693">
        <v>3601.52</v>
      </c>
      <c r="G693">
        <v>68018</v>
      </c>
      <c r="H693">
        <v>3523.4</v>
      </c>
      <c r="I693">
        <v>92.26</v>
      </c>
      <c r="J693">
        <f>IFERROR(INDEX(Suppliar[Estimated Carbon Footprint (tons CO₂e)],MATCH('Merge operational &amp; suppliar'!A693,Suppliar[Facility ID],0)),"")</f>
        <v>111.84</v>
      </c>
      <c r="K693">
        <f>IFERROR(INDEX(Suppliar[Income Distribution (%)],MATCH('Merge operational &amp; suppliar'!A693,Suppliar[Facility ID],0)),"")</f>
        <v>15.85</v>
      </c>
    </row>
    <row r="694" spans="1:11" x14ac:dyDescent="0.3">
      <c r="A694" t="s">
        <v>95</v>
      </c>
      <c r="B694" t="s">
        <v>30</v>
      </c>
      <c r="C694" t="s">
        <v>13</v>
      </c>
      <c r="D694" t="s">
        <v>14</v>
      </c>
      <c r="E694" t="s">
        <v>15</v>
      </c>
      <c r="F694">
        <v>4964.3100000000004</v>
      </c>
      <c r="G694">
        <v>51800</v>
      </c>
      <c r="H694">
        <v>3042.95</v>
      </c>
      <c r="I694">
        <v>71.87</v>
      </c>
      <c r="J694">
        <f>IFERROR(INDEX(Suppliar[Estimated Carbon Footprint (tons CO₂e)],MATCH('Merge operational &amp; suppliar'!A694,Suppliar[Facility ID],0)),"")</f>
        <v>714.03</v>
      </c>
      <c r="K694">
        <f>IFERROR(INDEX(Suppliar[Income Distribution (%)],MATCH('Merge operational &amp; suppliar'!A694,Suppliar[Facility ID],0)),"")</f>
        <v>10.84</v>
      </c>
    </row>
    <row r="695" spans="1:11" x14ac:dyDescent="0.3">
      <c r="A695" t="s">
        <v>59</v>
      </c>
      <c r="B695" t="s">
        <v>17</v>
      </c>
      <c r="C695" t="s">
        <v>23</v>
      </c>
      <c r="D695" t="s">
        <v>14</v>
      </c>
      <c r="E695" t="s">
        <v>15</v>
      </c>
      <c r="F695">
        <v>2143.7399999999998</v>
      </c>
      <c r="G695">
        <v>15553</v>
      </c>
      <c r="H695">
        <v>3909.51</v>
      </c>
      <c r="I695">
        <v>46.44</v>
      </c>
      <c r="J695" t="str">
        <f>IFERROR(INDEX(Suppliar[Estimated Carbon Footprint (tons CO₂e)],MATCH('Merge operational &amp; suppliar'!A695,Suppliar[Facility ID],0)),"")</f>
        <v/>
      </c>
      <c r="K695" t="str">
        <f>IFERROR(INDEX(Suppliar[Income Distribution (%)],MATCH('Merge operational &amp; suppliar'!A695,Suppliar[Facility ID],0)),"")</f>
        <v/>
      </c>
    </row>
    <row r="696" spans="1:11" x14ac:dyDescent="0.3">
      <c r="A696" t="s">
        <v>164</v>
      </c>
      <c r="B696" t="s">
        <v>19</v>
      </c>
      <c r="C696" t="s">
        <v>13</v>
      </c>
      <c r="D696" t="s">
        <v>14</v>
      </c>
      <c r="E696" t="s">
        <v>15</v>
      </c>
      <c r="F696">
        <v>563.55999999999995</v>
      </c>
      <c r="G696">
        <v>69636</v>
      </c>
      <c r="H696">
        <v>4246.55</v>
      </c>
      <c r="I696">
        <v>69.290000000000006</v>
      </c>
      <c r="J696">
        <f>IFERROR(INDEX(Suppliar[Estimated Carbon Footprint (tons CO₂e)],MATCH('Merge operational &amp; suppliar'!A696,Suppliar[Facility ID],0)),"")</f>
        <v>362.43</v>
      </c>
      <c r="K696">
        <f>IFERROR(INDEX(Suppliar[Income Distribution (%)],MATCH('Merge operational &amp; suppliar'!A696,Suppliar[Facility ID],0)),"")</f>
        <v>54.81</v>
      </c>
    </row>
    <row r="697" spans="1:11" x14ac:dyDescent="0.3">
      <c r="A697" t="s">
        <v>95</v>
      </c>
      <c r="B697" t="s">
        <v>30</v>
      </c>
      <c r="C697" t="s">
        <v>13</v>
      </c>
      <c r="D697" t="s">
        <v>9</v>
      </c>
      <c r="E697" t="s">
        <v>15</v>
      </c>
      <c r="F697">
        <v>1541.86</v>
      </c>
      <c r="G697">
        <v>51800</v>
      </c>
      <c r="H697">
        <v>3042.95</v>
      </c>
      <c r="I697">
        <v>71.87</v>
      </c>
      <c r="J697">
        <f>IFERROR(INDEX(Suppliar[Estimated Carbon Footprint (tons CO₂e)],MATCH('Merge operational &amp; suppliar'!A697,Suppliar[Facility ID],0)),"")</f>
        <v>714.03</v>
      </c>
      <c r="K697">
        <f>IFERROR(INDEX(Suppliar[Income Distribution (%)],MATCH('Merge operational &amp; suppliar'!A697,Suppliar[Facility ID],0)),"")</f>
        <v>10.84</v>
      </c>
    </row>
    <row r="698" spans="1:11" x14ac:dyDescent="0.3">
      <c r="A698" t="s">
        <v>46</v>
      </c>
      <c r="B698" t="s">
        <v>30</v>
      </c>
      <c r="C698" t="s">
        <v>23</v>
      </c>
      <c r="D698" t="s">
        <v>14</v>
      </c>
      <c r="E698" t="s">
        <v>10</v>
      </c>
      <c r="F698">
        <v>2191.88</v>
      </c>
      <c r="G698">
        <v>43490</v>
      </c>
      <c r="H698">
        <v>9300.8799999999992</v>
      </c>
      <c r="I698">
        <v>58.43</v>
      </c>
      <c r="J698">
        <f>IFERROR(INDEX(Suppliar[Estimated Carbon Footprint (tons CO₂e)],MATCH('Merge operational &amp; suppliar'!A698,Suppliar[Facility ID],0)),"")</f>
        <v>264.23</v>
      </c>
      <c r="K698">
        <f>IFERROR(INDEX(Suppliar[Income Distribution (%)],MATCH('Merge operational &amp; suppliar'!A698,Suppliar[Facility ID],0)),"")</f>
        <v>11.71</v>
      </c>
    </row>
    <row r="699" spans="1:11" x14ac:dyDescent="0.3">
      <c r="A699" t="s">
        <v>45</v>
      </c>
      <c r="B699" t="s">
        <v>7</v>
      </c>
      <c r="C699" t="s">
        <v>34</v>
      </c>
      <c r="D699" t="s">
        <v>28</v>
      </c>
      <c r="E699" t="s">
        <v>15</v>
      </c>
      <c r="F699">
        <v>4804.76</v>
      </c>
      <c r="G699">
        <v>49924</v>
      </c>
      <c r="H699">
        <v>2199.16</v>
      </c>
      <c r="I699">
        <v>75.48</v>
      </c>
      <c r="J699">
        <f>IFERROR(INDEX(Suppliar[Estimated Carbon Footprint (tons CO₂e)],MATCH('Merge operational &amp; suppliar'!A699,Suppliar[Facility ID],0)),"")</f>
        <v>432.23</v>
      </c>
      <c r="K699">
        <f>IFERROR(INDEX(Suppliar[Income Distribution (%)],MATCH('Merge operational &amp; suppliar'!A699,Suppliar[Facility ID],0)),"")</f>
        <v>13.54</v>
      </c>
    </row>
    <row r="700" spans="1:11" x14ac:dyDescent="0.3">
      <c r="A700" t="s">
        <v>212</v>
      </c>
      <c r="B700" t="s">
        <v>7</v>
      </c>
      <c r="C700" t="s">
        <v>13</v>
      </c>
      <c r="D700" t="s">
        <v>14</v>
      </c>
      <c r="E700" t="s">
        <v>10</v>
      </c>
      <c r="F700">
        <v>4966.99</v>
      </c>
      <c r="G700">
        <v>67820</v>
      </c>
      <c r="H700">
        <v>8177.95</v>
      </c>
      <c r="I700">
        <v>40.69</v>
      </c>
      <c r="J700">
        <f>IFERROR(INDEX(Suppliar[Estimated Carbon Footprint (tons CO₂e)],MATCH('Merge operational &amp; suppliar'!A700,Suppliar[Facility ID],0)),"")</f>
        <v>790.74</v>
      </c>
      <c r="K700">
        <f>IFERROR(INDEX(Suppliar[Income Distribution (%)],MATCH('Merge operational &amp; suppliar'!A700,Suppliar[Facility ID],0)),"")</f>
        <v>15.94</v>
      </c>
    </row>
    <row r="701" spans="1:11" x14ac:dyDescent="0.3">
      <c r="A701" t="s">
        <v>99</v>
      </c>
      <c r="B701" t="s">
        <v>19</v>
      </c>
      <c r="C701" t="s">
        <v>8</v>
      </c>
      <c r="D701" t="s">
        <v>28</v>
      </c>
      <c r="E701" t="s">
        <v>15</v>
      </c>
      <c r="F701">
        <v>2346.08</v>
      </c>
      <c r="G701">
        <v>77400</v>
      </c>
      <c r="H701">
        <v>7504.8</v>
      </c>
      <c r="I701">
        <v>68.819999999999993</v>
      </c>
      <c r="J701" t="str">
        <f>IFERROR(INDEX(Suppliar[Estimated Carbon Footprint (tons CO₂e)],MATCH('Merge operational &amp; suppliar'!A701,Suppliar[Facility ID],0)),"")</f>
        <v/>
      </c>
      <c r="K701" t="str">
        <f>IFERROR(INDEX(Suppliar[Income Distribution (%)],MATCH('Merge operational &amp; suppliar'!A701,Suppliar[Facility ID],0)),"")</f>
        <v/>
      </c>
    </row>
    <row r="702" spans="1:11" x14ac:dyDescent="0.3">
      <c r="A702" t="s">
        <v>140</v>
      </c>
      <c r="B702" t="s">
        <v>17</v>
      </c>
      <c r="C702" t="s">
        <v>34</v>
      </c>
      <c r="D702" t="s">
        <v>28</v>
      </c>
      <c r="E702" t="s">
        <v>15</v>
      </c>
      <c r="F702">
        <v>278.14</v>
      </c>
      <c r="G702">
        <v>88308</v>
      </c>
      <c r="H702">
        <v>7802.07</v>
      </c>
      <c r="I702">
        <v>36.130000000000003</v>
      </c>
      <c r="J702">
        <f>IFERROR(INDEX(Suppliar[Estimated Carbon Footprint (tons CO₂e)],MATCH('Merge operational &amp; suppliar'!A702,Suppliar[Facility ID],0)),"")</f>
        <v>557.72</v>
      </c>
      <c r="K702">
        <f>IFERROR(INDEX(Suppliar[Income Distribution (%)],MATCH('Merge operational &amp; suppliar'!A702,Suppliar[Facility ID],0)),"")</f>
        <v>62.75</v>
      </c>
    </row>
    <row r="703" spans="1:11" x14ac:dyDescent="0.3">
      <c r="A703" t="s">
        <v>111</v>
      </c>
      <c r="B703" t="s">
        <v>19</v>
      </c>
      <c r="C703" t="s">
        <v>34</v>
      </c>
      <c r="D703" t="s">
        <v>28</v>
      </c>
      <c r="E703" t="s">
        <v>10</v>
      </c>
      <c r="F703">
        <v>3551.91</v>
      </c>
      <c r="G703">
        <v>37309</v>
      </c>
      <c r="H703">
        <v>4508.54</v>
      </c>
      <c r="I703">
        <v>47.15</v>
      </c>
      <c r="J703">
        <f>IFERROR(INDEX(Suppliar[Estimated Carbon Footprint (tons CO₂e)],MATCH('Merge operational &amp; suppliar'!A703,Suppliar[Facility ID],0)),"")</f>
        <v>951.35</v>
      </c>
      <c r="K703">
        <f>IFERROR(INDEX(Suppliar[Income Distribution (%)],MATCH('Merge operational &amp; suppliar'!A703,Suppliar[Facility ID],0)),"")</f>
        <v>47.12</v>
      </c>
    </row>
    <row r="704" spans="1:11" x14ac:dyDescent="0.3">
      <c r="A704" t="s">
        <v>119</v>
      </c>
      <c r="B704" t="s">
        <v>30</v>
      </c>
      <c r="C704" t="s">
        <v>34</v>
      </c>
      <c r="D704" t="s">
        <v>28</v>
      </c>
      <c r="E704" t="s">
        <v>10</v>
      </c>
      <c r="F704">
        <v>3834.95</v>
      </c>
      <c r="G704">
        <v>80488</v>
      </c>
      <c r="H704">
        <v>7629.95</v>
      </c>
      <c r="I704">
        <v>63.83</v>
      </c>
      <c r="J704">
        <f>IFERROR(INDEX(Suppliar[Estimated Carbon Footprint (tons CO₂e)],MATCH('Merge operational &amp; suppliar'!A704,Suppliar[Facility ID],0)),"")</f>
        <v>847.51</v>
      </c>
      <c r="K704">
        <f>IFERROR(INDEX(Suppliar[Income Distribution (%)],MATCH('Merge operational &amp; suppliar'!A704,Suppliar[Facility ID],0)),"")</f>
        <v>9.9</v>
      </c>
    </row>
    <row r="705" spans="1:11" x14ac:dyDescent="0.3">
      <c r="A705" t="s">
        <v>22</v>
      </c>
      <c r="B705" t="s">
        <v>12</v>
      </c>
      <c r="C705" t="s">
        <v>13</v>
      </c>
      <c r="D705" t="s">
        <v>14</v>
      </c>
      <c r="E705" t="s">
        <v>10</v>
      </c>
      <c r="F705">
        <v>4076.77</v>
      </c>
      <c r="G705">
        <v>47484</v>
      </c>
      <c r="H705">
        <v>3396.39</v>
      </c>
      <c r="I705">
        <v>19.510000000000002</v>
      </c>
      <c r="J705">
        <f>IFERROR(INDEX(Suppliar[Estimated Carbon Footprint (tons CO₂e)],MATCH('Merge operational &amp; suppliar'!A705,Suppliar[Facility ID],0)),"")</f>
        <v>790.74</v>
      </c>
      <c r="K705">
        <f>IFERROR(INDEX(Suppliar[Income Distribution (%)],MATCH('Merge operational &amp; suppliar'!A705,Suppliar[Facility ID],0)),"")</f>
        <v>12.77</v>
      </c>
    </row>
    <row r="706" spans="1:11" x14ac:dyDescent="0.3">
      <c r="A706" t="s">
        <v>101</v>
      </c>
      <c r="B706" t="s">
        <v>19</v>
      </c>
      <c r="C706" t="s">
        <v>13</v>
      </c>
      <c r="D706" t="s">
        <v>14</v>
      </c>
      <c r="E706" t="s">
        <v>15</v>
      </c>
      <c r="F706">
        <v>1402.07</v>
      </c>
      <c r="G706">
        <v>39050</v>
      </c>
      <c r="H706">
        <v>5885.73</v>
      </c>
      <c r="I706">
        <v>93.04</v>
      </c>
      <c r="J706">
        <f>IFERROR(INDEX(Suppliar[Estimated Carbon Footprint (tons CO₂e)],MATCH('Merge operational &amp; suppliar'!A706,Suppliar[Facility ID],0)),"")</f>
        <v>318.55</v>
      </c>
      <c r="K706">
        <f>IFERROR(INDEX(Suppliar[Income Distribution (%)],MATCH('Merge operational &amp; suppliar'!A706,Suppliar[Facility ID],0)),"")</f>
        <v>39.81</v>
      </c>
    </row>
    <row r="707" spans="1:11" x14ac:dyDescent="0.3">
      <c r="A707" t="s">
        <v>93</v>
      </c>
      <c r="B707" t="s">
        <v>30</v>
      </c>
      <c r="C707" t="s">
        <v>8</v>
      </c>
      <c r="D707" t="s">
        <v>14</v>
      </c>
      <c r="E707" t="s">
        <v>15</v>
      </c>
      <c r="F707">
        <v>2817.03</v>
      </c>
      <c r="G707">
        <v>26378</v>
      </c>
      <c r="H707">
        <v>2915.44</v>
      </c>
      <c r="I707">
        <v>29.84</v>
      </c>
      <c r="J707">
        <f>IFERROR(INDEX(Suppliar[Estimated Carbon Footprint (tons CO₂e)],MATCH('Merge operational &amp; suppliar'!A707,Suppliar[Facility ID],0)),"")</f>
        <v>311.36</v>
      </c>
      <c r="K707">
        <f>IFERROR(INDEX(Suppliar[Income Distribution (%)],MATCH('Merge operational &amp; suppliar'!A707,Suppliar[Facility ID],0)),"")</f>
        <v>26.09</v>
      </c>
    </row>
    <row r="708" spans="1:11" x14ac:dyDescent="0.3">
      <c r="A708" t="s">
        <v>94</v>
      </c>
      <c r="B708" t="s">
        <v>7</v>
      </c>
      <c r="C708" t="s">
        <v>34</v>
      </c>
      <c r="D708" t="s">
        <v>14</v>
      </c>
      <c r="E708" t="s">
        <v>24</v>
      </c>
      <c r="F708">
        <v>4610.1499999999996</v>
      </c>
      <c r="G708">
        <v>26338</v>
      </c>
      <c r="H708">
        <v>578.73</v>
      </c>
      <c r="I708">
        <v>72.52</v>
      </c>
      <c r="J708">
        <f>IFERROR(INDEX(Suppliar[Estimated Carbon Footprint (tons CO₂e)],MATCH('Merge operational &amp; suppliar'!A708,Suppliar[Facility ID],0)),"")</f>
        <v>991.36</v>
      </c>
      <c r="K708">
        <f>IFERROR(INDEX(Suppliar[Income Distribution (%)],MATCH('Merge operational &amp; suppliar'!A708,Suppliar[Facility ID],0)),"")</f>
        <v>35.39</v>
      </c>
    </row>
    <row r="709" spans="1:11" x14ac:dyDescent="0.3">
      <c r="A709" t="s">
        <v>191</v>
      </c>
      <c r="B709" t="s">
        <v>12</v>
      </c>
      <c r="C709" t="s">
        <v>23</v>
      </c>
      <c r="D709" t="s">
        <v>9</v>
      </c>
      <c r="E709" t="s">
        <v>24</v>
      </c>
      <c r="F709">
        <v>1197.68</v>
      </c>
      <c r="G709">
        <v>43346</v>
      </c>
      <c r="H709">
        <v>5559.12</v>
      </c>
      <c r="I709">
        <v>39.4</v>
      </c>
      <c r="J709">
        <f>IFERROR(INDEX(Suppliar[Estimated Carbon Footprint (tons CO₂e)],MATCH('Merge operational &amp; suppliar'!A709,Suppliar[Facility ID],0)),"")</f>
        <v>571.88</v>
      </c>
      <c r="K709">
        <f>IFERROR(INDEX(Suppliar[Income Distribution (%)],MATCH('Merge operational &amp; suppliar'!A709,Suppliar[Facility ID],0)),"")</f>
        <v>32.18</v>
      </c>
    </row>
    <row r="710" spans="1:11" x14ac:dyDescent="0.3">
      <c r="A710" t="s">
        <v>80</v>
      </c>
      <c r="B710" t="s">
        <v>17</v>
      </c>
      <c r="C710" t="s">
        <v>23</v>
      </c>
      <c r="D710" t="s">
        <v>14</v>
      </c>
      <c r="E710" t="s">
        <v>24</v>
      </c>
      <c r="F710">
        <v>2154.8200000000002</v>
      </c>
      <c r="G710">
        <v>75508</v>
      </c>
      <c r="H710">
        <v>6856.22</v>
      </c>
      <c r="I710">
        <v>18.2</v>
      </c>
      <c r="J710">
        <f>IFERROR(INDEX(Suppliar[Estimated Carbon Footprint (tons CO₂e)],MATCH('Merge operational &amp; suppliar'!A710,Suppliar[Facility ID],0)),"")</f>
        <v>991.03</v>
      </c>
      <c r="K710">
        <f>IFERROR(INDEX(Suppliar[Income Distribution (%)],MATCH('Merge operational &amp; suppliar'!A710,Suppliar[Facility ID],0)),"")</f>
        <v>13.32</v>
      </c>
    </row>
    <row r="711" spans="1:11" x14ac:dyDescent="0.3">
      <c r="A711" t="s">
        <v>71</v>
      </c>
      <c r="B711" t="s">
        <v>7</v>
      </c>
      <c r="C711" t="s">
        <v>23</v>
      </c>
      <c r="D711" t="s">
        <v>28</v>
      </c>
      <c r="E711" t="s">
        <v>15</v>
      </c>
      <c r="F711">
        <v>1398.72</v>
      </c>
      <c r="G711">
        <v>68018</v>
      </c>
      <c r="H711">
        <v>3523.4</v>
      </c>
      <c r="I711">
        <v>92.26</v>
      </c>
      <c r="J711">
        <f>IFERROR(INDEX(Suppliar[Estimated Carbon Footprint (tons CO₂e)],MATCH('Merge operational &amp; suppliar'!A711,Suppliar[Facility ID],0)),"")</f>
        <v>111.84</v>
      </c>
      <c r="K711">
        <f>IFERROR(INDEX(Suppliar[Income Distribution (%)],MATCH('Merge operational &amp; suppliar'!A711,Suppliar[Facility ID],0)),"")</f>
        <v>15.85</v>
      </c>
    </row>
    <row r="712" spans="1:11" x14ac:dyDescent="0.3">
      <c r="A712" t="s">
        <v>18</v>
      </c>
      <c r="B712" t="s">
        <v>19</v>
      </c>
      <c r="C712" t="s">
        <v>23</v>
      </c>
      <c r="D712" t="s">
        <v>14</v>
      </c>
      <c r="E712" t="s">
        <v>15</v>
      </c>
      <c r="F712">
        <v>2433.64</v>
      </c>
      <c r="G712">
        <v>98682</v>
      </c>
      <c r="H712">
        <v>6220.56</v>
      </c>
      <c r="I712">
        <v>70.099999999999994</v>
      </c>
      <c r="J712">
        <f>IFERROR(INDEX(Suppliar[Estimated Carbon Footprint (tons CO₂e)],MATCH('Merge operational &amp; suppliar'!A712,Suppliar[Facility ID],0)),"")</f>
        <v>724.63</v>
      </c>
      <c r="K712">
        <f>IFERROR(INDEX(Suppliar[Income Distribution (%)],MATCH('Merge operational &amp; suppliar'!A712,Suppliar[Facility ID],0)),"")</f>
        <v>27.81</v>
      </c>
    </row>
    <row r="713" spans="1:11" x14ac:dyDescent="0.3">
      <c r="A713" t="s">
        <v>52</v>
      </c>
      <c r="B713" t="s">
        <v>19</v>
      </c>
      <c r="C713" t="s">
        <v>23</v>
      </c>
      <c r="D713" t="s">
        <v>14</v>
      </c>
      <c r="E713" t="s">
        <v>10</v>
      </c>
      <c r="F713">
        <v>1785.88</v>
      </c>
      <c r="G713">
        <v>94949</v>
      </c>
      <c r="H713">
        <v>9714.76</v>
      </c>
      <c r="I713">
        <v>64.900000000000006</v>
      </c>
      <c r="J713">
        <f>IFERROR(INDEX(Suppliar[Estimated Carbon Footprint (tons CO₂e)],MATCH('Merge operational &amp; suppliar'!A713,Suppliar[Facility ID],0)),"")</f>
        <v>241.41</v>
      </c>
      <c r="K713">
        <f>IFERROR(INDEX(Suppliar[Income Distribution (%)],MATCH('Merge operational &amp; suppliar'!A713,Suppliar[Facility ID],0)),"")</f>
        <v>20.62</v>
      </c>
    </row>
    <row r="714" spans="1:11" x14ac:dyDescent="0.3">
      <c r="A714" t="s">
        <v>65</v>
      </c>
      <c r="B714" t="s">
        <v>30</v>
      </c>
      <c r="C714" t="s">
        <v>8</v>
      </c>
      <c r="D714" t="s">
        <v>9</v>
      </c>
      <c r="E714" t="s">
        <v>10</v>
      </c>
      <c r="F714">
        <v>4694.88</v>
      </c>
      <c r="G714">
        <v>99026</v>
      </c>
      <c r="H714">
        <v>5453.2</v>
      </c>
      <c r="I714">
        <v>57.49</v>
      </c>
      <c r="J714">
        <f>IFERROR(INDEX(Suppliar[Estimated Carbon Footprint (tons CO₂e)],MATCH('Merge operational &amp; suppliar'!A714,Suppliar[Facility ID],0)),"")</f>
        <v>231.68</v>
      </c>
      <c r="K714">
        <f>IFERROR(INDEX(Suppliar[Income Distribution (%)],MATCH('Merge operational &amp; suppliar'!A714,Suppliar[Facility ID],0)),"")</f>
        <v>24.26</v>
      </c>
    </row>
    <row r="715" spans="1:11" x14ac:dyDescent="0.3">
      <c r="A715" t="s">
        <v>71</v>
      </c>
      <c r="B715" t="s">
        <v>7</v>
      </c>
      <c r="C715" t="s">
        <v>8</v>
      </c>
      <c r="D715" t="s">
        <v>14</v>
      </c>
      <c r="E715" t="s">
        <v>10</v>
      </c>
      <c r="F715">
        <v>3069.11</v>
      </c>
      <c r="G715">
        <v>68018</v>
      </c>
      <c r="H715">
        <v>3523.4</v>
      </c>
      <c r="I715">
        <v>92.26</v>
      </c>
      <c r="J715">
        <f>IFERROR(INDEX(Suppliar[Estimated Carbon Footprint (tons CO₂e)],MATCH('Merge operational &amp; suppliar'!A715,Suppliar[Facility ID],0)),"")</f>
        <v>111.84</v>
      </c>
      <c r="K715">
        <f>IFERROR(INDEX(Suppliar[Income Distribution (%)],MATCH('Merge operational &amp; suppliar'!A715,Suppliar[Facility ID],0)),"")</f>
        <v>15.85</v>
      </c>
    </row>
    <row r="716" spans="1:11" x14ac:dyDescent="0.3">
      <c r="A716" t="s">
        <v>196</v>
      </c>
      <c r="B716" t="s">
        <v>30</v>
      </c>
      <c r="C716" t="s">
        <v>13</v>
      </c>
      <c r="D716" t="s">
        <v>14</v>
      </c>
      <c r="E716" t="s">
        <v>15</v>
      </c>
      <c r="F716">
        <v>2819.92</v>
      </c>
      <c r="G716">
        <v>12262</v>
      </c>
      <c r="H716">
        <v>7106.18</v>
      </c>
      <c r="I716">
        <v>45.69</v>
      </c>
      <c r="J716">
        <f>IFERROR(INDEX(Suppliar[Estimated Carbon Footprint (tons CO₂e)],MATCH('Merge operational &amp; suppliar'!A716,Suppliar[Facility ID],0)),"")</f>
        <v>459.56</v>
      </c>
      <c r="K716">
        <f>IFERROR(INDEX(Suppliar[Income Distribution (%)],MATCH('Merge operational &amp; suppliar'!A716,Suppliar[Facility ID],0)),"")</f>
        <v>29.71</v>
      </c>
    </row>
    <row r="717" spans="1:11" x14ac:dyDescent="0.3">
      <c r="A717" t="s">
        <v>95</v>
      </c>
      <c r="B717" t="s">
        <v>30</v>
      </c>
      <c r="C717" t="s">
        <v>13</v>
      </c>
      <c r="D717" t="s">
        <v>28</v>
      </c>
      <c r="E717" t="s">
        <v>24</v>
      </c>
      <c r="F717">
        <v>1772.23</v>
      </c>
      <c r="G717">
        <v>51800</v>
      </c>
      <c r="H717">
        <v>3042.95</v>
      </c>
      <c r="I717">
        <v>71.87</v>
      </c>
      <c r="J717">
        <f>IFERROR(INDEX(Suppliar[Estimated Carbon Footprint (tons CO₂e)],MATCH('Merge operational &amp; suppliar'!A717,Suppliar[Facility ID],0)),"")</f>
        <v>714.03</v>
      </c>
      <c r="K717">
        <f>IFERROR(INDEX(Suppliar[Income Distribution (%)],MATCH('Merge operational &amp; suppliar'!A717,Suppliar[Facility ID],0)),"")</f>
        <v>10.84</v>
      </c>
    </row>
    <row r="718" spans="1:11" x14ac:dyDescent="0.3">
      <c r="A718" t="s">
        <v>57</v>
      </c>
      <c r="B718" t="s">
        <v>19</v>
      </c>
      <c r="C718" t="s">
        <v>8</v>
      </c>
      <c r="D718" t="s">
        <v>14</v>
      </c>
      <c r="E718" t="s">
        <v>24</v>
      </c>
      <c r="F718">
        <v>2502.25</v>
      </c>
      <c r="G718">
        <v>41027</v>
      </c>
      <c r="H718">
        <v>7285.85</v>
      </c>
      <c r="I718">
        <v>59.87</v>
      </c>
      <c r="J718">
        <f>IFERROR(INDEX(Suppliar[Estimated Carbon Footprint (tons CO₂e)],MATCH('Merge operational &amp; suppliar'!A718,Suppliar[Facility ID],0)),"")</f>
        <v>763.97</v>
      </c>
      <c r="K718">
        <f>IFERROR(INDEX(Suppliar[Income Distribution (%)],MATCH('Merge operational &amp; suppliar'!A718,Suppliar[Facility ID],0)),"")</f>
        <v>34.14</v>
      </c>
    </row>
    <row r="719" spans="1:11" x14ac:dyDescent="0.3">
      <c r="A719" t="s">
        <v>74</v>
      </c>
      <c r="B719" t="s">
        <v>19</v>
      </c>
      <c r="C719" t="s">
        <v>8</v>
      </c>
      <c r="D719" t="s">
        <v>9</v>
      </c>
      <c r="E719" t="s">
        <v>15</v>
      </c>
      <c r="F719">
        <v>3851.93</v>
      </c>
      <c r="G719">
        <v>18175</v>
      </c>
      <c r="H719">
        <v>8349.49</v>
      </c>
      <c r="I719">
        <v>39.97</v>
      </c>
      <c r="J719">
        <f>IFERROR(INDEX(Suppliar[Estimated Carbon Footprint (tons CO₂e)],MATCH('Merge operational &amp; suppliar'!A719,Suppliar[Facility ID],0)),"")</f>
        <v>818.45</v>
      </c>
      <c r="K719">
        <f>IFERROR(INDEX(Suppliar[Income Distribution (%)],MATCH('Merge operational &amp; suppliar'!A719,Suppliar[Facility ID],0)),"")</f>
        <v>19.04</v>
      </c>
    </row>
    <row r="720" spans="1:11" x14ac:dyDescent="0.3">
      <c r="A720" t="s">
        <v>114</v>
      </c>
      <c r="B720" t="s">
        <v>30</v>
      </c>
      <c r="C720" t="s">
        <v>13</v>
      </c>
      <c r="D720" t="s">
        <v>28</v>
      </c>
      <c r="E720" t="s">
        <v>24</v>
      </c>
      <c r="F720">
        <v>3031.48</v>
      </c>
      <c r="G720">
        <v>29264</v>
      </c>
      <c r="H720">
        <v>8362.7199999999993</v>
      </c>
      <c r="I720">
        <v>61.93</v>
      </c>
      <c r="J720" t="str">
        <f>IFERROR(INDEX(Suppliar[Estimated Carbon Footprint (tons CO₂e)],MATCH('Merge operational &amp; suppliar'!A720,Suppliar[Facility ID],0)),"")</f>
        <v/>
      </c>
      <c r="K720" t="str">
        <f>IFERROR(INDEX(Suppliar[Income Distribution (%)],MATCH('Merge operational &amp; suppliar'!A720,Suppliar[Facility ID],0)),"")</f>
        <v/>
      </c>
    </row>
    <row r="721" spans="1:11" x14ac:dyDescent="0.3">
      <c r="A721" t="s">
        <v>78</v>
      </c>
      <c r="B721" t="s">
        <v>7</v>
      </c>
      <c r="C721" t="s">
        <v>23</v>
      </c>
      <c r="D721" t="s">
        <v>9</v>
      </c>
      <c r="E721" t="s">
        <v>24</v>
      </c>
      <c r="F721">
        <v>601.62</v>
      </c>
      <c r="G721">
        <v>86557</v>
      </c>
      <c r="H721">
        <v>8631.2800000000007</v>
      </c>
      <c r="I721">
        <v>69.53</v>
      </c>
      <c r="J721" t="str">
        <f>IFERROR(INDEX(Suppliar[Estimated Carbon Footprint (tons CO₂e)],MATCH('Merge operational &amp; suppliar'!A721,Suppliar[Facility ID],0)),"")</f>
        <v/>
      </c>
      <c r="K721" t="str">
        <f>IFERROR(INDEX(Suppliar[Income Distribution (%)],MATCH('Merge operational &amp; suppliar'!A721,Suppliar[Facility ID],0)),"")</f>
        <v/>
      </c>
    </row>
    <row r="722" spans="1:11" x14ac:dyDescent="0.3">
      <c r="A722" t="s">
        <v>73</v>
      </c>
      <c r="B722" t="s">
        <v>30</v>
      </c>
      <c r="C722" t="s">
        <v>8</v>
      </c>
      <c r="D722" t="s">
        <v>28</v>
      </c>
      <c r="E722" t="s">
        <v>24</v>
      </c>
      <c r="F722">
        <v>2060.17</v>
      </c>
      <c r="G722">
        <v>55974</v>
      </c>
      <c r="H722">
        <v>7542.28</v>
      </c>
      <c r="I722">
        <v>72.430000000000007</v>
      </c>
      <c r="J722">
        <f>IFERROR(INDEX(Suppliar[Estimated Carbon Footprint (tons CO₂e)],MATCH('Merge operational &amp; suppliar'!A722,Suppliar[Facility ID],0)),"")</f>
        <v>626.54</v>
      </c>
      <c r="K722">
        <f>IFERROR(INDEX(Suppliar[Income Distribution (%)],MATCH('Merge operational &amp; suppliar'!A722,Suppliar[Facility ID],0)),"")</f>
        <v>29.46</v>
      </c>
    </row>
    <row r="723" spans="1:11" x14ac:dyDescent="0.3">
      <c r="A723" t="s">
        <v>99</v>
      </c>
      <c r="B723" t="s">
        <v>19</v>
      </c>
      <c r="C723" t="s">
        <v>13</v>
      </c>
      <c r="D723" t="s">
        <v>28</v>
      </c>
      <c r="E723" t="s">
        <v>10</v>
      </c>
      <c r="F723">
        <v>2452.0300000000002</v>
      </c>
      <c r="G723">
        <v>77400</v>
      </c>
      <c r="H723">
        <v>7504.8</v>
      </c>
      <c r="I723">
        <v>68.819999999999993</v>
      </c>
      <c r="J723" t="str">
        <f>IFERROR(INDEX(Suppliar[Estimated Carbon Footprint (tons CO₂e)],MATCH('Merge operational &amp; suppliar'!A723,Suppliar[Facility ID],0)),"")</f>
        <v/>
      </c>
      <c r="K723" t="str">
        <f>IFERROR(INDEX(Suppliar[Income Distribution (%)],MATCH('Merge operational &amp; suppliar'!A723,Suppliar[Facility ID],0)),"")</f>
        <v/>
      </c>
    </row>
    <row r="724" spans="1:11" x14ac:dyDescent="0.3">
      <c r="A724" t="s">
        <v>56</v>
      </c>
      <c r="B724" t="s">
        <v>19</v>
      </c>
      <c r="C724" t="s">
        <v>8</v>
      </c>
      <c r="D724" t="s">
        <v>28</v>
      </c>
      <c r="E724" t="s">
        <v>10</v>
      </c>
      <c r="F724">
        <v>1782.21</v>
      </c>
      <c r="G724">
        <v>43747</v>
      </c>
      <c r="H724">
        <v>3453.48</v>
      </c>
      <c r="I724">
        <v>98.78</v>
      </c>
      <c r="J724">
        <f>IFERROR(INDEX(Suppliar[Estimated Carbon Footprint (tons CO₂e)],MATCH('Merge operational &amp; suppliar'!A724,Suppliar[Facility ID],0)),"")</f>
        <v>459.56</v>
      </c>
      <c r="K724">
        <f>IFERROR(INDEX(Suppliar[Income Distribution (%)],MATCH('Merge operational &amp; suppliar'!A724,Suppliar[Facility ID],0)),"")</f>
        <v>23.81</v>
      </c>
    </row>
    <row r="725" spans="1:11" x14ac:dyDescent="0.3">
      <c r="A725" t="s">
        <v>123</v>
      </c>
      <c r="B725" t="s">
        <v>30</v>
      </c>
      <c r="C725" t="s">
        <v>23</v>
      </c>
      <c r="D725" t="s">
        <v>9</v>
      </c>
      <c r="E725" t="s">
        <v>15</v>
      </c>
      <c r="F725">
        <v>103.31</v>
      </c>
      <c r="G725">
        <v>73977</v>
      </c>
      <c r="H725">
        <v>1646.75</v>
      </c>
      <c r="I725">
        <v>43.77</v>
      </c>
      <c r="J725" t="str">
        <f>IFERROR(INDEX(Suppliar[Estimated Carbon Footprint (tons CO₂e)],MATCH('Merge operational &amp; suppliar'!A725,Suppliar[Facility ID],0)),"")</f>
        <v/>
      </c>
      <c r="K725" t="str">
        <f>IFERROR(INDEX(Suppliar[Income Distribution (%)],MATCH('Merge operational &amp; suppliar'!A725,Suppliar[Facility ID],0)),"")</f>
        <v/>
      </c>
    </row>
    <row r="726" spans="1:11" x14ac:dyDescent="0.3">
      <c r="A726" t="s">
        <v>171</v>
      </c>
      <c r="B726" t="s">
        <v>17</v>
      </c>
      <c r="C726" t="s">
        <v>13</v>
      </c>
      <c r="D726" t="s">
        <v>14</v>
      </c>
      <c r="E726" t="s">
        <v>15</v>
      </c>
      <c r="F726">
        <v>3568.05</v>
      </c>
      <c r="G726">
        <v>24502</v>
      </c>
      <c r="H726">
        <v>7466.86</v>
      </c>
      <c r="I726">
        <v>88.83</v>
      </c>
      <c r="J726">
        <f>IFERROR(INDEX(Suppliar[Estimated Carbon Footprint (tons CO₂e)],MATCH('Merge operational &amp; suppliar'!A726,Suppliar[Facility ID],0)),"")</f>
        <v>847.51</v>
      </c>
      <c r="K726">
        <f>IFERROR(INDEX(Suppliar[Income Distribution (%)],MATCH('Merge operational &amp; suppliar'!A726,Suppliar[Facility ID],0)),"")</f>
        <v>26.48</v>
      </c>
    </row>
    <row r="727" spans="1:11" x14ac:dyDescent="0.3">
      <c r="A727" t="s">
        <v>67</v>
      </c>
      <c r="B727" t="s">
        <v>7</v>
      </c>
      <c r="C727" t="s">
        <v>23</v>
      </c>
      <c r="D727" t="s">
        <v>9</v>
      </c>
      <c r="E727" t="s">
        <v>15</v>
      </c>
      <c r="F727">
        <v>2290.64</v>
      </c>
      <c r="G727">
        <v>70582</v>
      </c>
      <c r="H727">
        <v>7517.59</v>
      </c>
      <c r="I727">
        <v>95.71</v>
      </c>
      <c r="J727" t="str">
        <f>IFERROR(INDEX(Suppliar[Estimated Carbon Footprint (tons CO₂e)],MATCH('Merge operational &amp; suppliar'!A727,Suppliar[Facility ID],0)),"")</f>
        <v/>
      </c>
      <c r="K727" t="str">
        <f>IFERROR(INDEX(Suppliar[Income Distribution (%)],MATCH('Merge operational &amp; suppliar'!A727,Suppliar[Facility ID],0)),"")</f>
        <v/>
      </c>
    </row>
    <row r="728" spans="1:11" x14ac:dyDescent="0.3">
      <c r="A728" t="s">
        <v>105</v>
      </c>
      <c r="B728" t="s">
        <v>30</v>
      </c>
      <c r="C728" t="s">
        <v>23</v>
      </c>
      <c r="D728" t="s">
        <v>14</v>
      </c>
      <c r="E728" t="s">
        <v>24</v>
      </c>
      <c r="F728">
        <v>4937.24</v>
      </c>
      <c r="G728">
        <v>87337</v>
      </c>
      <c r="H728">
        <v>3603.06</v>
      </c>
      <c r="I728">
        <v>67.13</v>
      </c>
      <c r="J728" t="str">
        <f>IFERROR(INDEX(Suppliar[Estimated Carbon Footprint (tons CO₂e)],MATCH('Merge operational &amp; suppliar'!A728,Suppliar[Facility ID],0)),"")</f>
        <v/>
      </c>
      <c r="K728" t="str">
        <f>IFERROR(INDEX(Suppliar[Income Distribution (%)],MATCH('Merge operational &amp; suppliar'!A728,Suppliar[Facility ID],0)),"")</f>
        <v/>
      </c>
    </row>
    <row r="729" spans="1:11" x14ac:dyDescent="0.3">
      <c r="A729" t="s">
        <v>150</v>
      </c>
      <c r="B729" t="s">
        <v>30</v>
      </c>
      <c r="C729" t="s">
        <v>23</v>
      </c>
      <c r="D729" t="s">
        <v>9</v>
      </c>
      <c r="E729" t="s">
        <v>15</v>
      </c>
      <c r="F729">
        <v>1728.81</v>
      </c>
      <c r="G729">
        <v>98356</v>
      </c>
      <c r="H729">
        <v>6968.69</v>
      </c>
      <c r="I729">
        <v>81.72</v>
      </c>
      <c r="J729">
        <f>IFERROR(INDEX(Suppliar[Estimated Carbon Footprint (tons CO₂e)],MATCH('Merge operational &amp; suppliar'!A729,Suppliar[Facility ID],0)),"")</f>
        <v>795.74</v>
      </c>
      <c r="K729">
        <f>IFERROR(INDEX(Suppliar[Income Distribution (%)],MATCH('Merge operational &amp; suppliar'!A729,Suppliar[Facility ID],0)),"")</f>
        <v>22.41</v>
      </c>
    </row>
    <row r="730" spans="1:11" x14ac:dyDescent="0.3">
      <c r="A730" t="s">
        <v>213</v>
      </c>
      <c r="B730" t="s">
        <v>12</v>
      </c>
      <c r="C730" t="s">
        <v>13</v>
      </c>
      <c r="D730" t="s">
        <v>14</v>
      </c>
      <c r="E730" t="s">
        <v>10</v>
      </c>
      <c r="F730">
        <v>372.7</v>
      </c>
      <c r="G730">
        <v>58622</v>
      </c>
      <c r="H730">
        <v>7795.36</v>
      </c>
      <c r="I730">
        <v>59.81</v>
      </c>
      <c r="J730">
        <f>IFERROR(INDEX(Suppliar[Estimated Carbon Footprint (tons CO₂e)],MATCH('Merge operational &amp; suppliar'!A730,Suppliar[Facility ID],0)),"")</f>
        <v>807.86</v>
      </c>
      <c r="K730">
        <f>IFERROR(INDEX(Suppliar[Income Distribution (%)],MATCH('Merge operational &amp; suppliar'!A730,Suppliar[Facility ID],0)),"")</f>
        <v>32.130000000000003</v>
      </c>
    </row>
    <row r="731" spans="1:11" x14ac:dyDescent="0.3">
      <c r="A731" t="s">
        <v>80</v>
      </c>
      <c r="B731" t="s">
        <v>17</v>
      </c>
      <c r="C731" t="s">
        <v>8</v>
      </c>
      <c r="D731" t="s">
        <v>14</v>
      </c>
      <c r="E731" t="s">
        <v>24</v>
      </c>
      <c r="F731">
        <v>3677.7</v>
      </c>
      <c r="G731">
        <v>75508</v>
      </c>
      <c r="H731">
        <v>6856.22</v>
      </c>
      <c r="I731">
        <v>18.2</v>
      </c>
      <c r="J731">
        <f>IFERROR(INDEX(Suppliar[Estimated Carbon Footprint (tons CO₂e)],MATCH('Merge operational &amp; suppliar'!A731,Suppliar[Facility ID],0)),"")</f>
        <v>991.03</v>
      </c>
      <c r="K731">
        <f>IFERROR(INDEX(Suppliar[Income Distribution (%)],MATCH('Merge operational &amp; suppliar'!A731,Suppliar[Facility ID],0)),"")</f>
        <v>13.32</v>
      </c>
    </row>
    <row r="732" spans="1:11" x14ac:dyDescent="0.3">
      <c r="A732" t="s">
        <v>20</v>
      </c>
      <c r="B732" t="s">
        <v>17</v>
      </c>
      <c r="C732" t="s">
        <v>34</v>
      </c>
      <c r="D732" t="s">
        <v>28</v>
      </c>
      <c r="E732" t="s">
        <v>10</v>
      </c>
      <c r="F732">
        <v>2576.7800000000002</v>
      </c>
      <c r="G732">
        <v>29895</v>
      </c>
      <c r="H732">
        <v>1631.08</v>
      </c>
      <c r="I732">
        <v>39.93</v>
      </c>
      <c r="J732">
        <f>IFERROR(INDEX(Suppliar[Estimated Carbon Footprint (tons CO₂e)],MATCH('Merge operational &amp; suppliar'!A732,Suppliar[Facility ID],0)),"")</f>
        <v>959.2</v>
      </c>
      <c r="K732">
        <f>IFERROR(INDEX(Suppliar[Income Distribution (%)],MATCH('Merge operational &amp; suppliar'!A732,Suppliar[Facility ID],0)),"")</f>
        <v>38.840000000000003</v>
      </c>
    </row>
    <row r="733" spans="1:11" x14ac:dyDescent="0.3">
      <c r="A733" t="s">
        <v>111</v>
      </c>
      <c r="B733" t="s">
        <v>19</v>
      </c>
      <c r="C733" t="s">
        <v>8</v>
      </c>
      <c r="D733" t="s">
        <v>28</v>
      </c>
      <c r="E733" t="s">
        <v>10</v>
      </c>
      <c r="F733">
        <v>2972.77</v>
      </c>
      <c r="G733">
        <v>37309</v>
      </c>
      <c r="H733">
        <v>4508.54</v>
      </c>
      <c r="I733">
        <v>47.15</v>
      </c>
      <c r="J733">
        <f>IFERROR(INDEX(Suppliar[Estimated Carbon Footprint (tons CO₂e)],MATCH('Merge operational &amp; suppliar'!A733,Suppliar[Facility ID],0)),"")</f>
        <v>951.35</v>
      </c>
      <c r="K733">
        <f>IFERROR(INDEX(Suppliar[Income Distribution (%)],MATCH('Merge operational &amp; suppliar'!A733,Suppliar[Facility ID],0)),"")</f>
        <v>47.12</v>
      </c>
    </row>
    <row r="734" spans="1:11" x14ac:dyDescent="0.3">
      <c r="A734" t="s">
        <v>87</v>
      </c>
      <c r="B734" t="s">
        <v>12</v>
      </c>
      <c r="C734" t="s">
        <v>23</v>
      </c>
      <c r="D734" t="s">
        <v>28</v>
      </c>
      <c r="E734" t="s">
        <v>24</v>
      </c>
      <c r="F734">
        <v>3995.86</v>
      </c>
      <c r="G734">
        <v>15333</v>
      </c>
      <c r="H734">
        <v>2570.54</v>
      </c>
      <c r="I734">
        <v>41.07</v>
      </c>
      <c r="J734">
        <f>IFERROR(INDEX(Suppliar[Estimated Carbon Footprint (tons CO₂e)],MATCH('Merge operational &amp; suppliar'!A734,Suppliar[Facility ID],0)),"")</f>
        <v>390.06</v>
      </c>
      <c r="K734">
        <f>IFERROR(INDEX(Suppliar[Income Distribution (%)],MATCH('Merge operational &amp; suppliar'!A734,Suppliar[Facility ID],0)),"")</f>
        <v>31.43</v>
      </c>
    </row>
    <row r="735" spans="1:11" x14ac:dyDescent="0.3">
      <c r="A735" t="s">
        <v>84</v>
      </c>
      <c r="B735" t="s">
        <v>30</v>
      </c>
      <c r="C735" t="s">
        <v>13</v>
      </c>
      <c r="D735" t="s">
        <v>14</v>
      </c>
      <c r="E735" t="s">
        <v>15</v>
      </c>
      <c r="F735">
        <v>2798.95</v>
      </c>
      <c r="G735">
        <v>85444</v>
      </c>
      <c r="H735">
        <v>852.57</v>
      </c>
      <c r="I735">
        <v>72.650000000000006</v>
      </c>
      <c r="J735">
        <f>IFERROR(INDEX(Suppliar[Estimated Carbon Footprint (tons CO₂e)],MATCH('Merge operational &amp; suppliar'!A735,Suppliar[Facility ID],0)),"")</f>
        <v>319.93</v>
      </c>
      <c r="K735">
        <f>IFERROR(INDEX(Suppliar[Income Distribution (%)],MATCH('Merge operational &amp; suppliar'!A735,Suppliar[Facility ID],0)),"")</f>
        <v>34.35</v>
      </c>
    </row>
    <row r="736" spans="1:11" x14ac:dyDescent="0.3">
      <c r="A736" t="s">
        <v>36</v>
      </c>
      <c r="B736" t="s">
        <v>12</v>
      </c>
      <c r="C736" t="s">
        <v>8</v>
      </c>
      <c r="D736" t="s">
        <v>28</v>
      </c>
      <c r="E736" t="s">
        <v>15</v>
      </c>
      <c r="F736">
        <v>204.44</v>
      </c>
      <c r="G736">
        <v>40226</v>
      </c>
      <c r="H736">
        <v>7868.86</v>
      </c>
      <c r="I736">
        <v>80.53</v>
      </c>
      <c r="J736">
        <f>IFERROR(INDEX(Suppliar[Estimated Carbon Footprint (tons CO₂e)],MATCH('Merge operational &amp; suppliar'!A736,Suppliar[Facility ID],0)),"")</f>
        <v>231.68</v>
      </c>
      <c r="K736">
        <f>IFERROR(INDEX(Suppliar[Income Distribution (%)],MATCH('Merge operational &amp; suppliar'!A736,Suppliar[Facility ID],0)),"")</f>
        <v>15.92</v>
      </c>
    </row>
    <row r="737" spans="1:11" x14ac:dyDescent="0.3">
      <c r="A737" t="s">
        <v>179</v>
      </c>
      <c r="B737" t="s">
        <v>7</v>
      </c>
      <c r="C737" t="s">
        <v>8</v>
      </c>
      <c r="D737" t="s">
        <v>14</v>
      </c>
      <c r="E737" t="s">
        <v>15</v>
      </c>
      <c r="F737">
        <v>2646.82</v>
      </c>
      <c r="G737">
        <v>94393</v>
      </c>
      <c r="H737">
        <v>6691.7</v>
      </c>
      <c r="I737">
        <v>74.790000000000006</v>
      </c>
      <c r="J737">
        <f>IFERROR(INDEX(Suppliar[Estimated Carbon Footprint (tons CO₂e)],MATCH('Merge operational &amp; suppliar'!A737,Suppliar[Facility ID],0)),"")</f>
        <v>867.66</v>
      </c>
      <c r="K737">
        <f>IFERROR(INDEX(Suppliar[Income Distribution (%)],MATCH('Merge operational &amp; suppliar'!A737,Suppliar[Facility ID],0)),"")</f>
        <v>32.97</v>
      </c>
    </row>
    <row r="738" spans="1:11" x14ac:dyDescent="0.3">
      <c r="A738" t="s">
        <v>50</v>
      </c>
      <c r="B738" t="s">
        <v>19</v>
      </c>
      <c r="C738" t="s">
        <v>13</v>
      </c>
      <c r="D738" t="s">
        <v>14</v>
      </c>
      <c r="E738" t="s">
        <v>15</v>
      </c>
      <c r="F738">
        <v>2960.39</v>
      </c>
      <c r="G738">
        <v>40577</v>
      </c>
      <c r="H738">
        <v>4280.82</v>
      </c>
      <c r="I738">
        <v>79.88</v>
      </c>
      <c r="J738">
        <f>IFERROR(INDEX(Suppliar[Estimated Carbon Footprint (tons CO₂e)],MATCH('Merge operational &amp; suppliar'!A738,Suppliar[Facility ID],0)),"")</f>
        <v>932.3</v>
      </c>
      <c r="K738">
        <f>IFERROR(INDEX(Suppliar[Income Distribution (%)],MATCH('Merge operational &amp; suppliar'!A738,Suppliar[Facility ID],0)),"")</f>
        <v>10.19</v>
      </c>
    </row>
    <row r="739" spans="1:11" x14ac:dyDescent="0.3">
      <c r="A739" t="s">
        <v>78</v>
      </c>
      <c r="B739" t="s">
        <v>7</v>
      </c>
      <c r="C739" t="s">
        <v>13</v>
      </c>
      <c r="D739" t="s">
        <v>14</v>
      </c>
      <c r="E739" t="s">
        <v>24</v>
      </c>
      <c r="F739">
        <v>1696.88</v>
      </c>
      <c r="G739">
        <v>86557</v>
      </c>
      <c r="H739">
        <v>8631.2800000000007</v>
      </c>
      <c r="I739">
        <v>69.53</v>
      </c>
      <c r="J739" t="str">
        <f>IFERROR(INDEX(Suppliar[Estimated Carbon Footprint (tons CO₂e)],MATCH('Merge operational &amp; suppliar'!A739,Suppliar[Facility ID],0)),"")</f>
        <v/>
      </c>
      <c r="K739" t="str">
        <f>IFERROR(INDEX(Suppliar[Income Distribution (%)],MATCH('Merge operational &amp; suppliar'!A739,Suppliar[Facility ID],0)),"")</f>
        <v/>
      </c>
    </row>
    <row r="740" spans="1:11" x14ac:dyDescent="0.3">
      <c r="A740" t="s">
        <v>214</v>
      </c>
      <c r="B740" t="s">
        <v>30</v>
      </c>
      <c r="C740" t="s">
        <v>13</v>
      </c>
      <c r="D740" t="s">
        <v>9</v>
      </c>
      <c r="E740" t="s">
        <v>24</v>
      </c>
      <c r="F740">
        <v>623</v>
      </c>
      <c r="G740">
        <v>79330</v>
      </c>
      <c r="H740">
        <v>6075.23</v>
      </c>
      <c r="I740">
        <v>83.97</v>
      </c>
      <c r="J740">
        <f>IFERROR(INDEX(Suppliar[Estimated Carbon Footprint (tons CO₂e)],MATCH('Merge operational &amp; suppliar'!A740,Suppliar[Facility ID],0)),"")</f>
        <v>209.33</v>
      </c>
      <c r="K740">
        <f>IFERROR(INDEX(Suppliar[Income Distribution (%)],MATCH('Merge operational &amp; suppliar'!A740,Suppliar[Facility ID],0)),"")</f>
        <v>13.62</v>
      </c>
    </row>
    <row r="741" spans="1:11" x14ac:dyDescent="0.3">
      <c r="A741" t="s">
        <v>128</v>
      </c>
      <c r="B741" t="s">
        <v>12</v>
      </c>
      <c r="C741" t="s">
        <v>23</v>
      </c>
      <c r="D741" t="s">
        <v>14</v>
      </c>
      <c r="E741" t="s">
        <v>24</v>
      </c>
      <c r="F741">
        <v>1684.41</v>
      </c>
      <c r="G741">
        <v>29406</v>
      </c>
      <c r="H741">
        <v>5281.69</v>
      </c>
      <c r="I741">
        <v>27.01</v>
      </c>
      <c r="J741">
        <f>IFERROR(INDEX(Suppliar[Estimated Carbon Footprint (tons CO₂e)],MATCH('Merge operational &amp; suppliar'!A741,Suppliar[Facility ID],0)),"")</f>
        <v>231.68</v>
      </c>
      <c r="K741">
        <f>IFERROR(INDEX(Suppliar[Income Distribution (%)],MATCH('Merge operational &amp; suppliar'!A741,Suppliar[Facility ID],0)),"")</f>
        <v>13.88</v>
      </c>
    </row>
    <row r="742" spans="1:11" x14ac:dyDescent="0.3">
      <c r="A742" t="s">
        <v>68</v>
      </c>
      <c r="B742" t="s">
        <v>12</v>
      </c>
      <c r="C742" t="s">
        <v>34</v>
      </c>
      <c r="D742" t="s">
        <v>14</v>
      </c>
      <c r="E742" t="s">
        <v>24</v>
      </c>
      <c r="F742">
        <v>3307.16</v>
      </c>
      <c r="G742">
        <v>69100</v>
      </c>
      <c r="H742">
        <v>9356.02</v>
      </c>
      <c r="I742">
        <v>16.5</v>
      </c>
      <c r="J742">
        <f>IFERROR(INDEX(Suppliar[Estimated Carbon Footprint (tons CO₂e)],MATCH('Merge operational &amp; suppliar'!A742,Suppliar[Facility ID],0)),"")</f>
        <v>694.92</v>
      </c>
      <c r="K742">
        <f>IFERROR(INDEX(Suppliar[Income Distribution (%)],MATCH('Merge operational &amp; suppliar'!A742,Suppliar[Facility ID],0)),"")</f>
        <v>23.67</v>
      </c>
    </row>
    <row r="743" spans="1:11" x14ac:dyDescent="0.3">
      <c r="A743" t="s">
        <v>38</v>
      </c>
      <c r="B743" t="s">
        <v>30</v>
      </c>
      <c r="C743" t="s">
        <v>34</v>
      </c>
      <c r="D743" t="s">
        <v>9</v>
      </c>
      <c r="E743" t="s">
        <v>10</v>
      </c>
      <c r="F743">
        <v>2731.17</v>
      </c>
      <c r="G743">
        <v>57215</v>
      </c>
      <c r="H743">
        <v>3227.1</v>
      </c>
      <c r="I743">
        <v>32.909999999999997</v>
      </c>
      <c r="J743">
        <f>IFERROR(INDEX(Suppliar[Estimated Carbon Footprint (tons CO₂e)],MATCH('Merge operational &amp; suppliar'!A743,Suppliar[Facility ID],0)),"")</f>
        <v>951.35</v>
      </c>
      <c r="K743">
        <f>IFERROR(INDEX(Suppliar[Income Distribution (%)],MATCH('Merge operational &amp; suppliar'!A743,Suppliar[Facility ID],0)),"")</f>
        <v>33.299999999999997</v>
      </c>
    </row>
    <row r="744" spans="1:11" x14ac:dyDescent="0.3">
      <c r="A744" t="s">
        <v>29</v>
      </c>
      <c r="B744" t="s">
        <v>30</v>
      </c>
      <c r="C744" t="s">
        <v>13</v>
      </c>
      <c r="D744" t="s">
        <v>28</v>
      </c>
      <c r="E744" t="s">
        <v>24</v>
      </c>
      <c r="F744">
        <v>2861.41</v>
      </c>
      <c r="G744">
        <v>32131</v>
      </c>
      <c r="H744">
        <v>1474.23</v>
      </c>
      <c r="I744">
        <v>45.47</v>
      </c>
      <c r="J744">
        <f>IFERROR(INDEX(Suppliar[Estimated Carbon Footprint (tons CO₂e)],MATCH('Merge operational &amp; suppliar'!A744,Suppliar[Facility ID],0)),"")</f>
        <v>830.73</v>
      </c>
      <c r="K744">
        <f>IFERROR(INDEX(Suppliar[Income Distribution (%)],MATCH('Merge operational &amp; suppliar'!A744,Suppliar[Facility ID],0)),"")</f>
        <v>17.97</v>
      </c>
    </row>
    <row r="745" spans="1:11" x14ac:dyDescent="0.3">
      <c r="A745" t="s">
        <v>117</v>
      </c>
      <c r="B745" t="s">
        <v>7</v>
      </c>
      <c r="C745" t="s">
        <v>34</v>
      </c>
      <c r="D745" t="s">
        <v>14</v>
      </c>
      <c r="E745" t="s">
        <v>15</v>
      </c>
      <c r="F745">
        <v>2409.39</v>
      </c>
      <c r="G745">
        <v>89321</v>
      </c>
      <c r="H745">
        <v>9836.34</v>
      </c>
      <c r="I745">
        <v>16.989999999999998</v>
      </c>
      <c r="J745">
        <f>IFERROR(INDEX(Suppliar[Estimated Carbon Footprint (tons CO₂e)],MATCH('Merge operational &amp; suppliar'!A745,Suppliar[Facility ID],0)),"")</f>
        <v>105.67</v>
      </c>
      <c r="K745">
        <f>IFERROR(INDEX(Suppliar[Income Distribution (%)],MATCH('Merge operational &amp; suppliar'!A745,Suppliar[Facility ID],0)),"")</f>
        <v>15.41</v>
      </c>
    </row>
    <row r="746" spans="1:11" x14ac:dyDescent="0.3">
      <c r="A746" t="s">
        <v>125</v>
      </c>
      <c r="B746" t="s">
        <v>7</v>
      </c>
      <c r="C746" t="s">
        <v>13</v>
      </c>
      <c r="D746" t="s">
        <v>28</v>
      </c>
      <c r="E746" t="s">
        <v>24</v>
      </c>
      <c r="F746">
        <v>1958.41</v>
      </c>
      <c r="G746">
        <v>56392</v>
      </c>
      <c r="H746">
        <v>5703.76</v>
      </c>
      <c r="I746">
        <v>23.04</v>
      </c>
      <c r="J746">
        <f>IFERROR(INDEX(Suppliar[Estimated Carbon Footprint (tons CO₂e)],MATCH('Merge operational &amp; suppliar'!A746,Suppliar[Facility ID],0)),"")</f>
        <v>991.03</v>
      </c>
      <c r="K746">
        <f>IFERROR(INDEX(Suppliar[Income Distribution (%)],MATCH('Merge operational &amp; suppliar'!A746,Suppliar[Facility ID],0)),"")</f>
        <v>27.62</v>
      </c>
    </row>
    <row r="747" spans="1:11" x14ac:dyDescent="0.3">
      <c r="A747" t="s">
        <v>87</v>
      </c>
      <c r="B747" t="s">
        <v>12</v>
      </c>
      <c r="C747" t="s">
        <v>8</v>
      </c>
      <c r="D747" t="s">
        <v>28</v>
      </c>
      <c r="E747" t="s">
        <v>10</v>
      </c>
      <c r="F747">
        <v>2816.97</v>
      </c>
      <c r="G747">
        <v>15333</v>
      </c>
      <c r="H747">
        <v>2570.54</v>
      </c>
      <c r="I747">
        <v>41.07</v>
      </c>
      <c r="J747">
        <f>IFERROR(INDEX(Suppliar[Estimated Carbon Footprint (tons CO₂e)],MATCH('Merge operational &amp; suppliar'!A747,Suppliar[Facility ID],0)),"")</f>
        <v>390.06</v>
      </c>
      <c r="K747">
        <f>IFERROR(INDEX(Suppliar[Income Distribution (%)],MATCH('Merge operational &amp; suppliar'!A747,Suppliar[Facility ID],0)),"")</f>
        <v>31.43</v>
      </c>
    </row>
    <row r="748" spans="1:11" x14ac:dyDescent="0.3">
      <c r="A748" t="s">
        <v>164</v>
      </c>
      <c r="B748" t="s">
        <v>19</v>
      </c>
      <c r="C748" t="s">
        <v>8</v>
      </c>
      <c r="D748" t="s">
        <v>14</v>
      </c>
      <c r="E748" t="s">
        <v>24</v>
      </c>
      <c r="F748">
        <v>4263.92</v>
      </c>
      <c r="G748">
        <v>69636</v>
      </c>
      <c r="H748">
        <v>4246.55</v>
      </c>
      <c r="I748">
        <v>69.290000000000006</v>
      </c>
      <c r="J748">
        <f>IFERROR(INDEX(Suppliar[Estimated Carbon Footprint (tons CO₂e)],MATCH('Merge operational &amp; suppliar'!A748,Suppliar[Facility ID],0)),"")</f>
        <v>362.43</v>
      </c>
      <c r="K748">
        <f>IFERROR(INDEX(Suppliar[Income Distribution (%)],MATCH('Merge operational &amp; suppliar'!A748,Suppliar[Facility ID],0)),"")</f>
        <v>54.81</v>
      </c>
    </row>
    <row r="749" spans="1:11" x14ac:dyDescent="0.3">
      <c r="A749" t="s">
        <v>163</v>
      </c>
      <c r="B749" t="s">
        <v>19</v>
      </c>
      <c r="C749" t="s">
        <v>34</v>
      </c>
      <c r="D749" t="s">
        <v>14</v>
      </c>
      <c r="E749" t="s">
        <v>24</v>
      </c>
      <c r="F749">
        <v>1867.58</v>
      </c>
      <c r="G749">
        <v>87482</v>
      </c>
      <c r="H749">
        <v>2231.7399999999998</v>
      </c>
      <c r="I749">
        <v>45.43</v>
      </c>
      <c r="J749">
        <f>IFERROR(INDEX(Suppliar[Estimated Carbon Footprint (tons CO₂e)],MATCH('Merge operational &amp; suppliar'!A749,Suppliar[Facility ID],0)),"")</f>
        <v>638.89</v>
      </c>
      <c r="K749">
        <f>IFERROR(INDEX(Suppliar[Income Distribution (%)],MATCH('Merge operational &amp; suppliar'!A749,Suppliar[Facility ID],0)),"")</f>
        <v>24.69</v>
      </c>
    </row>
    <row r="750" spans="1:11" x14ac:dyDescent="0.3">
      <c r="A750" t="s">
        <v>54</v>
      </c>
      <c r="B750" t="s">
        <v>12</v>
      </c>
      <c r="C750" t="s">
        <v>23</v>
      </c>
      <c r="D750" t="s">
        <v>9</v>
      </c>
      <c r="E750" t="s">
        <v>10</v>
      </c>
      <c r="F750">
        <v>3447.61</v>
      </c>
      <c r="G750">
        <v>58111</v>
      </c>
      <c r="H750">
        <v>4610.8999999999996</v>
      </c>
      <c r="I750">
        <v>21.53</v>
      </c>
      <c r="J750">
        <f>IFERROR(INDEX(Suppliar[Estimated Carbon Footprint (tons CO₂e)],MATCH('Merge operational &amp; suppliar'!A750,Suppliar[Facility ID],0)),"")</f>
        <v>268.16000000000003</v>
      </c>
      <c r="K750">
        <f>IFERROR(INDEX(Suppliar[Income Distribution (%)],MATCH('Merge operational &amp; suppliar'!A750,Suppliar[Facility ID],0)),"")</f>
        <v>13.78</v>
      </c>
    </row>
    <row r="751" spans="1:11" x14ac:dyDescent="0.3">
      <c r="A751" t="s">
        <v>75</v>
      </c>
      <c r="B751" t="s">
        <v>19</v>
      </c>
      <c r="C751" t="s">
        <v>34</v>
      </c>
      <c r="D751" t="s">
        <v>9</v>
      </c>
      <c r="E751" t="s">
        <v>15</v>
      </c>
      <c r="F751">
        <v>4785.58</v>
      </c>
      <c r="G751">
        <v>54136</v>
      </c>
      <c r="H751">
        <v>2775.38</v>
      </c>
      <c r="I751">
        <v>75.459999999999994</v>
      </c>
      <c r="J751">
        <f>IFERROR(INDEX(Suppliar[Estimated Carbon Footprint (tons CO₂e)],MATCH('Merge operational &amp; suppliar'!A751,Suppliar[Facility ID],0)),"")</f>
        <v>932.3</v>
      </c>
      <c r="K751">
        <f>IFERROR(INDEX(Suppliar[Income Distribution (%)],MATCH('Merge operational &amp; suppliar'!A751,Suppliar[Facility ID],0)),"")</f>
        <v>16.93</v>
      </c>
    </row>
    <row r="752" spans="1:11" x14ac:dyDescent="0.3">
      <c r="A752" t="s">
        <v>68</v>
      </c>
      <c r="B752" t="s">
        <v>12</v>
      </c>
      <c r="C752" t="s">
        <v>23</v>
      </c>
      <c r="D752" t="s">
        <v>14</v>
      </c>
      <c r="E752" t="s">
        <v>15</v>
      </c>
      <c r="F752">
        <v>3739.05</v>
      </c>
      <c r="G752">
        <v>69100</v>
      </c>
      <c r="H752">
        <v>9356.02</v>
      </c>
      <c r="I752">
        <v>16.5</v>
      </c>
      <c r="J752">
        <f>IFERROR(INDEX(Suppliar[Estimated Carbon Footprint (tons CO₂e)],MATCH('Merge operational &amp; suppliar'!A752,Suppliar[Facility ID],0)),"")</f>
        <v>694.92</v>
      </c>
      <c r="K752">
        <f>IFERROR(INDEX(Suppliar[Income Distribution (%)],MATCH('Merge operational &amp; suppliar'!A752,Suppliar[Facility ID],0)),"")</f>
        <v>23.67</v>
      </c>
    </row>
    <row r="753" spans="1:11" x14ac:dyDescent="0.3">
      <c r="A753" t="s">
        <v>25</v>
      </c>
      <c r="B753" t="s">
        <v>19</v>
      </c>
      <c r="C753" t="s">
        <v>34</v>
      </c>
      <c r="D753" t="s">
        <v>14</v>
      </c>
      <c r="E753" t="s">
        <v>10</v>
      </c>
      <c r="F753">
        <v>4330.71</v>
      </c>
      <c r="G753">
        <v>95306</v>
      </c>
      <c r="H753">
        <v>9037.76</v>
      </c>
      <c r="I753">
        <v>13.35</v>
      </c>
      <c r="J753">
        <f>IFERROR(INDEX(Suppliar[Estimated Carbon Footprint (tons CO₂e)],MATCH('Merge operational &amp; suppliar'!A753,Suppliar[Facility ID],0)),"")</f>
        <v>724.63</v>
      </c>
      <c r="K753">
        <f>IFERROR(INDEX(Suppliar[Income Distribution (%)],MATCH('Merge operational &amp; suppliar'!A753,Suppliar[Facility ID],0)),"")</f>
        <v>21.2</v>
      </c>
    </row>
    <row r="754" spans="1:11" x14ac:dyDescent="0.3">
      <c r="A754" t="s">
        <v>156</v>
      </c>
      <c r="B754" t="s">
        <v>17</v>
      </c>
      <c r="C754" t="s">
        <v>13</v>
      </c>
      <c r="D754" t="s">
        <v>9</v>
      </c>
      <c r="E754" t="s">
        <v>24</v>
      </c>
      <c r="F754">
        <v>1947.42</v>
      </c>
      <c r="G754">
        <v>81057</v>
      </c>
      <c r="H754">
        <v>675.41</v>
      </c>
      <c r="I754">
        <v>55.44</v>
      </c>
      <c r="J754">
        <f>IFERROR(INDEX(Suppliar[Estimated Carbon Footprint (tons CO₂e)],MATCH('Merge operational &amp; suppliar'!A754,Suppliar[Facility ID],0)),"")</f>
        <v>847.51</v>
      </c>
      <c r="K754">
        <f>IFERROR(INDEX(Suppliar[Income Distribution (%)],MATCH('Merge operational &amp; suppliar'!A754,Suppliar[Facility ID],0)),"")</f>
        <v>28.03</v>
      </c>
    </row>
    <row r="755" spans="1:11" x14ac:dyDescent="0.3">
      <c r="A755" t="s">
        <v>119</v>
      </c>
      <c r="B755" t="s">
        <v>30</v>
      </c>
      <c r="C755" t="s">
        <v>23</v>
      </c>
      <c r="D755" t="s">
        <v>14</v>
      </c>
      <c r="E755" t="s">
        <v>24</v>
      </c>
      <c r="F755">
        <v>2840.62</v>
      </c>
      <c r="G755">
        <v>80488</v>
      </c>
      <c r="H755">
        <v>7629.95</v>
      </c>
      <c r="I755">
        <v>63.83</v>
      </c>
      <c r="J755">
        <f>IFERROR(INDEX(Suppliar[Estimated Carbon Footprint (tons CO₂e)],MATCH('Merge operational &amp; suppliar'!A755,Suppliar[Facility ID],0)),"")</f>
        <v>847.51</v>
      </c>
      <c r="K755">
        <f>IFERROR(INDEX(Suppliar[Income Distribution (%)],MATCH('Merge operational &amp; suppliar'!A755,Suppliar[Facility ID],0)),"")</f>
        <v>9.9</v>
      </c>
    </row>
    <row r="756" spans="1:11" x14ac:dyDescent="0.3">
      <c r="A756" t="s">
        <v>117</v>
      </c>
      <c r="B756" t="s">
        <v>7</v>
      </c>
      <c r="C756" t="s">
        <v>8</v>
      </c>
      <c r="D756" t="s">
        <v>28</v>
      </c>
      <c r="E756" t="s">
        <v>24</v>
      </c>
      <c r="F756">
        <v>2415.5100000000002</v>
      </c>
      <c r="G756">
        <v>89321</v>
      </c>
      <c r="H756">
        <v>9836.34</v>
      </c>
      <c r="I756">
        <v>16.989999999999998</v>
      </c>
      <c r="J756">
        <f>IFERROR(INDEX(Suppliar[Estimated Carbon Footprint (tons CO₂e)],MATCH('Merge operational &amp; suppliar'!A756,Suppliar[Facility ID],0)),"")</f>
        <v>105.67</v>
      </c>
      <c r="K756">
        <f>IFERROR(INDEX(Suppliar[Income Distribution (%)],MATCH('Merge operational &amp; suppliar'!A756,Suppliar[Facility ID],0)),"")</f>
        <v>15.41</v>
      </c>
    </row>
    <row r="757" spans="1:11" x14ac:dyDescent="0.3">
      <c r="A757" t="s">
        <v>140</v>
      </c>
      <c r="B757" t="s">
        <v>17</v>
      </c>
      <c r="C757" t="s">
        <v>34</v>
      </c>
      <c r="D757" t="s">
        <v>9</v>
      </c>
      <c r="E757" t="s">
        <v>10</v>
      </c>
      <c r="F757">
        <v>5161.46</v>
      </c>
      <c r="G757">
        <v>88308</v>
      </c>
      <c r="H757">
        <v>7802.07</v>
      </c>
      <c r="I757">
        <v>36.130000000000003</v>
      </c>
      <c r="J757">
        <f>IFERROR(INDEX(Suppliar[Estimated Carbon Footprint (tons CO₂e)],MATCH('Merge operational &amp; suppliar'!A757,Suppliar[Facility ID],0)),"")</f>
        <v>557.72</v>
      </c>
      <c r="K757">
        <f>IFERROR(INDEX(Suppliar[Income Distribution (%)],MATCH('Merge operational &amp; suppliar'!A757,Suppliar[Facility ID],0)),"")</f>
        <v>62.75</v>
      </c>
    </row>
    <row r="758" spans="1:11" x14ac:dyDescent="0.3">
      <c r="A758" t="s">
        <v>141</v>
      </c>
      <c r="B758" t="s">
        <v>7</v>
      </c>
      <c r="C758" t="s">
        <v>23</v>
      </c>
      <c r="D758" t="s">
        <v>14</v>
      </c>
      <c r="E758" t="s">
        <v>24</v>
      </c>
      <c r="F758">
        <v>2359.52</v>
      </c>
      <c r="G758">
        <v>45644</v>
      </c>
      <c r="H758">
        <v>7724.73</v>
      </c>
      <c r="I758">
        <v>31</v>
      </c>
      <c r="J758">
        <f>IFERROR(INDEX(Suppliar[Estimated Carbon Footprint (tons CO₂e)],MATCH('Merge operational &amp; suppliar'!A758,Suppliar[Facility ID],0)),"")</f>
        <v>685.27</v>
      </c>
      <c r="K758">
        <f>IFERROR(INDEX(Suppliar[Income Distribution (%)],MATCH('Merge operational &amp; suppliar'!A758,Suppliar[Facility ID],0)),"")</f>
        <v>33.94</v>
      </c>
    </row>
    <row r="759" spans="1:11" x14ac:dyDescent="0.3">
      <c r="A759" t="s">
        <v>180</v>
      </c>
      <c r="B759" t="s">
        <v>30</v>
      </c>
      <c r="C759" t="s">
        <v>34</v>
      </c>
      <c r="D759" t="s">
        <v>14</v>
      </c>
      <c r="E759" t="s">
        <v>15</v>
      </c>
      <c r="F759">
        <v>4799.96</v>
      </c>
      <c r="G759">
        <v>72846</v>
      </c>
      <c r="H759">
        <v>5169.53</v>
      </c>
      <c r="I759">
        <v>76.709999999999994</v>
      </c>
      <c r="J759" t="str">
        <f>IFERROR(INDEX(Suppliar[Estimated Carbon Footprint (tons CO₂e)],MATCH('Merge operational &amp; suppliar'!A759,Suppliar[Facility ID],0)),"")</f>
        <v/>
      </c>
      <c r="K759" t="str">
        <f>IFERROR(INDEX(Suppliar[Income Distribution (%)],MATCH('Merge operational &amp; suppliar'!A759,Suppliar[Facility ID],0)),"")</f>
        <v/>
      </c>
    </row>
    <row r="760" spans="1:11" x14ac:dyDescent="0.3">
      <c r="A760" t="s">
        <v>140</v>
      </c>
      <c r="B760" t="s">
        <v>17</v>
      </c>
      <c r="C760" t="s">
        <v>34</v>
      </c>
      <c r="D760" t="s">
        <v>28</v>
      </c>
      <c r="E760" t="s">
        <v>10</v>
      </c>
      <c r="F760">
        <v>152.66999999999999</v>
      </c>
      <c r="G760">
        <v>88308</v>
      </c>
      <c r="H760">
        <v>7802.07</v>
      </c>
      <c r="I760">
        <v>36.130000000000003</v>
      </c>
      <c r="J760">
        <f>IFERROR(INDEX(Suppliar[Estimated Carbon Footprint (tons CO₂e)],MATCH('Merge operational &amp; suppliar'!A760,Suppliar[Facility ID],0)),"")</f>
        <v>557.72</v>
      </c>
      <c r="K760">
        <f>IFERROR(INDEX(Suppliar[Income Distribution (%)],MATCH('Merge operational &amp; suppliar'!A760,Suppliar[Facility ID],0)),"")</f>
        <v>62.75</v>
      </c>
    </row>
    <row r="761" spans="1:11" x14ac:dyDescent="0.3">
      <c r="A761" t="s">
        <v>199</v>
      </c>
      <c r="B761" t="s">
        <v>17</v>
      </c>
      <c r="C761" t="s">
        <v>13</v>
      </c>
      <c r="D761" t="s">
        <v>9</v>
      </c>
      <c r="E761" t="s">
        <v>24</v>
      </c>
      <c r="F761">
        <v>2461.89</v>
      </c>
      <c r="G761">
        <v>77317</v>
      </c>
      <c r="H761">
        <v>4862.95</v>
      </c>
      <c r="I761">
        <v>89.78</v>
      </c>
      <c r="J761">
        <f>IFERROR(INDEX(Suppliar[Estimated Carbon Footprint (tons CO₂e)],MATCH('Merge operational &amp; suppliar'!A761,Suppliar[Facility ID],0)),"")</f>
        <v>960.4</v>
      </c>
      <c r="K761">
        <f>IFERROR(INDEX(Suppliar[Income Distribution (%)],MATCH('Merge operational &amp; suppliar'!A761,Suppliar[Facility ID],0)),"")</f>
        <v>31.34</v>
      </c>
    </row>
    <row r="762" spans="1:11" x14ac:dyDescent="0.3">
      <c r="A762" t="s">
        <v>126</v>
      </c>
      <c r="B762" t="s">
        <v>30</v>
      </c>
      <c r="C762" t="s">
        <v>23</v>
      </c>
      <c r="D762" t="s">
        <v>14</v>
      </c>
      <c r="E762" t="s">
        <v>15</v>
      </c>
      <c r="F762">
        <v>3223.43</v>
      </c>
      <c r="G762">
        <v>35506</v>
      </c>
      <c r="H762">
        <v>1892.04</v>
      </c>
      <c r="I762">
        <v>61.53</v>
      </c>
      <c r="J762" t="str">
        <f>IFERROR(INDEX(Suppliar[Estimated Carbon Footprint (tons CO₂e)],MATCH('Merge operational &amp; suppliar'!A762,Suppliar[Facility ID],0)),"")</f>
        <v/>
      </c>
      <c r="K762" t="str">
        <f>IFERROR(INDEX(Suppliar[Income Distribution (%)],MATCH('Merge operational &amp; suppliar'!A762,Suppliar[Facility ID],0)),"")</f>
        <v/>
      </c>
    </row>
    <row r="763" spans="1:11" x14ac:dyDescent="0.3">
      <c r="A763" t="s">
        <v>58</v>
      </c>
      <c r="B763" t="s">
        <v>17</v>
      </c>
      <c r="C763" t="s">
        <v>34</v>
      </c>
      <c r="D763" t="s">
        <v>28</v>
      </c>
      <c r="E763" t="s">
        <v>15</v>
      </c>
      <c r="F763">
        <v>3987.54</v>
      </c>
      <c r="G763">
        <v>32246</v>
      </c>
      <c r="H763">
        <v>7903.93</v>
      </c>
      <c r="I763">
        <v>42.12</v>
      </c>
      <c r="J763">
        <f>IFERROR(INDEX(Suppliar[Estimated Carbon Footprint (tons CO₂e)],MATCH('Merge operational &amp; suppliar'!A763,Suppliar[Facility ID],0)),"")</f>
        <v>459.56</v>
      </c>
      <c r="K763">
        <f>IFERROR(INDEX(Suppliar[Income Distribution (%)],MATCH('Merge operational &amp; suppliar'!A763,Suppliar[Facility ID],0)),"")</f>
        <v>28.62</v>
      </c>
    </row>
    <row r="764" spans="1:11" x14ac:dyDescent="0.3">
      <c r="A764" t="s">
        <v>32</v>
      </c>
      <c r="B764" t="s">
        <v>7</v>
      </c>
      <c r="C764" t="s">
        <v>23</v>
      </c>
      <c r="D764" t="s">
        <v>14</v>
      </c>
      <c r="E764" t="s">
        <v>24</v>
      </c>
      <c r="F764">
        <v>2592.73</v>
      </c>
      <c r="G764">
        <v>10933</v>
      </c>
      <c r="H764">
        <v>9004.3700000000008</v>
      </c>
      <c r="I764">
        <v>26.84</v>
      </c>
      <c r="J764" t="str">
        <f>IFERROR(INDEX(Suppliar[Estimated Carbon Footprint (tons CO₂e)],MATCH('Merge operational &amp; suppliar'!A764,Suppliar[Facility ID],0)),"")</f>
        <v/>
      </c>
      <c r="K764" t="str">
        <f>IFERROR(INDEX(Suppliar[Income Distribution (%)],MATCH('Merge operational &amp; suppliar'!A764,Suppliar[Facility ID],0)),"")</f>
        <v/>
      </c>
    </row>
    <row r="765" spans="1:11" x14ac:dyDescent="0.3">
      <c r="A765" t="s">
        <v>48</v>
      </c>
      <c r="B765" t="s">
        <v>19</v>
      </c>
      <c r="C765" t="s">
        <v>8</v>
      </c>
      <c r="D765" t="s">
        <v>28</v>
      </c>
      <c r="E765" t="s">
        <v>10</v>
      </c>
      <c r="F765">
        <v>3770.78</v>
      </c>
      <c r="G765">
        <v>11952</v>
      </c>
      <c r="H765">
        <v>4637.74</v>
      </c>
      <c r="I765">
        <v>63.78</v>
      </c>
      <c r="J765">
        <f>IFERROR(INDEX(Suppliar[Estimated Carbon Footprint (tons CO₂e)],MATCH('Merge operational &amp; suppliar'!A765,Suppliar[Facility ID],0)),"")</f>
        <v>886.71</v>
      </c>
      <c r="K765">
        <f>IFERROR(INDEX(Suppliar[Income Distribution (%)],MATCH('Merge operational &amp; suppliar'!A765,Suppliar[Facility ID],0)),"")</f>
        <v>29.53</v>
      </c>
    </row>
    <row r="766" spans="1:11" x14ac:dyDescent="0.3">
      <c r="A766" t="s">
        <v>54</v>
      </c>
      <c r="B766" t="s">
        <v>12</v>
      </c>
      <c r="C766" t="s">
        <v>34</v>
      </c>
      <c r="D766" t="s">
        <v>14</v>
      </c>
      <c r="E766" t="s">
        <v>10</v>
      </c>
      <c r="F766">
        <v>348.87</v>
      </c>
      <c r="G766">
        <v>58111</v>
      </c>
      <c r="H766">
        <v>4610.8999999999996</v>
      </c>
      <c r="I766">
        <v>21.53</v>
      </c>
      <c r="J766">
        <f>IFERROR(INDEX(Suppliar[Estimated Carbon Footprint (tons CO₂e)],MATCH('Merge operational &amp; suppliar'!A766,Suppliar[Facility ID],0)),"")</f>
        <v>268.16000000000003</v>
      </c>
      <c r="K766">
        <f>IFERROR(INDEX(Suppliar[Income Distribution (%)],MATCH('Merge operational &amp; suppliar'!A766,Suppliar[Facility ID],0)),"")</f>
        <v>13.78</v>
      </c>
    </row>
    <row r="767" spans="1:11" x14ac:dyDescent="0.3">
      <c r="A767" t="s">
        <v>189</v>
      </c>
      <c r="B767" t="s">
        <v>19</v>
      </c>
      <c r="C767" t="s">
        <v>13</v>
      </c>
      <c r="D767" t="s">
        <v>14</v>
      </c>
      <c r="E767" t="s">
        <v>15</v>
      </c>
      <c r="F767">
        <v>2278.9499999999998</v>
      </c>
      <c r="G767">
        <v>27681</v>
      </c>
      <c r="H767">
        <v>928.26</v>
      </c>
      <c r="I767">
        <v>44.97</v>
      </c>
      <c r="J767" t="str">
        <f>IFERROR(INDEX(Suppliar[Estimated Carbon Footprint (tons CO₂e)],MATCH('Merge operational &amp; suppliar'!A767,Suppliar[Facility ID],0)),"")</f>
        <v/>
      </c>
      <c r="K767" t="str">
        <f>IFERROR(INDEX(Suppliar[Income Distribution (%)],MATCH('Merge operational &amp; suppliar'!A767,Suppliar[Facility ID],0)),"")</f>
        <v/>
      </c>
    </row>
    <row r="768" spans="1:11" x14ac:dyDescent="0.3">
      <c r="A768" t="s">
        <v>85</v>
      </c>
      <c r="B768" t="s">
        <v>30</v>
      </c>
      <c r="C768" t="s">
        <v>8</v>
      </c>
      <c r="D768" t="s">
        <v>28</v>
      </c>
      <c r="E768" t="s">
        <v>10</v>
      </c>
      <c r="F768">
        <v>2550.35</v>
      </c>
      <c r="G768">
        <v>45519</v>
      </c>
      <c r="H768">
        <v>7987.69</v>
      </c>
      <c r="I768">
        <v>10.86</v>
      </c>
      <c r="J768">
        <f>IFERROR(INDEX(Suppliar[Estimated Carbon Footprint (tons CO₂e)],MATCH('Merge operational &amp; suppliar'!A768,Suppliar[Facility ID],0)),"")</f>
        <v>638.89</v>
      </c>
      <c r="K768">
        <f>IFERROR(INDEX(Suppliar[Income Distribution (%)],MATCH('Merge operational &amp; suppliar'!A768,Suppliar[Facility ID],0)),"")</f>
        <v>35.04</v>
      </c>
    </row>
    <row r="769" spans="1:11" x14ac:dyDescent="0.3">
      <c r="A769" t="s">
        <v>107</v>
      </c>
      <c r="B769" t="s">
        <v>30</v>
      </c>
      <c r="C769" t="s">
        <v>23</v>
      </c>
      <c r="D769" t="s">
        <v>14</v>
      </c>
      <c r="E769" t="s">
        <v>15</v>
      </c>
      <c r="F769">
        <v>2694.43</v>
      </c>
      <c r="G769">
        <v>69305</v>
      </c>
      <c r="H769">
        <v>3203.67</v>
      </c>
      <c r="I769">
        <v>83.65</v>
      </c>
      <c r="J769">
        <f>IFERROR(INDEX(Suppliar[Estimated Carbon Footprint (tons CO₂e)],MATCH('Merge operational &amp; suppliar'!A769,Suppliar[Facility ID],0)),"")</f>
        <v>173.67</v>
      </c>
      <c r="K769">
        <f>IFERROR(INDEX(Suppliar[Income Distribution (%)],MATCH('Merge operational &amp; suppliar'!A769,Suppliar[Facility ID],0)),"")</f>
        <v>67.040000000000006</v>
      </c>
    </row>
    <row r="770" spans="1:11" x14ac:dyDescent="0.3">
      <c r="A770" t="s">
        <v>114</v>
      </c>
      <c r="B770" t="s">
        <v>30</v>
      </c>
      <c r="C770" t="s">
        <v>13</v>
      </c>
      <c r="D770" t="s">
        <v>28</v>
      </c>
      <c r="E770" t="s">
        <v>10</v>
      </c>
      <c r="F770">
        <v>3868.63</v>
      </c>
      <c r="G770">
        <v>29264</v>
      </c>
      <c r="H770">
        <v>8362.7199999999993</v>
      </c>
      <c r="I770">
        <v>61.93</v>
      </c>
      <c r="J770" t="str">
        <f>IFERROR(INDEX(Suppliar[Estimated Carbon Footprint (tons CO₂e)],MATCH('Merge operational &amp; suppliar'!A770,Suppliar[Facility ID],0)),"")</f>
        <v/>
      </c>
      <c r="K770" t="str">
        <f>IFERROR(INDEX(Suppliar[Income Distribution (%)],MATCH('Merge operational &amp; suppliar'!A770,Suppliar[Facility ID],0)),"")</f>
        <v/>
      </c>
    </row>
    <row r="771" spans="1:11" x14ac:dyDescent="0.3">
      <c r="A771" t="s">
        <v>70</v>
      </c>
      <c r="B771" t="s">
        <v>19</v>
      </c>
      <c r="C771" t="s">
        <v>8</v>
      </c>
      <c r="D771" t="s">
        <v>9</v>
      </c>
      <c r="E771" t="s">
        <v>10</v>
      </c>
      <c r="F771">
        <v>297.69</v>
      </c>
      <c r="G771">
        <v>42485</v>
      </c>
      <c r="H771">
        <v>4755.75</v>
      </c>
      <c r="I771">
        <v>10.19</v>
      </c>
      <c r="J771">
        <f>IFERROR(INDEX(Suppliar[Estimated Carbon Footprint (tons CO₂e)],MATCH('Merge operational &amp; suppliar'!A771,Suppliar[Facility ID],0)),"")</f>
        <v>662.74</v>
      </c>
      <c r="K771">
        <f>IFERROR(INDEX(Suppliar[Income Distribution (%)],MATCH('Merge operational &amp; suppliar'!A771,Suppliar[Facility ID],0)),"")</f>
        <v>36.79</v>
      </c>
    </row>
    <row r="772" spans="1:11" x14ac:dyDescent="0.3">
      <c r="A772" t="s">
        <v>119</v>
      </c>
      <c r="B772" t="s">
        <v>30</v>
      </c>
      <c r="C772" t="s">
        <v>8</v>
      </c>
      <c r="D772" t="s">
        <v>28</v>
      </c>
      <c r="E772" t="s">
        <v>24</v>
      </c>
      <c r="F772">
        <v>579.69000000000005</v>
      </c>
      <c r="G772">
        <v>80488</v>
      </c>
      <c r="H772">
        <v>7629.95</v>
      </c>
      <c r="I772">
        <v>63.83</v>
      </c>
      <c r="J772">
        <f>IFERROR(INDEX(Suppliar[Estimated Carbon Footprint (tons CO₂e)],MATCH('Merge operational &amp; suppliar'!A772,Suppliar[Facility ID],0)),"")</f>
        <v>847.51</v>
      </c>
      <c r="K772">
        <f>IFERROR(INDEX(Suppliar[Income Distribution (%)],MATCH('Merge operational &amp; suppliar'!A772,Suppliar[Facility ID],0)),"")</f>
        <v>9.9</v>
      </c>
    </row>
    <row r="773" spans="1:11" x14ac:dyDescent="0.3">
      <c r="A773" t="s">
        <v>197</v>
      </c>
      <c r="B773" t="s">
        <v>30</v>
      </c>
      <c r="C773" t="s">
        <v>8</v>
      </c>
      <c r="D773" t="s">
        <v>28</v>
      </c>
      <c r="E773" t="s">
        <v>10</v>
      </c>
      <c r="F773">
        <v>1933.86</v>
      </c>
      <c r="G773">
        <v>56752</v>
      </c>
      <c r="H773">
        <v>4177.68</v>
      </c>
      <c r="I773">
        <v>10.96</v>
      </c>
      <c r="J773">
        <f>IFERROR(INDEX(Suppliar[Estimated Carbon Footprint (tons CO₂e)],MATCH('Merge operational &amp; suppliar'!A773,Suppliar[Facility ID],0)),"")</f>
        <v>694.92</v>
      </c>
      <c r="K773">
        <f>IFERROR(INDEX(Suppliar[Income Distribution (%)],MATCH('Merge operational &amp; suppliar'!A773,Suppliar[Facility ID],0)),"")</f>
        <v>9.8699999999999992</v>
      </c>
    </row>
    <row r="774" spans="1:11" x14ac:dyDescent="0.3">
      <c r="A774" t="s">
        <v>191</v>
      </c>
      <c r="B774" t="s">
        <v>12</v>
      </c>
      <c r="C774" t="s">
        <v>13</v>
      </c>
      <c r="D774" t="s">
        <v>28</v>
      </c>
      <c r="E774" t="s">
        <v>15</v>
      </c>
      <c r="F774">
        <v>2753.65</v>
      </c>
      <c r="G774">
        <v>43346</v>
      </c>
      <c r="H774">
        <v>5559.12</v>
      </c>
      <c r="I774">
        <v>39.4</v>
      </c>
      <c r="J774">
        <f>IFERROR(INDEX(Suppliar[Estimated Carbon Footprint (tons CO₂e)],MATCH('Merge operational &amp; suppliar'!A774,Suppliar[Facility ID],0)),"")</f>
        <v>571.88</v>
      </c>
      <c r="K774">
        <f>IFERROR(INDEX(Suppliar[Income Distribution (%)],MATCH('Merge operational &amp; suppliar'!A774,Suppliar[Facility ID],0)),"")</f>
        <v>32.18</v>
      </c>
    </row>
    <row r="775" spans="1:11" x14ac:dyDescent="0.3">
      <c r="A775" t="s">
        <v>122</v>
      </c>
      <c r="B775" t="s">
        <v>19</v>
      </c>
      <c r="C775" t="s">
        <v>13</v>
      </c>
      <c r="D775" t="s">
        <v>14</v>
      </c>
      <c r="E775" t="s">
        <v>15</v>
      </c>
      <c r="F775">
        <v>1643.04</v>
      </c>
      <c r="G775">
        <v>95962</v>
      </c>
      <c r="H775">
        <v>524.72</v>
      </c>
      <c r="I775">
        <v>49.55</v>
      </c>
      <c r="J775">
        <f>IFERROR(INDEX(Suppliar[Estimated Carbon Footprint (tons CO₂e)],MATCH('Merge operational &amp; suppliar'!A775,Suppliar[Facility ID],0)),"")</f>
        <v>991.36</v>
      </c>
      <c r="K775">
        <f>IFERROR(INDEX(Suppliar[Income Distribution (%)],MATCH('Merge operational &amp; suppliar'!A775,Suppliar[Facility ID],0)),"")</f>
        <v>18.28</v>
      </c>
    </row>
    <row r="776" spans="1:11" x14ac:dyDescent="0.3">
      <c r="A776" t="s">
        <v>109</v>
      </c>
      <c r="B776" t="s">
        <v>12</v>
      </c>
      <c r="C776" t="s">
        <v>13</v>
      </c>
      <c r="D776" t="s">
        <v>14</v>
      </c>
      <c r="E776" t="s">
        <v>15</v>
      </c>
      <c r="F776">
        <v>4614.76</v>
      </c>
      <c r="G776">
        <v>84721</v>
      </c>
      <c r="H776">
        <v>2278.9699999999998</v>
      </c>
      <c r="I776">
        <v>68.53</v>
      </c>
      <c r="J776">
        <f>IFERROR(INDEX(Suppliar[Estimated Carbon Footprint (tons CO₂e)],MATCH('Merge operational &amp; suppliar'!A776,Suppliar[Facility ID],0)),"")</f>
        <v>796.34</v>
      </c>
      <c r="K776">
        <f>IFERROR(INDEX(Suppliar[Income Distribution (%)],MATCH('Merge operational &amp; suppliar'!A776,Suppliar[Facility ID],0)),"")</f>
        <v>33.590000000000003</v>
      </c>
    </row>
    <row r="777" spans="1:11" x14ac:dyDescent="0.3">
      <c r="A777" t="s">
        <v>184</v>
      </c>
      <c r="B777" t="s">
        <v>30</v>
      </c>
      <c r="C777" t="s">
        <v>23</v>
      </c>
      <c r="D777" t="s">
        <v>28</v>
      </c>
      <c r="E777" t="s">
        <v>10</v>
      </c>
      <c r="F777">
        <v>1222.43</v>
      </c>
      <c r="G777">
        <v>13543</v>
      </c>
      <c r="H777">
        <v>7854.96</v>
      </c>
      <c r="I777">
        <v>85.57</v>
      </c>
      <c r="J777">
        <f>IFERROR(INDEX(Suppliar[Estimated Carbon Footprint (tons CO₂e)],MATCH('Merge operational &amp; suppliar'!A777,Suppliar[Facility ID],0)),"")</f>
        <v>610.79999999999995</v>
      </c>
      <c r="K777">
        <f>IFERROR(INDEX(Suppliar[Income Distribution (%)],MATCH('Merge operational &amp; suppliar'!A777,Suppliar[Facility ID],0)),"")</f>
        <v>30.04</v>
      </c>
    </row>
    <row r="778" spans="1:11" x14ac:dyDescent="0.3">
      <c r="A778" t="s">
        <v>213</v>
      </c>
      <c r="B778" t="s">
        <v>12</v>
      </c>
      <c r="C778" t="s">
        <v>8</v>
      </c>
      <c r="D778" t="s">
        <v>9</v>
      </c>
      <c r="E778" t="s">
        <v>24</v>
      </c>
      <c r="F778">
        <v>2583.2199999999998</v>
      </c>
      <c r="G778">
        <v>58622</v>
      </c>
      <c r="H778">
        <v>7795.36</v>
      </c>
      <c r="I778">
        <v>59.81</v>
      </c>
      <c r="J778">
        <f>IFERROR(INDEX(Suppliar[Estimated Carbon Footprint (tons CO₂e)],MATCH('Merge operational &amp; suppliar'!A778,Suppliar[Facility ID],0)),"")</f>
        <v>807.86</v>
      </c>
      <c r="K778">
        <f>IFERROR(INDEX(Suppliar[Income Distribution (%)],MATCH('Merge operational &amp; suppliar'!A778,Suppliar[Facility ID],0)),"")</f>
        <v>32.130000000000003</v>
      </c>
    </row>
    <row r="779" spans="1:11" x14ac:dyDescent="0.3">
      <c r="A779" t="s">
        <v>54</v>
      </c>
      <c r="B779" t="s">
        <v>12</v>
      </c>
      <c r="C779" t="s">
        <v>8</v>
      </c>
      <c r="D779" t="s">
        <v>28</v>
      </c>
      <c r="E779" t="s">
        <v>15</v>
      </c>
      <c r="F779">
        <v>1562.45</v>
      </c>
      <c r="G779">
        <v>58111</v>
      </c>
      <c r="H779">
        <v>4610.8999999999996</v>
      </c>
      <c r="I779">
        <v>21.53</v>
      </c>
      <c r="J779">
        <f>IFERROR(INDEX(Suppliar[Estimated Carbon Footprint (tons CO₂e)],MATCH('Merge operational &amp; suppliar'!A779,Suppliar[Facility ID],0)),"")</f>
        <v>268.16000000000003</v>
      </c>
      <c r="K779">
        <f>IFERROR(INDEX(Suppliar[Income Distribution (%)],MATCH('Merge operational &amp; suppliar'!A779,Suppliar[Facility ID],0)),"")</f>
        <v>13.78</v>
      </c>
    </row>
    <row r="780" spans="1:11" x14ac:dyDescent="0.3">
      <c r="A780" t="s">
        <v>18</v>
      </c>
      <c r="B780" t="s">
        <v>19</v>
      </c>
      <c r="C780" t="s">
        <v>34</v>
      </c>
      <c r="D780" t="s">
        <v>9</v>
      </c>
      <c r="E780" t="s">
        <v>24</v>
      </c>
      <c r="F780">
        <v>3844.34</v>
      </c>
      <c r="G780">
        <v>98682</v>
      </c>
      <c r="H780">
        <v>6220.56</v>
      </c>
      <c r="I780">
        <v>70.099999999999994</v>
      </c>
      <c r="J780">
        <f>IFERROR(INDEX(Suppliar[Estimated Carbon Footprint (tons CO₂e)],MATCH('Merge operational &amp; suppliar'!A780,Suppliar[Facility ID],0)),"")</f>
        <v>724.63</v>
      </c>
      <c r="K780">
        <f>IFERROR(INDEX(Suppliar[Income Distribution (%)],MATCH('Merge operational &amp; suppliar'!A780,Suppliar[Facility ID],0)),"")</f>
        <v>27.81</v>
      </c>
    </row>
    <row r="781" spans="1:11" x14ac:dyDescent="0.3">
      <c r="A781" t="s">
        <v>98</v>
      </c>
      <c r="B781" t="s">
        <v>19</v>
      </c>
      <c r="C781" t="s">
        <v>23</v>
      </c>
      <c r="D781" t="s">
        <v>9</v>
      </c>
      <c r="E781" t="s">
        <v>10</v>
      </c>
      <c r="F781">
        <v>695.19</v>
      </c>
      <c r="G781">
        <v>26170</v>
      </c>
      <c r="H781">
        <v>8057.54</v>
      </c>
      <c r="I781">
        <v>63.71</v>
      </c>
      <c r="J781" t="str">
        <f>IFERROR(INDEX(Suppliar[Estimated Carbon Footprint (tons CO₂e)],MATCH('Merge operational &amp; suppliar'!A781,Suppliar[Facility ID],0)),"")</f>
        <v/>
      </c>
      <c r="K781" t="str">
        <f>IFERROR(INDEX(Suppliar[Income Distribution (%)],MATCH('Merge operational &amp; suppliar'!A781,Suppliar[Facility ID],0)),"")</f>
        <v/>
      </c>
    </row>
    <row r="782" spans="1:11" x14ac:dyDescent="0.3">
      <c r="A782" t="s">
        <v>214</v>
      </c>
      <c r="B782" t="s">
        <v>30</v>
      </c>
      <c r="C782" t="s">
        <v>34</v>
      </c>
      <c r="D782" t="s">
        <v>28</v>
      </c>
      <c r="E782" t="s">
        <v>15</v>
      </c>
      <c r="F782">
        <v>4607.08</v>
      </c>
      <c r="G782">
        <v>79330</v>
      </c>
      <c r="H782">
        <v>6075.23</v>
      </c>
      <c r="I782">
        <v>83.97</v>
      </c>
      <c r="J782">
        <f>IFERROR(INDEX(Suppliar[Estimated Carbon Footprint (tons CO₂e)],MATCH('Merge operational &amp; suppliar'!A782,Suppliar[Facility ID],0)),"")</f>
        <v>209.33</v>
      </c>
      <c r="K782">
        <f>IFERROR(INDEX(Suppliar[Income Distribution (%)],MATCH('Merge operational &amp; suppliar'!A782,Suppliar[Facility ID],0)),"")</f>
        <v>13.62</v>
      </c>
    </row>
    <row r="783" spans="1:11" x14ac:dyDescent="0.3">
      <c r="A783" t="s">
        <v>76</v>
      </c>
      <c r="B783" t="s">
        <v>17</v>
      </c>
      <c r="C783" t="s">
        <v>13</v>
      </c>
      <c r="D783" t="s">
        <v>9</v>
      </c>
      <c r="E783" t="s">
        <v>10</v>
      </c>
      <c r="F783">
        <v>2391.3200000000002</v>
      </c>
      <c r="G783">
        <v>59617</v>
      </c>
      <c r="H783">
        <v>5000.95</v>
      </c>
      <c r="I783">
        <v>80.36</v>
      </c>
      <c r="J783">
        <f>IFERROR(INDEX(Suppliar[Estimated Carbon Footprint (tons CO₂e)],MATCH('Merge operational &amp; suppliar'!A783,Suppliar[Facility ID],0)),"")</f>
        <v>532.27</v>
      </c>
      <c r="K783">
        <f>IFERROR(INDEX(Suppliar[Income Distribution (%)],MATCH('Merge operational &amp; suppliar'!A783,Suppliar[Facility ID],0)),"")</f>
        <v>25.24</v>
      </c>
    </row>
    <row r="784" spans="1:11" x14ac:dyDescent="0.3">
      <c r="A784" t="s">
        <v>186</v>
      </c>
      <c r="B784" t="s">
        <v>30</v>
      </c>
      <c r="C784" t="s">
        <v>13</v>
      </c>
      <c r="D784" t="s">
        <v>14</v>
      </c>
      <c r="E784" t="s">
        <v>15</v>
      </c>
      <c r="F784">
        <v>4313.43</v>
      </c>
      <c r="G784">
        <v>85868</v>
      </c>
      <c r="H784">
        <v>907.72</v>
      </c>
      <c r="I784">
        <v>90.36</v>
      </c>
      <c r="J784">
        <f>IFERROR(INDEX(Suppliar[Estimated Carbon Footprint (tons CO₂e)],MATCH('Merge operational &amp; suppliar'!A784,Suppliar[Facility ID],0)),"")</f>
        <v>960.4</v>
      </c>
      <c r="K784">
        <f>IFERROR(INDEX(Suppliar[Income Distribution (%)],MATCH('Merge operational &amp; suppliar'!A784,Suppliar[Facility ID],0)),"")</f>
        <v>10.65</v>
      </c>
    </row>
    <row r="785" spans="1:11" x14ac:dyDescent="0.3">
      <c r="A785" t="s">
        <v>107</v>
      </c>
      <c r="B785" t="s">
        <v>30</v>
      </c>
      <c r="C785" t="s">
        <v>13</v>
      </c>
      <c r="D785" t="s">
        <v>14</v>
      </c>
      <c r="E785" t="s">
        <v>10</v>
      </c>
      <c r="F785">
        <v>1094.0999999999999</v>
      </c>
      <c r="G785">
        <v>69305</v>
      </c>
      <c r="H785">
        <v>3203.67</v>
      </c>
      <c r="I785">
        <v>83.65</v>
      </c>
      <c r="J785">
        <f>IFERROR(INDEX(Suppliar[Estimated Carbon Footprint (tons CO₂e)],MATCH('Merge operational &amp; suppliar'!A785,Suppliar[Facility ID],0)),"")</f>
        <v>173.67</v>
      </c>
      <c r="K785">
        <f>IFERROR(INDEX(Suppliar[Income Distribution (%)],MATCH('Merge operational &amp; suppliar'!A785,Suppliar[Facility ID],0)),"")</f>
        <v>67.040000000000006</v>
      </c>
    </row>
    <row r="786" spans="1:11" x14ac:dyDescent="0.3">
      <c r="A786" t="s">
        <v>202</v>
      </c>
      <c r="B786" t="s">
        <v>12</v>
      </c>
      <c r="C786" t="s">
        <v>13</v>
      </c>
      <c r="D786" t="s">
        <v>9</v>
      </c>
      <c r="E786" t="s">
        <v>10</v>
      </c>
      <c r="F786">
        <v>5193.72</v>
      </c>
      <c r="G786">
        <v>28400</v>
      </c>
      <c r="H786">
        <v>3056.67</v>
      </c>
      <c r="I786">
        <v>52.68</v>
      </c>
      <c r="J786">
        <f>IFERROR(INDEX(Suppliar[Estimated Carbon Footprint (tons CO₂e)],MATCH('Merge operational &amp; suppliar'!A786,Suppliar[Facility ID],0)),"")</f>
        <v>571.88</v>
      </c>
      <c r="K786">
        <f>IFERROR(INDEX(Suppliar[Income Distribution (%)],MATCH('Merge operational &amp; suppliar'!A786,Suppliar[Facility ID],0)),"")</f>
        <v>8.6199999999999992</v>
      </c>
    </row>
    <row r="787" spans="1:11" x14ac:dyDescent="0.3">
      <c r="A787" t="s">
        <v>184</v>
      </c>
      <c r="B787" t="s">
        <v>30</v>
      </c>
      <c r="C787" t="s">
        <v>13</v>
      </c>
      <c r="D787" t="s">
        <v>28</v>
      </c>
      <c r="E787" t="s">
        <v>24</v>
      </c>
      <c r="F787">
        <v>3352.59</v>
      </c>
      <c r="G787">
        <v>13543</v>
      </c>
      <c r="H787">
        <v>7854.96</v>
      </c>
      <c r="I787">
        <v>85.57</v>
      </c>
      <c r="J787">
        <f>IFERROR(INDEX(Suppliar[Estimated Carbon Footprint (tons CO₂e)],MATCH('Merge operational &amp; suppliar'!A787,Suppliar[Facility ID],0)),"")</f>
        <v>610.79999999999995</v>
      </c>
      <c r="K787">
        <f>IFERROR(INDEX(Suppliar[Income Distribution (%)],MATCH('Merge operational &amp; suppliar'!A787,Suppliar[Facility ID],0)),"")</f>
        <v>30.04</v>
      </c>
    </row>
    <row r="788" spans="1:11" x14ac:dyDescent="0.3">
      <c r="A788" t="s">
        <v>123</v>
      </c>
      <c r="B788" t="s">
        <v>30</v>
      </c>
      <c r="C788" t="s">
        <v>23</v>
      </c>
      <c r="D788" t="s">
        <v>9</v>
      </c>
      <c r="E788" t="s">
        <v>10</v>
      </c>
      <c r="F788">
        <v>3888.52</v>
      </c>
      <c r="G788">
        <v>73977</v>
      </c>
      <c r="H788">
        <v>1646.75</v>
      </c>
      <c r="I788">
        <v>43.77</v>
      </c>
      <c r="J788" t="str">
        <f>IFERROR(INDEX(Suppliar[Estimated Carbon Footprint (tons CO₂e)],MATCH('Merge operational &amp; suppliar'!A788,Suppliar[Facility ID],0)),"")</f>
        <v/>
      </c>
      <c r="K788" t="str">
        <f>IFERROR(INDEX(Suppliar[Income Distribution (%)],MATCH('Merge operational &amp; suppliar'!A788,Suppliar[Facility ID],0)),"")</f>
        <v/>
      </c>
    </row>
    <row r="789" spans="1:11" x14ac:dyDescent="0.3">
      <c r="A789" t="s">
        <v>108</v>
      </c>
      <c r="B789" t="s">
        <v>7</v>
      </c>
      <c r="C789" t="s">
        <v>23</v>
      </c>
      <c r="D789" t="s">
        <v>28</v>
      </c>
      <c r="E789" t="s">
        <v>15</v>
      </c>
      <c r="F789">
        <v>3140.95</v>
      </c>
      <c r="G789">
        <v>22201</v>
      </c>
      <c r="H789">
        <v>2853.66</v>
      </c>
      <c r="I789">
        <v>71.94</v>
      </c>
      <c r="J789">
        <f>IFERROR(INDEX(Suppliar[Estimated Carbon Footprint (tons CO₂e)],MATCH('Merge operational &amp; suppliar'!A789,Suppliar[Facility ID],0)),"")</f>
        <v>991.03</v>
      </c>
      <c r="K789">
        <f>IFERROR(INDEX(Suppliar[Income Distribution (%)],MATCH('Merge operational &amp; suppliar'!A789,Suppliar[Facility ID],0)),"")</f>
        <v>21.4</v>
      </c>
    </row>
    <row r="790" spans="1:11" x14ac:dyDescent="0.3">
      <c r="A790" t="s">
        <v>57</v>
      </c>
      <c r="B790" t="s">
        <v>19</v>
      </c>
      <c r="C790" t="s">
        <v>13</v>
      </c>
      <c r="D790" t="s">
        <v>9</v>
      </c>
      <c r="E790" t="s">
        <v>24</v>
      </c>
      <c r="F790">
        <v>1260.77</v>
      </c>
      <c r="G790">
        <v>41027</v>
      </c>
      <c r="H790">
        <v>7285.85</v>
      </c>
      <c r="I790">
        <v>59.87</v>
      </c>
      <c r="J790">
        <f>IFERROR(INDEX(Suppliar[Estimated Carbon Footprint (tons CO₂e)],MATCH('Merge operational &amp; suppliar'!A790,Suppliar[Facility ID],0)),"")</f>
        <v>763.97</v>
      </c>
      <c r="K790">
        <f>IFERROR(INDEX(Suppliar[Income Distribution (%)],MATCH('Merge operational &amp; suppliar'!A790,Suppliar[Facility ID],0)),"")</f>
        <v>34.14</v>
      </c>
    </row>
    <row r="791" spans="1:11" x14ac:dyDescent="0.3">
      <c r="A791" t="s">
        <v>156</v>
      </c>
      <c r="B791" t="s">
        <v>17</v>
      </c>
      <c r="C791" t="s">
        <v>23</v>
      </c>
      <c r="D791" t="s">
        <v>14</v>
      </c>
      <c r="E791" t="s">
        <v>24</v>
      </c>
      <c r="F791">
        <v>416.29</v>
      </c>
      <c r="G791">
        <v>81057</v>
      </c>
      <c r="H791">
        <v>675.41</v>
      </c>
      <c r="I791">
        <v>55.44</v>
      </c>
      <c r="J791">
        <f>IFERROR(INDEX(Suppliar[Estimated Carbon Footprint (tons CO₂e)],MATCH('Merge operational &amp; suppliar'!A791,Suppliar[Facility ID],0)),"")</f>
        <v>847.51</v>
      </c>
      <c r="K791">
        <f>IFERROR(INDEX(Suppliar[Income Distribution (%)],MATCH('Merge operational &amp; suppliar'!A791,Suppliar[Facility ID],0)),"")</f>
        <v>28.03</v>
      </c>
    </row>
    <row r="792" spans="1:11" x14ac:dyDescent="0.3">
      <c r="A792" t="s">
        <v>143</v>
      </c>
      <c r="B792" t="s">
        <v>17</v>
      </c>
      <c r="C792" t="s">
        <v>8</v>
      </c>
      <c r="D792" t="s">
        <v>14</v>
      </c>
      <c r="E792" t="s">
        <v>15</v>
      </c>
      <c r="F792">
        <v>96.09</v>
      </c>
      <c r="G792">
        <v>94704</v>
      </c>
      <c r="H792">
        <v>6632.95</v>
      </c>
      <c r="I792">
        <v>14.76</v>
      </c>
      <c r="J792">
        <f>IFERROR(INDEX(Suppliar[Estimated Carbon Footprint (tons CO₂e)],MATCH('Merge operational &amp; suppliar'!A792,Suppliar[Facility ID],0)),"")</f>
        <v>459.56</v>
      </c>
      <c r="K792">
        <f>IFERROR(INDEX(Suppliar[Income Distribution (%)],MATCH('Merge operational &amp; suppliar'!A792,Suppliar[Facility ID],0)),"")</f>
        <v>7.54</v>
      </c>
    </row>
    <row r="793" spans="1:11" x14ac:dyDescent="0.3">
      <c r="A793" t="s">
        <v>130</v>
      </c>
      <c r="B793" t="s">
        <v>12</v>
      </c>
      <c r="C793" t="s">
        <v>23</v>
      </c>
      <c r="D793" t="s">
        <v>28</v>
      </c>
      <c r="E793" t="s">
        <v>15</v>
      </c>
      <c r="F793">
        <v>1224.1099999999999</v>
      </c>
      <c r="G793">
        <v>82332</v>
      </c>
      <c r="H793">
        <v>7134.86</v>
      </c>
      <c r="I793">
        <v>22.44</v>
      </c>
      <c r="J793">
        <f>IFERROR(INDEX(Suppliar[Estimated Carbon Footprint (tons CO₂e)],MATCH('Merge operational &amp; suppliar'!A793,Suppliar[Facility ID],0)),"")</f>
        <v>553.44000000000005</v>
      </c>
      <c r="K793">
        <f>IFERROR(INDEX(Suppliar[Income Distribution (%)],MATCH('Merge operational &amp; suppliar'!A793,Suppliar[Facility ID],0)),"")</f>
        <v>13.24</v>
      </c>
    </row>
    <row r="794" spans="1:11" x14ac:dyDescent="0.3">
      <c r="A794" t="s">
        <v>37</v>
      </c>
      <c r="B794" t="s">
        <v>17</v>
      </c>
      <c r="C794" t="s">
        <v>34</v>
      </c>
      <c r="D794" t="s">
        <v>14</v>
      </c>
      <c r="E794" t="s">
        <v>15</v>
      </c>
      <c r="F794">
        <v>3899.81</v>
      </c>
      <c r="G794">
        <v>71747</v>
      </c>
      <c r="H794">
        <v>9838.66</v>
      </c>
      <c r="I794">
        <v>7.25</v>
      </c>
      <c r="J794">
        <f>IFERROR(INDEX(Suppliar[Estimated Carbon Footprint (tons CO₂e)],MATCH('Merge operational &amp; suppliar'!A794,Suppliar[Facility ID],0)),"")</f>
        <v>224.5</v>
      </c>
      <c r="K794">
        <f>IFERROR(INDEX(Suppliar[Income Distribution (%)],MATCH('Merge operational &amp; suppliar'!A794,Suppliar[Facility ID],0)),"")</f>
        <v>39.29</v>
      </c>
    </row>
    <row r="795" spans="1:11" x14ac:dyDescent="0.3">
      <c r="A795" t="s">
        <v>117</v>
      </c>
      <c r="B795" t="s">
        <v>7</v>
      </c>
      <c r="C795" t="s">
        <v>13</v>
      </c>
      <c r="D795" t="s">
        <v>28</v>
      </c>
      <c r="E795" t="s">
        <v>15</v>
      </c>
      <c r="F795">
        <v>1065.82</v>
      </c>
      <c r="G795">
        <v>89321</v>
      </c>
      <c r="H795">
        <v>9836.34</v>
      </c>
      <c r="I795">
        <v>16.989999999999998</v>
      </c>
      <c r="J795">
        <f>IFERROR(INDEX(Suppliar[Estimated Carbon Footprint (tons CO₂e)],MATCH('Merge operational &amp; suppliar'!A795,Suppliar[Facility ID],0)),"")</f>
        <v>105.67</v>
      </c>
      <c r="K795">
        <f>IFERROR(INDEX(Suppliar[Income Distribution (%)],MATCH('Merge operational &amp; suppliar'!A795,Suppliar[Facility ID],0)),"")</f>
        <v>15.41</v>
      </c>
    </row>
    <row r="796" spans="1:11" x14ac:dyDescent="0.3">
      <c r="A796" t="s">
        <v>177</v>
      </c>
      <c r="B796" t="s">
        <v>7</v>
      </c>
      <c r="C796" t="s">
        <v>34</v>
      </c>
      <c r="D796" t="s">
        <v>28</v>
      </c>
      <c r="E796" t="s">
        <v>15</v>
      </c>
      <c r="F796">
        <v>4448.1899999999996</v>
      </c>
      <c r="G796">
        <v>17097</v>
      </c>
      <c r="H796">
        <v>9061.7800000000007</v>
      </c>
      <c r="I796">
        <v>95.92</v>
      </c>
      <c r="J796">
        <f>IFERROR(INDEX(Suppliar[Estimated Carbon Footprint (tons CO₂e)],MATCH('Merge operational &amp; suppliar'!A796,Suppliar[Facility ID],0)),"")</f>
        <v>390.06</v>
      </c>
      <c r="K796">
        <f>IFERROR(INDEX(Suppliar[Income Distribution (%)],MATCH('Merge operational &amp; suppliar'!A796,Suppliar[Facility ID],0)),"")</f>
        <v>18.010000000000002</v>
      </c>
    </row>
    <row r="797" spans="1:11" x14ac:dyDescent="0.3">
      <c r="A797" t="s">
        <v>43</v>
      </c>
      <c r="B797" t="s">
        <v>17</v>
      </c>
      <c r="C797" t="s">
        <v>23</v>
      </c>
      <c r="D797" t="s">
        <v>9</v>
      </c>
      <c r="E797" t="s">
        <v>24</v>
      </c>
      <c r="F797">
        <v>2211.09</v>
      </c>
      <c r="G797">
        <v>41168</v>
      </c>
      <c r="H797">
        <v>8226.77</v>
      </c>
      <c r="I797">
        <v>42.55</v>
      </c>
      <c r="J797">
        <f>IFERROR(INDEX(Suppliar[Estimated Carbon Footprint (tons CO₂e)],MATCH('Merge operational &amp; suppliar'!A797,Suppliar[Facility ID],0)),"")</f>
        <v>724.63</v>
      </c>
      <c r="K797">
        <f>IFERROR(INDEX(Suppliar[Income Distribution (%)],MATCH('Merge operational &amp; suppliar'!A797,Suppliar[Facility ID],0)),"")</f>
        <v>12.64</v>
      </c>
    </row>
    <row r="798" spans="1:11" x14ac:dyDescent="0.3">
      <c r="A798" t="s">
        <v>140</v>
      </c>
      <c r="B798" t="s">
        <v>17</v>
      </c>
      <c r="C798" t="s">
        <v>23</v>
      </c>
      <c r="D798" t="s">
        <v>9</v>
      </c>
      <c r="E798" t="s">
        <v>24</v>
      </c>
      <c r="F798">
        <v>3199.41</v>
      </c>
      <c r="G798">
        <v>88308</v>
      </c>
      <c r="H798">
        <v>7802.07</v>
      </c>
      <c r="I798">
        <v>36.130000000000003</v>
      </c>
      <c r="J798">
        <f>IFERROR(INDEX(Suppliar[Estimated Carbon Footprint (tons CO₂e)],MATCH('Merge operational &amp; suppliar'!A798,Suppliar[Facility ID],0)),"")</f>
        <v>557.72</v>
      </c>
      <c r="K798">
        <f>IFERROR(INDEX(Suppliar[Income Distribution (%)],MATCH('Merge operational &amp; suppliar'!A798,Suppliar[Facility ID],0)),"")</f>
        <v>62.75</v>
      </c>
    </row>
    <row r="799" spans="1:11" x14ac:dyDescent="0.3">
      <c r="A799" t="s">
        <v>212</v>
      </c>
      <c r="B799" t="s">
        <v>7</v>
      </c>
      <c r="C799" t="s">
        <v>34</v>
      </c>
      <c r="D799" t="s">
        <v>14</v>
      </c>
      <c r="E799" t="s">
        <v>24</v>
      </c>
      <c r="F799">
        <v>2263.6999999999998</v>
      </c>
      <c r="G799">
        <v>67820</v>
      </c>
      <c r="H799">
        <v>8177.95</v>
      </c>
      <c r="I799">
        <v>40.69</v>
      </c>
      <c r="J799">
        <f>IFERROR(INDEX(Suppliar[Estimated Carbon Footprint (tons CO₂e)],MATCH('Merge operational &amp; suppliar'!A799,Suppliar[Facility ID],0)),"")</f>
        <v>790.74</v>
      </c>
      <c r="K799">
        <f>IFERROR(INDEX(Suppliar[Income Distribution (%)],MATCH('Merge operational &amp; suppliar'!A799,Suppliar[Facility ID],0)),"")</f>
        <v>15.94</v>
      </c>
    </row>
    <row r="800" spans="1:11" x14ac:dyDescent="0.3">
      <c r="A800" t="s">
        <v>49</v>
      </c>
      <c r="B800" t="s">
        <v>19</v>
      </c>
      <c r="C800" t="s">
        <v>13</v>
      </c>
      <c r="D800" t="s">
        <v>14</v>
      </c>
      <c r="E800" t="s">
        <v>15</v>
      </c>
      <c r="F800">
        <v>4326.03</v>
      </c>
      <c r="G800">
        <v>50306</v>
      </c>
      <c r="H800">
        <v>7031.37</v>
      </c>
      <c r="I800">
        <v>13.27</v>
      </c>
      <c r="J800" t="str">
        <f>IFERROR(INDEX(Suppliar[Estimated Carbon Footprint (tons CO₂e)],MATCH('Merge operational &amp; suppliar'!A800,Suppliar[Facility ID],0)),"")</f>
        <v/>
      </c>
      <c r="K800" t="str">
        <f>IFERROR(INDEX(Suppliar[Income Distribution (%)],MATCH('Merge operational &amp; suppliar'!A800,Suppliar[Facility ID],0)),"")</f>
        <v/>
      </c>
    </row>
    <row r="801" spans="1:11" x14ac:dyDescent="0.3">
      <c r="A801" t="s">
        <v>203</v>
      </c>
      <c r="B801" t="s">
        <v>12</v>
      </c>
      <c r="C801" t="s">
        <v>34</v>
      </c>
      <c r="D801" t="s">
        <v>9</v>
      </c>
      <c r="E801" t="s">
        <v>24</v>
      </c>
      <c r="F801">
        <v>4352.74</v>
      </c>
      <c r="G801">
        <v>66398</v>
      </c>
      <c r="H801">
        <v>8713.61</v>
      </c>
      <c r="I801">
        <v>83.44</v>
      </c>
      <c r="J801">
        <f>IFERROR(INDEX(Suppliar[Estimated Carbon Footprint (tons CO₂e)],MATCH('Merge operational &amp; suppliar'!A801,Suppliar[Facility ID],0)),"")</f>
        <v>763.97</v>
      </c>
      <c r="K801">
        <f>IFERROR(INDEX(Suppliar[Income Distribution (%)],MATCH('Merge operational &amp; suppliar'!A801,Suppliar[Facility ID],0)),"")</f>
        <v>22.42</v>
      </c>
    </row>
    <row r="802" spans="1:11" x14ac:dyDescent="0.3">
      <c r="A802" t="s">
        <v>32</v>
      </c>
      <c r="B802" t="s">
        <v>7</v>
      </c>
      <c r="C802" t="s">
        <v>13</v>
      </c>
      <c r="D802" t="s">
        <v>9</v>
      </c>
      <c r="E802" t="s">
        <v>15</v>
      </c>
      <c r="F802">
        <v>4294.79</v>
      </c>
      <c r="G802">
        <v>10933</v>
      </c>
      <c r="H802">
        <v>9004.3700000000008</v>
      </c>
      <c r="I802">
        <v>26.84</v>
      </c>
      <c r="J802" t="str">
        <f>IFERROR(INDEX(Suppliar[Estimated Carbon Footprint (tons CO₂e)],MATCH('Merge operational &amp; suppliar'!A802,Suppliar[Facility ID],0)),"")</f>
        <v/>
      </c>
      <c r="K802" t="str">
        <f>IFERROR(INDEX(Suppliar[Income Distribution (%)],MATCH('Merge operational &amp; suppliar'!A802,Suppliar[Facility ID],0)),"")</f>
        <v/>
      </c>
    </row>
    <row r="803" spans="1:11" x14ac:dyDescent="0.3">
      <c r="A803" t="s">
        <v>132</v>
      </c>
      <c r="B803" t="s">
        <v>19</v>
      </c>
      <c r="C803" t="s">
        <v>23</v>
      </c>
      <c r="D803" t="s">
        <v>14</v>
      </c>
      <c r="E803" t="s">
        <v>15</v>
      </c>
      <c r="F803">
        <v>2678.48</v>
      </c>
      <c r="G803">
        <v>29860</v>
      </c>
      <c r="H803">
        <v>3956.23</v>
      </c>
      <c r="I803">
        <v>57.5</v>
      </c>
      <c r="J803">
        <f>IFERROR(INDEX(Suppliar[Estimated Carbon Footprint (tons CO₂e)],MATCH('Merge operational &amp; suppliar'!A803,Suppliar[Facility ID],0)),"")</f>
        <v>432.23</v>
      </c>
      <c r="K803">
        <f>IFERROR(INDEX(Suppliar[Income Distribution (%)],MATCH('Merge operational &amp; suppliar'!A803,Suppliar[Facility ID],0)),"")</f>
        <v>17.78</v>
      </c>
    </row>
    <row r="804" spans="1:11" x14ac:dyDescent="0.3">
      <c r="A804" t="s">
        <v>73</v>
      </c>
      <c r="B804" t="s">
        <v>30</v>
      </c>
      <c r="C804" t="s">
        <v>8</v>
      </c>
      <c r="D804" t="s">
        <v>14</v>
      </c>
      <c r="E804" t="s">
        <v>15</v>
      </c>
      <c r="F804">
        <v>2267.79</v>
      </c>
      <c r="G804">
        <v>55974</v>
      </c>
      <c r="H804">
        <v>7542.28</v>
      </c>
      <c r="I804">
        <v>72.430000000000007</v>
      </c>
      <c r="J804">
        <f>IFERROR(INDEX(Suppliar[Estimated Carbon Footprint (tons CO₂e)],MATCH('Merge operational &amp; suppliar'!A804,Suppliar[Facility ID],0)),"")</f>
        <v>626.54</v>
      </c>
      <c r="K804">
        <f>IFERROR(INDEX(Suppliar[Income Distribution (%)],MATCH('Merge operational &amp; suppliar'!A804,Suppliar[Facility ID],0)),"")</f>
        <v>29.46</v>
      </c>
    </row>
    <row r="805" spans="1:11" x14ac:dyDescent="0.3">
      <c r="A805" t="s">
        <v>93</v>
      </c>
      <c r="B805" t="s">
        <v>30</v>
      </c>
      <c r="C805" t="s">
        <v>8</v>
      </c>
      <c r="D805" t="s">
        <v>14</v>
      </c>
      <c r="E805" t="s">
        <v>24</v>
      </c>
      <c r="F805">
        <v>2496.0100000000002</v>
      </c>
      <c r="G805">
        <v>26378</v>
      </c>
      <c r="H805">
        <v>2915.44</v>
      </c>
      <c r="I805">
        <v>29.84</v>
      </c>
      <c r="J805">
        <f>IFERROR(INDEX(Suppliar[Estimated Carbon Footprint (tons CO₂e)],MATCH('Merge operational &amp; suppliar'!A805,Suppliar[Facility ID],0)),"")</f>
        <v>311.36</v>
      </c>
      <c r="K805">
        <f>IFERROR(INDEX(Suppliar[Income Distribution (%)],MATCH('Merge operational &amp; suppliar'!A805,Suppliar[Facility ID],0)),"")</f>
        <v>26.09</v>
      </c>
    </row>
    <row r="806" spans="1:11" x14ac:dyDescent="0.3">
      <c r="A806" t="s">
        <v>16</v>
      </c>
      <c r="B806" t="s">
        <v>17</v>
      </c>
      <c r="C806" t="s">
        <v>13</v>
      </c>
      <c r="D806" t="s">
        <v>14</v>
      </c>
      <c r="E806" t="s">
        <v>15</v>
      </c>
      <c r="F806">
        <v>4601.71</v>
      </c>
      <c r="G806">
        <v>43512</v>
      </c>
      <c r="H806">
        <v>5352.18</v>
      </c>
      <c r="I806">
        <v>6.17</v>
      </c>
      <c r="J806">
        <f>IFERROR(INDEX(Suppliar[Estimated Carbon Footprint (tons CO₂e)],MATCH('Merge operational &amp; suppliar'!A806,Suppliar[Facility ID],0)),"")</f>
        <v>311.36</v>
      </c>
      <c r="K806">
        <f>IFERROR(INDEX(Suppliar[Income Distribution (%)],MATCH('Merge operational &amp; suppliar'!A806,Suppliar[Facility ID],0)),"")</f>
        <v>28.72</v>
      </c>
    </row>
    <row r="807" spans="1:11" x14ac:dyDescent="0.3">
      <c r="A807" t="s">
        <v>211</v>
      </c>
      <c r="B807" t="s">
        <v>7</v>
      </c>
      <c r="C807" t="s">
        <v>34</v>
      </c>
      <c r="D807" t="s">
        <v>28</v>
      </c>
      <c r="E807" t="s">
        <v>24</v>
      </c>
      <c r="F807">
        <v>2739.77</v>
      </c>
      <c r="G807">
        <v>27028</v>
      </c>
      <c r="H807">
        <v>4617.92</v>
      </c>
      <c r="I807">
        <v>57.62</v>
      </c>
      <c r="J807">
        <f>IFERROR(INDEX(Suppliar[Estimated Carbon Footprint (tons CO₂e)],MATCH('Merge operational &amp; suppliar'!A807,Suppliar[Facility ID],0)),"")</f>
        <v>780.4</v>
      </c>
      <c r="K807">
        <f>IFERROR(INDEX(Suppliar[Income Distribution (%)],MATCH('Merge operational &amp; suppliar'!A807,Suppliar[Facility ID],0)),"")</f>
        <v>24.87</v>
      </c>
    </row>
    <row r="808" spans="1:11" x14ac:dyDescent="0.3">
      <c r="A808" t="s">
        <v>99</v>
      </c>
      <c r="B808" t="s">
        <v>19</v>
      </c>
      <c r="C808" t="s">
        <v>23</v>
      </c>
      <c r="D808" t="s">
        <v>9</v>
      </c>
      <c r="E808" t="s">
        <v>10</v>
      </c>
      <c r="F808">
        <v>1410.4</v>
      </c>
      <c r="G808">
        <v>77400</v>
      </c>
      <c r="H808">
        <v>7504.8</v>
      </c>
      <c r="I808">
        <v>68.819999999999993</v>
      </c>
      <c r="J808" t="str">
        <f>IFERROR(INDEX(Suppliar[Estimated Carbon Footprint (tons CO₂e)],MATCH('Merge operational &amp; suppliar'!A808,Suppliar[Facility ID],0)),"")</f>
        <v/>
      </c>
      <c r="K808" t="str">
        <f>IFERROR(INDEX(Suppliar[Income Distribution (%)],MATCH('Merge operational &amp; suppliar'!A808,Suppliar[Facility ID],0)),"")</f>
        <v/>
      </c>
    </row>
    <row r="809" spans="1:11" x14ac:dyDescent="0.3">
      <c r="A809" t="s">
        <v>171</v>
      </c>
      <c r="B809" t="s">
        <v>17</v>
      </c>
      <c r="C809" t="s">
        <v>8</v>
      </c>
      <c r="D809" t="s">
        <v>9</v>
      </c>
      <c r="E809" t="s">
        <v>24</v>
      </c>
      <c r="F809">
        <v>2563.09</v>
      </c>
      <c r="G809">
        <v>24502</v>
      </c>
      <c r="H809">
        <v>7466.86</v>
      </c>
      <c r="I809">
        <v>88.83</v>
      </c>
      <c r="J809">
        <f>IFERROR(INDEX(Suppliar[Estimated Carbon Footprint (tons CO₂e)],MATCH('Merge operational &amp; suppliar'!A809,Suppliar[Facility ID],0)),"")</f>
        <v>847.51</v>
      </c>
      <c r="K809">
        <f>IFERROR(INDEX(Suppliar[Income Distribution (%)],MATCH('Merge operational &amp; suppliar'!A809,Suppliar[Facility ID],0)),"")</f>
        <v>26.48</v>
      </c>
    </row>
    <row r="810" spans="1:11" x14ac:dyDescent="0.3">
      <c r="A810" t="s">
        <v>208</v>
      </c>
      <c r="B810" t="s">
        <v>19</v>
      </c>
      <c r="C810" t="s">
        <v>23</v>
      </c>
      <c r="D810" t="s">
        <v>14</v>
      </c>
      <c r="E810" t="s">
        <v>24</v>
      </c>
      <c r="F810">
        <v>886.98</v>
      </c>
      <c r="G810">
        <v>40553</v>
      </c>
      <c r="H810">
        <v>4875.2299999999996</v>
      </c>
      <c r="I810">
        <v>23.33</v>
      </c>
      <c r="J810">
        <f>IFERROR(INDEX(Suppliar[Estimated Carbon Footprint (tons CO₂e)],MATCH('Merge operational &amp; suppliar'!A810,Suppliar[Facility ID],0)),"")</f>
        <v>818.45</v>
      </c>
      <c r="K810">
        <f>IFERROR(INDEX(Suppliar[Income Distribution (%)],MATCH('Merge operational &amp; suppliar'!A810,Suppliar[Facility ID],0)),"")</f>
        <v>19.420000000000002</v>
      </c>
    </row>
    <row r="811" spans="1:11" x14ac:dyDescent="0.3">
      <c r="A811" t="s">
        <v>73</v>
      </c>
      <c r="B811" t="s">
        <v>30</v>
      </c>
      <c r="C811" t="s">
        <v>23</v>
      </c>
      <c r="D811" t="s">
        <v>14</v>
      </c>
      <c r="E811" t="s">
        <v>15</v>
      </c>
      <c r="F811">
        <v>4317.26</v>
      </c>
      <c r="G811">
        <v>55974</v>
      </c>
      <c r="H811">
        <v>7542.28</v>
      </c>
      <c r="I811">
        <v>72.430000000000007</v>
      </c>
      <c r="J811">
        <f>IFERROR(INDEX(Suppliar[Estimated Carbon Footprint (tons CO₂e)],MATCH('Merge operational &amp; suppliar'!A811,Suppliar[Facility ID],0)),"")</f>
        <v>626.54</v>
      </c>
      <c r="K811">
        <f>IFERROR(INDEX(Suppliar[Income Distribution (%)],MATCH('Merge operational &amp; suppliar'!A811,Suppliar[Facility ID],0)),"")</f>
        <v>29.46</v>
      </c>
    </row>
    <row r="812" spans="1:11" x14ac:dyDescent="0.3">
      <c r="A812" t="s">
        <v>70</v>
      </c>
      <c r="B812" t="s">
        <v>19</v>
      </c>
      <c r="C812" t="s">
        <v>13</v>
      </c>
      <c r="D812" t="s">
        <v>28</v>
      </c>
      <c r="E812" t="s">
        <v>15</v>
      </c>
      <c r="F812">
        <v>1597.82</v>
      </c>
      <c r="G812">
        <v>42485</v>
      </c>
      <c r="H812">
        <v>4755.75</v>
      </c>
      <c r="I812">
        <v>10.19</v>
      </c>
      <c r="J812">
        <f>IFERROR(INDEX(Suppliar[Estimated Carbon Footprint (tons CO₂e)],MATCH('Merge operational &amp; suppliar'!A812,Suppliar[Facility ID],0)),"")</f>
        <v>662.74</v>
      </c>
      <c r="K812">
        <f>IFERROR(INDEX(Suppliar[Income Distribution (%)],MATCH('Merge operational &amp; suppliar'!A812,Suppliar[Facility ID],0)),"")</f>
        <v>36.79</v>
      </c>
    </row>
    <row r="813" spans="1:11" x14ac:dyDescent="0.3">
      <c r="A813" t="s">
        <v>154</v>
      </c>
      <c r="B813" t="s">
        <v>12</v>
      </c>
      <c r="C813" t="s">
        <v>8</v>
      </c>
      <c r="D813" t="s">
        <v>14</v>
      </c>
      <c r="E813" t="s">
        <v>10</v>
      </c>
      <c r="F813">
        <v>3825.5</v>
      </c>
      <c r="G813">
        <v>87012</v>
      </c>
      <c r="H813">
        <v>7478.13</v>
      </c>
      <c r="I813">
        <v>27.22</v>
      </c>
      <c r="J813">
        <f>IFERROR(INDEX(Suppliar[Estimated Carbon Footprint (tons CO₂e)],MATCH('Merge operational &amp; suppliar'!A813,Suppliar[Facility ID],0)),"")</f>
        <v>579.80999999999995</v>
      </c>
      <c r="K813">
        <f>IFERROR(INDEX(Suppliar[Income Distribution (%)],MATCH('Merge operational &amp; suppliar'!A813,Suppliar[Facility ID],0)),"")</f>
        <v>28.6</v>
      </c>
    </row>
    <row r="814" spans="1:11" x14ac:dyDescent="0.3">
      <c r="A814" t="s">
        <v>202</v>
      </c>
      <c r="B814" t="s">
        <v>12</v>
      </c>
      <c r="C814" t="s">
        <v>8</v>
      </c>
      <c r="D814" t="s">
        <v>9</v>
      </c>
      <c r="E814" t="s">
        <v>10</v>
      </c>
      <c r="F814">
        <v>3766.34</v>
      </c>
      <c r="G814">
        <v>28400</v>
      </c>
      <c r="H814">
        <v>3056.67</v>
      </c>
      <c r="I814">
        <v>52.68</v>
      </c>
      <c r="J814">
        <f>IFERROR(INDEX(Suppliar[Estimated Carbon Footprint (tons CO₂e)],MATCH('Merge operational &amp; suppliar'!A814,Suppliar[Facility ID],0)),"")</f>
        <v>571.88</v>
      </c>
      <c r="K814">
        <f>IFERROR(INDEX(Suppliar[Income Distribution (%)],MATCH('Merge operational &amp; suppliar'!A814,Suppliar[Facility ID],0)),"")</f>
        <v>8.6199999999999992</v>
      </c>
    </row>
    <row r="815" spans="1:11" x14ac:dyDescent="0.3">
      <c r="A815" t="s">
        <v>51</v>
      </c>
      <c r="B815" t="s">
        <v>30</v>
      </c>
      <c r="C815" t="s">
        <v>13</v>
      </c>
      <c r="D815" t="s">
        <v>9</v>
      </c>
      <c r="E815" t="s">
        <v>15</v>
      </c>
      <c r="F815">
        <v>4885.66</v>
      </c>
      <c r="G815">
        <v>44164</v>
      </c>
      <c r="H815">
        <v>3869.32</v>
      </c>
      <c r="I815">
        <v>13.81</v>
      </c>
      <c r="J815">
        <f>IFERROR(INDEX(Suppliar[Estimated Carbon Footprint (tons CO₂e)],MATCH('Merge operational &amp; suppliar'!A815,Suppliar[Facility ID],0)),"")</f>
        <v>943.59</v>
      </c>
      <c r="K815">
        <f>IFERROR(INDEX(Suppliar[Income Distribution (%)],MATCH('Merge operational &amp; suppliar'!A815,Suppliar[Facility ID],0)),"")</f>
        <v>16.02</v>
      </c>
    </row>
    <row r="816" spans="1:11" x14ac:dyDescent="0.3">
      <c r="A816" t="s">
        <v>39</v>
      </c>
      <c r="B816" t="s">
        <v>7</v>
      </c>
      <c r="C816" t="s">
        <v>23</v>
      </c>
      <c r="D816" t="s">
        <v>9</v>
      </c>
      <c r="E816" t="s">
        <v>24</v>
      </c>
      <c r="F816">
        <v>2013.05</v>
      </c>
      <c r="G816">
        <v>80904</v>
      </c>
      <c r="H816">
        <v>3263.09</v>
      </c>
      <c r="I816">
        <v>58.37</v>
      </c>
      <c r="J816">
        <f>IFERROR(INDEX(Suppliar[Estimated Carbon Footprint (tons CO₂e)],MATCH('Merge operational &amp; suppliar'!A816,Suppliar[Facility ID],0)),"")</f>
        <v>756.78</v>
      </c>
      <c r="K816">
        <f>IFERROR(INDEX(Suppliar[Income Distribution (%)],MATCH('Merge operational &amp; suppliar'!A816,Suppliar[Facility ID],0)),"")</f>
        <v>35.950000000000003</v>
      </c>
    </row>
    <row r="817" spans="1:11" x14ac:dyDescent="0.3">
      <c r="A817" t="s">
        <v>89</v>
      </c>
      <c r="B817" t="s">
        <v>17</v>
      </c>
      <c r="C817" t="s">
        <v>34</v>
      </c>
      <c r="D817" t="s">
        <v>9</v>
      </c>
      <c r="E817" t="s">
        <v>24</v>
      </c>
      <c r="F817">
        <v>2140.42</v>
      </c>
      <c r="G817">
        <v>36171</v>
      </c>
      <c r="H817">
        <v>6864.38</v>
      </c>
      <c r="I817">
        <v>37.03</v>
      </c>
      <c r="J817">
        <f>IFERROR(INDEX(Suppliar[Estimated Carbon Footprint (tons CO₂e)],MATCH('Merge operational &amp; suppliar'!A817,Suppliar[Facility ID],0)),"")</f>
        <v>181.54</v>
      </c>
      <c r="K817">
        <f>IFERROR(INDEX(Suppliar[Income Distribution (%)],MATCH('Merge operational &amp; suppliar'!A817,Suppliar[Facility ID],0)),"")</f>
        <v>55.69</v>
      </c>
    </row>
    <row r="818" spans="1:11" x14ac:dyDescent="0.3">
      <c r="A818" t="s">
        <v>182</v>
      </c>
      <c r="B818" t="s">
        <v>12</v>
      </c>
      <c r="C818" t="s">
        <v>13</v>
      </c>
      <c r="D818" t="s">
        <v>28</v>
      </c>
      <c r="E818" t="s">
        <v>10</v>
      </c>
      <c r="F818">
        <v>707.7</v>
      </c>
      <c r="G818">
        <v>21081</v>
      </c>
      <c r="H818">
        <v>9001.77</v>
      </c>
      <c r="I818">
        <v>49.27</v>
      </c>
      <c r="J818">
        <f>IFERROR(INDEX(Suppliar[Estimated Carbon Footprint (tons CO₂e)],MATCH('Merge operational &amp; suppliar'!A818,Suppliar[Facility ID],0)),"")</f>
        <v>114.57</v>
      </c>
      <c r="K818">
        <f>IFERROR(INDEX(Suppliar[Income Distribution (%)],MATCH('Merge operational &amp; suppliar'!A818,Suppliar[Facility ID],0)),"")</f>
        <v>44.17</v>
      </c>
    </row>
    <row r="819" spans="1:11" x14ac:dyDescent="0.3">
      <c r="A819" t="s">
        <v>57</v>
      </c>
      <c r="B819" t="s">
        <v>19</v>
      </c>
      <c r="C819" t="s">
        <v>23</v>
      </c>
      <c r="D819" t="s">
        <v>28</v>
      </c>
      <c r="E819" t="s">
        <v>24</v>
      </c>
      <c r="F819">
        <v>1703.95</v>
      </c>
      <c r="G819">
        <v>41027</v>
      </c>
      <c r="H819">
        <v>7285.85</v>
      </c>
      <c r="I819">
        <v>59.87</v>
      </c>
      <c r="J819">
        <f>IFERROR(INDEX(Suppliar[Estimated Carbon Footprint (tons CO₂e)],MATCH('Merge operational &amp; suppliar'!A819,Suppliar[Facility ID],0)),"")</f>
        <v>763.97</v>
      </c>
      <c r="K819">
        <f>IFERROR(INDEX(Suppliar[Income Distribution (%)],MATCH('Merge operational &amp; suppliar'!A819,Suppliar[Facility ID],0)),"")</f>
        <v>34.14</v>
      </c>
    </row>
    <row r="820" spans="1:11" x14ac:dyDescent="0.3">
      <c r="A820" t="s">
        <v>199</v>
      </c>
      <c r="B820" t="s">
        <v>17</v>
      </c>
      <c r="C820" t="s">
        <v>8</v>
      </c>
      <c r="D820" t="s">
        <v>28</v>
      </c>
      <c r="E820" t="s">
        <v>10</v>
      </c>
      <c r="F820">
        <v>3023.57</v>
      </c>
      <c r="G820">
        <v>77317</v>
      </c>
      <c r="H820">
        <v>4862.95</v>
      </c>
      <c r="I820">
        <v>89.78</v>
      </c>
      <c r="J820">
        <f>IFERROR(INDEX(Suppliar[Estimated Carbon Footprint (tons CO₂e)],MATCH('Merge operational &amp; suppliar'!A820,Suppliar[Facility ID],0)),"")</f>
        <v>960.4</v>
      </c>
      <c r="K820">
        <f>IFERROR(INDEX(Suppliar[Income Distribution (%)],MATCH('Merge operational &amp; suppliar'!A820,Suppliar[Facility ID],0)),"")</f>
        <v>31.34</v>
      </c>
    </row>
    <row r="821" spans="1:11" x14ac:dyDescent="0.3">
      <c r="A821" t="s">
        <v>11</v>
      </c>
      <c r="B821" t="s">
        <v>12</v>
      </c>
      <c r="C821" t="s">
        <v>23</v>
      </c>
      <c r="D821" t="s">
        <v>28</v>
      </c>
      <c r="E821" t="s">
        <v>24</v>
      </c>
      <c r="F821">
        <v>2101.7199999999998</v>
      </c>
      <c r="G821">
        <v>44657</v>
      </c>
      <c r="H821">
        <v>7867.98</v>
      </c>
      <c r="I821">
        <v>96.01</v>
      </c>
      <c r="J821">
        <f>IFERROR(INDEX(Suppliar[Estimated Carbon Footprint (tons CO₂e)],MATCH('Merge operational &amp; suppliar'!A821,Suppliar[Facility ID],0)),"")</f>
        <v>694.92</v>
      </c>
      <c r="K821">
        <f>IFERROR(INDEX(Suppliar[Income Distribution (%)],MATCH('Merge operational &amp; suppliar'!A821,Suppliar[Facility ID],0)),"")</f>
        <v>26.24</v>
      </c>
    </row>
    <row r="822" spans="1:11" x14ac:dyDescent="0.3">
      <c r="A822" t="s">
        <v>215</v>
      </c>
      <c r="B822" t="s">
        <v>17</v>
      </c>
      <c r="C822" t="s">
        <v>34</v>
      </c>
      <c r="D822" t="s">
        <v>14</v>
      </c>
      <c r="E822" t="s">
        <v>15</v>
      </c>
      <c r="F822">
        <v>72.97</v>
      </c>
      <c r="G822">
        <v>72813</v>
      </c>
      <c r="H822">
        <v>8818.16</v>
      </c>
      <c r="I822">
        <v>54.12</v>
      </c>
      <c r="J822">
        <f>IFERROR(INDEX(Suppliar[Estimated Carbon Footprint (tons CO₂e)],MATCH('Merge operational &amp; suppliar'!A822,Suppliar[Facility ID],0)),"")</f>
        <v>986.62</v>
      </c>
      <c r="K822">
        <f>IFERROR(INDEX(Suppliar[Income Distribution (%)],MATCH('Merge operational &amp; suppliar'!A822,Suppliar[Facility ID],0)),"")</f>
        <v>42.1</v>
      </c>
    </row>
    <row r="823" spans="1:11" x14ac:dyDescent="0.3">
      <c r="A823" t="s">
        <v>107</v>
      </c>
      <c r="B823" t="s">
        <v>30</v>
      </c>
      <c r="C823" t="s">
        <v>34</v>
      </c>
      <c r="D823" t="s">
        <v>28</v>
      </c>
      <c r="E823" t="s">
        <v>10</v>
      </c>
      <c r="F823">
        <v>1271.98</v>
      </c>
      <c r="G823">
        <v>69305</v>
      </c>
      <c r="H823">
        <v>3203.67</v>
      </c>
      <c r="I823">
        <v>83.65</v>
      </c>
      <c r="J823">
        <f>IFERROR(INDEX(Suppliar[Estimated Carbon Footprint (tons CO₂e)],MATCH('Merge operational &amp; suppliar'!A823,Suppliar[Facility ID],0)),"")</f>
        <v>173.67</v>
      </c>
      <c r="K823">
        <f>IFERROR(INDEX(Suppliar[Income Distribution (%)],MATCH('Merge operational &amp; suppliar'!A823,Suppliar[Facility ID],0)),"")</f>
        <v>67.040000000000006</v>
      </c>
    </row>
    <row r="824" spans="1:11" x14ac:dyDescent="0.3">
      <c r="A824" t="s">
        <v>201</v>
      </c>
      <c r="B824" t="s">
        <v>12</v>
      </c>
      <c r="C824" t="s">
        <v>8</v>
      </c>
      <c r="D824" t="s">
        <v>14</v>
      </c>
      <c r="E824" t="s">
        <v>10</v>
      </c>
      <c r="F824">
        <v>1645.13</v>
      </c>
      <c r="G824">
        <v>58439</v>
      </c>
      <c r="H824">
        <v>5817.93</v>
      </c>
      <c r="I824">
        <v>63.77</v>
      </c>
      <c r="J824">
        <f>IFERROR(INDEX(Suppliar[Estimated Carbon Footprint (tons CO₂e)],MATCH('Merge operational &amp; suppliar'!A824,Suppliar[Facility ID],0)),"")</f>
        <v>143.16999999999999</v>
      </c>
      <c r="K824">
        <f>IFERROR(INDEX(Suppliar[Income Distribution (%)],MATCH('Merge operational &amp; suppliar'!A824,Suppliar[Facility ID],0)),"")</f>
        <v>52.46</v>
      </c>
    </row>
    <row r="825" spans="1:11" x14ac:dyDescent="0.3">
      <c r="A825" t="s">
        <v>201</v>
      </c>
      <c r="B825" t="s">
        <v>12</v>
      </c>
      <c r="C825" t="s">
        <v>8</v>
      </c>
      <c r="D825" t="s">
        <v>14</v>
      </c>
      <c r="E825" t="s">
        <v>15</v>
      </c>
      <c r="F825">
        <v>1271.48</v>
      </c>
      <c r="G825">
        <v>58439</v>
      </c>
      <c r="H825">
        <v>5817.93</v>
      </c>
      <c r="I825">
        <v>63.77</v>
      </c>
      <c r="J825">
        <f>IFERROR(INDEX(Suppliar[Estimated Carbon Footprint (tons CO₂e)],MATCH('Merge operational &amp; suppliar'!A825,Suppliar[Facility ID],0)),"")</f>
        <v>143.16999999999999</v>
      </c>
      <c r="K825">
        <f>IFERROR(INDEX(Suppliar[Income Distribution (%)],MATCH('Merge operational &amp; suppliar'!A825,Suppliar[Facility ID],0)),"")</f>
        <v>52.46</v>
      </c>
    </row>
    <row r="826" spans="1:11" x14ac:dyDescent="0.3">
      <c r="A826" t="s">
        <v>134</v>
      </c>
      <c r="B826" t="s">
        <v>7</v>
      </c>
      <c r="C826" t="s">
        <v>23</v>
      </c>
      <c r="D826" t="s">
        <v>28</v>
      </c>
      <c r="E826" t="s">
        <v>15</v>
      </c>
      <c r="F826">
        <v>1183.23</v>
      </c>
      <c r="G826">
        <v>39568</v>
      </c>
      <c r="H826">
        <v>3580.54</v>
      </c>
      <c r="I826">
        <v>78.08</v>
      </c>
      <c r="J826">
        <f>IFERROR(INDEX(Suppliar[Estimated Carbon Footprint (tons CO₂e)],MATCH('Merge operational &amp; suppliar'!A826,Suppliar[Facility ID],0)),"")</f>
        <v>635.72</v>
      </c>
      <c r="K826">
        <f>IFERROR(INDEX(Suppliar[Income Distribution (%)],MATCH('Merge operational &amp; suppliar'!A826,Suppliar[Facility ID],0)),"")</f>
        <v>67.36</v>
      </c>
    </row>
    <row r="827" spans="1:11" x14ac:dyDescent="0.3">
      <c r="A827" t="s">
        <v>164</v>
      </c>
      <c r="B827" t="s">
        <v>19</v>
      </c>
      <c r="C827" t="s">
        <v>13</v>
      </c>
      <c r="D827" t="s">
        <v>9</v>
      </c>
      <c r="E827" t="s">
        <v>10</v>
      </c>
      <c r="F827">
        <v>3135.29</v>
      </c>
      <c r="G827">
        <v>69636</v>
      </c>
      <c r="H827">
        <v>4246.55</v>
      </c>
      <c r="I827">
        <v>69.290000000000006</v>
      </c>
      <c r="J827">
        <f>IFERROR(INDEX(Suppliar[Estimated Carbon Footprint (tons CO₂e)],MATCH('Merge operational &amp; suppliar'!A827,Suppliar[Facility ID],0)),"")</f>
        <v>362.43</v>
      </c>
      <c r="K827">
        <f>IFERROR(INDEX(Suppliar[Income Distribution (%)],MATCH('Merge operational &amp; suppliar'!A827,Suppliar[Facility ID],0)),"")</f>
        <v>54.81</v>
      </c>
    </row>
    <row r="828" spans="1:11" x14ac:dyDescent="0.3">
      <c r="A828" t="s">
        <v>124</v>
      </c>
      <c r="B828" t="s">
        <v>12</v>
      </c>
      <c r="C828" t="s">
        <v>23</v>
      </c>
      <c r="D828" t="s">
        <v>14</v>
      </c>
      <c r="E828" t="s">
        <v>15</v>
      </c>
      <c r="F828">
        <v>2647.47</v>
      </c>
      <c r="G828">
        <v>47491</v>
      </c>
      <c r="H828">
        <v>5781.05</v>
      </c>
      <c r="I828">
        <v>92.18</v>
      </c>
      <c r="J828">
        <f>IFERROR(INDEX(Suppliar[Estimated Carbon Footprint (tons CO₂e)],MATCH('Merge operational &amp; suppliar'!A828,Suppliar[Facility ID],0)),"")</f>
        <v>344.93</v>
      </c>
      <c r="K828">
        <f>IFERROR(INDEX(Suppliar[Income Distribution (%)],MATCH('Merge operational &amp; suppliar'!A828,Suppliar[Facility ID],0)),"")</f>
        <v>36.229999999999997</v>
      </c>
    </row>
    <row r="829" spans="1:11" x14ac:dyDescent="0.3">
      <c r="A829" t="s">
        <v>174</v>
      </c>
      <c r="B829" t="s">
        <v>19</v>
      </c>
      <c r="C829" t="s">
        <v>13</v>
      </c>
      <c r="D829" t="s">
        <v>14</v>
      </c>
      <c r="E829" t="s">
        <v>15</v>
      </c>
      <c r="F829">
        <v>1670.25</v>
      </c>
      <c r="G829">
        <v>66163</v>
      </c>
      <c r="H829">
        <v>1416.57</v>
      </c>
      <c r="I829">
        <v>68.73</v>
      </c>
      <c r="J829">
        <f>IFERROR(INDEX(Suppliar[Estimated Carbon Footprint (tons CO₂e)],MATCH('Merge operational &amp; suppliar'!A829,Suppliar[Facility ID],0)),"")</f>
        <v>773.96</v>
      </c>
      <c r="K829">
        <f>IFERROR(INDEX(Suppliar[Income Distribution (%)],MATCH('Merge operational &amp; suppliar'!A829,Suppliar[Facility ID],0)),"")</f>
        <v>29.26</v>
      </c>
    </row>
    <row r="830" spans="1:11" x14ac:dyDescent="0.3">
      <c r="A830" t="s">
        <v>105</v>
      </c>
      <c r="B830" t="s">
        <v>30</v>
      </c>
      <c r="C830" t="s">
        <v>13</v>
      </c>
      <c r="D830" t="s">
        <v>9</v>
      </c>
      <c r="E830" t="s">
        <v>15</v>
      </c>
      <c r="F830">
        <v>3796.74</v>
      </c>
      <c r="G830">
        <v>87337</v>
      </c>
      <c r="H830">
        <v>3603.06</v>
      </c>
      <c r="I830">
        <v>67.13</v>
      </c>
      <c r="J830" t="str">
        <f>IFERROR(INDEX(Suppliar[Estimated Carbon Footprint (tons CO₂e)],MATCH('Merge operational &amp; suppliar'!A830,Suppliar[Facility ID],0)),"")</f>
        <v/>
      </c>
      <c r="K830" t="str">
        <f>IFERROR(INDEX(Suppliar[Income Distribution (%)],MATCH('Merge operational &amp; suppliar'!A830,Suppliar[Facility ID],0)),"")</f>
        <v/>
      </c>
    </row>
    <row r="831" spans="1:11" x14ac:dyDescent="0.3">
      <c r="A831" t="s">
        <v>127</v>
      </c>
      <c r="B831" t="s">
        <v>17</v>
      </c>
      <c r="C831" t="s">
        <v>8</v>
      </c>
      <c r="D831" t="s">
        <v>14</v>
      </c>
      <c r="E831" t="s">
        <v>15</v>
      </c>
      <c r="F831">
        <v>2430.6999999999998</v>
      </c>
      <c r="G831">
        <v>17416</v>
      </c>
      <c r="H831">
        <v>812.06</v>
      </c>
      <c r="I831">
        <v>5.7</v>
      </c>
      <c r="J831">
        <f>IFERROR(INDEX(Suppliar[Estimated Carbon Footprint (tons CO₂e)],MATCH('Merge operational &amp; suppliar'!A831,Suppliar[Facility ID],0)),"")</f>
        <v>568.27</v>
      </c>
      <c r="K831">
        <f>IFERROR(INDEX(Suppliar[Income Distribution (%)],MATCH('Merge operational &amp; suppliar'!A831,Suppliar[Facility ID],0)),"")</f>
        <v>18.03</v>
      </c>
    </row>
    <row r="832" spans="1:11" x14ac:dyDescent="0.3">
      <c r="A832" t="s">
        <v>100</v>
      </c>
      <c r="B832" t="s">
        <v>7</v>
      </c>
      <c r="C832" t="s">
        <v>8</v>
      </c>
      <c r="D832" t="s">
        <v>9</v>
      </c>
      <c r="E832" t="s">
        <v>10</v>
      </c>
      <c r="F832">
        <v>4664.5200000000004</v>
      </c>
      <c r="G832">
        <v>17468</v>
      </c>
      <c r="H832">
        <v>6359.73</v>
      </c>
      <c r="I832">
        <v>5.22</v>
      </c>
      <c r="J832">
        <f>IFERROR(INDEX(Suppliar[Estimated Carbon Footprint (tons CO₂e)],MATCH('Merge operational &amp; suppliar'!A832,Suppliar[Facility ID],0)),"")</f>
        <v>959.2</v>
      </c>
      <c r="K832">
        <f>IFERROR(INDEX(Suppliar[Income Distribution (%)],MATCH('Merge operational &amp; suppliar'!A832,Suppliar[Facility ID],0)),"")</f>
        <v>36.92</v>
      </c>
    </row>
    <row r="833" spans="1:11" x14ac:dyDescent="0.3">
      <c r="A833" t="s">
        <v>70</v>
      </c>
      <c r="B833" t="s">
        <v>19</v>
      </c>
      <c r="C833" t="s">
        <v>8</v>
      </c>
      <c r="D833" t="s">
        <v>14</v>
      </c>
      <c r="E833" t="s">
        <v>10</v>
      </c>
      <c r="F833">
        <v>2563.5500000000002</v>
      </c>
      <c r="G833">
        <v>42485</v>
      </c>
      <c r="H833">
        <v>4755.75</v>
      </c>
      <c r="I833">
        <v>10.19</v>
      </c>
      <c r="J833">
        <f>IFERROR(INDEX(Suppliar[Estimated Carbon Footprint (tons CO₂e)],MATCH('Merge operational &amp; suppliar'!A833,Suppliar[Facility ID],0)),"")</f>
        <v>662.74</v>
      </c>
      <c r="K833">
        <f>IFERROR(INDEX(Suppliar[Income Distribution (%)],MATCH('Merge operational &amp; suppliar'!A833,Suppliar[Facility ID],0)),"")</f>
        <v>36.79</v>
      </c>
    </row>
    <row r="834" spans="1:11" x14ac:dyDescent="0.3">
      <c r="A834" t="s">
        <v>62</v>
      </c>
      <c r="B834" t="s">
        <v>30</v>
      </c>
      <c r="C834" t="s">
        <v>13</v>
      </c>
      <c r="D834" t="s">
        <v>14</v>
      </c>
      <c r="E834" t="s">
        <v>24</v>
      </c>
      <c r="F834">
        <v>2866.4</v>
      </c>
      <c r="G834">
        <v>22309</v>
      </c>
      <c r="H834">
        <v>3656.29</v>
      </c>
      <c r="I834">
        <v>75.25</v>
      </c>
      <c r="J834">
        <f>IFERROR(INDEX(Suppliar[Estimated Carbon Footprint (tons CO₂e)],MATCH('Merge operational &amp; suppliar'!A834,Suppliar[Facility ID],0)),"")</f>
        <v>795.74</v>
      </c>
      <c r="K834">
        <f>IFERROR(INDEX(Suppliar[Income Distribution (%)],MATCH('Merge operational &amp; suppliar'!A834,Suppliar[Facility ID],0)),"")</f>
        <v>26.99</v>
      </c>
    </row>
    <row r="835" spans="1:11" x14ac:dyDescent="0.3">
      <c r="A835" t="s">
        <v>35</v>
      </c>
      <c r="B835" t="s">
        <v>19</v>
      </c>
      <c r="C835" t="s">
        <v>34</v>
      </c>
      <c r="D835" t="s">
        <v>14</v>
      </c>
      <c r="E835" t="s">
        <v>10</v>
      </c>
      <c r="F835">
        <v>4646.07</v>
      </c>
      <c r="G835">
        <v>42382</v>
      </c>
      <c r="H835">
        <v>5116.6899999999996</v>
      </c>
      <c r="I835">
        <v>80.42</v>
      </c>
      <c r="J835">
        <f>IFERROR(INDEX(Suppliar[Estimated Carbon Footprint (tons CO₂e)],MATCH('Merge operational &amp; suppliar'!A835,Suppliar[Facility ID],0)),"")</f>
        <v>626.54</v>
      </c>
      <c r="K835">
        <f>IFERROR(INDEX(Suppliar[Income Distribution (%)],MATCH('Merge operational &amp; suppliar'!A835,Suppliar[Facility ID],0)),"")</f>
        <v>70.540000000000006</v>
      </c>
    </row>
    <row r="836" spans="1:11" x14ac:dyDescent="0.3">
      <c r="A836" t="s">
        <v>73</v>
      </c>
      <c r="B836" t="s">
        <v>30</v>
      </c>
      <c r="C836" t="s">
        <v>23</v>
      </c>
      <c r="D836" t="s">
        <v>9</v>
      </c>
      <c r="E836" t="s">
        <v>10</v>
      </c>
      <c r="F836">
        <v>858.76</v>
      </c>
      <c r="G836">
        <v>55974</v>
      </c>
      <c r="H836">
        <v>7542.28</v>
      </c>
      <c r="I836">
        <v>72.430000000000007</v>
      </c>
      <c r="J836">
        <f>IFERROR(INDEX(Suppliar[Estimated Carbon Footprint (tons CO₂e)],MATCH('Merge operational &amp; suppliar'!A836,Suppliar[Facility ID],0)),"")</f>
        <v>626.54</v>
      </c>
      <c r="K836">
        <f>IFERROR(INDEX(Suppliar[Income Distribution (%)],MATCH('Merge operational &amp; suppliar'!A836,Suppliar[Facility ID],0)),"")</f>
        <v>29.46</v>
      </c>
    </row>
    <row r="837" spans="1:11" x14ac:dyDescent="0.3">
      <c r="A837" t="s">
        <v>111</v>
      </c>
      <c r="B837" t="s">
        <v>19</v>
      </c>
      <c r="C837" t="s">
        <v>34</v>
      </c>
      <c r="D837" t="s">
        <v>14</v>
      </c>
      <c r="E837" t="s">
        <v>10</v>
      </c>
      <c r="F837">
        <v>2645.6</v>
      </c>
      <c r="G837">
        <v>37309</v>
      </c>
      <c r="H837">
        <v>4508.54</v>
      </c>
      <c r="I837">
        <v>47.15</v>
      </c>
      <c r="J837">
        <f>IFERROR(INDEX(Suppliar[Estimated Carbon Footprint (tons CO₂e)],MATCH('Merge operational &amp; suppliar'!A837,Suppliar[Facility ID],0)),"")</f>
        <v>951.35</v>
      </c>
      <c r="K837">
        <f>IFERROR(INDEX(Suppliar[Income Distribution (%)],MATCH('Merge operational &amp; suppliar'!A837,Suppliar[Facility ID],0)),"")</f>
        <v>47.12</v>
      </c>
    </row>
    <row r="838" spans="1:11" x14ac:dyDescent="0.3">
      <c r="A838" t="s">
        <v>153</v>
      </c>
      <c r="B838" t="s">
        <v>7</v>
      </c>
      <c r="C838" t="s">
        <v>23</v>
      </c>
      <c r="D838" t="s">
        <v>9</v>
      </c>
      <c r="E838" t="s">
        <v>10</v>
      </c>
      <c r="F838">
        <v>4396.45</v>
      </c>
      <c r="G838">
        <v>21388</v>
      </c>
      <c r="H838">
        <v>5249.39</v>
      </c>
      <c r="I838">
        <v>64.2</v>
      </c>
      <c r="J838">
        <f>IFERROR(INDEX(Suppliar[Estimated Carbon Footprint (tons CO₂e)],MATCH('Merge operational &amp; suppliar'!A838,Suppliar[Facility ID],0)),"")</f>
        <v>571.66</v>
      </c>
      <c r="K838">
        <f>IFERROR(INDEX(Suppliar[Income Distribution (%)],MATCH('Merge operational &amp; suppliar'!A838,Suppliar[Facility ID],0)),"")</f>
        <v>17.87</v>
      </c>
    </row>
    <row r="839" spans="1:11" x14ac:dyDescent="0.3">
      <c r="A839" t="s">
        <v>64</v>
      </c>
      <c r="B839" t="s">
        <v>30</v>
      </c>
      <c r="C839" t="s">
        <v>8</v>
      </c>
      <c r="D839" t="s">
        <v>9</v>
      </c>
      <c r="E839" t="s">
        <v>15</v>
      </c>
      <c r="F839">
        <v>2468.89</v>
      </c>
      <c r="G839">
        <v>52836</v>
      </c>
      <c r="H839">
        <v>9330.2999999999993</v>
      </c>
      <c r="I839">
        <v>87.27</v>
      </c>
      <c r="J839" t="str">
        <f>IFERROR(INDEX(Suppliar[Estimated Carbon Footprint (tons CO₂e)],MATCH('Merge operational &amp; suppliar'!A839,Suppliar[Facility ID],0)),"")</f>
        <v/>
      </c>
      <c r="K839" t="str">
        <f>IFERROR(INDEX(Suppliar[Income Distribution (%)],MATCH('Merge operational &amp; suppliar'!A839,Suppliar[Facility ID],0)),"")</f>
        <v/>
      </c>
    </row>
    <row r="840" spans="1:11" x14ac:dyDescent="0.3">
      <c r="A840" t="s">
        <v>108</v>
      </c>
      <c r="B840" t="s">
        <v>7</v>
      </c>
      <c r="C840" t="s">
        <v>13</v>
      </c>
      <c r="D840" t="s">
        <v>14</v>
      </c>
      <c r="E840" t="s">
        <v>24</v>
      </c>
      <c r="F840">
        <v>3901.9</v>
      </c>
      <c r="G840">
        <v>22201</v>
      </c>
      <c r="H840">
        <v>2853.66</v>
      </c>
      <c r="I840">
        <v>71.94</v>
      </c>
      <c r="J840">
        <f>IFERROR(INDEX(Suppliar[Estimated Carbon Footprint (tons CO₂e)],MATCH('Merge operational &amp; suppliar'!A840,Suppliar[Facility ID],0)),"")</f>
        <v>991.03</v>
      </c>
      <c r="K840">
        <f>IFERROR(INDEX(Suppliar[Income Distribution (%)],MATCH('Merge operational &amp; suppliar'!A840,Suppliar[Facility ID],0)),"")</f>
        <v>21.4</v>
      </c>
    </row>
    <row r="841" spans="1:11" x14ac:dyDescent="0.3">
      <c r="A841" t="s">
        <v>193</v>
      </c>
      <c r="B841" t="s">
        <v>12</v>
      </c>
      <c r="C841" t="s">
        <v>23</v>
      </c>
      <c r="D841" t="s">
        <v>9</v>
      </c>
      <c r="E841" t="s">
        <v>24</v>
      </c>
      <c r="F841">
        <v>2711</v>
      </c>
      <c r="G841">
        <v>13333</v>
      </c>
      <c r="H841">
        <v>6102.15</v>
      </c>
      <c r="I841">
        <v>17.670000000000002</v>
      </c>
      <c r="J841">
        <f>IFERROR(INDEX(Suppliar[Estimated Carbon Footprint (tons CO₂e)],MATCH('Merge operational &amp; suppliar'!A841,Suppliar[Facility ID],0)),"")</f>
        <v>959.2</v>
      </c>
      <c r="K841">
        <f>IFERROR(INDEX(Suppliar[Income Distribution (%)],MATCH('Merge operational &amp; suppliar'!A841,Suppliar[Facility ID],0)),"")</f>
        <v>24.24</v>
      </c>
    </row>
    <row r="842" spans="1:11" x14ac:dyDescent="0.3">
      <c r="A842" t="s">
        <v>110</v>
      </c>
      <c r="B842" t="s">
        <v>12</v>
      </c>
      <c r="C842" t="s">
        <v>13</v>
      </c>
      <c r="D842" t="s">
        <v>9</v>
      </c>
      <c r="E842" t="s">
        <v>24</v>
      </c>
      <c r="F842">
        <v>1971.3</v>
      </c>
      <c r="G842">
        <v>70481</v>
      </c>
      <c r="H842">
        <v>4452.83</v>
      </c>
      <c r="I842">
        <v>91.26</v>
      </c>
      <c r="J842" t="str">
        <f>IFERROR(INDEX(Suppliar[Estimated Carbon Footprint (tons CO₂e)],MATCH('Merge operational &amp; suppliar'!A842,Suppliar[Facility ID],0)),"")</f>
        <v/>
      </c>
      <c r="K842" t="str">
        <f>IFERROR(INDEX(Suppliar[Income Distribution (%)],MATCH('Merge operational &amp; suppliar'!A842,Suppliar[Facility ID],0)),"")</f>
        <v/>
      </c>
    </row>
    <row r="843" spans="1:11" x14ac:dyDescent="0.3">
      <c r="A843" t="s">
        <v>189</v>
      </c>
      <c r="B843" t="s">
        <v>19</v>
      </c>
      <c r="C843" t="s">
        <v>13</v>
      </c>
      <c r="D843" t="s">
        <v>14</v>
      </c>
      <c r="E843" t="s">
        <v>24</v>
      </c>
      <c r="F843">
        <v>4296.74</v>
      </c>
      <c r="G843">
        <v>27681</v>
      </c>
      <c r="H843">
        <v>928.26</v>
      </c>
      <c r="I843">
        <v>44.97</v>
      </c>
      <c r="J843" t="str">
        <f>IFERROR(INDEX(Suppliar[Estimated Carbon Footprint (tons CO₂e)],MATCH('Merge operational &amp; suppliar'!A843,Suppliar[Facility ID],0)),"")</f>
        <v/>
      </c>
      <c r="K843" t="str">
        <f>IFERROR(INDEX(Suppliar[Income Distribution (%)],MATCH('Merge operational &amp; suppliar'!A843,Suppliar[Facility ID],0)),"")</f>
        <v/>
      </c>
    </row>
    <row r="844" spans="1:11" x14ac:dyDescent="0.3">
      <c r="A844" t="s">
        <v>87</v>
      </c>
      <c r="B844" t="s">
        <v>12</v>
      </c>
      <c r="C844" t="s">
        <v>23</v>
      </c>
      <c r="D844" t="s">
        <v>28</v>
      </c>
      <c r="E844" t="s">
        <v>24</v>
      </c>
      <c r="F844">
        <v>3792.89</v>
      </c>
      <c r="G844">
        <v>15333</v>
      </c>
      <c r="H844">
        <v>2570.54</v>
      </c>
      <c r="I844">
        <v>41.07</v>
      </c>
      <c r="J844">
        <f>IFERROR(INDEX(Suppliar[Estimated Carbon Footprint (tons CO₂e)],MATCH('Merge operational &amp; suppliar'!A844,Suppliar[Facility ID],0)),"")</f>
        <v>390.06</v>
      </c>
      <c r="K844">
        <f>IFERROR(INDEX(Suppliar[Income Distribution (%)],MATCH('Merge operational &amp; suppliar'!A844,Suppliar[Facility ID],0)),"")</f>
        <v>31.43</v>
      </c>
    </row>
    <row r="845" spans="1:11" x14ac:dyDescent="0.3">
      <c r="A845" t="s">
        <v>99</v>
      </c>
      <c r="B845" t="s">
        <v>19</v>
      </c>
      <c r="C845" t="s">
        <v>34</v>
      </c>
      <c r="D845" t="s">
        <v>28</v>
      </c>
      <c r="E845" t="s">
        <v>15</v>
      </c>
      <c r="F845">
        <v>1486.21</v>
      </c>
      <c r="G845">
        <v>77400</v>
      </c>
      <c r="H845">
        <v>7504.8</v>
      </c>
      <c r="I845">
        <v>68.819999999999993</v>
      </c>
      <c r="J845" t="str">
        <f>IFERROR(INDEX(Suppliar[Estimated Carbon Footprint (tons CO₂e)],MATCH('Merge operational &amp; suppliar'!A845,Suppliar[Facility ID],0)),"")</f>
        <v/>
      </c>
      <c r="K845" t="str">
        <f>IFERROR(INDEX(Suppliar[Income Distribution (%)],MATCH('Merge operational &amp; suppliar'!A845,Suppliar[Facility ID],0)),"")</f>
        <v/>
      </c>
    </row>
    <row r="846" spans="1:11" x14ac:dyDescent="0.3">
      <c r="A846" t="s">
        <v>216</v>
      </c>
      <c r="B846" t="s">
        <v>17</v>
      </c>
      <c r="C846" t="s">
        <v>34</v>
      </c>
      <c r="D846" t="s">
        <v>28</v>
      </c>
      <c r="E846" t="s">
        <v>15</v>
      </c>
      <c r="F846">
        <v>2653.12</v>
      </c>
      <c r="G846">
        <v>13302</v>
      </c>
      <c r="H846">
        <v>821.51</v>
      </c>
      <c r="I846">
        <v>69.599999999999994</v>
      </c>
      <c r="J846">
        <f>IFERROR(INDEX(Suppliar[Estimated Carbon Footprint (tons CO₂e)],MATCH('Merge operational &amp; suppliar'!A846,Suppliar[Facility ID],0)),"")</f>
        <v>795.74</v>
      </c>
      <c r="K846">
        <f>IFERROR(INDEX(Suppliar[Income Distribution (%)],MATCH('Merge operational &amp; suppliar'!A846,Suppliar[Facility ID],0)),"")</f>
        <v>9.39</v>
      </c>
    </row>
    <row r="847" spans="1:11" x14ac:dyDescent="0.3">
      <c r="A847" t="s">
        <v>181</v>
      </c>
      <c r="B847" t="s">
        <v>30</v>
      </c>
      <c r="C847" t="s">
        <v>23</v>
      </c>
      <c r="D847" t="s">
        <v>14</v>
      </c>
      <c r="E847" t="s">
        <v>15</v>
      </c>
      <c r="F847">
        <v>4329.05</v>
      </c>
      <c r="G847">
        <v>28704</v>
      </c>
      <c r="H847">
        <v>6009.24</v>
      </c>
      <c r="I847">
        <v>39.31</v>
      </c>
      <c r="J847">
        <f>IFERROR(INDEX(Suppliar[Estimated Carbon Footprint (tons CO₂e)],MATCH('Merge operational &amp; suppliar'!A847,Suppliar[Facility ID],0)),"")</f>
        <v>479.41</v>
      </c>
      <c r="K847">
        <f>IFERROR(INDEX(Suppliar[Income Distribution (%)],MATCH('Merge operational &amp; suppliar'!A847,Suppliar[Facility ID],0)),"")</f>
        <v>19.7</v>
      </c>
    </row>
    <row r="848" spans="1:11" x14ac:dyDescent="0.3">
      <c r="A848" t="s">
        <v>184</v>
      </c>
      <c r="B848" t="s">
        <v>30</v>
      </c>
      <c r="C848" t="s">
        <v>13</v>
      </c>
      <c r="D848" t="s">
        <v>9</v>
      </c>
      <c r="E848" t="s">
        <v>10</v>
      </c>
      <c r="F848">
        <v>3438.48</v>
      </c>
      <c r="G848">
        <v>13543</v>
      </c>
      <c r="H848">
        <v>7854.96</v>
      </c>
      <c r="I848">
        <v>85.57</v>
      </c>
      <c r="J848">
        <f>IFERROR(INDEX(Suppliar[Estimated Carbon Footprint (tons CO₂e)],MATCH('Merge operational &amp; suppliar'!A848,Suppliar[Facility ID],0)),"")</f>
        <v>610.79999999999995</v>
      </c>
      <c r="K848">
        <f>IFERROR(INDEX(Suppliar[Income Distribution (%)],MATCH('Merge operational &amp; suppliar'!A848,Suppliar[Facility ID],0)),"")</f>
        <v>30.04</v>
      </c>
    </row>
    <row r="849" spans="1:11" x14ac:dyDescent="0.3">
      <c r="A849" t="s">
        <v>211</v>
      </c>
      <c r="B849" t="s">
        <v>7</v>
      </c>
      <c r="C849" t="s">
        <v>34</v>
      </c>
      <c r="D849" t="s">
        <v>9</v>
      </c>
      <c r="E849" t="s">
        <v>24</v>
      </c>
      <c r="F849">
        <v>4297.03</v>
      </c>
      <c r="G849">
        <v>27028</v>
      </c>
      <c r="H849">
        <v>4617.92</v>
      </c>
      <c r="I849">
        <v>57.62</v>
      </c>
      <c r="J849">
        <f>IFERROR(INDEX(Suppliar[Estimated Carbon Footprint (tons CO₂e)],MATCH('Merge operational &amp; suppliar'!A849,Suppliar[Facility ID],0)),"")</f>
        <v>780.4</v>
      </c>
      <c r="K849">
        <f>IFERROR(INDEX(Suppliar[Income Distribution (%)],MATCH('Merge operational &amp; suppliar'!A849,Suppliar[Facility ID],0)),"")</f>
        <v>24.87</v>
      </c>
    </row>
    <row r="850" spans="1:11" x14ac:dyDescent="0.3">
      <c r="A850" t="s">
        <v>200</v>
      </c>
      <c r="B850" t="s">
        <v>30</v>
      </c>
      <c r="C850" t="s">
        <v>34</v>
      </c>
      <c r="D850" t="s">
        <v>9</v>
      </c>
      <c r="E850" t="s">
        <v>10</v>
      </c>
      <c r="F850">
        <v>1748.19</v>
      </c>
      <c r="G850">
        <v>46863</v>
      </c>
      <c r="H850">
        <v>6762.98</v>
      </c>
      <c r="I850">
        <v>23.45</v>
      </c>
      <c r="J850">
        <f>IFERROR(INDEX(Suppliar[Estimated Carbon Footprint (tons CO₂e)],MATCH('Merge operational &amp; suppliar'!A850,Suppliar[Facility ID],0)),"")</f>
        <v>231.68</v>
      </c>
      <c r="K850">
        <f>IFERROR(INDEX(Suppliar[Income Distribution (%)],MATCH('Merge operational &amp; suppliar'!A850,Suppliar[Facility ID],0)),"")</f>
        <v>35.92</v>
      </c>
    </row>
    <row r="851" spans="1:11" x14ac:dyDescent="0.3">
      <c r="A851" t="s">
        <v>185</v>
      </c>
      <c r="B851" t="s">
        <v>30</v>
      </c>
      <c r="C851" t="s">
        <v>34</v>
      </c>
      <c r="D851" t="s">
        <v>9</v>
      </c>
      <c r="E851" t="s">
        <v>15</v>
      </c>
      <c r="F851">
        <v>2629.36</v>
      </c>
      <c r="G851">
        <v>24913</v>
      </c>
      <c r="H851">
        <v>5727.27</v>
      </c>
      <c r="I851">
        <v>78.849999999999994</v>
      </c>
      <c r="J851" t="str">
        <f>IFERROR(INDEX(Suppliar[Estimated Carbon Footprint (tons CO₂e)],MATCH('Merge operational &amp; suppliar'!A851,Suppliar[Facility ID],0)),"")</f>
        <v/>
      </c>
      <c r="K851" t="str">
        <f>IFERROR(INDEX(Suppliar[Income Distribution (%)],MATCH('Merge operational &amp; suppliar'!A851,Suppliar[Facility ID],0)),"")</f>
        <v/>
      </c>
    </row>
    <row r="852" spans="1:11" x14ac:dyDescent="0.3">
      <c r="A852" t="s">
        <v>94</v>
      </c>
      <c r="B852" t="s">
        <v>7</v>
      </c>
      <c r="C852" t="s">
        <v>13</v>
      </c>
      <c r="D852" t="s">
        <v>9</v>
      </c>
      <c r="E852" t="s">
        <v>10</v>
      </c>
      <c r="F852">
        <v>4350.96</v>
      </c>
      <c r="G852">
        <v>26338</v>
      </c>
      <c r="H852">
        <v>578.73</v>
      </c>
      <c r="I852">
        <v>72.52</v>
      </c>
      <c r="J852">
        <f>IFERROR(INDEX(Suppliar[Estimated Carbon Footprint (tons CO₂e)],MATCH('Merge operational &amp; suppliar'!A852,Suppliar[Facility ID],0)),"")</f>
        <v>991.36</v>
      </c>
      <c r="K852">
        <f>IFERROR(INDEX(Suppliar[Income Distribution (%)],MATCH('Merge operational &amp; suppliar'!A852,Suppliar[Facility ID],0)),"")</f>
        <v>35.39</v>
      </c>
    </row>
    <row r="853" spans="1:11" x14ac:dyDescent="0.3">
      <c r="A853" t="s">
        <v>142</v>
      </c>
      <c r="B853" t="s">
        <v>17</v>
      </c>
      <c r="C853" t="s">
        <v>34</v>
      </c>
      <c r="D853" t="s">
        <v>14</v>
      </c>
      <c r="E853" t="s">
        <v>10</v>
      </c>
      <c r="F853">
        <v>400</v>
      </c>
      <c r="G853">
        <v>75736</v>
      </c>
      <c r="H853">
        <v>6287.07</v>
      </c>
      <c r="I853">
        <v>63.11</v>
      </c>
      <c r="J853">
        <f>IFERROR(INDEX(Suppliar[Estimated Carbon Footprint (tons CO₂e)],MATCH('Merge operational &amp; suppliar'!A853,Suppliar[Facility ID],0)),"")</f>
        <v>851.48</v>
      </c>
      <c r="K853">
        <f>IFERROR(INDEX(Suppliar[Income Distribution (%)],MATCH('Merge operational &amp; suppliar'!A853,Suppliar[Facility ID],0)),"")</f>
        <v>25.39</v>
      </c>
    </row>
    <row r="854" spans="1:11" x14ac:dyDescent="0.3">
      <c r="A854" t="s">
        <v>144</v>
      </c>
      <c r="B854" t="s">
        <v>30</v>
      </c>
      <c r="C854" t="s">
        <v>23</v>
      </c>
      <c r="D854" t="s">
        <v>28</v>
      </c>
      <c r="E854" t="s">
        <v>15</v>
      </c>
      <c r="F854">
        <v>4737.45</v>
      </c>
      <c r="G854">
        <v>11426</v>
      </c>
      <c r="H854">
        <v>4439.5600000000004</v>
      </c>
      <c r="I854">
        <v>52.71</v>
      </c>
      <c r="J854" t="str">
        <f>IFERROR(INDEX(Suppliar[Estimated Carbon Footprint (tons CO₂e)],MATCH('Merge operational &amp; suppliar'!A854,Suppliar[Facility ID],0)),"")</f>
        <v/>
      </c>
      <c r="K854" t="str">
        <f>IFERROR(INDEX(Suppliar[Income Distribution (%)],MATCH('Merge operational &amp; suppliar'!A854,Suppliar[Facility ID],0)),"")</f>
        <v/>
      </c>
    </row>
    <row r="855" spans="1:11" x14ac:dyDescent="0.3">
      <c r="A855" t="s">
        <v>217</v>
      </c>
      <c r="B855" t="s">
        <v>19</v>
      </c>
      <c r="C855" t="s">
        <v>23</v>
      </c>
      <c r="D855" t="s">
        <v>28</v>
      </c>
      <c r="E855" t="s">
        <v>24</v>
      </c>
      <c r="F855">
        <v>2400.9</v>
      </c>
      <c r="G855">
        <v>80824</v>
      </c>
      <c r="H855">
        <v>2858.92</v>
      </c>
      <c r="I855">
        <v>13.97</v>
      </c>
      <c r="J855">
        <f>IFERROR(INDEX(Suppliar[Estimated Carbon Footprint (tons CO₂e)],MATCH('Merge operational &amp; suppliar'!A855,Suppliar[Facility ID],0)),"")</f>
        <v>638.89</v>
      </c>
      <c r="K855">
        <f>IFERROR(INDEX(Suppliar[Income Distribution (%)],MATCH('Merge operational &amp; suppliar'!A855,Suppliar[Facility ID],0)),"")</f>
        <v>21.98</v>
      </c>
    </row>
    <row r="856" spans="1:11" x14ac:dyDescent="0.3">
      <c r="A856" t="s">
        <v>88</v>
      </c>
      <c r="B856" t="s">
        <v>7</v>
      </c>
      <c r="C856" t="s">
        <v>34</v>
      </c>
      <c r="D856" t="s">
        <v>14</v>
      </c>
      <c r="E856" t="s">
        <v>10</v>
      </c>
      <c r="F856">
        <v>3887.35</v>
      </c>
      <c r="G856">
        <v>44825</v>
      </c>
      <c r="H856">
        <v>6023.03</v>
      </c>
      <c r="I856">
        <v>27.2</v>
      </c>
      <c r="J856">
        <f>IFERROR(INDEX(Suppliar[Estimated Carbon Footprint (tons CO₂e)],MATCH('Merge operational &amp; suppliar'!A856,Suppliar[Facility ID],0)),"")</f>
        <v>436.04</v>
      </c>
      <c r="K856">
        <f>IFERROR(INDEX(Suppliar[Income Distribution (%)],MATCH('Merge operational &amp; suppliar'!A856,Suppliar[Facility ID],0)),"")</f>
        <v>19.36</v>
      </c>
    </row>
    <row r="857" spans="1:11" x14ac:dyDescent="0.3">
      <c r="A857" t="s">
        <v>31</v>
      </c>
      <c r="B857" t="s">
        <v>30</v>
      </c>
      <c r="C857" t="s">
        <v>13</v>
      </c>
      <c r="D857" t="s">
        <v>14</v>
      </c>
      <c r="E857" t="s">
        <v>10</v>
      </c>
      <c r="F857">
        <v>3231.03</v>
      </c>
      <c r="G857">
        <v>84851</v>
      </c>
      <c r="H857">
        <v>560.75</v>
      </c>
      <c r="I857">
        <v>80.23</v>
      </c>
      <c r="J857">
        <f>IFERROR(INDEX(Suppliar[Estimated Carbon Footprint (tons CO₂e)],MATCH('Merge operational &amp; suppliar'!A857,Suppliar[Facility ID],0)),"")</f>
        <v>610.79999999999995</v>
      </c>
      <c r="K857">
        <f>IFERROR(INDEX(Suppliar[Income Distribution (%)],MATCH('Merge operational &amp; suppliar'!A857,Suppliar[Facility ID],0)),"")</f>
        <v>26.58</v>
      </c>
    </row>
    <row r="858" spans="1:11" x14ac:dyDescent="0.3">
      <c r="A858" t="s">
        <v>85</v>
      </c>
      <c r="B858" t="s">
        <v>30</v>
      </c>
      <c r="C858" t="s">
        <v>34</v>
      </c>
      <c r="D858" t="s">
        <v>28</v>
      </c>
      <c r="E858" t="s">
        <v>24</v>
      </c>
      <c r="F858">
        <v>1139.33</v>
      </c>
      <c r="G858">
        <v>45519</v>
      </c>
      <c r="H858">
        <v>7987.69</v>
      </c>
      <c r="I858">
        <v>10.86</v>
      </c>
      <c r="J858">
        <f>IFERROR(INDEX(Suppliar[Estimated Carbon Footprint (tons CO₂e)],MATCH('Merge operational &amp; suppliar'!A858,Suppliar[Facility ID],0)),"")</f>
        <v>638.89</v>
      </c>
      <c r="K858">
        <f>IFERROR(INDEX(Suppliar[Income Distribution (%)],MATCH('Merge operational &amp; suppliar'!A858,Suppliar[Facility ID],0)),"")</f>
        <v>35.04</v>
      </c>
    </row>
    <row r="859" spans="1:11" x14ac:dyDescent="0.3">
      <c r="A859" t="s">
        <v>171</v>
      </c>
      <c r="B859" t="s">
        <v>17</v>
      </c>
      <c r="C859" t="s">
        <v>34</v>
      </c>
      <c r="D859" t="s">
        <v>14</v>
      </c>
      <c r="E859" t="s">
        <v>15</v>
      </c>
      <c r="F859">
        <v>4799</v>
      </c>
      <c r="G859">
        <v>24502</v>
      </c>
      <c r="H859">
        <v>7466.86</v>
      </c>
      <c r="I859">
        <v>88.83</v>
      </c>
      <c r="J859">
        <f>IFERROR(INDEX(Suppliar[Estimated Carbon Footprint (tons CO₂e)],MATCH('Merge operational &amp; suppliar'!A859,Suppliar[Facility ID],0)),"")</f>
        <v>847.51</v>
      </c>
      <c r="K859">
        <f>IFERROR(INDEX(Suppliar[Income Distribution (%)],MATCH('Merge operational &amp; suppliar'!A859,Suppliar[Facility ID],0)),"")</f>
        <v>26.48</v>
      </c>
    </row>
    <row r="860" spans="1:11" x14ac:dyDescent="0.3">
      <c r="A860" t="s">
        <v>26</v>
      </c>
      <c r="B860" t="s">
        <v>17</v>
      </c>
      <c r="C860" t="s">
        <v>8</v>
      </c>
      <c r="D860" t="s">
        <v>14</v>
      </c>
      <c r="E860" t="s">
        <v>24</v>
      </c>
      <c r="F860">
        <v>3657.83</v>
      </c>
      <c r="G860">
        <v>17311</v>
      </c>
      <c r="H860">
        <v>2257.38</v>
      </c>
      <c r="I860">
        <v>91.07</v>
      </c>
      <c r="J860">
        <f>IFERROR(INDEX(Suppliar[Estimated Carbon Footprint (tons CO₂e)],MATCH('Merge operational &amp; suppliar'!A860,Suppliar[Facility ID],0)),"")</f>
        <v>341.24</v>
      </c>
      <c r="K860">
        <f>IFERROR(INDEX(Suppliar[Income Distribution (%)],MATCH('Merge operational &amp; suppliar'!A860,Suppliar[Facility ID],0)),"")</f>
        <v>80.69</v>
      </c>
    </row>
    <row r="861" spans="1:11" x14ac:dyDescent="0.3">
      <c r="A861" t="s">
        <v>195</v>
      </c>
      <c r="B861" t="s">
        <v>7</v>
      </c>
      <c r="C861" t="s">
        <v>23</v>
      </c>
      <c r="D861" t="s">
        <v>9</v>
      </c>
      <c r="E861" t="s">
        <v>10</v>
      </c>
      <c r="F861">
        <v>2571.46</v>
      </c>
      <c r="G861">
        <v>68278</v>
      </c>
      <c r="H861">
        <v>3272.65</v>
      </c>
      <c r="I861">
        <v>30.47</v>
      </c>
      <c r="J861">
        <f>IFERROR(INDEX(Suppliar[Estimated Carbon Footprint (tons CO₂e)],MATCH('Merge operational &amp; suppliar'!A861,Suppliar[Facility ID],0)),"")</f>
        <v>526.54999999999995</v>
      </c>
      <c r="K861">
        <f>IFERROR(INDEX(Suppliar[Income Distribution (%)],MATCH('Merge operational &amp; suppliar'!A861,Suppliar[Facility ID],0)),"")</f>
        <v>30.4</v>
      </c>
    </row>
    <row r="862" spans="1:11" x14ac:dyDescent="0.3">
      <c r="A862" t="s">
        <v>154</v>
      </c>
      <c r="B862" t="s">
        <v>12</v>
      </c>
      <c r="C862" t="s">
        <v>8</v>
      </c>
      <c r="D862" t="s">
        <v>14</v>
      </c>
      <c r="E862" t="s">
        <v>24</v>
      </c>
      <c r="F862">
        <v>3338</v>
      </c>
      <c r="G862">
        <v>87012</v>
      </c>
      <c r="H862">
        <v>7478.13</v>
      </c>
      <c r="I862">
        <v>27.22</v>
      </c>
      <c r="J862">
        <f>IFERROR(INDEX(Suppliar[Estimated Carbon Footprint (tons CO₂e)],MATCH('Merge operational &amp; suppliar'!A862,Suppliar[Facility ID],0)),"")</f>
        <v>579.80999999999995</v>
      </c>
      <c r="K862">
        <f>IFERROR(INDEX(Suppliar[Income Distribution (%)],MATCH('Merge operational &amp; suppliar'!A862,Suppliar[Facility ID],0)),"")</f>
        <v>28.6</v>
      </c>
    </row>
    <row r="863" spans="1:11" x14ac:dyDescent="0.3">
      <c r="A863" t="s">
        <v>115</v>
      </c>
      <c r="B863" t="s">
        <v>19</v>
      </c>
      <c r="C863" t="s">
        <v>13</v>
      </c>
      <c r="D863" t="s">
        <v>28</v>
      </c>
      <c r="E863" t="s">
        <v>24</v>
      </c>
      <c r="F863">
        <v>4623.8100000000004</v>
      </c>
      <c r="G863">
        <v>17162</v>
      </c>
      <c r="H863">
        <v>5079.95</v>
      </c>
      <c r="I863">
        <v>19.239999999999998</v>
      </c>
      <c r="J863">
        <f>IFERROR(INDEX(Suppliar[Estimated Carbon Footprint (tons CO₂e)],MATCH('Merge operational &amp; suppliar'!A863,Suppliar[Facility ID],0)),"")</f>
        <v>769.39</v>
      </c>
      <c r="K863">
        <f>IFERROR(INDEX(Suppliar[Income Distribution (%)],MATCH('Merge operational &amp; suppliar'!A863,Suppliar[Facility ID],0)),"")</f>
        <v>35.29</v>
      </c>
    </row>
    <row r="864" spans="1:11" x14ac:dyDescent="0.3">
      <c r="A864" t="s">
        <v>140</v>
      </c>
      <c r="B864" t="s">
        <v>17</v>
      </c>
      <c r="C864" t="s">
        <v>13</v>
      </c>
      <c r="D864" t="s">
        <v>28</v>
      </c>
      <c r="E864" t="s">
        <v>15</v>
      </c>
      <c r="F864">
        <v>3591.86</v>
      </c>
      <c r="G864">
        <v>88308</v>
      </c>
      <c r="H864">
        <v>7802.07</v>
      </c>
      <c r="I864">
        <v>36.130000000000003</v>
      </c>
      <c r="J864">
        <f>IFERROR(INDEX(Suppliar[Estimated Carbon Footprint (tons CO₂e)],MATCH('Merge operational &amp; suppliar'!A864,Suppliar[Facility ID],0)),"")</f>
        <v>557.72</v>
      </c>
      <c r="K864">
        <f>IFERROR(INDEX(Suppliar[Income Distribution (%)],MATCH('Merge operational &amp; suppliar'!A864,Suppliar[Facility ID],0)),"")</f>
        <v>62.75</v>
      </c>
    </row>
    <row r="865" spans="1:11" x14ac:dyDescent="0.3">
      <c r="A865" t="s">
        <v>128</v>
      </c>
      <c r="B865" t="s">
        <v>12</v>
      </c>
      <c r="C865" t="s">
        <v>8</v>
      </c>
      <c r="D865" t="s">
        <v>9</v>
      </c>
      <c r="E865" t="s">
        <v>15</v>
      </c>
      <c r="F865">
        <v>2370.4499999999998</v>
      </c>
      <c r="G865">
        <v>29406</v>
      </c>
      <c r="H865">
        <v>5281.69</v>
      </c>
      <c r="I865">
        <v>27.01</v>
      </c>
      <c r="J865">
        <f>IFERROR(INDEX(Suppliar[Estimated Carbon Footprint (tons CO₂e)],MATCH('Merge operational &amp; suppliar'!A865,Suppliar[Facility ID],0)),"")</f>
        <v>231.68</v>
      </c>
      <c r="K865">
        <f>IFERROR(INDEX(Suppliar[Income Distribution (%)],MATCH('Merge operational &amp; suppliar'!A865,Suppliar[Facility ID],0)),"")</f>
        <v>13.88</v>
      </c>
    </row>
    <row r="866" spans="1:11" x14ac:dyDescent="0.3">
      <c r="A866" t="s">
        <v>76</v>
      </c>
      <c r="B866" t="s">
        <v>17</v>
      </c>
      <c r="C866" t="s">
        <v>34</v>
      </c>
      <c r="D866" t="s">
        <v>9</v>
      </c>
      <c r="E866" t="s">
        <v>10</v>
      </c>
      <c r="F866">
        <v>3703.06</v>
      </c>
      <c r="G866">
        <v>59617</v>
      </c>
      <c r="H866">
        <v>5000.95</v>
      </c>
      <c r="I866">
        <v>80.36</v>
      </c>
      <c r="J866">
        <f>IFERROR(INDEX(Suppliar[Estimated Carbon Footprint (tons CO₂e)],MATCH('Merge operational &amp; suppliar'!A866,Suppliar[Facility ID],0)),"")</f>
        <v>532.27</v>
      </c>
      <c r="K866">
        <f>IFERROR(INDEX(Suppliar[Income Distribution (%)],MATCH('Merge operational &amp; suppliar'!A866,Suppliar[Facility ID],0)),"")</f>
        <v>25.24</v>
      </c>
    </row>
    <row r="867" spans="1:11" x14ac:dyDescent="0.3">
      <c r="A867" t="s">
        <v>6</v>
      </c>
      <c r="B867" t="s">
        <v>7</v>
      </c>
      <c r="C867" t="s">
        <v>34</v>
      </c>
      <c r="D867" t="s">
        <v>14</v>
      </c>
      <c r="E867" t="s">
        <v>15</v>
      </c>
      <c r="F867">
        <v>2135.3200000000002</v>
      </c>
      <c r="G867">
        <v>77330</v>
      </c>
      <c r="H867">
        <v>6936.58</v>
      </c>
      <c r="I867">
        <v>82.3</v>
      </c>
      <c r="J867">
        <f>IFERROR(INDEX(Suppliar[Estimated Carbon Footprint (tons CO₂e)],MATCH('Merge operational &amp; suppliar'!A867,Suppliar[Facility ID],0)),"")</f>
        <v>264.23</v>
      </c>
      <c r="K867">
        <f>IFERROR(INDEX(Suppliar[Income Distribution (%)],MATCH('Merge operational &amp; suppliar'!A867,Suppliar[Facility ID],0)),"")</f>
        <v>28.19</v>
      </c>
    </row>
    <row r="868" spans="1:11" x14ac:dyDescent="0.3">
      <c r="A868" t="s">
        <v>179</v>
      </c>
      <c r="B868" t="s">
        <v>7</v>
      </c>
      <c r="C868" t="s">
        <v>23</v>
      </c>
      <c r="D868" t="s">
        <v>9</v>
      </c>
      <c r="E868" t="s">
        <v>15</v>
      </c>
      <c r="F868">
        <v>4016.48</v>
      </c>
      <c r="G868">
        <v>94393</v>
      </c>
      <c r="H868">
        <v>6691.7</v>
      </c>
      <c r="I868">
        <v>74.790000000000006</v>
      </c>
      <c r="J868">
        <f>IFERROR(INDEX(Suppliar[Estimated Carbon Footprint (tons CO₂e)],MATCH('Merge operational &amp; suppliar'!A868,Suppliar[Facility ID],0)),"")</f>
        <v>867.66</v>
      </c>
      <c r="K868">
        <f>IFERROR(INDEX(Suppliar[Income Distribution (%)],MATCH('Merge operational &amp; suppliar'!A868,Suppliar[Facility ID],0)),"")</f>
        <v>32.97</v>
      </c>
    </row>
    <row r="869" spans="1:11" x14ac:dyDescent="0.3">
      <c r="A869" t="s">
        <v>210</v>
      </c>
      <c r="B869" t="s">
        <v>7</v>
      </c>
      <c r="C869" t="s">
        <v>8</v>
      </c>
      <c r="D869" t="s">
        <v>28</v>
      </c>
      <c r="E869" t="s">
        <v>24</v>
      </c>
      <c r="F869">
        <v>2536.5</v>
      </c>
      <c r="G869">
        <v>65666</v>
      </c>
      <c r="H869">
        <v>7269.98</v>
      </c>
      <c r="I869">
        <v>75.62</v>
      </c>
      <c r="J869" t="str">
        <f>IFERROR(INDEX(Suppliar[Estimated Carbon Footprint (tons CO₂e)],MATCH('Merge operational &amp; suppliar'!A869,Suppliar[Facility ID],0)),"")</f>
        <v/>
      </c>
      <c r="K869" t="str">
        <f>IFERROR(INDEX(Suppliar[Income Distribution (%)],MATCH('Merge operational &amp; suppliar'!A869,Suppliar[Facility ID],0)),"")</f>
        <v/>
      </c>
    </row>
    <row r="870" spans="1:11" x14ac:dyDescent="0.3">
      <c r="A870" t="s">
        <v>88</v>
      </c>
      <c r="B870" t="s">
        <v>7</v>
      </c>
      <c r="C870" t="s">
        <v>13</v>
      </c>
      <c r="D870" t="s">
        <v>14</v>
      </c>
      <c r="E870" t="s">
        <v>15</v>
      </c>
      <c r="F870">
        <v>4254.34</v>
      </c>
      <c r="G870">
        <v>44825</v>
      </c>
      <c r="H870">
        <v>6023.03</v>
      </c>
      <c r="I870">
        <v>27.2</v>
      </c>
      <c r="J870">
        <f>IFERROR(INDEX(Suppliar[Estimated Carbon Footprint (tons CO₂e)],MATCH('Merge operational &amp; suppliar'!A870,Suppliar[Facility ID],0)),"")</f>
        <v>436.04</v>
      </c>
      <c r="K870">
        <f>IFERROR(INDEX(Suppliar[Income Distribution (%)],MATCH('Merge operational &amp; suppliar'!A870,Suppliar[Facility ID],0)),"")</f>
        <v>19.36</v>
      </c>
    </row>
    <row r="871" spans="1:11" x14ac:dyDescent="0.3">
      <c r="A871" t="s">
        <v>82</v>
      </c>
      <c r="B871" t="s">
        <v>17</v>
      </c>
      <c r="C871" t="s">
        <v>34</v>
      </c>
      <c r="D871" t="s">
        <v>14</v>
      </c>
      <c r="E871" t="s">
        <v>15</v>
      </c>
      <c r="F871">
        <v>1897.31</v>
      </c>
      <c r="G871">
        <v>93409</v>
      </c>
      <c r="H871">
        <v>2375.83</v>
      </c>
      <c r="I871">
        <v>5.83</v>
      </c>
      <c r="J871" t="str">
        <f>IFERROR(INDEX(Suppliar[Estimated Carbon Footprint (tons CO₂e)],MATCH('Merge operational &amp; suppliar'!A871,Suppliar[Facility ID],0)),"")</f>
        <v/>
      </c>
      <c r="K871" t="str">
        <f>IFERROR(INDEX(Suppliar[Income Distribution (%)],MATCH('Merge operational &amp; suppliar'!A871,Suppliar[Facility ID],0)),"")</f>
        <v/>
      </c>
    </row>
    <row r="872" spans="1:11" x14ac:dyDescent="0.3">
      <c r="A872" t="s">
        <v>82</v>
      </c>
      <c r="B872" t="s">
        <v>17</v>
      </c>
      <c r="C872" t="s">
        <v>8</v>
      </c>
      <c r="D872" t="s">
        <v>14</v>
      </c>
      <c r="E872" t="s">
        <v>15</v>
      </c>
      <c r="F872">
        <v>4286.67</v>
      </c>
      <c r="G872">
        <v>93409</v>
      </c>
      <c r="H872">
        <v>2375.83</v>
      </c>
      <c r="I872">
        <v>5.83</v>
      </c>
      <c r="J872" t="str">
        <f>IFERROR(INDEX(Suppliar[Estimated Carbon Footprint (tons CO₂e)],MATCH('Merge operational &amp; suppliar'!A872,Suppliar[Facility ID],0)),"")</f>
        <v/>
      </c>
      <c r="K872" t="str">
        <f>IFERROR(INDEX(Suppliar[Income Distribution (%)],MATCH('Merge operational &amp; suppliar'!A872,Suppliar[Facility ID],0)),"")</f>
        <v/>
      </c>
    </row>
    <row r="873" spans="1:11" x14ac:dyDescent="0.3">
      <c r="A873" t="s">
        <v>83</v>
      </c>
      <c r="B873" t="s">
        <v>17</v>
      </c>
      <c r="C873" t="s">
        <v>8</v>
      </c>
      <c r="D873" t="s">
        <v>28</v>
      </c>
      <c r="E873" t="s">
        <v>15</v>
      </c>
      <c r="F873">
        <v>2709.88</v>
      </c>
      <c r="G873">
        <v>30934</v>
      </c>
      <c r="H873">
        <v>4175.6499999999996</v>
      </c>
      <c r="I873">
        <v>77.290000000000006</v>
      </c>
      <c r="J873">
        <f>IFERROR(INDEX(Suppliar[Estimated Carbon Footprint (tons CO₂e)],MATCH('Merge operational &amp; suppliar'!A873,Suppliar[Facility ID],0)),"")</f>
        <v>610.79999999999995</v>
      </c>
      <c r="K873">
        <f>IFERROR(INDEX(Suppliar[Income Distribution (%)],MATCH('Merge operational &amp; suppliar'!A873,Suppliar[Facility ID],0)),"")</f>
        <v>14.23</v>
      </c>
    </row>
    <row r="874" spans="1:11" x14ac:dyDescent="0.3">
      <c r="A874" t="s">
        <v>91</v>
      </c>
      <c r="B874" t="s">
        <v>30</v>
      </c>
      <c r="C874" t="s">
        <v>13</v>
      </c>
      <c r="D874" t="s">
        <v>28</v>
      </c>
      <c r="E874" t="s">
        <v>15</v>
      </c>
      <c r="F874">
        <v>4482.51</v>
      </c>
      <c r="G874">
        <v>20207</v>
      </c>
      <c r="H874">
        <v>5369.46</v>
      </c>
      <c r="I874">
        <v>57.51</v>
      </c>
      <c r="J874">
        <f>IFERROR(INDEX(Suppliar[Estimated Carbon Footprint (tons CO₂e)],MATCH('Merge operational &amp; suppliar'!A874,Suppliar[Facility ID],0)),"")</f>
        <v>847.51</v>
      </c>
      <c r="K874">
        <f>IFERROR(INDEX(Suppliar[Income Distribution (%)],MATCH('Merge operational &amp; suppliar'!A874,Suppliar[Facility ID],0)),"")</f>
        <v>28.45</v>
      </c>
    </row>
    <row r="875" spans="1:11" x14ac:dyDescent="0.3">
      <c r="A875" t="s">
        <v>62</v>
      </c>
      <c r="B875" t="s">
        <v>30</v>
      </c>
      <c r="C875" t="s">
        <v>34</v>
      </c>
      <c r="D875" t="s">
        <v>28</v>
      </c>
      <c r="E875" t="s">
        <v>24</v>
      </c>
      <c r="F875">
        <v>4156</v>
      </c>
      <c r="G875">
        <v>22309</v>
      </c>
      <c r="H875">
        <v>3656.29</v>
      </c>
      <c r="I875">
        <v>75.25</v>
      </c>
      <c r="J875">
        <f>IFERROR(INDEX(Suppliar[Estimated Carbon Footprint (tons CO₂e)],MATCH('Merge operational &amp; suppliar'!A875,Suppliar[Facility ID],0)),"")</f>
        <v>795.74</v>
      </c>
      <c r="K875">
        <f>IFERROR(INDEX(Suppliar[Income Distribution (%)],MATCH('Merge operational &amp; suppliar'!A875,Suppliar[Facility ID],0)),"")</f>
        <v>26.99</v>
      </c>
    </row>
    <row r="876" spans="1:11" x14ac:dyDescent="0.3">
      <c r="A876" t="s">
        <v>41</v>
      </c>
      <c r="B876" t="s">
        <v>30</v>
      </c>
      <c r="C876" t="s">
        <v>34</v>
      </c>
      <c r="D876" t="s">
        <v>9</v>
      </c>
      <c r="E876" t="s">
        <v>10</v>
      </c>
      <c r="F876">
        <v>2731.89</v>
      </c>
      <c r="G876">
        <v>61743</v>
      </c>
      <c r="H876">
        <v>7426.75</v>
      </c>
      <c r="I876">
        <v>26.39</v>
      </c>
      <c r="J876">
        <f>IFERROR(INDEX(Suppliar[Estimated Carbon Footprint (tons CO₂e)],MATCH('Merge operational &amp; suppliar'!A876,Suppliar[Facility ID],0)),"")</f>
        <v>527.37</v>
      </c>
      <c r="K876">
        <f>IFERROR(INDEX(Suppliar[Income Distribution (%)],MATCH('Merge operational &amp; suppliar'!A876,Suppliar[Facility ID],0)),"")</f>
        <v>39.28</v>
      </c>
    </row>
    <row r="877" spans="1:11" x14ac:dyDescent="0.3">
      <c r="A877" t="s">
        <v>180</v>
      </c>
      <c r="B877" t="s">
        <v>30</v>
      </c>
      <c r="C877" t="s">
        <v>8</v>
      </c>
      <c r="D877" t="s">
        <v>9</v>
      </c>
      <c r="E877" t="s">
        <v>24</v>
      </c>
      <c r="F877">
        <v>84.4</v>
      </c>
      <c r="G877">
        <v>72846</v>
      </c>
      <c r="H877">
        <v>5169.53</v>
      </c>
      <c r="I877">
        <v>76.709999999999994</v>
      </c>
      <c r="J877" t="str">
        <f>IFERROR(INDEX(Suppliar[Estimated Carbon Footprint (tons CO₂e)],MATCH('Merge operational &amp; suppliar'!A877,Suppliar[Facility ID],0)),"")</f>
        <v/>
      </c>
      <c r="K877" t="str">
        <f>IFERROR(INDEX(Suppliar[Income Distribution (%)],MATCH('Merge operational &amp; suppliar'!A877,Suppliar[Facility ID],0)),"")</f>
        <v/>
      </c>
    </row>
    <row r="878" spans="1:11" x14ac:dyDescent="0.3">
      <c r="A878" t="s">
        <v>166</v>
      </c>
      <c r="B878" t="s">
        <v>7</v>
      </c>
      <c r="C878" t="s">
        <v>34</v>
      </c>
      <c r="D878" t="s">
        <v>14</v>
      </c>
      <c r="E878" t="s">
        <v>15</v>
      </c>
      <c r="F878">
        <v>84.55</v>
      </c>
      <c r="G878">
        <v>34318</v>
      </c>
      <c r="H878">
        <v>675.67</v>
      </c>
      <c r="I878">
        <v>41.05</v>
      </c>
      <c r="J878">
        <f>IFERROR(INDEX(Suppliar[Estimated Carbon Footprint (tons CO₂e)],MATCH('Merge operational &amp; suppliar'!A878,Suppliar[Facility ID],0)),"")</f>
        <v>390.06</v>
      </c>
      <c r="K878">
        <f>IFERROR(INDEX(Suppliar[Income Distribution (%)],MATCH('Merge operational &amp; suppliar'!A878,Suppliar[Facility ID],0)),"")</f>
        <v>27.42</v>
      </c>
    </row>
    <row r="879" spans="1:11" x14ac:dyDescent="0.3">
      <c r="A879" t="s">
        <v>129</v>
      </c>
      <c r="B879" t="s">
        <v>17</v>
      </c>
      <c r="C879" t="s">
        <v>23</v>
      </c>
      <c r="D879" t="s">
        <v>14</v>
      </c>
      <c r="E879" t="s">
        <v>10</v>
      </c>
      <c r="F879">
        <v>3865.97</v>
      </c>
      <c r="G879">
        <v>95292</v>
      </c>
      <c r="H879">
        <v>697.47</v>
      </c>
      <c r="I879">
        <v>88.35</v>
      </c>
      <c r="J879">
        <f>IFERROR(INDEX(Suppliar[Estimated Carbon Footprint (tons CO₂e)],MATCH('Merge operational &amp; suppliar'!A879,Suppliar[Facility ID],0)),"")</f>
        <v>114.57</v>
      </c>
      <c r="K879">
        <f>IFERROR(INDEX(Suppliar[Income Distribution (%)],MATCH('Merge operational &amp; suppliar'!A879,Suppliar[Facility ID],0)),"")</f>
        <v>36.04</v>
      </c>
    </row>
    <row r="880" spans="1:11" x14ac:dyDescent="0.3">
      <c r="A880" t="s">
        <v>70</v>
      </c>
      <c r="B880" t="s">
        <v>19</v>
      </c>
      <c r="C880" t="s">
        <v>13</v>
      </c>
      <c r="D880" t="s">
        <v>28</v>
      </c>
      <c r="E880" t="s">
        <v>24</v>
      </c>
      <c r="F880">
        <v>4994.79</v>
      </c>
      <c r="G880">
        <v>42485</v>
      </c>
      <c r="H880">
        <v>4755.75</v>
      </c>
      <c r="I880">
        <v>10.19</v>
      </c>
      <c r="J880">
        <f>IFERROR(INDEX(Suppliar[Estimated Carbon Footprint (tons CO₂e)],MATCH('Merge operational &amp; suppliar'!A880,Suppliar[Facility ID],0)),"")</f>
        <v>662.74</v>
      </c>
      <c r="K880">
        <f>IFERROR(INDEX(Suppliar[Income Distribution (%)],MATCH('Merge operational &amp; suppliar'!A880,Suppliar[Facility ID],0)),"")</f>
        <v>36.79</v>
      </c>
    </row>
    <row r="881" spans="1:11" x14ac:dyDescent="0.3">
      <c r="A881" t="s">
        <v>65</v>
      </c>
      <c r="B881" t="s">
        <v>30</v>
      </c>
      <c r="C881" t="s">
        <v>8</v>
      </c>
      <c r="D881" t="s">
        <v>9</v>
      </c>
      <c r="E881" t="s">
        <v>24</v>
      </c>
      <c r="F881">
        <v>4341.67</v>
      </c>
      <c r="G881">
        <v>99026</v>
      </c>
      <c r="H881">
        <v>5453.2</v>
      </c>
      <c r="I881">
        <v>57.49</v>
      </c>
      <c r="J881">
        <f>IFERROR(INDEX(Suppliar[Estimated Carbon Footprint (tons CO₂e)],MATCH('Merge operational &amp; suppliar'!A881,Suppliar[Facility ID],0)),"")</f>
        <v>231.68</v>
      </c>
      <c r="K881">
        <f>IFERROR(INDEX(Suppliar[Income Distribution (%)],MATCH('Merge operational &amp; suppliar'!A881,Suppliar[Facility ID],0)),"")</f>
        <v>24.26</v>
      </c>
    </row>
    <row r="882" spans="1:11" x14ac:dyDescent="0.3">
      <c r="A882" t="s">
        <v>165</v>
      </c>
      <c r="B882" t="s">
        <v>7</v>
      </c>
      <c r="C882" t="s">
        <v>34</v>
      </c>
      <c r="D882" t="s">
        <v>28</v>
      </c>
      <c r="E882" t="s">
        <v>10</v>
      </c>
      <c r="F882">
        <v>4845.8500000000004</v>
      </c>
      <c r="G882">
        <v>32991</v>
      </c>
      <c r="H882">
        <v>8540.14</v>
      </c>
      <c r="I882">
        <v>37.75</v>
      </c>
      <c r="J882">
        <f>IFERROR(INDEX(Suppliar[Estimated Carbon Footprint (tons CO₂e)],MATCH('Merge operational &amp; suppliar'!A882,Suppliar[Facility ID],0)),"")</f>
        <v>268.16000000000003</v>
      </c>
      <c r="K882">
        <f>IFERROR(INDEX(Suppliar[Income Distribution (%)],MATCH('Merge operational &amp; suppliar'!A882,Suppliar[Facility ID],0)),"")</f>
        <v>9.08</v>
      </c>
    </row>
    <row r="883" spans="1:11" x14ac:dyDescent="0.3">
      <c r="A883" t="s">
        <v>22</v>
      </c>
      <c r="B883" t="s">
        <v>12</v>
      </c>
      <c r="C883" t="s">
        <v>23</v>
      </c>
      <c r="D883" t="s">
        <v>14</v>
      </c>
      <c r="E883" t="s">
        <v>15</v>
      </c>
      <c r="F883">
        <v>695.8</v>
      </c>
      <c r="G883">
        <v>47484</v>
      </c>
      <c r="H883">
        <v>3396.39</v>
      </c>
      <c r="I883">
        <v>19.510000000000002</v>
      </c>
      <c r="J883">
        <f>IFERROR(INDEX(Suppliar[Estimated Carbon Footprint (tons CO₂e)],MATCH('Merge operational &amp; suppliar'!A883,Suppliar[Facility ID],0)),"")</f>
        <v>790.74</v>
      </c>
      <c r="K883">
        <f>IFERROR(INDEX(Suppliar[Income Distribution (%)],MATCH('Merge operational &amp; suppliar'!A883,Suppliar[Facility ID],0)),"")</f>
        <v>12.77</v>
      </c>
    </row>
    <row r="884" spans="1:11" x14ac:dyDescent="0.3">
      <c r="A884" t="s">
        <v>131</v>
      </c>
      <c r="B884" t="s">
        <v>17</v>
      </c>
      <c r="C884" t="s">
        <v>23</v>
      </c>
      <c r="D884" t="s">
        <v>9</v>
      </c>
      <c r="E884" t="s">
        <v>24</v>
      </c>
      <c r="F884">
        <v>2429.6999999999998</v>
      </c>
      <c r="G884">
        <v>94128</v>
      </c>
      <c r="H884">
        <v>8117.82</v>
      </c>
      <c r="I884">
        <v>73.83</v>
      </c>
      <c r="J884">
        <f>IFERROR(INDEX(Suppliar[Estimated Carbon Footprint (tons CO₂e)],MATCH('Merge operational &amp; suppliar'!A884,Suppliar[Facility ID],0)),"")</f>
        <v>532.27</v>
      </c>
      <c r="K884">
        <f>IFERROR(INDEX(Suppliar[Income Distribution (%)],MATCH('Merge operational &amp; suppliar'!A884,Suppliar[Facility ID],0)),"")</f>
        <v>31.74</v>
      </c>
    </row>
    <row r="885" spans="1:11" x14ac:dyDescent="0.3">
      <c r="A885" t="s">
        <v>84</v>
      </c>
      <c r="B885" t="s">
        <v>30</v>
      </c>
      <c r="C885" t="s">
        <v>23</v>
      </c>
      <c r="D885" t="s">
        <v>28</v>
      </c>
      <c r="E885" t="s">
        <v>10</v>
      </c>
      <c r="F885">
        <v>3517.31</v>
      </c>
      <c r="G885">
        <v>85444</v>
      </c>
      <c r="H885">
        <v>852.57</v>
      </c>
      <c r="I885">
        <v>72.650000000000006</v>
      </c>
      <c r="J885">
        <f>IFERROR(INDEX(Suppliar[Estimated Carbon Footprint (tons CO₂e)],MATCH('Merge operational &amp; suppliar'!A885,Suppliar[Facility ID],0)),"")</f>
        <v>319.93</v>
      </c>
      <c r="K885">
        <f>IFERROR(INDEX(Suppliar[Income Distribution (%)],MATCH('Merge operational &amp; suppliar'!A885,Suppliar[Facility ID],0)),"")</f>
        <v>34.35</v>
      </c>
    </row>
    <row r="886" spans="1:11" x14ac:dyDescent="0.3">
      <c r="A886" t="s">
        <v>56</v>
      </c>
      <c r="B886" t="s">
        <v>19</v>
      </c>
      <c r="C886" t="s">
        <v>23</v>
      </c>
      <c r="D886" t="s">
        <v>28</v>
      </c>
      <c r="E886" t="s">
        <v>10</v>
      </c>
      <c r="F886">
        <v>2893</v>
      </c>
      <c r="G886">
        <v>43747</v>
      </c>
      <c r="H886">
        <v>3453.48</v>
      </c>
      <c r="I886">
        <v>98.78</v>
      </c>
      <c r="J886">
        <f>IFERROR(INDEX(Suppliar[Estimated Carbon Footprint (tons CO₂e)],MATCH('Merge operational &amp; suppliar'!A886,Suppliar[Facility ID],0)),"")</f>
        <v>459.56</v>
      </c>
      <c r="K886">
        <f>IFERROR(INDEX(Suppliar[Income Distribution (%)],MATCH('Merge operational &amp; suppliar'!A886,Suppliar[Facility ID],0)),"")</f>
        <v>23.81</v>
      </c>
    </row>
    <row r="887" spans="1:11" x14ac:dyDescent="0.3">
      <c r="A887" t="s">
        <v>213</v>
      </c>
      <c r="B887" t="s">
        <v>12</v>
      </c>
      <c r="C887" t="s">
        <v>13</v>
      </c>
      <c r="D887" t="s">
        <v>14</v>
      </c>
      <c r="E887" t="s">
        <v>10</v>
      </c>
      <c r="F887">
        <v>4115.76</v>
      </c>
      <c r="G887">
        <v>58622</v>
      </c>
      <c r="H887">
        <v>7795.36</v>
      </c>
      <c r="I887">
        <v>59.81</v>
      </c>
      <c r="J887">
        <f>IFERROR(INDEX(Suppliar[Estimated Carbon Footprint (tons CO₂e)],MATCH('Merge operational &amp; suppliar'!A887,Suppliar[Facility ID],0)),"")</f>
        <v>807.86</v>
      </c>
      <c r="K887">
        <f>IFERROR(INDEX(Suppliar[Income Distribution (%)],MATCH('Merge operational &amp; suppliar'!A887,Suppliar[Facility ID],0)),"")</f>
        <v>32.130000000000003</v>
      </c>
    </row>
    <row r="888" spans="1:11" x14ac:dyDescent="0.3">
      <c r="A888" t="s">
        <v>6</v>
      </c>
      <c r="B888" t="s">
        <v>7</v>
      </c>
      <c r="C888" t="s">
        <v>34</v>
      </c>
      <c r="D888" t="s">
        <v>28</v>
      </c>
      <c r="E888" t="s">
        <v>15</v>
      </c>
      <c r="F888">
        <v>1917.42</v>
      </c>
      <c r="G888">
        <v>77330</v>
      </c>
      <c r="H888">
        <v>6936.58</v>
      </c>
      <c r="I888">
        <v>82.3</v>
      </c>
      <c r="J888">
        <f>IFERROR(INDEX(Suppliar[Estimated Carbon Footprint (tons CO₂e)],MATCH('Merge operational &amp; suppliar'!A888,Suppliar[Facility ID],0)),"")</f>
        <v>264.23</v>
      </c>
      <c r="K888">
        <f>IFERROR(INDEX(Suppliar[Income Distribution (%)],MATCH('Merge operational &amp; suppliar'!A888,Suppliar[Facility ID],0)),"")</f>
        <v>28.19</v>
      </c>
    </row>
    <row r="889" spans="1:11" x14ac:dyDescent="0.3">
      <c r="A889" t="s">
        <v>127</v>
      </c>
      <c r="B889" t="s">
        <v>17</v>
      </c>
      <c r="C889" t="s">
        <v>34</v>
      </c>
      <c r="D889" t="s">
        <v>28</v>
      </c>
      <c r="E889" t="s">
        <v>10</v>
      </c>
      <c r="F889">
        <v>1203.1300000000001</v>
      </c>
      <c r="G889">
        <v>17416</v>
      </c>
      <c r="H889">
        <v>812.06</v>
      </c>
      <c r="I889">
        <v>5.7</v>
      </c>
      <c r="J889">
        <f>IFERROR(INDEX(Suppliar[Estimated Carbon Footprint (tons CO₂e)],MATCH('Merge operational &amp; suppliar'!A889,Suppliar[Facility ID],0)),"")</f>
        <v>568.27</v>
      </c>
      <c r="K889">
        <f>IFERROR(INDEX(Suppliar[Income Distribution (%)],MATCH('Merge operational &amp; suppliar'!A889,Suppliar[Facility ID],0)),"")</f>
        <v>18.03</v>
      </c>
    </row>
    <row r="890" spans="1:11" x14ac:dyDescent="0.3">
      <c r="A890" t="s">
        <v>123</v>
      </c>
      <c r="B890" t="s">
        <v>30</v>
      </c>
      <c r="C890" t="s">
        <v>34</v>
      </c>
      <c r="D890" t="s">
        <v>14</v>
      </c>
      <c r="E890" t="s">
        <v>10</v>
      </c>
      <c r="F890">
        <v>3085.38</v>
      </c>
      <c r="G890">
        <v>73977</v>
      </c>
      <c r="H890">
        <v>1646.75</v>
      </c>
      <c r="I890">
        <v>43.77</v>
      </c>
      <c r="J890" t="str">
        <f>IFERROR(INDEX(Suppliar[Estimated Carbon Footprint (tons CO₂e)],MATCH('Merge operational &amp; suppliar'!A890,Suppliar[Facility ID],0)),"")</f>
        <v/>
      </c>
      <c r="K890" t="str">
        <f>IFERROR(INDEX(Suppliar[Income Distribution (%)],MATCH('Merge operational &amp; suppliar'!A890,Suppliar[Facility ID],0)),"")</f>
        <v/>
      </c>
    </row>
    <row r="891" spans="1:11" x14ac:dyDescent="0.3">
      <c r="A891" t="s">
        <v>72</v>
      </c>
      <c r="B891" t="s">
        <v>19</v>
      </c>
      <c r="C891" t="s">
        <v>34</v>
      </c>
      <c r="D891" t="s">
        <v>14</v>
      </c>
      <c r="E891" t="s">
        <v>24</v>
      </c>
      <c r="F891">
        <v>1942.8</v>
      </c>
      <c r="G891">
        <v>29318</v>
      </c>
      <c r="H891">
        <v>9860.6200000000008</v>
      </c>
      <c r="I891">
        <v>14.58</v>
      </c>
      <c r="J891">
        <f>IFERROR(INDEX(Suppliar[Estimated Carbon Footprint (tons CO₂e)],MATCH('Merge operational &amp; suppliar'!A891,Suppliar[Facility ID],0)),"")</f>
        <v>571.66</v>
      </c>
      <c r="K891">
        <f>IFERROR(INDEX(Suppliar[Income Distribution (%)],MATCH('Merge operational &amp; suppliar'!A891,Suppliar[Facility ID],0)),"")</f>
        <v>6.78</v>
      </c>
    </row>
    <row r="892" spans="1:11" x14ac:dyDescent="0.3">
      <c r="A892" t="s">
        <v>124</v>
      </c>
      <c r="B892" t="s">
        <v>12</v>
      </c>
      <c r="C892" t="s">
        <v>13</v>
      </c>
      <c r="D892" t="s">
        <v>14</v>
      </c>
      <c r="E892" t="s">
        <v>10</v>
      </c>
      <c r="F892">
        <v>3632.78</v>
      </c>
      <c r="G892">
        <v>47491</v>
      </c>
      <c r="H892">
        <v>5781.05</v>
      </c>
      <c r="I892">
        <v>92.18</v>
      </c>
      <c r="J892">
        <f>IFERROR(INDEX(Suppliar[Estimated Carbon Footprint (tons CO₂e)],MATCH('Merge operational &amp; suppliar'!A892,Suppliar[Facility ID],0)),"")</f>
        <v>344.93</v>
      </c>
      <c r="K892">
        <f>IFERROR(INDEX(Suppliar[Income Distribution (%)],MATCH('Merge operational &amp; suppliar'!A892,Suppliar[Facility ID],0)),"")</f>
        <v>36.229999999999997</v>
      </c>
    </row>
    <row r="893" spans="1:11" x14ac:dyDescent="0.3">
      <c r="A893" t="s">
        <v>54</v>
      </c>
      <c r="B893" t="s">
        <v>12</v>
      </c>
      <c r="C893" t="s">
        <v>23</v>
      </c>
      <c r="D893" t="s">
        <v>14</v>
      </c>
      <c r="E893" t="s">
        <v>15</v>
      </c>
      <c r="F893">
        <v>4435.1000000000004</v>
      </c>
      <c r="G893">
        <v>58111</v>
      </c>
      <c r="H893">
        <v>4610.8999999999996</v>
      </c>
      <c r="I893">
        <v>21.53</v>
      </c>
      <c r="J893">
        <f>IFERROR(INDEX(Suppliar[Estimated Carbon Footprint (tons CO₂e)],MATCH('Merge operational &amp; suppliar'!A893,Suppliar[Facility ID],0)),"")</f>
        <v>268.16000000000003</v>
      </c>
      <c r="K893">
        <f>IFERROR(INDEX(Suppliar[Income Distribution (%)],MATCH('Merge operational &amp; suppliar'!A893,Suppliar[Facility ID],0)),"")</f>
        <v>13.78</v>
      </c>
    </row>
    <row r="894" spans="1:11" x14ac:dyDescent="0.3">
      <c r="A894" t="s">
        <v>201</v>
      </c>
      <c r="B894" t="s">
        <v>12</v>
      </c>
      <c r="C894" t="s">
        <v>13</v>
      </c>
      <c r="D894" t="s">
        <v>14</v>
      </c>
      <c r="E894" t="s">
        <v>24</v>
      </c>
      <c r="F894">
        <v>3104.04</v>
      </c>
      <c r="G894">
        <v>58439</v>
      </c>
      <c r="H894">
        <v>5817.93</v>
      </c>
      <c r="I894">
        <v>63.77</v>
      </c>
      <c r="J894">
        <f>IFERROR(INDEX(Suppliar[Estimated Carbon Footprint (tons CO₂e)],MATCH('Merge operational &amp; suppliar'!A894,Suppliar[Facility ID],0)),"")</f>
        <v>143.16999999999999</v>
      </c>
      <c r="K894">
        <f>IFERROR(INDEX(Suppliar[Income Distribution (%)],MATCH('Merge operational &amp; suppliar'!A894,Suppliar[Facility ID],0)),"")</f>
        <v>52.46</v>
      </c>
    </row>
    <row r="895" spans="1:11" x14ac:dyDescent="0.3">
      <c r="A895" t="s">
        <v>162</v>
      </c>
      <c r="B895" t="s">
        <v>30</v>
      </c>
      <c r="C895" t="s">
        <v>13</v>
      </c>
      <c r="D895" t="s">
        <v>14</v>
      </c>
      <c r="E895" t="s">
        <v>24</v>
      </c>
      <c r="F895">
        <v>1562.42</v>
      </c>
      <c r="G895">
        <v>94347</v>
      </c>
      <c r="H895">
        <v>2272.58</v>
      </c>
      <c r="I895">
        <v>34.75</v>
      </c>
      <c r="J895">
        <f>IFERROR(INDEX(Suppliar[Estimated Carbon Footprint (tons CO₂e)],MATCH('Merge operational &amp; suppliar'!A895,Suppliar[Facility ID],0)),"")</f>
        <v>472.66</v>
      </c>
      <c r="K895">
        <f>IFERROR(INDEX(Suppliar[Income Distribution (%)],MATCH('Merge operational &amp; suppliar'!A895,Suppliar[Facility ID],0)),"")</f>
        <v>44.97</v>
      </c>
    </row>
    <row r="896" spans="1:11" x14ac:dyDescent="0.3">
      <c r="A896" t="s">
        <v>143</v>
      </c>
      <c r="B896" t="s">
        <v>17</v>
      </c>
      <c r="C896" t="s">
        <v>23</v>
      </c>
      <c r="D896" t="s">
        <v>9</v>
      </c>
      <c r="E896" t="s">
        <v>15</v>
      </c>
      <c r="F896">
        <v>3968.02</v>
      </c>
      <c r="G896">
        <v>94704</v>
      </c>
      <c r="H896">
        <v>6632.95</v>
      </c>
      <c r="I896">
        <v>14.76</v>
      </c>
      <c r="J896">
        <f>IFERROR(INDEX(Suppliar[Estimated Carbon Footprint (tons CO₂e)],MATCH('Merge operational &amp; suppliar'!A896,Suppliar[Facility ID],0)),"")</f>
        <v>459.56</v>
      </c>
      <c r="K896">
        <f>IFERROR(INDEX(Suppliar[Income Distribution (%)],MATCH('Merge operational &amp; suppliar'!A896,Suppliar[Facility ID],0)),"")</f>
        <v>7.54</v>
      </c>
    </row>
    <row r="897" spans="1:11" x14ac:dyDescent="0.3">
      <c r="A897" t="s">
        <v>98</v>
      </c>
      <c r="B897" t="s">
        <v>19</v>
      </c>
      <c r="C897" t="s">
        <v>23</v>
      </c>
      <c r="D897" t="s">
        <v>28</v>
      </c>
      <c r="E897" t="s">
        <v>10</v>
      </c>
      <c r="F897">
        <v>3813.14</v>
      </c>
      <c r="G897">
        <v>26170</v>
      </c>
      <c r="H897">
        <v>8057.54</v>
      </c>
      <c r="I897">
        <v>63.71</v>
      </c>
      <c r="J897" t="str">
        <f>IFERROR(INDEX(Suppliar[Estimated Carbon Footprint (tons CO₂e)],MATCH('Merge operational &amp; suppliar'!A897,Suppliar[Facility ID],0)),"")</f>
        <v/>
      </c>
      <c r="K897" t="str">
        <f>IFERROR(INDEX(Suppliar[Income Distribution (%)],MATCH('Merge operational &amp; suppliar'!A897,Suppliar[Facility ID],0)),"")</f>
        <v/>
      </c>
    </row>
    <row r="898" spans="1:11" x14ac:dyDescent="0.3">
      <c r="A898" t="s">
        <v>189</v>
      </c>
      <c r="B898" t="s">
        <v>19</v>
      </c>
      <c r="C898" t="s">
        <v>8</v>
      </c>
      <c r="D898" t="s">
        <v>14</v>
      </c>
      <c r="E898" t="s">
        <v>10</v>
      </c>
      <c r="F898">
        <v>1512.54</v>
      </c>
      <c r="G898">
        <v>27681</v>
      </c>
      <c r="H898">
        <v>928.26</v>
      </c>
      <c r="I898">
        <v>44.97</v>
      </c>
      <c r="J898" t="str">
        <f>IFERROR(INDEX(Suppliar[Estimated Carbon Footprint (tons CO₂e)],MATCH('Merge operational &amp; suppliar'!A898,Suppliar[Facility ID],0)),"")</f>
        <v/>
      </c>
      <c r="K898" t="str">
        <f>IFERROR(INDEX(Suppliar[Income Distribution (%)],MATCH('Merge operational &amp; suppliar'!A898,Suppliar[Facility ID],0)),"")</f>
        <v/>
      </c>
    </row>
    <row r="899" spans="1:11" x14ac:dyDescent="0.3">
      <c r="A899" t="s">
        <v>74</v>
      </c>
      <c r="B899" t="s">
        <v>19</v>
      </c>
      <c r="C899" t="s">
        <v>13</v>
      </c>
      <c r="D899" t="s">
        <v>9</v>
      </c>
      <c r="E899" t="s">
        <v>24</v>
      </c>
      <c r="F899">
        <v>4044.95</v>
      </c>
      <c r="G899">
        <v>18175</v>
      </c>
      <c r="H899">
        <v>8349.49</v>
      </c>
      <c r="I899">
        <v>39.97</v>
      </c>
      <c r="J899">
        <f>IFERROR(INDEX(Suppliar[Estimated Carbon Footprint (tons CO₂e)],MATCH('Merge operational &amp; suppliar'!A899,Suppliar[Facility ID],0)),"")</f>
        <v>818.45</v>
      </c>
      <c r="K899">
        <f>IFERROR(INDEX(Suppliar[Income Distribution (%)],MATCH('Merge operational &amp; suppliar'!A899,Suppliar[Facility ID],0)),"")</f>
        <v>19.04</v>
      </c>
    </row>
    <row r="900" spans="1:11" x14ac:dyDescent="0.3">
      <c r="A900" t="s">
        <v>200</v>
      </c>
      <c r="B900" t="s">
        <v>30</v>
      </c>
      <c r="C900" t="s">
        <v>34</v>
      </c>
      <c r="D900" t="s">
        <v>14</v>
      </c>
      <c r="E900" t="s">
        <v>15</v>
      </c>
      <c r="F900">
        <v>193.32</v>
      </c>
      <c r="G900">
        <v>46863</v>
      </c>
      <c r="H900">
        <v>6762.98</v>
      </c>
      <c r="I900">
        <v>23.45</v>
      </c>
      <c r="J900">
        <f>IFERROR(INDEX(Suppliar[Estimated Carbon Footprint (tons CO₂e)],MATCH('Merge operational &amp; suppliar'!A900,Suppliar[Facility ID],0)),"")</f>
        <v>231.68</v>
      </c>
      <c r="K900">
        <f>IFERROR(INDEX(Suppliar[Income Distribution (%)],MATCH('Merge operational &amp; suppliar'!A900,Suppliar[Facility ID],0)),"")</f>
        <v>35.92</v>
      </c>
    </row>
    <row r="901" spans="1:11" x14ac:dyDescent="0.3">
      <c r="A901" t="s">
        <v>178</v>
      </c>
      <c r="B901" t="s">
        <v>30</v>
      </c>
      <c r="C901" t="s">
        <v>23</v>
      </c>
      <c r="D901" t="s">
        <v>28</v>
      </c>
      <c r="E901" t="s">
        <v>24</v>
      </c>
      <c r="F901">
        <v>2881.41</v>
      </c>
      <c r="G901">
        <v>88188</v>
      </c>
      <c r="H901">
        <v>815.86</v>
      </c>
      <c r="I901">
        <v>57.53</v>
      </c>
      <c r="J901">
        <f>IFERROR(INDEX(Suppliar[Estimated Carbon Footprint (tons CO₂e)],MATCH('Merge operational &amp; suppliar'!A901,Suppliar[Facility ID],0)),"")</f>
        <v>557.72</v>
      </c>
      <c r="K901">
        <f>IFERROR(INDEX(Suppliar[Income Distribution (%)],MATCH('Merge operational &amp; suppliar'!A901,Suppliar[Facility ID],0)),"")</f>
        <v>37.25</v>
      </c>
    </row>
    <row r="902" spans="1:11" x14ac:dyDescent="0.3">
      <c r="A902" t="s">
        <v>38</v>
      </c>
      <c r="B902" t="s">
        <v>30</v>
      </c>
      <c r="C902" t="s">
        <v>13</v>
      </c>
      <c r="D902" t="s">
        <v>28</v>
      </c>
      <c r="E902" t="s">
        <v>15</v>
      </c>
      <c r="F902">
        <v>1949.55</v>
      </c>
      <c r="G902">
        <v>57215</v>
      </c>
      <c r="H902">
        <v>3227.1</v>
      </c>
      <c r="I902">
        <v>32.909999999999997</v>
      </c>
      <c r="J902">
        <f>IFERROR(INDEX(Suppliar[Estimated Carbon Footprint (tons CO₂e)],MATCH('Merge operational &amp; suppliar'!A902,Suppliar[Facility ID],0)),"")</f>
        <v>951.35</v>
      </c>
      <c r="K902">
        <f>IFERROR(INDEX(Suppliar[Income Distribution (%)],MATCH('Merge operational &amp; suppliar'!A902,Suppliar[Facility ID],0)),"")</f>
        <v>33.299999999999997</v>
      </c>
    </row>
    <row r="903" spans="1:11" x14ac:dyDescent="0.3">
      <c r="A903" t="s">
        <v>142</v>
      </c>
      <c r="B903" t="s">
        <v>17</v>
      </c>
      <c r="C903" t="s">
        <v>8</v>
      </c>
      <c r="D903" t="s">
        <v>28</v>
      </c>
      <c r="E903" t="s">
        <v>24</v>
      </c>
      <c r="F903">
        <v>2729.42</v>
      </c>
      <c r="G903">
        <v>75736</v>
      </c>
      <c r="H903">
        <v>6287.07</v>
      </c>
      <c r="I903">
        <v>63.11</v>
      </c>
      <c r="J903">
        <f>IFERROR(INDEX(Suppliar[Estimated Carbon Footprint (tons CO₂e)],MATCH('Merge operational &amp; suppliar'!A903,Suppliar[Facility ID],0)),"")</f>
        <v>851.48</v>
      </c>
      <c r="K903">
        <f>IFERROR(INDEX(Suppliar[Income Distribution (%)],MATCH('Merge operational &amp; suppliar'!A903,Suppliar[Facility ID],0)),"")</f>
        <v>25.39</v>
      </c>
    </row>
    <row r="904" spans="1:11" x14ac:dyDescent="0.3">
      <c r="A904" t="s">
        <v>150</v>
      </c>
      <c r="B904" t="s">
        <v>30</v>
      </c>
      <c r="C904" t="s">
        <v>34</v>
      </c>
      <c r="D904" t="s">
        <v>14</v>
      </c>
      <c r="E904" t="s">
        <v>10</v>
      </c>
      <c r="F904">
        <v>4965.24</v>
      </c>
      <c r="G904">
        <v>98356</v>
      </c>
      <c r="H904">
        <v>6968.69</v>
      </c>
      <c r="I904">
        <v>81.72</v>
      </c>
      <c r="J904">
        <f>IFERROR(INDEX(Suppliar[Estimated Carbon Footprint (tons CO₂e)],MATCH('Merge operational &amp; suppliar'!A904,Suppliar[Facility ID],0)),"")</f>
        <v>795.74</v>
      </c>
      <c r="K904">
        <f>IFERROR(INDEX(Suppliar[Income Distribution (%)],MATCH('Merge operational &amp; suppliar'!A904,Suppliar[Facility ID],0)),"")</f>
        <v>22.41</v>
      </c>
    </row>
    <row r="905" spans="1:11" x14ac:dyDescent="0.3">
      <c r="A905" t="s">
        <v>215</v>
      </c>
      <c r="B905" t="s">
        <v>17</v>
      </c>
      <c r="C905" t="s">
        <v>34</v>
      </c>
      <c r="D905" t="s">
        <v>14</v>
      </c>
      <c r="E905" t="s">
        <v>24</v>
      </c>
      <c r="F905">
        <v>968.64</v>
      </c>
      <c r="G905">
        <v>72813</v>
      </c>
      <c r="H905">
        <v>8818.16</v>
      </c>
      <c r="I905">
        <v>54.12</v>
      </c>
      <c r="J905">
        <f>IFERROR(INDEX(Suppliar[Estimated Carbon Footprint (tons CO₂e)],MATCH('Merge operational &amp; suppliar'!A905,Suppliar[Facility ID],0)),"")</f>
        <v>986.62</v>
      </c>
      <c r="K905">
        <f>IFERROR(INDEX(Suppliar[Income Distribution (%)],MATCH('Merge operational &amp; suppliar'!A905,Suppliar[Facility ID],0)),"")</f>
        <v>42.1</v>
      </c>
    </row>
    <row r="906" spans="1:11" x14ac:dyDescent="0.3">
      <c r="A906" t="s">
        <v>71</v>
      </c>
      <c r="B906" t="s">
        <v>7</v>
      </c>
      <c r="C906" t="s">
        <v>23</v>
      </c>
      <c r="D906" t="s">
        <v>28</v>
      </c>
      <c r="E906" t="s">
        <v>10</v>
      </c>
      <c r="F906">
        <v>2778.34</v>
      </c>
      <c r="G906">
        <v>68018</v>
      </c>
      <c r="H906">
        <v>3523.4</v>
      </c>
      <c r="I906">
        <v>92.26</v>
      </c>
      <c r="J906">
        <f>IFERROR(INDEX(Suppliar[Estimated Carbon Footprint (tons CO₂e)],MATCH('Merge operational &amp; suppliar'!A906,Suppliar[Facility ID],0)),"")</f>
        <v>111.84</v>
      </c>
      <c r="K906">
        <f>IFERROR(INDEX(Suppliar[Income Distribution (%)],MATCH('Merge operational &amp; suppliar'!A906,Suppliar[Facility ID],0)),"")</f>
        <v>15.85</v>
      </c>
    </row>
    <row r="907" spans="1:11" x14ac:dyDescent="0.3">
      <c r="A907" t="s">
        <v>88</v>
      </c>
      <c r="B907" t="s">
        <v>7</v>
      </c>
      <c r="C907" t="s">
        <v>13</v>
      </c>
      <c r="D907" t="s">
        <v>28</v>
      </c>
      <c r="E907" t="s">
        <v>10</v>
      </c>
      <c r="F907">
        <v>901.71</v>
      </c>
      <c r="G907">
        <v>44825</v>
      </c>
      <c r="H907">
        <v>6023.03</v>
      </c>
      <c r="I907">
        <v>27.2</v>
      </c>
      <c r="J907">
        <f>IFERROR(INDEX(Suppliar[Estimated Carbon Footprint (tons CO₂e)],MATCH('Merge operational &amp; suppliar'!A907,Suppliar[Facility ID],0)),"")</f>
        <v>436.04</v>
      </c>
      <c r="K907">
        <f>IFERROR(INDEX(Suppliar[Income Distribution (%)],MATCH('Merge operational &amp; suppliar'!A907,Suppliar[Facility ID],0)),"")</f>
        <v>19.36</v>
      </c>
    </row>
    <row r="908" spans="1:11" x14ac:dyDescent="0.3">
      <c r="A908" t="s">
        <v>44</v>
      </c>
      <c r="B908" t="s">
        <v>19</v>
      </c>
      <c r="C908" t="s">
        <v>34</v>
      </c>
      <c r="D908" t="s">
        <v>14</v>
      </c>
      <c r="E908" t="s">
        <v>10</v>
      </c>
      <c r="F908">
        <v>4031.94</v>
      </c>
      <c r="G908">
        <v>16256</v>
      </c>
      <c r="H908">
        <v>2127.1799999999998</v>
      </c>
      <c r="I908">
        <v>38.94</v>
      </c>
      <c r="J908">
        <f>IFERROR(INDEX(Suppliar[Estimated Carbon Footprint (tons CO₂e)],MATCH('Merge operational &amp; suppliar'!A908,Suppliar[Facility ID],0)),"")</f>
        <v>796.34</v>
      </c>
      <c r="K908">
        <f>IFERROR(INDEX(Suppliar[Income Distribution (%)],MATCH('Merge operational &amp; suppliar'!A908,Suppliar[Facility ID],0)),"")</f>
        <v>66.41</v>
      </c>
    </row>
    <row r="909" spans="1:11" x14ac:dyDescent="0.3">
      <c r="A909" t="s">
        <v>124</v>
      </c>
      <c r="B909" t="s">
        <v>12</v>
      </c>
      <c r="C909" t="s">
        <v>8</v>
      </c>
      <c r="D909" t="s">
        <v>28</v>
      </c>
      <c r="E909" t="s">
        <v>24</v>
      </c>
      <c r="F909">
        <v>3868.62</v>
      </c>
      <c r="G909">
        <v>47491</v>
      </c>
      <c r="H909">
        <v>5781.05</v>
      </c>
      <c r="I909">
        <v>92.18</v>
      </c>
      <c r="J909">
        <f>IFERROR(INDEX(Suppliar[Estimated Carbon Footprint (tons CO₂e)],MATCH('Merge operational &amp; suppliar'!A909,Suppliar[Facility ID],0)),"")</f>
        <v>344.93</v>
      </c>
      <c r="K909">
        <f>IFERROR(INDEX(Suppliar[Income Distribution (%)],MATCH('Merge operational &amp; suppliar'!A909,Suppliar[Facility ID],0)),"")</f>
        <v>36.229999999999997</v>
      </c>
    </row>
    <row r="910" spans="1:11" x14ac:dyDescent="0.3">
      <c r="A910" t="s">
        <v>135</v>
      </c>
      <c r="B910" t="s">
        <v>12</v>
      </c>
      <c r="C910" t="s">
        <v>34</v>
      </c>
      <c r="D910" t="s">
        <v>14</v>
      </c>
      <c r="E910" t="s">
        <v>24</v>
      </c>
      <c r="F910">
        <v>2670.34</v>
      </c>
      <c r="G910">
        <v>39560</v>
      </c>
      <c r="H910">
        <v>8380.77</v>
      </c>
      <c r="I910">
        <v>94.01</v>
      </c>
      <c r="J910" t="str">
        <f>IFERROR(INDEX(Suppliar[Estimated Carbon Footprint (tons CO₂e)],MATCH('Merge operational &amp; suppliar'!A910,Suppliar[Facility ID],0)),"")</f>
        <v/>
      </c>
      <c r="K910" t="str">
        <f>IFERROR(INDEX(Suppliar[Income Distribution (%)],MATCH('Merge operational &amp; suppliar'!A910,Suppliar[Facility ID],0)),"")</f>
        <v/>
      </c>
    </row>
    <row r="911" spans="1:11" x14ac:dyDescent="0.3">
      <c r="A911" t="s">
        <v>57</v>
      </c>
      <c r="B911" t="s">
        <v>19</v>
      </c>
      <c r="C911" t="s">
        <v>13</v>
      </c>
      <c r="D911" t="s">
        <v>28</v>
      </c>
      <c r="E911" t="s">
        <v>10</v>
      </c>
      <c r="F911">
        <v>4061.97</v>
      </c>
      <c r="G911">
        <v>41027</v>
      </c>
      <c r="H911">
        <v>7285.85</v>
      </c>
      <c r="I911">
        <v>59.87</v>
      </c>
      <c r="J911">
        <f>IFERROR(INDEX(Suppliar[Estimated Carbon Footprint (tons CO₂e)],MATCH('Merge operational &amp; suppliar'!A911,Suppliar[Facility ID],0)),"")</f>
        <v>763.97</v>
      </c>
      <c r="K911">
        <f>IFERROR(INDEX(Suppliar[Income Distribution (%)],MATCH('Merge operational &amp; suppliar'!A911,Suppliar[Facility ID],0)),"")</f>
        <v>34.14</v>
      </c>
    </row>
    <row r="912" spans="1:11" x14ac:dyDescent="0.3">
      <c r="A912" t="s">
        <v>61</v>
      </c>
      <c r="B912" t="s">
        <v>30</v>
      </c>
      <c r="C912" t="s">
        <v>23</v>
      </c>
      <c r="D912" t="s">
        <v>14</v>
      </c>
      <c r="E912" t="s">
        <v>15</v>
      </c>
      <c r="F912">
        <v>279.14</v>
      </c>
      <c r="G912">
        <v>95718</v>
      </c>
      <c r="H912">
        <v>2443.12</v>
      </c>
      <c r="I912">
        <v>35.49</v>
      </c>
      <c r="J912">
        <f>IFERROR(INDEX(Suppliar[Estimated Carbon Footprint (tons CO₂e)],MATCH('Merge operational &amp; suppliar'!A912,Suppliar[Facility ID],0)),"")</f>
        <v>818.45</v>
      </c>
      <c r="K912">
        <f>IFERROR(INDEX(Suppliar[Income Distribution (%)],MATCH('Merge operational &amp; suppliar'!A912,Suppliar[Facility ID],0)),"")</f>
        <v>9.9499999999999993</v>
      </c>
    </row>
    <row r="913" spans="1:11" x14ac:dyDescent="0.3">
      <c r="A913" t="s">
        <v>168</v>
      </c>
      <c r="B913" t="s">
        <v>17</v>
      </c>
      <c r="C913" t="s">
        <v>23</v>
      </c>
      <c r="D913" t="s">
        <v>9</v>
      </c>
      <c r="E913" t="s">
        <v>24</v>
      </c>
      <c r="F913">
        <v>936.92</v>
      </c>
      <c r="G913">
        <v>41050</v>
      </c>
      <c r="H913">
        <v>6025.84</v>
      </c>
      <c r="I913">
        <v>53.53</v>
      </c>
      <c r="J913">
        <f>IFERROR(INDEX(Suppliar[Estimated Carbon Footprint (tons CO₂e)],MATCH('Merge operational &amp; suppliar'!A913,Suppliar[Facility ID],0)),"")</f>
        <v>289.77</v>
      </c>
      <c r="K913">
        <f>IFERROR(INDEX(Suppliar[Income Distribution (%)],MATCH('Merge operational &amp; suppliar'!A913,Suppliar[Facility ID],0)),"")</f>
        <v>19.260000000000002</v>
      </c>
    </row>
    <row r="914" spans="1:11" x14ac:dyDescent="0.3">
      <c r="A914" t="s">
        <v>65</v>
      </c>
      <c r="B914" t="s">
        <v>30</v>
      </c>
      <c r="C914" t="s">
        <v>8</v>
      </c>
      <c r="D914" t="s">
        <v>9</v>
      </c>
      <c r="E914" t="s">
        <v>24</v>
      </c>
      <c r="F914">
        <v>1890.57</v>
      </c>
      <c r="G914">
        <v>99026</v>
      </c>
      <c r="H914">
        <v>5453.2</v>
      </c>
      <c r="I914">
        <v>57.49</v>
      </c>
      <c r="J914">
        <f>IFERROR(INDEX(Suppliar[Estimated Carbon Footprint (tons CO₂e)],MATCH('Merge operational &amp; suppliar'!A914,Suppliar[Facility ID],0)),"")</f>
        <v>231.68</v>
      </c>
      <c r="K914">
        <f>IFERROR(INDEX(Suppliar[Income Distribution (%)],MATCH('Merge operational &amp; suppliar'!A914,Suppliar[Facility ID],0)),"")</f>
        <v>24.26</v>
      </c>
    </row>
    <row r="915" spans="1:11" x14ac:dyDescent="0.3">
      <c r="A915" t="s">
        <v>78</v>
      </c>
      <c r="B915" t="s">
        <v>7</v>
      </c>
      <c r="C915" t="s">
        <v>13</v>
      </c>
      <c r="D915" t="s">
        <v>9</v>
      </c>
      <c r="E915" t="s">
        <v>10</v>
      </c>
      <c r="F915">
        <v>4697.92</v>
      </c>
      <c r="G915">
        <v>86557</v>
      </c>
      <c r="H915">
        <v>8631.2800000000007</v>
      </c>
      <c r="I915">
        <v>69.53</v>
      </c>
      <c r="J915" t="str">
        <f>IFERROR(INDEX(Suppliar[Estimated Carbon Footprint (tons CO₂e)],MATCH('Merge operational &amp; suppliar'!A915,Suppliar[Facility ID],0)),"")</f>
        <v/>
      </c>
      <c r="K915" t="str">
        <f>IFERROR(INDEX(Suppliar[Income Distribution (%)],MATCH('Merge operational &amp; suppliar'!A915,Suppliar[Facility ID],0)),"")</f>
        <v/>
      </c>
    </row>
    <row r="916" spans="1:11" x14ac:dyDescent="0.3">
      <c r="A916" t="s">
        <v>52</v>
      </c>
      <c r="B916" t="s">
        <v>19</v>
      </c>
      <c r="C916" t="s">
        <v>34</v>
      </c>
      <c r="D916" t="s">
        <v>28</v>
      </c>
      <c r="E916" t="s">
        <v>24</v>
      </c>
      <c r="F916">
        <v>3192.85</v>
      </c>
      <c r="G916">
        <v>94949</v>
      </c>
      <c r="H916">
        <v>9714.76</v>
      </c>
      <c r="I916">
        <v>64.900000000000006</v>
      </c>
      <c r="J916">
        <f>IFERROR(INDEX(Suppliar[Estimated Carbon Footprint (tons CO₂e)],MATCH('Merge operational &amp; suppliar'!A916,Suppliar[Facility ID],0)),"")</f>
        <v>241.41</v>
      </c>
      <c r="K916">
        <f>IFERROR(INDEX(Suppliar[Income Distribution (%)],MATCH('Merge operational &amp; suppliar'!A916,Suppliar[Facility ID],0)),"")</f>
        <v>20.62</v>
      </c>
    </row>
    <row r="917" spans="1:11" x14ac:dyDescent="0.3">
      <c r="A917" t="s">
        <v>160</v>
      </c>
      <c r="B917" t="s">
        <v>30</v>
      </c>
      <c r="C917" t="s">
        <v>13</v>
      </c>
      <c r="D917" t="s">
        <v>9</v>
      </c>
      <c r="E917" t="s">
        <v>10</v>
      </c>
      <c r="F917">
        <v>3010.17</v>
      </c>
      <c r="G917">
        <v>18341</v>
      </c>
      <c r="H917">
        <v>8465.57</v>
      </c>
      <c r="I917">
        <v>38.39</v>
      </c>
      <c r="J917" t="str">
        <f>IFERROR(INDEX(Suppliar[Estimated Carbon Footprint (tons CO₂e)],MATCH('Merge operational &amp; suppliar'!A917,Suppliar[Facility ID],0)),"")</f>
        <v/>
      </c>
      <c r="K917" t="str">
        <f>IFERROR(INDEX(Suppliar[Income Distribution (%)],MATCH('Merge operational &amp; suppliar'!A917,Suppliar[Facility ID],0)),"")</f>
        <v/>
      </c>
    </row>
    <row r="918" spans="1:11" x14ac:dyDescent="0.3">
      <c r="A918" t="s">
        <v>188</v>
      </c>
      <c r="B918" t="s">
        <v>19</v>
      </c>
      <c r="C918" t="s">
        <v>23</v>
      </c>
      <c r="D918" t="s">
        <v>9</v>
      </c>
      <c r="E918" t="s">
        <v>24</v>
      </c>
      <c r="F918">
        <v>4348.8599999999997</v>
      </c>
      <c r="G918">
        <v>60513</v>
      </c>
      <c r="H918">
        <v>4578.16</v>
      </c>
      <c r="I918">
        <v>65.53</v>
      </c>
      <c r="J918" t="str">
        <f>IFERROR(INDEX(Suppliar[Estimated Carbon Footprint (tons CO₂e)],MATCH('Merge operational &amp; suppliar'!A918,Suppliar[Facility ID],0)),"")</f>
        <v/>
      </c>
      <c r="K918" t="str">
        <f>IFERROR(INDEX(Suppliar[Income Distribution (%)],MATCH('Merge operational &amp; suppliar'!A918,Suppliar[Facility ID],0)),"")</f>
        <v/>
      </c>
    </row>
    <row r="919" spans="1:11" x14ac:dyDescent="0.3">
      <c r="A919" t="s">
        <v>22</v>
      </c>
      <c r="B919" t="s">
        <v>12</v>
      </c>
      <c r="C919" t="s">
        <v>8</v>
      </c>
      <c r="D919" t="s">
        <v>9</v>
      </c>
      <c r="E919" t="s">
        <v>10</v>
      </c>
      <c r="F919">
        <v>4115.1499999999996</v>
      </c>
      <c r="G919">
        <v>47484</v>
      </c>
      <c r="H919">
        <v>3396.39</v>
      </c>
      <c r="I919">
        <v>19.510000000000002</v>
      </c>
      <c r="J919">
        <f>IFERROR(INDEX(Suppliar[Estimated Carbon Footprint (tons CO₂e)],MATCH('Merge operational &amp; suppliar'!A919,Suppliar[Facility ID],0)),"")</f>
        <v>790.74</v>
      </c>
      <c r="K919">
        <f>IFERROR(INDEX(Suppliar[Income Distribution (%)],MATCH('Merge operational &amp; suppliar'!A919,Suppliar[Facility ID],0)),"")</f>
        <v>12.77</v>
      </c>
    </row>
    <row r="920" spans="1:11" x14ac:dyDescent="0.3">
      <c r="A920" t="s">
        <v>195</v>
      </c>
      <c r="B920" t="s">
        <v>7</v>
      </c>
      <c r="C920" t="s">
        <v>8</v>
      </c>
      <c r="D920" t="s">
        <v>28</v>
      </c>
      <c r="E920" t="s">
        <v>15</v>
      </c>
      <c r="F920">
        <v>4352.3</v>
      </c>
      <c r="G920">
        <v>68278</v>
      </c>
      <c r="H920">
        <v>3272.65</v>
      </c>
      <c r="I920">
        <v>30.47</v>
      </c>
      <c r="J920">
        <f>IFERROR(INDEX(Suppliar[Estimated Carbon Footprint (tons CO₂e)],MATCH('Merge operational &amp; suppliar'!A920,Suppliar[Facility ID],0)),"")</f>
        <v>526.54999999999995</v>
      </c>
      <c r="K920">
        <f>IFERROR(INDEX(Suppliar[Income Distribution (%)],MATCH('Merge operational &amp; suppliar'!A920,Suppliar[Facility ID],0)),"")</f>
        <v>30.4</v>
      </c>
    </row>
    <row r="921" spans="1:11" x14ac:dyDescent="0.3">
      <c r="A921" t="s">
        <v>56</v>
      </c>
      <c r="B921" t="s">
        <v>19</v>
      </c>
      <c r="C921" t="s">
        <v>13</v>
      </c>
      <c r="D921" t="s">
        <v>9</v>
      </c>
      <c r="E921" t="s">
        <v>15</v>
      </c>
      <c r="F921">
        <v>3591.33</v>
      </c>
      <c r="G921">
        <v>43747</v>
      </c>
      <c r="H921">
        <v>3453.48</v>
      </c>
      <c r="I921">
        <v>98.78</v>
      </c>
      <c r="J921">
        <f>IFERROR(INDEX(Suppliar[Estimated Carbon Footprint (tons CO₂e)],MATCH('Merge operational &amp; suppliar'!A921,Suppliar[Facility ID],0)),"")</f>
        <v>459.56</v>
      </c>
      <c r="K921">
        <f>IFERROR(INDEX(Suppliar[Income Distribution (%)],MATCH('Merge operational &amp; suppliar'!A921,Suppliar[Facility ID],0)),"")</f>
        <v>23.81</v>
      </c>
    </row>
    <row r="922" spans="1:11" x14ac:dyDescent="0.3">
      <c r="A922" t="s">
        <v>87</v>
      </c>
      <c r="B922" t="s">
        <v>12</v>
      </c>
      <c r="C922" t="s">
        <v>8</v>
      </c>
      <c r="D922" t="s">
        <v>28</v>
      </c>
      <c r="E922" t="s">
        <v>15</v>
      </c>
      <c r="F922">
        <v>3260.39</v>
      </c>
      <c r="G922">
        <v>15333</v>
      </c>
      <c r="H922">
        <v>2570.54</v>
      </c>
      <c r="I922">
        <v>41.07</v>
      </c>
      <c r="J922">
        <f>IFERROR(INDEX(Suppliar[Estimated Carbon Footprint (tons CO₂e)],MATCH('Merge operational &amp; suppliar'!A922,Suppliar[Facility ID],0)),"")</f>
        <v>390.06</v>
      </c>
      <c r="K922">
        <f>IFERROR(INDEX(Suppliar[Income Distribution (%)],MATCH('Merge operational &amp; suppliar'!A922,Suppliar[Facility ID],0)),"")</f>
        <v>31.43</v>
      </c>
    </row>
    <row r="923" spans="1:11" x14ac:dyDescent="0.3">
      <c r="A923" t="s">
        <v>91</v>
      </c>
      <c r="B923" t="s">
        <v>30</v>
      </c>
      <c r="C923" t="s">
        <v>23</v>
      </c>
      <c r="D923" t="s">
        <v>14</v>
      </c>
      <c r="E923" t="s">
        <v>24</v>
      </c>
      <c r="F923">
        <v>1083.03</v>
      </c>
      <c r="G923">
        <v>20207</v>
      </c>
      <c r="H923">
        <v>5369.46</v>
      </c>
      <c r="I923">
        <v>57.51</v>
      </c>
      <c r="J923">
        <f>IFERROR(INDEX(Suppliar[Estimated Carbon Footprint (tons CO₂e)],MATCH('Merge operational &amp; suppliar'!A923,Suppliar[Facility ID],0)),"")</f>
        <v>847.51</v>
      </c>
      <c r="K923">
        <f>IFERROR(INDEX(Suppliar[Income Distribution (%)],MATCH('Merge operational &amp; suppliar'!A923,Suppliar[Facility ID],0)),"")</f>
        <v>28.45</v>
      </c>
    </row>
    <row r="924" spans="1:11" x14ac:dyDescent="0.3">
      <c r="A924" t="s">
        <v>215</v>
      </c>
      <c r="B924" t="s">
        <v>17</v>
      </c>
      <c r="C924" t="s">
        <v>13</v>
      </c>
      <c r="D924" t="s">
        <v>28</v>
      </c>
      <c r="E924" t="s">
        <v>10</v>
      </c>
      <c r="F924">
        <v>2051.69</v>
      </c>
      <c r="G924">
        <v>72813</v>
      </c>
      <c r="H924">
        <v>8818.16</v>
      </c>
      <c r="I924">
        <v>54.12</v>
      </c>
      <c r="J924">
        <f>IFERROR(INDEX(Suppliar[Estimated Carbon Footprint (tons CO₂e)],MATCH('Merge operational &amp; suppliar'!A924,Suppliar[Facility ID],0)),"")</f>
        <v>986.62</v>
      </c>
      <c r="K924">
        <f>IFERROR(INDEX(Suppliar[Income Distribution (%)],MATCH('Merge operational &amp; suppliar'!A924,Suppliar[Facility ID],0)),"")</f>
        <v>42.1</v>
      </c>
    </row>
    <row r="925" spans="1:11" x14ac:dyDescent="0.3">
      <c r="A925" t="s">
        <v>33</v>
      </c>
      <c r="B925" t="s">
        <v>19</v>
      </c>
      <c r="C925" t="s">
        <v>23</v>
      </c>
      <c r="D925" t="s">
        <v>28</v>
      </c>
      <c r="E925" t="s">
        <v>10</v>
      </c>
      <c r="F925">
        <v>2402.8200000000002</v>
      </c>
      <c r="G925">
        <v>65719</v>
      </c>
      <c r="H925">
        <v>9362.41</v>
      </c>
      <c r="I925">
        <v>86.55</v>
      </c>
      <c r="J925">
        <f>IFERROR(INDEX(Suppliar[Estimated Carbon Footprint (tons CO₂e)],MATCH('Merge operational &amp; suppliar'!A925,Suppliar[Facility ID],0)),"")</f>
        <v>932.3</v>
      </c>
      <c r="K925">
        <f>IFERROR(INDEX(Suppliar[Income Distribution (%)],MATCH('Merge operational &amp; suppliar'!A925,Suppliar[Facility ID],0)),"")</f>
        <v>28.9</v>
      </c>
    </row>
    <row r="926" spans="1:11" x14ac:dyDescent="0.3">
      <c r="A926" t="s">
        <v>168</v>
      </c>
      <c r="B926" t="s">
        <v>17</v>
      </c>
      <c r="C926" t="s">
        <v>13</v>
      </c>
      <c r="D926" t="s">
        <v>9</v>
      </c>
      <c r="E926" t="s">
        <v>10</v>
      </c>
      <c r="F926">
        <v>1465.51</v>
      </c>
      <c r="G926">
        <v>41050</v>
      </c>
      <c r="H926">
        <v>6025.84</v>
      </c>
      <c r="I926">
        <v>53.53</v>
      </c>
      <c r="J926">
        <f>IFERROR(INDEX(Suppliar[Estimated Carbon Footprint (tons CO₂e)],MATCH('Merge operational &amp; suppliar'!A926,Suppliar[Facility ID],0)),"")</f>
        <v>289.77</v>
      </c>
      <c r="K926">
        <f>IFERROR(INDEX(Suppliar[Income Distribution (%)],MATCH('Merge operational &amp; suppliar'!A926,Suppliar[Facility ID],0)),"")</f>
        <v>19.260000000000002</v>
      </c>
    </row>
    <row r="927" spans="1:11" x14ac:dyDescent="0.3">
      <c r="A927" t="s">
        <v>129</v>
      </c>
      <c r="B927" t="s">
        <v>17</v>
      </c>
      <c r="C927" t="s">
        <v>8</v>
      </c>
      <c r="D927" t="s">
        <v>9</v>
      </c>
      <c r="E927" t="s">
        <v>10</v>
      </c>
      <c r="F927">
        <v>4841.54</v>
      </c>
      <c r="G927">
        <v>95292</v>
      </c>
      <c r="H927">
        <v>697.47</v>
      </c>
      <c r="I927">
        <v>88.35</v>
      </c>
      <c r="J927">
        <f>IFERROR(INDEX(Suppliar[Estimated Carbon Footprint (tons CO₂e)],MATCH('Merge operational &amp; suppliar'!A927,Suppliar[Facility ID],0)),"")</f>
        <v>114.57</v>
      </c>
      <c r="K927">
        <f>IFERROR(INDEX(Suppliar[Income Distribution (%)],MATCH('Merge operational &amp; suppliar'!A927,Suppliar[Facility ID],0)),"")</f>
        <v>36.04</v>
      </c>
    </row>
    <row r="928" spans="1:11" x14ac:dyDescent="0.3">
      <c r="A928" t="s">
        <v>206</v>
      </c>
      <c r="B928" t="s">
        <v>19</v>
      </c>
      <c r="C928" t="s">
        <v>34</v>
      </c>
      <c r="D928" t="s">
        <v>28</v>
      </c>
      <c r="E928" t="s">
        <v>10</v>
      </c>
      <c r="F928">
        <v>3187.8</v>
      </c>
      <c r="G928">
        <v>10250</v>
      </c>
      <c r="H928">
        <v>4717</v>
      </c>
      <c r="I928">
        <v>16.600000000000001</v>
      </c>
      <c r="J928">
        <f>IFERROR(INDEX(Suppliar[Estimated Carbon Footprint (tons CO₂e)],MATCH('Merge operational &amp; suppliar'!A928,Suppliar[Facility ID],0)),"")</f>
        <v>249.3</v>
      </c>
      <c r="K928">
        <f>IFERROR(INDEX(Suppliar[Income Distribution (%)],MATCH('Merge operational &amp; suppliar'!A928,Suppliar[Facility ID],0)),"")</f>
        <v>32.97</v>
      </c>
    </row>
    <row r="929" spans="1:11" x14ac:dyDescent="0.3">
      <c r="A929" t="s">
        <v>129</v>
      </c>
      <c r="B929" t="s">
        <v>17</v>
      </c>
      <c r="C929" t="s">
        <v>34</v>
      </c>
      <c r="D929" t="s">
        <v>28</v>
      </c>
      <c r="E929" t="s">
        <v>24</v>
      </c>
      <c r="F929">
        <v>4547.92</v>
      </c>
      <c r="G929">
        <v>95292</v>
      </c>
      <c r="H929">
        <v>697.47</v>
      </c>
      <c r="I929">
        <v>88.35</v>
      </c>
      <c r="J929">
        <f>IFERROR(INDEX(Suppliar[Estimated Carbon Footprint (tons CO₂e)],MATCH('Merge operational &amp; suppliar'!A929,Suppliar[Facility ID],0)),"")</f>
        <v>114.57</v>
      </c>
      <c r="K929">
        <f>IFERROR(INDEX(Suppliar[Income Distribution (%)],MATCH('Merge operational &amp; suppliar'!A929,Suppliar[Facility ID],0)),"")</f>
        <v>36.04</v>
      </c>
    </row>
    <row r="930" spans="1:11" x14ac:dyDescent="0.3">
      <c r="A930" t="s">
        <v>135</v>
      </c>
      <c r="B930" t="s">
        <v>12</v>
      </c>
      <c r="C930" t="s">
        <v>13</v>
      </c>
      <c r="D930" t="s">
        <v>9</v>
      </c>
      <c r="E930" t="s">
        <v>10</v>
      </c>
      <c r="F930">
        <v>4751.75</v>
      </c>
      <c r="G930">
        <v>39560</v>
      </c>
      <c r="H930">
        <v>8380.77</v>
      </c>
      <c r="I930">
        <v>94.01</v>
      </c>
      <c r="J930" t="str">
        <f>IFERROR(INDEX(Suppliar[Estimated Carbon Footprint (tons CO₂e)],MATCH('Merge operational &amp; suppliar'!A930,Suppliar[Facility ID],0)),"")</f>
        <v/>
      </c>
      <c r="K930" t="str">
        <f>IFERROR(INDEX(Suppliar[Income Distribution (%)],MATCH('Merge operational &amp; suppliar'!A930,Suppliar[Facility ID],0)),"")</f>
        <v/>
      </c>
    </row>
    <row r="931" spans="1:11" x14ac:dyDescent="0.3">
      <c r="A931" t="s">
        <v>49</v>
      </c>
      <c r="B931" t="s">
        <v>19</v>
      </c>
      <c r="C931" t="s">
        <v>13</v>
      </c>
      <c r="D931" t="s">
        <v>28</v>
      </c>
      <c r="E931" t="s">
        <v>10</v>
      </c>
      <c r="F931">
        <v>3218.33</v>
      </c>
      <c r="G931">
        <v>50306</v>
      </c>
      <c r="H931">
        <v>7031.37</v>
      </c>
      <c r="I931">
        <v>13.27</v>
      </c>
      <c r="J931" t="str">
        <f>IFERROR(INDEX(Suppliar[Estimated Carbon Footprint (tons CO₂e)],MATCH('Merge operational &amp; suppliar'!A931,Suppliar[Facility ID],0)),"")</f>
        <v/>
      </c>
      <c r="K931" t="str">
        <f>IFERROR(INDEX(Suppliar[Income Distribution (%)],MATCH('Merge operational &amp; suppliar'!A931,Suppliar[Facility ID],0)),"")</f>
        <v/>
      </c>
    </row>
    <row r="932" spans="1:11" x14ac:dyDescent="0.3">
      <c r="A932" t="s">
        <v>177</v>
      </c>
      <c r="B932" t="s">
        <v>7</v>
      </c>
      <c r="C932" t="s">
        <v>23</v>
      </c>
      <c r="D932" t="s">
        <v>14</v>
      </c>
      <c r="E932" t="s">
        <v>24</v>
      </c>
      <c r="F932">
        <v>107.49</v>
      </c>
      <c r="G932">
        <v>17097</v>
      </c>
      <c r="H932">
        <v>9061.7800000000007</v>
      </c>
      <c r="I932">
        <v>95.92</v>
      </c>
      <c r="J932">
        <f>IFERROR(INDEX(Suppliar[Estimated Carbon Footprint (tons CO₂e)],MATCH('Merge operational &amp; suppliar'!A932,Suppliar[Facility ID],0)),"")</f>
        <v>390.06</v>
      </c>
      <c r="K932">
        <f>IFERROR(INDEX(Suppliar[Income Distribution (%)],MATCH('Merge operational &amp; suppliar'!A932,Suppliar[Facility ID],0)),"")</f>
        <v>18.010000000000002</v>
      </c>
    </row>
    <row r="933" spans="1:11" x14ac:dyDescent="0.3">
      <c r="A933" t="s">
        <v>159</v>
      </c>
      <c r="B933" t="s">
        <v>7</v>
      </c>
      <c r="C933" t="s">
        <v>8</v>
      </c>
      <c r="D933" t="s">
        <v>28</v>
      </c>
      <c r="E933" t="s">
        <v>15</v>
      </c>
      <c r="F933">
        <v>4162.1899999999996</v>
      </c>
      <c r="G933">
        <v>47727</v>
      </c>
      <c r="H933">
        <v>8907.33</v>
      </c>
      <c r="I933">
        <v>47.4</v>
      </c>
      <c r="J933">
        <f>IFERROR(INDEX(Suppliar[Estimated Carbon Footprint (tons CO₂e)],MATCH('Merge operational &amp; suppliar'!A933,Suppliar[Facility ID],0)),"")</f>
        <v>344.93</v>
      </c>
      <c r="K933">
        <f>IFERROR(INDEX(Suppliar[Income Distribution (%)],MATCH('Merge operational &amp; suppliar'!A933,Suppliar[Facility ID],0)),"")</f>
        <v>43.18</v>
      </c>
    </row>
    <row r="934" spans="1:11" x14ac:dyDescent="0.3">
      <c r="A934" t="s">
        <v>172</v>
      </c>
      <c r="B934" t="s">
        <v>7</v>
      </c>
      <c r="C934" t="s">
        <v>13</v>
      </c>
      <c r="D934" t="s">
        <v>14</v>
      </c>
      <c r="E934" t="s">
        <v>10</v>
      </c>
      <c r="F934">
        <v>1795.35</v>
      </c>
      <c r="G934">
        <v>68820</v>
      </c>
      <c r="H934">
        <v>9612.25</v>
      </c>
      <c r="I934">
        <v>83.51</v>
      </c>
      <c r="J934">
        <f>IFERROR(INDEX(Suppliar[Estimated Carbon Footprint (tons CO₂e)],MATCH('Merge operational &amp; suppliar'!A934,Suppliar[Facility ID],0)),"")</f>
        <v>867.66</v>
      </c>
      <c r="K934">
        <f>IFERROR(INDEX(Suppliar[Income Distribution (%)],MATCH('Merge operational &amp; suppliar'!A934,Suppliar[Facility ID],0)),"")</f>
        <v>18.88</v>
      </c>
    </row>
    <row r="935" spans="1:11" x14ac:dyDescent="0.3">
      <c r="A935" t="s">
        <v>163</v>
      </c>
      <c r="B935" t="s">
        <v>19</v>
      </c>
      <c r="C935" t="s">
        <v>13</v>
      </c>
      <c r="D935" t="s">
        <v>14</v>
      </c>
      <c r="E935" t="s">
        <v>24</v>
      </c>
      <c r="F935">
        <v>930.97</v>
      </c>
      <c r="G935">
        <v>87482</v>
      </c>
      <c r="H935">
        <v>2231.7399999999998</v>
      </c>
      <c r="I935">
        <v>45.43</v>
      </c>
      <c r="J935">
        <f>IFERROR(INDEX(Suppliar[Estimated Carbon Footprint (tons CO₂e)],MATCH('Merge operational &amp; suppliar'!A935,Suppliar[Facility ID],0)),"")</f>
        <v>638.89</v>
      </c>
      <c r="K935">
        <f>IFERROR(INDEX(Suppliar[Income Distribution (%)],MATCH('Merge operational &amp; suppliar'!A935,Suppliar[Facility ID],0)),"")</f>
        <v>24.69</v>
      </c>
    </row>
    <row r="936" spans="1:11" x14ac:dyDescent="0.3">
      <c r="A936" t="s">
        <v>143</v>
      </c>
      <c r="B936" t="s">
        <v>17</v>
      </c>
      <c r="C936" t="s">
        <v>23</v>
      </c>
      <c r="D936" t="s">
        <v>9</v>
      </c>
      <c r="E936" t="s">
        <v>10</v>
      </c>
      <c r="F936">
        <v>1962.97</v>
      </c>
      <c r="G936">
        <v>94704</v>
      </c>
      <c r="H936">
        <v>6632.95</v>
      </c>
      <c r="I936">
        <v>14.76</v>
      </c>
      <c r="J936">
        <f>IFERROR(INDEX(Suppliar[Estimated Carbon Footprint (tons CO₂e)],MATCH('Merge operational &amp; suppliar'!A936,Suppliar[Facility ID],0)),"")</f>
        <v>459.56</v>
      </c>
      <c r="K936">
        <f>IFERROR(INDEX(Suppliar[Income Distribution (%)],MATCH('Merge operational &amp; suppliar'!A936,Suppliar[Facility ID],0)),"")</f>
        <v>7.54</v>
      </c>
    </row>
    <row r="937" spans="1:11" x14ac:dyDescent="0.3">
      <c r="A937" t="s">
        <v>181</v>
      </c>
      <c r="B937" t="s">
        <v>30</v>
      </c>
      <c r="C937" t="s">
        <v>23</v>
      </c>
      <c r="D937" t="s">
        <v>14</v>
      </c>
      <c r="E937" t="s">
        <v>10</v>
      </c>
      <c r="F937">
        <v>4615.88</v>
      </c>
      <c r="G937">
        <v>28704</v>
      </c>
      <c r="H937">
        <v>6009.24</v>
      </c>
      <c r="I937">
        <v>39.31</v>
      </c>
      <c r="J937">
        <f>IFERROR(INDEX(Suppliar[Estimated Carbon Footprint (tons CO₂e)],MATCH('Merge operational &amp; suppliar'!A937,Suppliar[Facility ID],0)),"")</f>
        <v>479.41</v>
      </c>
      <c r="K937">
        <f>IFERROR(INDEX(Suppliar[Income Distribution (%)],MATCH('Merge operational &amp; suppliar'!A937,Suppliar[Facility ID],0)),"")</f>
        <v>19.7</v>
      </c>
    </row>
    <row r="938" spans="1:11" x14ac:dyDescent="0.3">
      <c r="A938" t="s">
        <v>146</v>
      </c>
      <c r="B938" t="s">
        <v>7</v>
      </c>
      <c r="C938" t="s">
        <v>34</v>
      </c>
      <c r="D938" t="s">
        <v>28</v>
      </c>
      <c r="E938" t="s">
        <v>15</v>
      </c>
      <c r="F938">
        <v>1530.83</v>
      </c>
      <c r="G938">
        <v>14170</v>
      </c>
      <c r="H938">
        <v>5455.23</v>
      </c>
      <c r="I938">
        <v>25.46</v>
      </c>
      <c r="J938">
        <f>IFERROR(INDEX(Suppliar[Estimated Carbon Footprint (tons CO₂e)],MATCH('Merge operational &amp; suppliar'!A938,Suppliar[Facility ID],0)),"")</f>
        <v>790.74</v>
      </c>
      <c r="K938">
        <f>IFERROR(INDEX(Suppliar[Income Distribution (%)],MATCH('Merge operational &amp; suppliar'!A938,Suppliar[Facility ID],0)),"")</f>
        <v>28.78</v>
      </c>
    </row>
    <row r="939" spans="1:11" x14ac:dyDescent="0.3">
      <c r="A939" t="s">
        <v>173</v>
      </c>
      <c r="B939" t="s">
        <v>30</v>
      </c>
      <c r="C939" t="s">
        <v>23</v>
      </c>
      <c r="D939" t="s">
        <v>9</v>
      </c>
      <c r="E939" t="s">
        <v>10</v>
      </c>
      <c r="F939">
        <v>2440.9899999999998</v>
      </c>
      <c r="G939">
        <v>49620</v>
      </c>
      <c r="H939">
        <v>2424.31</v>
      </c>
      <c r="I939">
        <v>62.09</v>
      </c>
      <c r="J939">
        <f>IFERROR(INDEX(Suppliar[Estimated Carbon Footprint (tons CO₂e)],MATCH('Merge operational &amp; suppliar'!A939,Suppliar[Facility ID],0)),"")</f>
        <v>184.92</v>
      </c>
      <c r="K939">
        <f>IFERROR(INDEX(Suppliar[Income Distribution (%)],MATCH('Merge operational &amp; suppliar'!A939,Suppliar[Facility ID],0)),"")</f>
        <v>19.55</v>
      </c>
    </row>
    <row r="940" spans="1:11" x14ac:dyDescent="0.3">
      <c r="A940" t="s">
        <v>121</v>
      </c>
      <c r="B940" t="s">
        <v>30</v>
      </c>
      <c r="C940" t="s">
        <v>8</v>
      </c>
      <c r="D940" t="s">
        <v>28</v>
      </c>
      <c r="E940" t="s">
        <v>24</v>
      </c>
      <c r="F940">
        <v>1674.72</v>
      </c>
      <c r="G940">
        <v>58895</v>
      </c>
      <c r="H940">
        <v>3039.17</v>
      </c>
      <c r="I940">
        <v>59.82</v>
      </c>
      <c r="J940">
        <f>IFERROR(INDEX(Suppliar[Estimated Carbon Footprint (tons CO₂e)],MATCH('Merge operational &amp; suppliar'!A940,Suppliar[Facility ID],0)),"")</f>
        <v>785.8</v>
      </c>
      <c r="K940">
        <f>IFERROR(INDEX(Suppliar[Income Distribution (%)],MATCH('Merge operational &amp; suppliar'!A940,Suppliar[Facility ID],0)),"")</f>
        <v>22.92</v>
      </c>
    </row>
    <row r="941" spans="1:11" x14ac:dyDescent="0.3">
      <c r="A941" t="s">
        <v>50</v>
      </c>
      <c r="B941" t="s">
        <v>19</v>
      </c>
      <c r="C941" t="s">
        <v>13</v>
      </c>
      <c r="D941" t="s">
        <v>28</v>
      </c>
      <c r="E941" t="s">
        <v>15</v>
      </c>
      <c r="F941">
        <v>3245.74</v>
      </c>
      <c r="G941">
        <v>40577</v>
      </c>
      <c r="H941">
        <v>4280.82</v>
      </c>
      <c r="I941">
        <v>79.88</v>
      </c>
      <c r="J941">
        <f>IFERROR(INDEX(Suppliar[Estimated Carbon Footprint (tons CO₂e)],MATCH('Merge operational &amp; suppliar'!A941,Suppliar[Facility ID],0)),"")</f>
        <v>932.3</v>
      </c>
      <c r="K941">
        <f>IFERROR(INDEX(Suppliar[Income Distribution (%)],MATCH('Merge operational &amp; suppliar'!A941,Suppliar[Facility ID],0)),"")</f>
        <v>10.19</v>
      </c>
    </row>
    <row r="942" spans="1:11" x14ac:dyDescent="0.3">
      <c r="A942" t="s">
        <v>214</v>
      </c>
      <c r="B942" t="s">
        <v>30</v>
      </c>
      <c r="C942" t="s">
        <v>8</v>
      </c>
      <c r="D942" t="s">
        <v>28</v>
      </c>
      <c r="E942" t="s">
        <v>15</v>
      </c>
      <c r="F942">
        <v>3114.72</v>
      </c>
      <c r="G942">
        <v>79330</v>
      </c>
      <c r="H942">
        <v>6075.23</v>
      </c>
      <c r="I942">
        <v>83.97</v>
      </c>
      <c r="J942">
        <f>IFERROR(INDEX(Suppliar[Estimated Carbon Footprint (tons CO₂e)],MATCH('Merge operational &amp; suppliar'!A942,Suppliar[Facility ID],0)),"")</f>
        <v>209.33</v>
      </c>
      <c r="K942">
        <f>IFERROR(INDEX(Suppliar[Income Distribution (%)],MATCH('Merge operational &amp; suppliar'!A942,Suppliar[Facility ID],0)),"")</f>
        <v>13.62</v>
      </c>
    </row>
    <row r="943" spans="1:11" x14ac:dyDescent="0.3">
      <c r="A943" t="s">
        <v>101</v>
      </c>
      <c r="B943" t="s">
        <v>19</v>
      </c>
      <c r="C943" t="s">
        <v>13</v>
      </c>
      <c r="D943" t="s">
        <v>14</v>
      </c>
      <c r="E943" t="s">
        <v>15</v>
      </c>
      <c r="F943">
        <v>2078.6799999999998</v>
      </c>
      <c r="G943">
        <v>39050</v>
      </c>
      <c r="H943">
        <v>5885.73</v>
      </c>
      <c r="I943">
        <v>93.04</v>
      </c>
      <c r="J943">
        <f>IFERROR(INDEX(Suppliar[Estimated Carbon Footprint (tons CO₂e)],MATCH('Merge operational &amp; suppliar'!A943,Suppliar[Facility ID],0)),"")</f>
        <v>318.55</v>
      </c>
      <c r="K943">
        <f>IFERROR(INDEX(Suppliar[Income Distribution (%)],MATCH('Merge operational &amp; suppliar'!A943,Suppliar[Facility ID],0)),"")</f>
        <v>39.81</v>
      </c>
    </row>
    <row r="944" spans="1:11" x14ac:dyDescent="0.3">
      <c r="A944" t="s">
        <v>137</v>
      </c>
      <c r="B944" t="s">
        <v>17</v>
      </c>
      <c r="C944" t="s">
        <v>8</v>
      </c>
      <c r="D944" t="s">
        <v>28</v>
      </c>
      <c r="E944" t="s">
        <v>15</v>
      </c>
      <c r="F944">
        <v>2458.83</v>
      </c>
      <c r="G944">
        <v>19265</v>
      </c>
      <c r="H944">
        <v>776.6</v>
      </c>
      <c r="I944">
        <v>39.75</v>
      </c>
      <c r="J944">
        <f>IFERROR(INDEX(Suppliar[Estimated Carbon Footprint (tons CO₂e)],MATCH('Merge operational &amp; suppliar'!A944,Suppliar[Facility ID],0)),"")</f>
        <v>289.77</v>
      </c>
      <c r="K944">
        <f>IFERROR(INDEX(Suppliar[Income Distribution (%)],MATCH('Merge operational &amp; suppliar'!A944,Suppliar[Facility ID],0)),"")</f>
        <v>37.270000000000003</v>
      </c>
    </row>
    <row r="945" spans="1:11" x14ac:dyDescent="0.3">
      <c r="A945" t="s">
        <v>126</v>
      </c>
      <c r="B945" t="s">
        <v>30</v>
      </c>
      <c r="C945" t="s">
        <v>23</v>
      </c>
      <c r="D945" t="s">
        <v>14</v>
      </c>
      <c r="E945" t="s">
        <v>15</v>
      </c>
      <c r="F945">
        <v>3902.33</v>
      </c>
      <c r="G945">
        <v>35506</v>
      </c>
      <c r="H945">
        <v>1892.04</v>
      </c>
      <c r="I945">
        <v>61.53</v>
      </c>
      <c r="J945" t="str">
        <f>IFERROR(INDEX(Suppliar[Estimated Carbon Footprint (tons CO₂e)],MATCH('Merge operational &amp; suppliar'!A945,Suppliar[Facility ID],0)),"")</f>
        <v/>
      </c>
      <c r="K945" t="str">
        <f>IFERROR(INDEX(Suppliar[Income Distribution (%)],MATCH('Merge operational &amp; suppliar'!A945,Suppliar[Facility ID],0)),"")</f>
        <v/>
      </c>
    </row>
    <row r="946" spans="1:11" x14ac:dyDescent="0.3">
      <c r="A946" t="s">
        <v>22</v>
      </c>
      <c r="B946" t="s">
        <v>12</v>
      </c>
      <c r="C946" t="s">
        <v>23</v>
      </c>
      <c r="D946" t="s">
        <v>9</v>
      </c>
      <c r="E946" t="s">
        <v>10</v>
      </c>
      <c r="F946">
        <v>3436.69</v>
      </c>
      <c r="G946">
        <v>47484</v>
      </c>
      <c r="H946">
        <v>3396.39</v>
      </c>
      <c r="I946">
        <v>19.510000000000002</v>
      </c>
      <c r="J946">
        <f>IFERROR(INDEX(Suppliar[Estimated Carbon Footprint (tons CO₂e)],MATCH('Merge operational &amp; suppliar'!A946,Suppliar[Facility ID],0)),"")</f>
        <v>790.74</v>
      </c>
      <c r="K946">
        <f>IFERROR(INDEX(Suppliar[Income Distribution (%)],MATCH('Merge operational &amp; suppliar'!A946,Suppliar[Facility ID],0)),"")</f>
        <v>12.77</v>
      </c>
    </row>
    <row r="947" spans="1:11" x14ac:dyDescent="0.3">
      <c r="A947" t="s">
        <v>133</v>
      </c>
      <c r="B947" t="s">
        <v>17</v>
      </c>
      <c r="C947" t="s">
        <v>23</v>
      </c>
      <c r="D947" t="s">
        <v>28</v>
      </c>
      <c r="E947" t="s">
        <v>24</v>
      </c>
      <c r="F947">
        <v>3373.97</v>
      </c>
      <c r="G947">
        <v>48501</v>
      </c>
      <c r="H947">
        <v>7209.77</v>
      </c>
      <c r="I947">
        <v>92.51</v>
      </c>
      <c r="J947" t="str">
        <f>IFERROR(INDEX(Suppliar[Estimated Carbon Footprint (tons CO₂e)],MATCH('Merge operational &amp; suppliar'!A947,Suppliar[Facility ID],0)),"")</f>
        <v/>
      </c>
      <c r="K947" t="str">
        <f>IFERROR(INDEX(Suppliar[Income Distribution (%)],MATCH('Merge operational &amp; suppliar'!A947,Suppliar[Facility ID],0)),"")</f>
        <v/>
      </c>
    </row>
    <row r="948" spans="1:11" x14ac:dyDescent="0.3">
      <c r="A948" t="s">
        <v>202</v>
      </c>
      <c r="B948" t="s">
        <v>12</v>
      </c>
      <c r="C948" t="s">
        <v>8</v>
      </c>
      <c r="D948" t="s">
        <v>14</v>
      </c>
      <c r="E948" t="s">
        <v>15</v>
      </c>
      <c r="F948">
        <v>2524.3200000000002</v>
      </c>
      <c r="G948">
        <v>28400</v>
      </c>
      <c r="H948">
        <v>3056.67</v>
      </c>
      <c r="I948">
        <v>52.68</v>
      </c>
      <c r="J948">
        <f>IFERROR(INDEX(Suppliar[Estimated Carbon Footprint (tons CO₂e)],MATCH('Merge operational &amp; suppliar'!A948,Suppliar[Facility ID],0)),"")</f>
        <v>571.88</v>
      </c>
      <c r="K948">
        <f>IFERROR(INDEX(Suppliar[Income Distribution (%)],MATCH('Merge operational &amp; suppliar'!A948,Suppliar[Facility ID],0)),"")</f>
        <v>8.6199999999999992</v>
      </c>
    </row>
    <row r="949" spans="1:11" x14ac:dyDescent="0.3">
      <c r="A949" t="s">
        <v>67</v>
      </c>
      <c r="B949" t="s">
        <v>7</v>
      </c>
      <c r="C949" t="s">
        <v>13</v>
      </c>
      <c r="D949" t="s">
        <v>28</v>
      </c>
      <c r="E949" t="s">
        <v>24</v>
      </c>
      <c r="F949">
        <v>4152.62</v>
      </c>
      <c r="G949">
        <v>70582</v>
      </c>
      <c r="H949">
        <v>7517.59</v>
      </c>
      <c r="I949">
        <v>95.71</v>
      </c>
      <c r="J949" t="str">
        <f>IFERROR(INDEX(Suppliar[Estimated Carbon Footprint (tons CO₂e)],MATCH('Merge operational &amp; suppliar'!A949,Suppliar[Facility ID],0)),"")</f>
        <v/>
      </c>
      <c r="K949" t="str">
        <f>IFERROR(INDEX(Suppliar[Income Distribution (%)],MATCH('Merge operational &amp; suppliar'!A949,Suppliar[Facility ID],0)),"")</f>
        <v/>
      </c>
    </row>
    <row r="950" spans="1:11" x14ac:dyDescent="0.3">
      <c r="A950" t="s">
        <v>159</v>
      </c>
      <c r="B950" t="s">
        <v>7</v>
      </c>
      <c r="C950" t="s">
        <v>13</v>
      </c>
      <c r="D950" t="s">
        <v>9</v>
      </c>
      <c r="E950" t="s">
        <v>15</v>
      </c>
      <c r="F950">
        <v>5429.12</v>
      </c>
      <c r="G950">
        <v>47727</v>
      </c>
      <c r="H950">
        <v>8907.33</v>
      </c>
      <c r="I950">
        <v>47.4</v>
      </c>
      <c r="J950">
        <f>IFERROR(INDEX(Suppliar[Estimated Carbon Footprint (tons CO₂e)],MATCH('Merge operational &amp; suppliar'!A950,Suppliar[Facility ID],0)),"")</f>
        <v>344.93</v>
      </c>
      <c r="K950">
        <f>IFERROR(INDEX(Suppliar[Income Distribution (%)],MATCH('Merge operational &amp; suppliar'!A950,Suppliar[Facility ID],0)),"")</f>
        <v>43.18</v>
      </c>
    </row>
    <row r="951" spans="1:11" x14ac:dyDescent="0.3">
      <c r="A951" t="s">
        <v>193</v>
      </c>
      <c r="B951" t="s">
        <v>12</v>
      </c>
      <c r="C951" t="s">
        <v>23</v>
      </c>
      <c r="D951" t="s">
        <v>9</v>
      </c>
      <c r="E951" t="s">
        <v>24</v>
      </c>
      <c r="F951">
        <v>4835.42</v>
      </c>
      <c r="G951">
        <v>13333</v>
      </c>
      <c r="H951">
        <v>6102.15</v>
      </c>
      <c r="I951">
        <v>17.670000000000002</v>
      </c>
      <c r="J951">
        <f>IFERROR(INDEX(Suppliar[Estimated Carbon Footprint (tons CO₂e)],MATCH('Merge operational &amp; suppliar'!A951,Suppliar[Facility ID],0)),"")</f>
        <v>959.2</v>
      </c>
      <c r="K951">
        <f>IFERROR(INDEX(Suppliar[Income Distribution (%)],MATCH('Merge operational &amp; suppliar'!A951,Suppliar[Facility ID],0)),"")</f>
        <v>24.24</v>
      </c>
    </row>
    <row r="952" spans="1:11" x14ac:dyDescent="0.3">
      <c r="A952" t="s">
        <v>101</v>
      </c>
      <c r="B952" t="s">
        <v>19</v>
      </c>
      <c r="C952" t="s">
        <v>23</v>
      </c>
      <c r="D952" t="s">
        <v>28</v>
      </c>
      <c r="E952" t="s">
        <v>15</v>
      </c>
      <c r="F952">
        <v>783.3</v>
      </c>
      <c r="G952">
        <v>39050</v>
      </c>
      <c r="H952">
        <v>5885.73</v>
      </c>
      <c r="I952">
        <v>93.04</v>
      </c>
      <c r="J952">
        <f>IFERROR(INDEX(Suppliar[Estimated Carbon Footprint (tons CO₂e)],MATCH('Merge operational &amp; suppliar'!A952,Suppliar[Facility ID],0)),"")</f>
        <v>318.55</v>
      </c>
      <c r="K952">
        <f>IFERROR(INDEX(Suppliar[Income Distribution (%)],MATCH('Merge operational &amp; suppliar'!A952,Suppliar[Facility ID],0)),"")</f>
        <v>39.81</v>
      </c>
    </row>
    <row r="953" spans="1:11" x14ac:dyDescent="0.3">
      <c r="A953" t="s">
        <v>112</v>
      </c>
      <c r="B953" t="s">
        <v>30</v>
      </c>
      <c r="C953" t="s">
        <v>8</v>
      </c>
      <c r="D953" t="s">
        <v>28</v>
      </c>
      <c r="E953" t="s">
        <v>24</v>
      </c>
      <c r="F953">
        <v>4038.18</v>
      </c>
      <c r="G953">
        <v>43294</v>
      </c>
      <c r="H953">
        <v>3802.13</v>
      </c>
      <c r="I953">
        <v>45.84</v>
      </c>
      <c r="J953">
        <f>IFERROR(INDEX(Suppliar[Estimated Carbon Footprint (tons CO₂e)],MATCH('Merge operational &amp; suppliar'!A953,Suppliar[Facility ID],0)),"")</f>
        <v>756.78</v>
      </c>
      <c r="K953">
        <f>IFERROR(INDEX(Suppliar[Income Distribution (%)],MATCH('Merge operational &amp; suppliar'!A953,Suppliar[Facility ID],0)),"")</f>
        <v>28.42</v>
      </c>
    </row>
    <row r="954" spans="1:11" x14ac:dyDescent="0.3">
      <c r="A954" t="s">
        <v>140</v>
      </c>
      <c r="B954" t="s">
        <v>17</v>
      </c>
      <c r="C954" t="s">
        <v>13</v>
      </c>
      <c r="D954" t="s">
        <v>9</v>
      </c>
      <c r="E954" t="s">
        <v>10</v>
      </c>
      <c r="F954">
        <v>4925.53</v>
      </c>
      <c r="G954">
        <v>88308</v>
      </c>
      <c r="H954">
        <v>7802.07</v>
      </c>
      <c r="I954">
        <v>36.130000000000003</v>
      </c>
      <c r="J954">
        <f>IFERROR(INDEX(Suppliar[Estimated Carbon Footprint (tons CO₂e)],MATCH('Merge operational &amp; suppliar'!A954,Suppliar[Facility ID],0)),"")</f>
        <v>557.72</v>
      </c>
      <c r="K954">
        <f>IFERROR(INDEX(Suppliar[Income Distribution (%)],MATCH('Merge operational &amp; suppliar'!A954,Suppliar[Facility ID],0)),"")</f>
        <v>62.75</v>
      </c>
    </row>
    <row r="955" spans="1:11" x14ac:dyDescent="0.3">
      <c r="A955" t="s">
        <v>20</v>
      </c>
      <c r="B955" t="s">
        <v>17</v>
      </c>
      <c r="C955" t="s">
        <v>23</v>
      </c>
      <c r="D955" t="s">
        <v>9</v>
      </c>
      <c r="E955" t="s">
        <v>10</v>
      </c>
      <c r="F955">
        <v>2926.75</v>
      </c>
      <c r="G955">
        <v>29895</v>
      </c>
      <c r="H955">
        <v>1631.08</v>
      </c>
      <c r="I955">
        <v>39.93</v>
      </c>
      <c r="J955">
        <f>IFERROR(INDEX(Suppliar[Estimated Carbon Footprint (tons CO₂e)],MATCH('Merge operational &amp; suppliar'!A955,Suppliar[Facility ID],0)),"")</f>
        <v>959.2</v>
      </c>
      <c r="K955">
        <f>IFERROR(INDEX(Suppliar[Income Distribution (%)],MATCH('Merge operational &amp; suppliar'!A955,Suppliar[Facility ID],0)),"")</f>
        <v>38.840000000000003</v>
      </c>
    </row>
    <row r="956" spans="1:11" x14ac:dyDescent="0.3">
      <c r="A956" t="s">
        <v>170</v>
      </c>
      <c r="B956" t="s">
        <v>12</v>
      </c>
      <c r="C956" t="s">
        <v>8</v>
      </c>
      <c r="D956" t="s">
        <v>28</v>
      </c>
      <c r="E956" t="s">
        <v>15</v>
      </c>
      <c r="F956">
        <v>1931.14</v>
      </c>
      <c r="G956">
        <v>54133</v>
      </c>
      <c r="H956">
        <v>8543.68</v>
      </c>
      <c r="I956">
        <v>24</v>
      </c>
      <c r="J956">
        <f>IFERROR(INDEX(Suppliar[Estimated Carbon Footprint (tons CO₂e)],MATCH('Merge operational &amp; suppliar'!A956,Suppliar[Facility ID],0)),"")</f>
        <v>991.03</v>
      </c>
      <c r="K956">
        <f>IFERROR(INDEX(Suppliar[Income Distribution (%)],MATCH('Merge operational &amp; suppliar'!A956,Suppliar[Facility ID],0)),"")</f>
        <v>23.33</v>
      </c>
    </row>
    <row r="957" spans="1:11" x14ac:dyDescent="0.3">
      <c r="A957" t="s">
        <v>80</v>
      </c>
      <c r="B957" t="s">
        <v>17</v>
      </c>
      <c r="C957" t="s">
        <v>13</v>
      </c>
      <c r="D957" t="s">
        <v>9</v>
      </c>
      <c r="E957" t="s">
        <v>24</v>
      </c>
      <c r="F957">
        <v>3586.91</v>
      </c>
      <c r="G957">
        <v>75508</v>
      </c>
      <c r="H957">
        <v>6856.22</v>
      </c>
      <c r="I957">
        <v>18.2</v>
      </c>
      <c r="J957">
        <f>IFERROR(INDEX(Suppliar[Estimated Carbon Footprint (tons CO₂e)],MATCH('Merge operational &amp; suppliar'!A957,Suppliar[Facility ID],0)),"")</f>
        <v>991.03</v>
      </c>
      <c r="K957">
        <f>IFERROR(INDEX(Suppliar[Income Distribution (%)],MATCH('Merge operational &amp; suppliar'!A957,Suppliar[Facility ID],0)),"")</f>
        <v>13.32</v>
      </c>
    </row>
    <row r="958" spans="1:11" x14ac:dyDescent="0.3">
      <c r="A958" t="s">
        <v>217</v>
      </c>
      <c r="B958" t="s">
        <v>19</v>
      </c>
      <c r="C958" t="s">
        <v>34</v>
      </c>
      <c r="D958" t="s">
        <v>14</v>
      </c>
      <c r="E958" t="s">
        <v>15</v>
      </c>
      <c r="F958">
        <v>2192.19</v>
      </c>
      <c r="G958">
        <v>80824</v>
      </c>
      <c r="H958">
        <v>2858.92</v>
      </c>
      <c r="I958">
        <v>13.97</v>
      </c>
      <c r="J958">
        <f>IFERROR(INDEX(Suppliar[Estimated Carbon Footprint (tons CO₂e)],MATCH('Merge operational &amp; suppliar'!A958,Suppliar[Facility ID],0)),"")</f>
        <v>638.89</v>
      </c>
      <c r="K958">
        <f>IFERROR(INDEX(Suppliar[Income Distribution (%)],MATCH('Merge operational &amp; suppliar'!A958,Suppliar[Facility ID],0)),"")</f>
        <v>21.98</v>
      </c>
    </row>
    <row r="959" spans="1:11" x14ac:dyDescent="0.3">
      <c r="A959" t="s">
        <v>55</v>
      </c>
      <c r="B959" t="s">
        <v>12</v>
      </c>
      <c r="C959" t="s">
        <v>34</v>
      </c>
      <c r="D959" t="s">
        <v>28</v>
      </c>
      <c r="E959" t="s">
        <v>15</v>
      </c>
      <c r="F959">
        <v>3113.98</v>
      </c>
      <c r="G959">
        <v>38181</v>
      </c>
      <c r="H959">
        <v>691.84</v>
      </c>
      <c r="I959">
        <v>33.53</v>
      </c>
      <c r="J959">
        <f>IFERROR(INDEX(Suppliar[Estimated Carbon Footprint (tons CO₂e)],MATCH('Merge operational &amp; suppliar'!A959,Suppliar[Facility ID],0)),"")</f>
        <v>114.57</v>
      </c>
      <c r="K959">
        <f>IFERROR(INDEX(Suppliar[Income Distribution (%)],MATCH('Merge operational &amp; suppliar'!A959,Suppliar[Facility ID],0)),"")</f>
        <v>9.9600000000000009</v>
      </c>
    </row>
    <row r="960" spans="1:11" x14ac:dyDescent="0.3">
      <c r="A960" t="s">
        <v>142</v>
      </c>
      <c r="B960" t="s">
        <v>17</v>
      </c>
      <c r="C960" t="s">
        <v>34</v>
      </c>
      <c r="D960" t="s">
        <v>9</v>
      </c>
      <c r="E960" t="s">
        <v>10</v>
      </c>
      <c r="F960">
        <v>4943.08</v>
      </c>
      <c r="G960">
        <v>75736</v>
      </c>
      <c r="H960">
        <v>6287.07</v>
      </c>
      <c r="I960">
        <v>63.11</v>
      </c>
      <c r="J960">
        <f>IFERROR(INDEX(Suppliar[Estimated Carbon Footprint (tons CO₂e)],MATCH('Merge operational &amp; suppliar'!A960,Suppliar[Facility ID],0)),"")</f>
        <v>851.48</v>
      </c>
      <c r="K960">
        <f>IFERROR(INDEX(Suppliar[Income Distribution (%)],MATCH('Merge operational &amp; suppliar'!A960,Suppliar[Facility ID],0)),"")</f>
        <v>25.39</v>
      </c>
    </row>
    <row r="961" spans="1:11" x14ac:dyDescent="0.3">
      <c r="A961" t="s">
        <v>214</v>
      </c>
      <c r="B961" t="s">
        <v>30</v>
      </c>
      <c r="C961" t="s">
        <v>8</v>
      </c>
      <c r="D961" t="s">
        <v>14</v>
      </c>
      <c r="E961" t="s">
        <v>15</v>
      </c>
      <c r="F961">
        <v>4608.99</v>
      </c>
      <c r="G961">
        <v>79330</v>
      </c>
      <c r="H961">
        <v>6075.23</v>
      </c>
      <c r="I961">
        <v>83.97</v>
      </c>
      <c r="J961">
        <f>IFERROR(INDEX(Suppliar[Estimated Carbon Footprint (tons CO₂e)],MATCH('Merge operational &amp; suppliar'!A961,Suppliar[Facility ID],0)),"")</f>
        <v>209.33</v>
      </c>
      <c r="K961">
        <f>IFERROR(INDEX(Suppliar[Income Distribution (%)],MATCH('Merge operational &amp; suppliar'!A961,Suppliar[Facility ID],0)),"")</f>
        <v>13.62</v>
      </c>
    </row>
    <row r="962" spans="1:11" x14ac:dyDescent="0.3">
      <c r="A962" t="s">
        <v>56</v>
      </c>
      <c r="B962" t="s">
        <v>19</v>
      </c>
      <c r="C962" t="s">
        <v>13</v>
      </c>
      <c r="D962" t="s">
        <v>28</v>
      </c>
      <c r="E962" t="s">
        <v>15</v>
      </c>
      <c r="F962">
        <v>548.27</v>
      </c>
      <c r="G962">
        <v>43747</v>
      </c>
      <c r="H962">
        <v>3453.48</v>
      </c>
      <c r="I962">
        <v>98.78</v>
      </c>
      <c r="J962">
        <f>IFERROR(INDEX(Suppliar[Estimated Carbon Footprint (tons CO₂e)],MATCH('Merge operational &amp; suppliar'!A962,Suppliar[Facility ID],0)),"")</f>
        <v>459.56</v>
      </c>
      <c r="K962">
        <f>IFERROR(INDEX(Suppliar[Income Distribution (%)],MATCH('Merge operational &amp; suppliar'!A962,Suppliar[Facility ID],0)),"")</f>
        <v>23.81</v>
      </c>
    </row>
    <row r="963" spans="1:11" x14ac:dyDescent="0.3">
      <c r="A963" t="s">
        <v>61</v>
      </c>
      <c r="B963" t="s">
        <v>30</v>
      </c>
      <c r="C963" t="s">
        <v>8</v>
      </c>
      <c r="D963" t="s">
        <v>9</v>
      </c>
      <c r="E963" t="s">
        <v>10</v>
      </c>
      <c r="F963">
        <v>2949.12</v>
      </c>
      <c r="G963">
        <v>95718</v>
      </c>
      <c r="H963">
        <v>2443.12</v>
      </c>
      <c r="I963">
        <v>35.49</v>
      </c>
      <c r="J963">
        <f>IFERROR(INDEX(Suppliar[Estimated Carbon Footprint (tons CO₂e)],MATCH('Merge operational &amp; suppliar'!A963,Suppliar[Facility ID],0)),"")</f>
        <v>818.45</v>
      </c>
      <c r="K963">
        <f>IFERROR(INDEX(Suppliar[Income Distribution (%)],MATCH('Merge operational &amp; suppliar'!A963,Suppliar[Facility ID],0)),"")</f>
        <v>9.9499999999999993</v>
      </c>
    </row>
    <row r="964" spans="1:11" x14ac:dyDescent="0.3">
      <c r="A964" t="s">
        <v>41</v>
      </c>
      <c r="B964" t="s">
        <v>30</v>
      </c>
      <c r="C964" t="s">
        <v>34</v>
      </c>
      <c r="D964" t="s">
        <v>9</v>
      </c>
      <c r="E964" t="s">
        <v>24</v>
      </c>
      <c r="F964">
        <v>2617.0700000000002</v>
      </c>
      <c r="G964">
        <v>61743</v>
      </c>
      <c r="H964">
        <v>7426.75</v>
      </c>
      <c r="I964">
        <v>26.39</v>
      </c>
      <c r="J964">
        <f>IFERROR(INDEX(Suppliar[Estimated Carbon Footprint (tons CO₂e)],MATCH('Merge operational &amp; suppliar'!A964,Suppliar[Facility ID],0)),"")</f>
        <v>527.37</v>
      </c>
      <c r="K964">
        <f>IFERROR(INDEX(Suppliar[Income Distribution (%)],MATCH('Merge operational &amp; suppliar'!A964,Suppliar[Facility ID],0)),"")</f>
        <v>39.28</v>
      </c>
    </row>
    <row r="965" spans="1:11" x14ac:dyDescent="0.3">
      <c r="A965" t="s">
        <v>92</v>
      </c>
      <c r="B965" t="s">
        <v>30</v>
      </c>
      <c r="C965" t="s">
        <v>34</v>
      </c>
      <c r="D965" t="s">
        <v>14</v>
      </c>
      <c r="E965" t="s">
        <v>15</v>
      </c>
      <c r="F965">
        <v>4990.76</v>
      </c>
      <c r="G965">
        <v>18726</v>
      </c>
      <c r="H965">
        <v>5099.54</v>
      </c>
      <c r="I965">
        <v>71.05</v>
      </c>
      <c r="J965">
        <f>IFERROR(INDEX(Suppliar[Estimated Carbon Footprint (tons CO₂e)],MATCH('Merge operational &amp; suppliar'!A965,Suppliar[Facility ID],0)),"")</f>
        <v>714.03</v>
      </c>
      <c r="K965">
        <f>IFERROR(INDEX(Suppliar[Income Distribution (%)],MATCH('Merge operational &amp; suppliar'!A965,Suppliar[Facility ID],0)),"")</f>
        <v>32.29</v>
      </c>
    </row>
    <row r="966" spans="1:11" x14ac:dyDescent="0.3">
      <c r="A966" t="s">
        <v>182</v>
      </c>
      <c r="B966" t="s">
        <v>12</v>
      </c>
      <c r="C966" t="s">
        <v>34</v>
      </c>
      <c r="D966" t="s">
        <v>28</v>
      </c>
      <c r="E966" t="s">
        <v>15</v>
      </c>
      <c r="F966">
        <v>922.25</v>
      </c>
      <c r="G966">
        <v>21081</v>
      </c>
      <c r="H966">
        <v>9001.77</v>
      </c>
      <c r="I966">
        <v>49.27</v>
      </c>
      <c r="J966">
        <f>IFERROR(INDEX(Suppliar[Estimated Carbon Footprint (tons CO₂e)],MATCH('Merge operational &amp; suppliar'!A966,Suppliar[Facility ID],0)),"")</f>
        <v>114.57</v>
      </c>
      <c r="K966">
        <f>IFERROR(INDEX(Suppliar[Income Distribution (%)],MATCH('Merge operational &amp; suppliar'!A966,Suppliar[Facility ID],0)),"")</f>
        <v>44.17</v>
      </c>
    </row>
    <row r="967" spans="1:11" x14ac:dyDescent="0.3">
      <c r="A967" t="s">
        <v>68</v>
      </c>
      <c r="B967" t="s">
        <v>12</v>
      </c>
      <c r="C967" t="s">
        <v>23</v>
      </c>
      <c r="D967" t="s">
        <v>14</v>
      </c>
      <c r="E967" t="s">
        <v>15</v>
      </c>
      <c r="F967">
        <v>1919.35</v>
      </c>
      <c r="G967">
        <v>69100</v>
      </c>
      <c r="H967">
        <v>9356.02</v>
      </c>
      <c r="I967">
        <v>16.5</v>
      </c>
      <c r="J967">
        <f>IFERROR(INDEX(Suppliar[Estimated Carbon Footprint (tons CO₂e)],MATCH('Merge operational &amp; suppliar'!A967,Suppliar[Facility ID],0)),"")</f>
        <v>694.92</v>
      </c>
      <c r="K967">
        <f>IFERROR(INDEX(Suppliar[Income Distribution (%)],MATCH('Merge operational &amp; suppliar'!A967,Suppliar[Facility ID],0)),"")</f>
        <v>23.67</v>
      </c>
    </row>
    <row r="968" spans="1:11" x14ac:dyDescent="0.3">
      <c r="A968" t="s">
        <v>192</v>
      </c>
      <c r="B968" t="s">
        <v>19</v>
      </c>
      <c r="C968" t="s">
        <v>34</v>
      </c>
      <c r="D968" t="s">
        <v>9</v>
      </c>
      <c r="E968" t="s">
        <v>24</v>
      </c>
      <c r="F968">
        <v>3296.98</v>
      </c>
      <c r="G968">
        <v>43227</v>
      </c>
      <c r="H968">
        <v>5199.53</v>
      </c>
      <c r="I968">
        <v>44.09</v>
      </c>
      <c r="J968">
        <f>IFERROR(INDEX(Suppliar[Estimated Carbon Footprint (tons CO₂e)],MATCH('Merge operational &amp; suppliar'!A968,Suppliar[Facility ID],0)),"")</f>
        <v>724.63</v>
      </c>
      <c r="K968">
        <f>IFERROR(INDEX(Suppliar[Income Distribution (%)],MATCH('Merge operational &amp; suppliar'!A968,Suppliar[Facility ID],0)),"")</f>
        <v>14.96</v>
      </c>
    </row>
    <row r="969" spans="1:11" x14ac:dyDescent="0.3">
      <c r="A969" t="s">
        <v>102</v>
      </c>
      <c r="B969" t="s">
        <v>19</v>
      </c>
      <c r="C969" t="s">
        <v>13</v>
      </c>
      <c r="D969" t="s">
        <v>28</v>
      </c>
      <c r="E969" t="s">
        <v>24</v>
      </c>
      <c r="F969">
        <v>3879.07</v>
      </c>
      <c r="G969">
        <v>86263</v>
      </c>
      <c r="H969">
        <v>3213.71</v>
      </c>
      <c r="I969">
        <v>98.39</v>
      </c>
      <c r="J969">
        <f>IFERROR(INDEX(Suppliar[Estimated Carbon Footprint (tons CO₂e)],MATCH('Merge operational &amp; suppliar'!A969,Suppliar[Facility ID],0)),"")</f>
        <v>662.74</v>
      </c>
      <c r="K969">
        <f>IFERROR(INDEX(Suppliar[Income Distribution (%)],MATCH('Merge operational &amp; suppliar'!A969,Suppliar[Facility ID],0)),"")</f>
        <v>20.66</v>
      </c>
    </row>
    <row r="970" spans="1:11" x14ac:dyDescent="0.3">
      <c r="A970" t="s">
        <v>177</v>
      </c>
      <c r="B970" t="s">
        <v>7</v>
      </c>
      <c r="C970" t="s">
        <v>23</v>
      </c>
      <c r="D970" t="s">
        <v>9</v>
      </c>
      <c r="E970" t="s">
        <v>15</v>
      </c>
      <c r="F970">
        <v>3326.96</v>
      </c>
      <c r="G970">
        <v>17097</v>
      </c>
      <c r="H970">
        <v>9061.7800000000007</v>
      </c>
      <c r="I970">
        <v>95.92</v>
      </c>
      <c r="J970">
        <f>IFERROR(INDEX(Suppliar[Estimated Carbon Footprint (tons CO₂e)],MATCH('Merge operational &amp; suppliar'!A970,Suppliar[Facility ID],0)),"")</f>
        <v>390.06</v>
      </c>
      <c r="K970">
        <f>IFERROR(INDEX(Suppliar[Income Distribution (%)],MATCH('Merge operational &amp; suppliar'!A970,Suppliar[Facility ID],0)),"")</f>
        <v>18.010000000000002</v>
      </c>
    </row>
    <row r="971" spans="1:11" x14ac:dyDescent="0.3">
      <c r="A971" t="s">
        <v>113</v>
      </c>
      <c r="B971" t="s">
        <v>30</v>
      </c>
      <c r="C971" t="s">
        <v>13</v>
      </c>
      <c r="D971" t="s">
        <v>9</v>
      </c>
      <c r="E971" t="s">
        <v>15</v>
      </c>
      <c r="F971">
        <v>2620.38</v>
      </c>
      <c r="G971">
        <v>90679</v>
      </c>
      <c r="H971">
        <v>7266.82</v>
      </c>
      <c r="I971">
        <v>23.3</v>
      </c>
      <c r="J971">
        <f>IFERROR(INDEX(Suppliar[Estimated Carbon Footprint (tons CO₂e)],MATCH('Merge operational &amp; suppliar'!A971,Suppliar[Facility ID],0)),"")</f>
        <v>943.59</v>
      </c>
      <c r="K971">
        <f>IFERROR(INDEX(Suppliar[Income Distribution (%)],MATCH('Merge operational &amp; suppliar'!A971,Suppliar[Facility ID],0)),"")</f>
        <v>15.81</v>
      </c>
    </row>
    <row r="972" spans="1:11" x14ac:dyDescent="0.3">
      <c r="A972" t="s">
        <v>100</v>
      </c>
      <c r="B972" t="s">
        <v>7</v>
      </c>
      <c r="C972" t="s">
        <v>23</v>
      </c>
      <c r="D972" t="s">
        <v>28</v>
      </c>
      <c r="E972" t="s">
        <v>10</v>
      </c>
      <c r="F972">
        <v>3511.53</v>
      </c>
      <c r="G972">
        <v>17468</v>
      </c>
      <c r="H972">
        <v>6359.73</v>
      </c>
      <c r="I972">
        <v>5.22</v>
      </c>
      <c r="J972">
        <f>IFERROR(INDEX(Suppliar[Estimated Carbon Footprint (tons CO₂e)],MATCH('Merge operational &amp; suppliar'!A972,Suppliar[Facility ID],0)),"")</f>
        <v>959.2</v>
      </c>
      <c r="K972">
        <f>IFERROR(INDEX(Suppliar[Income Distribution (%)],MATCH('Merge operational &amp; suppliar'!A972,Suppliar[Facility ID],0)),"")</f>
        <v>36.92</v>
      </c>
    </row>
    <row r="973" spans="1:11" x14ac:dyDescent="0.3">
      <c r="A973" t="s">
        <v>200</v>
      </c>
      <c r="B973" t="s">
        <v>30</v>
      </c>
      <c r="C973" t="s">
        <v>8</v>
      </c>
      <c r="D973" t="s">
        <v>28</v>
      </c>
      <c r="E973" t="s">
        <v>15</v>
      </c>
      <c r="F973">
        <v>402.68</v>
      </c>
      <c r="G973">
        <v>46863</v>
      </c>
      <c r="H973">
        <v>6762.98</v>
      </c>
      <c r="I973">
        <v>23.45</v>
      </c>
      <c r="J973">
        <f>IFERROR(INDEX(Suppliar[Estimated Carbon Footprint (tons CO₂e)],MATCH('Merge operational &amp; suppliar'!A973,Suppliar[Facility ID],0)),"")</f>
        <v>231.68</v>
      </c>
      <c r="K973">
        <f>IFERROR(INDEX(Suppliar[Income Distribution (%)],MATCH('Merge operational &amp; suppliar'!A973,Suppliar[Facility ID],0)),"")</f>
        <v>35.92</v>
      </c>
    </row>
    <row r="974" spans="1:11" x14ac:dyDescent="0.3">
      <c r="A974" t="s">
        <v>147</v>
      </c>
      <c r="B974" t="s">
        <v>17</v>
      </c>
      <c r="C974" t="s">
        <v>34</v>
      </c>
      <c r="D974" t="s">
        <v>14</v>
      </c>
      <c r="E974" t="s">
        <v>10</v>
      </c>
      <c r="F974">
        <v>3834.83</v>
      </c>
      <c r="G974">
        <v>24095</v>
      </c>
      <c r="H974">
        <v>3167.52</v>
      </c>
      <c r="I974">
        <v>31.02</v>
      </c>
      <c r="J974">
        <f>IFERROR(INDEX(Suppliar[Estimated Carbon Footprint (tons CO₂e)],MATCH('Merge operational &amp; suppliar'!A974,Suppliar[Facility ID],0)),"")</f>
        <v>608.07000000000005</v>
      </c>
      <c r="K974">
        <f>IFERROR(INDEX(Suppliar[Income Distribution (%)],MATCH('Merge operational &amp; suppliar'!A974,Suppliar[Facility ID],0)),"")</f>
        <v>13.98</v>
      </c>
    </row>
    <row r="975" spans="1:11" x14ac:dyDescent="0.3">
      <c r="A975" t="s">
        <v>123</v>
      </c>
      <c r="B975" t="s">
        <v>30</v>
      </c>
      <c r="C975" t="s">
        <v>13</v>
      </c>
      <c r="D975" t="s">
        <v>14</v>
      </c>
      <c r="E975" t="s">
        <v>15</v>
      </c>
      <c r="F975">
        <v>2705.01</v>
      </c>
      <c r="G975">
        <v>73977</v>
      </c>
      <c r="H975">
        <v>1646.75</v>
      </c>
      <c r="I975">
        <v>43.77</v>
      </c>
      <c r="J975" t="str">
        <f>IFERROR(INDEX(Suppliar[Estimated Carbon Footprint (tons CO₂e)],MATCH('Merge operational &amp; suppliar'!A975,Suppliar[Facility ID],0)),"")</f>
        <v/>
      </c>
      <c r="K975" t="str">
        <f>IFERROR(INDEX(Suppliar[Income Distribution (%)],MATCH('Merge operational &amp; suppliar'!A975,Suppliar[Facility ID],0)),"")</f>
        <v/>
      </c>
    </row>
    <row r="976" spans="1:11" x14ac:dyDescent="0.3">
      <c r="A976" t="s">
        <v>151</v>
      </c>
      <c r="B976" t="s">
        <v>12</v>
      </c>
      <c r="C976" t="s">
        <v>13</v>
      </c>
      <c r="D976" t="s">
        <v>14</v>
      </c>
      <c r="E976" t="s">
        <v>15</v>
      </c>
      <c r="F976">
        <v>2242.38</v>
      </c>
      <c r="G976">
        <v>61207</v>
      </c>
      <c r="H976">
        <v>6922.33</v>
      </c>
      <c r="I976">
        <v>9.1999999999999993</v>
      </c>
      <c r="J976" t="str">
        <f>IFERROR(INDEX(Suppliar[Estimated Carbon Footprint (tons CO₂e)],MATCH('Merge operational &amp; suppliar'!A976,Suppliar[Facility ID],0)),"")</f>
        <v/>
      </c>
      <c r="K976" t="str">
        <f>IFERROR(INDEX(Suppliar[Income Distribution (%)],MATCH('Merge operational &amp; suppliar'!A976,Suppliar[Facility ID],0)),"")</f>
        <v/>
      </c>
    </row>
    <row r="977" spans="1:11" x14ac:dyDescent="0.3">
      <c r="A977" t="s">
        <v>58</v>
      </c>
      <c r="B977" t="s">
        <v>17</v>
      </c>
      <c r="C977" t="s">
        <v>34</v>
      </c>
      <c r="D977" t="s">
        <v>9</v>
      </c>
      <c r="E977" t="s">
        <v>15</v>
      </c>
      <c r="F977">
        <v>1860.74</v>
      </c>
      <c r="G977">
        <v>32246</v>
      </c>
      <c r="H977">
        <v>7903.93</v>
      </c>
      <c r="I977">
        <v>42.12</v>
      </c>
      <c r="J977">
        <f>IFERROR(INDEX(Suppliar[Estimated Carbon Footprint (tons CO₂e)],MATCH('Merge operational &amp; suppliar'!A977,Suppliar[Facility ID],0)),"")</f>
        <v>459.56</v>
      </c>
      <c r="K977">
        <f>IFERROR(INDEX(Suppliar[Income Distribution (%)],MATCH('Merge operational &amp; suppliar'!A977,Suppliar[Facility ID],0)),"")</f>
        <v>28.62</v>
      </c>
    </row>
    <row r="978" spans="1:11" x14ac:dyDescent="0.3">
      <c r="A978" t="s">
        <v>66</v>
      </c>
      <c r="B978" t="s">
        <v>30</v>
      </c>
      <c r="C978" t="s">
        <v>8</v>
      </c>
      <c r="D978" t="s">
        <v>28</v>
      </c>
      <c r="E978" t="s">
        <v>24</v>
      </c>
      <c r="F978">
        <v>2978.15</v>
      </c>
      <c r="G978">
        <v>98396</v>
      </c>
      <c r="H978">
        <v>5174.07</v>
      </c>
      <c r="I978">
        <v>63.38</v>
      </c>
      <c r="J978">
        <f>IFERROR(INDEX(Suppliar[Estimated Carbon Footprint (tons CO₂e)],MATCH('Merge operational &amp; suppliar'!A978,Suppliar[Facility ID],0)),"")</f>
        <v>714.03</v>
      </c>
      <c r="K978">
        <f>IFERROR(INDEX(Suppliar[Income Distribution (%)],MATCH('Merge operational &amp; suppliar'!A978,Suppliar[Facility ID],0)),"")</f>
        <v>36.89</v>
      </c>
    </row>
    <row r="979" spans="1:11" x14ac:dyDescent="0.3">
      <c r="A979" t="s">
        <v>197</v>
      </c>
      <c r="B979" t="s">
        <v>30</v>
      </c>
      <c r="C979" t="s">
        <v>23</v>
      </c>
      <c r="D979" t="s">
        <v>28</v>
      </c>
      <c r="E979" t="s">
        <v>10</v>
      </c>
      <c r="F979">
        <v>1338.04</v>
      </c>
      <c r="G979">
        <v>56752</v>
      </c>
      <c r="H979">
        <v>4177.68</v>
      </c>
      <c r="I979">
        <v>10.96</v>
      </c>
      <c r="J979">
        <f>IFERROR(INDEX(Suppliar[Estimated Carbon Footprint (tons CO₂e)],MATCH('Merge operational &amp; suppliar'!A979,Suppliar[Facility ID],0)),"")</f>
        <v>694.92</v>
      </c>
      <c r="K979">
        <f>IFERROR(INDEX(Suppliar[Income Distribution (%)],MATCH('Merge operational &amp; suppliar'!A979,Suppliar[Facility ID],0)),"")</f>
        <v>9.8699999999999992</v>
      </c>
    </row>
    <row r="980" spans="1:11" x14ac:dyDescent="0.3">
      <c r="A980" t="s">
        <v>65</v>
      </c>
      <c r="B980" t="s">
        <v>30</v>
      </c>
      <c r="C980" t="s">
        <v>34</v>
      </c>
      <c r="D980" t="s">
        <v>28</v>
      </c>
      <c r="E980" t="s">
        <v>24</v>
      </c>
      <c r="F980">
        <v>2538.44</v>
      </c>
      <c r="G980">
        <v>99026</v>
      </c>
      <c r="H980">
        <v>5453.2</v>
      </c>
      <c r="I980">
        <v>57.49</v>
      </c>
      <c r="J980">
        <f>IFERROR(INDEX(Suppliar[Estimated Carbon Footprint (tons CO₂e)],MATCH('Merge operational &amp; suppliar'!A980,Suppliar[Facility ID],0)),"")</f>
        <v>231.68</v>
      </c>
      <c r="K980">
        <f>IFERROR(INDEX(Suppliar[Income Distribution (%)],MATCH('Merge operational &amp; suppliar'!A980,Suppliar[Facility ID],0)),"")</f>
        <v>24.26</v>
      </c>
    </row>
    <row r="981" spans="1:11" x14ac:dyDescent="0.3">
      <c r="A981" t="s">
        <v>210</v>
      </c>
      <c r="B981" t="s">
        <v>7</v>
      </c>
      <c r="C981" t="s">
        <v>13</v>
      </c>
      <c r="D981" t="s">
        <v>28</v>
      </c>
      <c r="E981" t="s">
        <v>24</v>
      </c>
      <c r="F981">
        <v>1644.11</v>
      </c>
      <c r="G981">
        <v>65666</v>
      </c>
      <c r="H981">
        <v>7269.98</v>
      </c>
      <c r="I981">
        <v>75.62</v>
      </c>
      <c r="J981" t="str">
        <f>IFERROR(INDEX(Suppliar[Estimated Carbon Footprint (tons CO₂e)],MATCH('Merge operational &amp; suppliar'!A981,Suppliar[Facility ID],0)),"")</f>
        <v/>
      </c>
      <c r="K981" t="str">
        <f>IFERROR(INDEX(Suppliar[Income Distribution (%)],MATCH('Merge operational &amp; suppliar'!A981,Suppliar[Facility ID],0)),"")</f>
        <v/>
      </c>
    </row>
    <row r="982" spans="1:11" x14ac:dyDescent="0.3">
      <c r="A982" t="s">
        <v>166</v>
      </c>
      <c r="B982" t="s">
        <v>7</v>
      </c>
      <c r="C982" t="s">
        <v>13</v>
      </c>
      <c r="D982" t="s">
        <v>14</v>
      </c>
      <c r="E982" t="s">
        <v>15</v>
      </c>
      <c r="F982">
        <v>3858.7</v>
      </c>
      <c r="G982">
        <v>34318</v>
      </c>
      <c r="H982">
        <v>675.67</v>
      </c>
      <c r="I982">
        <v>41.05</v>
      </c>
      <c r="J982">
        <f>IFERROR(INDEX(Suppliar[Estimated Carbon Footprint (tons CO₂e)],MATCH('Merge operational &amp; suppliar'!A982,Suppliar[Facility ID],0)),"")</f>
        <v>390.06</v>
      </c>
      <c r="K982">
        <f>IFERROR(INDEX(Suppliar[Income Distribution (%)],MATCH('Merge operational &amp; suppliar'!A982,Suppliar[Facility ID],0)),"")</f>
        <v>27.42</v>
      </c>
    </row>
    <row r="983" spans="1:11" x14ac:dyDescent="0.3">
      <c r="A983" t="s">
        <v>112</v>
      </c>
      <c r="B983" t="s">
        <v>30</v>
      </c>
      <c r="C983" t="s">
        <v>34</v>
      </c>
      <c r="D983" t="s">
        <v>28</v>
      </c>
      <c r="E983" t="s">
        <v>24</v>
      </c>
      <c r="F983">
        <v>2079.69</v>
      </c>
      <c r="G983">
        <v>43294</v>
      </c>
      <c r="H983">
        <v>3802.13</v>
      </c>
      <c r="I983">
        <v>45.84</v>
      </c>
      <c r="J983">
        <f>IFERROR(INDEX(Suppliar[Estimated Carbon Footprint (tons CO₂e)],MATCH('Merge operational &amp; suppliar'!A983,Suppliar[Facility ID],0)),"")</f>
        <v>756.78</v>
      </c>
      <c r="K983">
        <f>IFERROR(INDEX(Suppliar[Income Distribution (%)],MATCH('Merge operational &amp; suppliar'!A983,Suppliar[Facility ID],0)),"")</f>
        <v>28.42</v>
      </c>
    </row>
    <row r="984" spans="1:11" x14ac:dyDescent="0.3">
      <c r="A984" t="s">
        <v>77</v>
      </c>
      <c r="B984" t="s">
        <v>30</v>
      </c>
      <c r="C984" t="s">
        <v>8</v>
      </c>
      <c r="D984" t="s">
        <v>28</v>
      </c>
      <c r="E984" t="s">
        <v>15</v>
      </c>
      <c r="F984">
        <v>439.97</v>
      </c>
      <c r="G984">
        <v>61942</v>
      </c>
      <c r="H984">
        <v>4891.32</v>
      </c>
      <c r="I984">
        <v>91.59</v>
      </c>
      <c r="J984">
        <f>IFERROR(INDEX(Suppliar[Estimated Carbon Footprint (tons CO₂e)],MATCH('Merge operational &amp; suppliar'!A984,Suppliar[Facility ID],0)),"")</f>
        <v>785.8</v>
      </c>
      <c r="K984">
        <f>IFERROR(INDEX(Suppliar[Income Distribution (%)],MATCH('Merge operational &amp; suppliar'!A984,Suppliar[Facility ID],0)),"")</f>
        <v>8.84</v>
      </c>
    </row>
    <row r="985" spans="1:11" x14ac:dyDescent="0.3">
      <c r="A985" t="s">
        <v>176</v>
      </c>
      <c r="B985" t="s">
        <v>19</v>
      </c>
      <c r="C985" t="s">
        <v>23</v>
      </c>
      <c r="D985" t="s">
        <v>28</v>
      </c>
      <c r="E985" t="s">
        <v>10</v>
      </c>
      <c r="F985">
        <v>1486</v>
      </c>
      <c r="G985">
        <v>10907</v>
      </c>
      <c r="H985">
        <v>4748.66</v>
      </c>
      <c r="I985">
        <v>39.36</v>
      </c>
      <c r="J985">
        <f>IFERROR(INDEX(Suppliar[Estimated Carbon Footprint (tons CO₂e)],MATCH('Merge operational &amp; suppliar'!A985,Suppliar[Facility ID],0)),"")</f>
        <v>986.62</v>
      </c>
      <c r="K985">
        <f>IFERROR(INDEX(Suppliar[Income Distribution (%)],MATCH('Merge operational &amp; suppliar'!A985,Suppliar[Facility ID],0)),"")</f>
        <v>17.04</v>
      </c>
    </row>
    <row r="986" spans="1:11" x14ac:dyDescent="0.3">
      <c r="A986" t="s">
        <v>179</v>
      </c>
      <c r="B986" t="s">
        <v>7</v>
      </c>
      <c r="C986" t="s">
        <v>23</v>
      </c>
      <c r="D986" t="s">
        <v>9</v>
      </c>
      <c r="E986" t="s">
        <v>24</v>
      </c>
      <c r="F986">
        <v>396.7</v>
      </c>
      <c r="G986">
        <v>94393</v>
      </c>
      <c r="H986">
        <v>6691.7</v>
      </c>
      <c r="I986">
        <v>74.790000000000006</v>
      </c>
      <c r="J986">
        <f>IFERROR(INDEX(Suppliar[Estimated Carbon Footprint (tons CO₂e)],MATCH('Merge operational &amp; suppliar'!A986,Suppliar[Facility ID],0)),"")</f>
        <v>867.66</v>
      </c>
      <c r="K986">
        <f>IFERROR(INDEX(Suppliar[Income Distribution (%)],MATCH('Merge operational &amp; suppliar'!A986,Suppliar[Facility ID],0)),"")</f>
        <v>32.97</v>
      </c>
    </row>
    <row r="987" spans="1:11" x14ac:dyDescent="0.3">
      <c r="A987" t="s">
        <v>135</v>
      </c>
      <c r="B987" t="s">
        <v>12</v>
      </c>
      <c r="C987" t="s">
        <v>13</v>
      </c>
      <c r="D987" t="s">
        <v>9</v>
      </c>
      <c r="E987" t="s">
        <v>15</v>
      </c>
      <c r="F987">
        <v>1724.46</v>
      </c>
      <c r="G987">
        <v>39560</v>
      </c>
      <c r="H987">
        <v>8380.77</v>
      </c>
      <c r="I987">
        <v>94.01</v>
      </c>
      <c r="J987" t="str">
        <f>IFERROR(INDEX(Suppliar[Estimated Carbon Footprint (tons CO₂e)],MATCH('Merge operational &amp; suppliar'!A987,Suppliar[Facility ID],0)),"")</f>
        <v/>
      </c>
      <c r="K987" t="str">
        <f>IFERROR(INDEX(Suppliar[Income Distribution (%)],MATCH('Merge operational &amp; suppliar'!A987,Suppliar[Facility ID],0)),"")</f>
        <v/>
      </c>
    </row>
    <row r="988" spans="1:11" x14ac:dyDescent="0.3">
      <c r="A988" t="s">
        <v>77</v>
      </c>
      <c r="B988" t="s">
        <v>30</v>
      </c>
      <c r="C988" t="s">
        <v>23</v>
      </c>
      <c r="D988" t="s">
        <v>28</v>
      </c>
      <c r="E988" t="s">
        <v>15</v>
      </c>
      <c r="F988">
        <v>3569.77</v>
      </c>
      <c r="G988">
        <v>61942</v>
      </c>
      <c r="H988">
        <v>4891.32</v>
      </c>
      <c r="I988">
        <v>91.59</v>
      </c>
      <c r="J988">
        <f>IFERROR(INDEX(Suppliar[Estimated Carbon Footprint (tons CO₂e)],MATCH('Merge operational &amp; suppliar'!A988,Suppliar[Facility ID],0)),"")</f>
        <v>785.8</v>
      </c>
      <c r="K988">
        <f>IFERROR(INDEX(Suppliar[Income Distribution (%)],MATCH('Merge operational &amp; suppliar'!A988,Suppliar[Facility ID],0)),"")</f>
        <v>8.84</v>
      </c>
    </row>
    <row r="989" spans="1:11" x14ac:dyDescent="0.3">
      <c r="A989" t="s">
        <v>151</v>
      </c>
      <c r="B989" t="s">
        <v>12</v>
      </c>
      <c r="C989" t="s">
        <v>8</v>
      </c>
      <c r="D989" t="s">
        <v>14</v>
      </c>
      <c r="E989" t="s">
        <v>10</v>
      </c>
      <c r="F989">
        <v>1244.99</v>
      </c>
      <c r="G989">
        <v>61207</v>
      </c>
      <c r="H989">
        <v>6922.33</v>
      </c>
      <c r="I989">
        <v>9.1999999999999993</v>
      </c>
      <c r="J989" t="str">
        <f>IFERROR(INDEX(Suppliar[Estimated Carbon Footprint (tons CO₂e)],MATCH('Merge operational &amp; suppliar'!A989,Suppliar[Facility ID],0)),"")</f>
        <v/>
      </c>
      <c r="K989" t="str">
        <f>IFERROR(INDEX(Suppliar[Income Distribution (%)],MATCH('Merge operational &amp; suppliar'!A989,Suppliar[Facility ID],0)),"")</f>
        <v/>
      </c>
    </row>
    <row r="990" spans="1:11" x14ac:dyDescent="0.3">
      <c r="A990" t="s">
        <v>218</v>
      </c>
      <c r="B990" t="s">
        <v>17</v>
      </c>
      <c r="C990" t="s">
        <v>13</v>
      </c>
      <c r="D990" t="s">
        <v>9</v>
      </c>
      <c r="E990" t="s">
        <v>10</v>
      </c>
      <c r="F990">
        <v>4645.6400000000003</v>
      </c>
      <c r="G990">
        <v>22525</v>
      </c>
      <c r="H990">
        <v>9465.65</v>
      </c>
      <c r="I990">
        <v>37.79</v>
      </c>
      <c r="J990">
        <f>IFERROR(INDEX(Suppliar[Estimated Carbon Footprint (tons CO₂e)],MATCH('Merge operational &amp; suppliar'!A990,Suppliar[Facility ID],0)),"")</f>
        <v>472.66</v>
      </c>
      <c r="K990">
        <f>IFERROR(INDEX(Suppliar[Income Distribution (%)],MATCH('Merge operational &amp; suppliar'!A990,Suppliar[Facility ID],0)),"")</f>
        <v>55.03</v>
      </c>
    </row>
    <row r="991" spans="1:11" x14ac:dyDescent="0.3">
      <c r="A991" t="s">
        <v>106</v>
      </c>
      <c r="B991" t="s">
        <v>12</v>
      </c>
      <c r="C991" t="s">
        <v>8</v>
      </c>
      <c r="D991" t="s">
        <v>9</v>
      </c>
      <c r="E991" t="s">
        <v>24</v>
      </c>
      <c r="F991">
        <v>3635.37</v>
      </c>
      <c r="G991">
        <v>21386</v>
      </c>
      <c r="H991">
        <v>2271.92</v>
      </c>
      <c r="I991">
        <v>49.67</v>
      </c>
      <c r="J991" t="str">
        <f>IFERROR(INDEX(Suppliar[Estimated Carbon Footprint (tons CO₂e)],MATCH('Merge operational &amp; suppliar'!A991,Suppliar[Facility ID],0)),"")</f>
        <v/>
      </c>
      <c r="K991" t="str">
        <f>IFERROR(INDEX(Suppliar[Income Distribution (%)],MATCH('Merge operational &amp; suppliar'!A991,Suppliar[Facility ID],0)),"")</f>
        <v/>
      </c>
    </row>
    <row r="992" spans="1:11" x14ac:dyDescent="0.3">
      <c r="A992" t="s">
        <v>87</v>
      </c>
      <c r="B992" t="s">
        <v>12</v>
      </c>
      <c r="C992" t="s">
        <v>13</v>
      </c>
      <c r="D992" t="s">
        <v>9</v>
      </c>
      <c r="E992" t="s">
        <v>24</v>
      </c>
      <c r="F992">
        <v>4563.12</v>
      </c>
      <c r="G992">
        <v>15333</v>
      </c>
      <c r="H992">
        <v>2570.54</v>
      </c>
      <c r="I992">
        <v>41.07</v>
      </c>
      <c r="J992">
        <f>IFERROR(INDEX(Suppliar[Estimated Carbon Footprint (tons CO₂e)],MATCH('Merge operational &amp; suppliar'!A992,Suppliar[Facility ID],0)),"")</f>
        <v>390.06</v>
      </c>
      <c r="K992">
        <f>IFERROR(INDEX(Suppliar[Income Distribution (%)],MATCH('Merge operational &amp; suppliar'!A992,Suppliar[Facility ID],0)),"")</f>
        <v>31.43</v>
      </c>
    </row>
    <row r="993" spans="1:11" x14ac:dyDescent="0.3">
      <c r="A993" t="s">
        <v>20</v>
      </c>
      <c r="B993" t="s">
        <v>17</v>
      </c>
      <c r="C993" t="s">
        <v>8</v>
      </c>
      <c r="D993" t="s">
        <v>9</v>
      </c>
      <c r="E993" t="s">
        <v>15</v>
      </c>
      <c r="F993">
        <v>1337.44</v>
      </c>
      <c r="G993">
        <v>29895</v>
      </c>
      <c r="H993">
        <v>1631.08</v>
      </c>
      <c r="I993">
        <v>39.93</v>
      </c>
      <c r="J993">
        <f>IFERROR(INDEX(Suppliar[Estimated Carbon Footprint (tons CO₂e)],MATCH('Merge operational &amp; suppliar'!A993,Suppliar[Facility ID],0)),"")</f>
        <v>959.2</v>
      </c>
      <c r="K993">
        <f>IFERROR(INDEX(Suppliar[Income Distribution (%)],MATCH('Merge operational &amp; suppliar'!A993,Suppliar[Facility ID],0)),"")</f>
        <v>38.840000000000003</v>
      </c>
    </row>
    <row r="994" spans="1:11" x14ac:dyDescent="0.3">
      <c r="A994" t="s">
        <v>136</v>
      </c>
      <c r="B994" t="s">
        <v>17</v>
      </c>
      <c r="C994" t="s">
        <v>23</v>
      </c>
      <c r="D994" t="s">
        <v>9</v>
      </c>
      <c r="E994" t="s">
        <v>24</v>
      </c>
      <c r="F994">
        <v>527.42999999999995</v>
      </c>
      <c r="G994">
        <v>15128</v>
      </c>
      <c r="H994">
        <v>8847.09</v>
      </c>
      <c r="I994">
        <v>5.25</v>
      </c>
      <c r="J994">
        <f>IFERROR(INDEX(Suppliar[Estimated Carbon Footprint (tons CO₂e)],MATCH('Merge operational &amp; suppliar'!A994,Suppliar[Facility ID],0)),"")</f>
        <v>230.57</v>
      </c>
      <c r="K994">
        <f>IFERROR(INDEX(Suppliar[Income Distribution (%)],MATCH('Merge operational &amp; suppliar'!A994,Suppliar[Facility ID],0)),"")</f>
        <v>60.48</v>
      </c>
    </row>
    <row r="995" spans="1:11" x14ac:dyDescent="0.3">
      <c r="A995" t="s">
        <v>190</v>
      </c>
      <c r="B995" t="s">
        <v>17</v>
      </c>
      <c r="C995" t="s">
        <v>34</v>
      </c>
      <c r="D995" t="s">
        <v>14</v>
      </c>
      <c r="E995" t="s">
        <v>10</v>
      </c>
      <c r="F995">
        <v>1979.48</v>
      </c>
      <c r="G995">
        <v>41953</v>
      </c>
      <c r="H995">
        <v>2379.14</v>
      </c>
      <c r="I995">
        <v>65.67</v>
      </c>
      <c r="J995">
        <f>IFERROR(INDEX(Suppliar[Estimated Carbon Footprint (tons CO₂e)],MATCH('Merge operational &amp; suppliar'!A995,Suppliar[Facility ID],0)),"")</f>
        <v>571.66</v>
      </c>
      <c r="K995">
        <f>IFERROR(INDEX(Suppliar[Income Distribution (%)],MATCH('Merge operational &amp; suppliar'!A995,Suppliar[Facility ID],0)),"")</f>
        <v>14.81</v>
      </c>
    </row>
    <row r="996" spans="1:11" x14ac:dyDescent="0.3">
      <c r="A996" t="s">
        <v>99</v>
      </c>
      <c r="B996" t="s">
        <v>19</v>
      </c>
      <c r="C996" t="s">
        <v>23</v>
      </c>
      <c r="D996" t="s">
        <v>9</v>
      </c>
      <c r="E996" t="s">
        <v>15</v>
      </c>
      <c r="F996">
        <v>2025.95</v>
      </c>
      <c r="G996">
        <v>77400</v>
      </c>
      <c r="H996">
        <v>7504.8</v>
      </c>
      <c r="I996">
        <v>68.819999999999993</v>
      </c>
      <c r="J996" t="str">
        <f>IFERROR(INDEX(Suppliar[Estimated Carbon Footprint (tons CO₂e)],MATCH('Merge operational &amp; suppliar'!A996,Suppliar[Facility ID],0)),"")</f>
        <v/>
      </c>
      <c r="K996" t="str">
        <f>IFERROR(INDEX(Suppliar[Income Distribution (%)],MATCH('Merge operational &amp; suppliar'!A996,Suppliar[Facility ID],0)),"")</f>
        <v/>
      </c>
    </row>
    <row r="997" spans="1:11" x14ac:dyDescent="0.3">
      <c r="A997" t="s">
        <v>20</v>
      </c>
      <c r="B997" t="s">
        <v>17</v>
      </c>
      <c r="C997" t="s">
        <v>13</v>
      </c>
      <c r="D997" t="s">
        <v>28</v>
      </c>
      <c r="E997" t="s">
        <v>15</v>
      </c>
      <c r="F997">
        <v>4195.17</v>
      </c>
      <c r="G997">
        <v>29895</v>
      </c>
      <c r="H997">
        <v>1631.08</v>
      </c>
      <c r="I997">
        <v>39.93</v>
      </c>
      <c r="J997">
        <f>IFERROR(INDEX(Suppliar[Estimated Carbon Footprint (tons CO₂e)],MATCH('Merge operational &amp; suppliar'!A997,Suppliar[Facility ID],0)),"")</f>
        <v>959.2</v>
      </c>
      <c r="K997">
        <f>IFERROR(INDEX(Suppliar[Income Distribution (%)],MATCH('Merge operational &amp; suppliar'!A997,Suppliar[Facility ID],0)),"")</f>
        <v>38.840000000000003</v>
      </c>
    </row>
    <row r="998" spans="1:11" x14ac:dyDescent="0.3">
      <c r="A998" t="s">
        <v>125</v>
      </c>
      <c r="B998" t="s">
        <v>7</v>
      </c>
      <c r="C998" t="s">
        <v>8</v>
      </c>
      <c r="D998" t="s">
        <v>28</v>
      </c>
      <c r="E998" t="s">
        <v>24</v>
      </c>
      <c r="F998">
        <v>2104.08</v>
      </c>
      <c r="G998">
        <v>56392</v>
      </c>
      <c r="H998">
        <v>5703.76</v>
      </c>
      <c r="I998">
        <v>23.04</v>
      </c>
      <c r="J998">
        <f>IFERROR(INDEX(Suppliar[Estimated Carbon Footprint (tons CO₂e)],MATCH('Merge operational &amp; suppliar'!A998,Suppliar[Facility ID],0)),"")</f>
        <v>991.03</v>
      </c>
      <c r="K998">
        <f>IFERROR(INDEX(Suppliar[Income Distribution (%)],MATCH('Merge operational &amp; suppliar'!A998,Suppliar[Facility ID],0)),"")</f>
        <v>27.62</v>
      </c>
    </row>
    <row r="999" spans="1:11" x14ac:dyDescent="0.3">
      <c r="A999" t="s">
        <v>49</v>
      </c>
      <c r="B999" t="s">
        <v>19</v>
      </c>
      <c r="C999" t="s">
        <v>8</v>
      </c>
      <c r="D999" t="s">
        <v>28</v>
      </c>
      <c r="E999" t="s">
        <v>15</v>
      </c>
      <c r="F999">
        <v>4229.93</v>
      </c>
      <c r="G999">
        <v>50306</v>
      </c>
      <c r="H999">
        <v>7031.37</v>
      </c>
      <c r="I999">
        <v>13.27</v>
      </c>
      <c r="J999" t="str">
        <f>IFERROR(INDEX(Suppliar[Estimated Carbon Footprint (tons CO₂e)],MATCH('Merge operational &amp; suppliar'!A999,Suppliar[Facility ID],0)),"")</f>
        <v/>
      </c>
      <c r="K999" t="str">
        <f>IFERROR(INDEX(Suppliar[Income Distribution (%)],MATCH('Merge operational &amp; suppliar'!A999,Suppliar[Facility ID],0)),"")</f>
        <v/>
      </c>
    </row>
    <row r="1000" spans="1:11" x14ac:dyDescent="0.3">
      <c r="A1000" t="s">
        <v>143</v>
      </c>
      <c r="B1000" t="s">
        <v>17</v>
      </c>
      <c r="C1000" t="s">
        <v>8</v>
      </c>
      <c r="D1000" t="s">
        <v>14</v>
      </c>
      <c r="E1000" t="s">
        <v>15</v>
      </c>
      <c r="F1000">
        <v>3136.15</v>
      </c>
      <c r="G1000">
        <v>94704</v>
      </c>
      <c r="H1000">
        <v>6632.95</v>
      </c>
      <c r="I1000">
        <v>14.76</v>
      </c>
      <c r="J1000">
        <f>IFERROR(INDEX(Suppliar[Estimated Carbon Footprint (tons CO₂e)],MATCH('Merge operational &amp; suppliar'!A1000,Suppliar[Facility ID],0)),"")</f>
        <v>459.56</v>
      </c>
      <c r="K1000">
        <f>IFERROR(INDEX(Suppliar[Income Distribution (%)],MATCH('Merge operational &amp; suppliar'!A1000,Suppliar[Facility ID],0)),"")</f>
        <v>7.54</v>
      </c>
    </row>
    <row r="1001" spans="1:11" x14ac:dyDescent="0.3">
      <c r="A1001" t="s">
        <v>182</v>
      </c>
      <c r="B1001" t="s">
        <v>12</v>
      </c>
      <c r="C1001" t="s">
        <v>34</v>
      </c>
      <c r="D1001" t="s">
        <v>9</v>
      </c>
      <c r="E1001" t="s">
        <v>24</v>
      </c>
      <c r="F1001">
        <v>1959.33</v>
      </c>
      <c r="G1001">
        <v>21081</v>
      </c>
      <c r="H1001">
        <v>9001.77</v>
      </c>
      <c r="I1001">
        <v>49.27</v>
      </c>
      <c r="J1001">
        <f>IFERROR(INDEX(Suppliar[Estimated Carbon Footprint (tons CO₂e)],MATCH('Merge operational &amp; suppliar'!A1001,Suppliar[Facility ID],0)),"")</f>
        <v>114.57</v>
      </c>
      <c r="K1001">
        <f>IFERROR(INDEX(Suppliar[Income Distribution (%)],MATCH('Merge operational &amp; suppliar'!A1001,Suppliar[Facility ID],0)),"")</f>
        <v>44.17</v>
      </c>
    </row>
    <row r="1002" spans="1:11" x14ac:dyDescent="0.3">
      <c r="A1002" t="s">
        <v>134</v>
      </c>
      <c r="B1002" t="s">
        <v>7</v>
      </c>
      <c r="C1002" t="s">
        <v>8</v>
      </c>
      <c r="D1002" t="s">
        <v>9</v>
      </c>
      <c r="E1002" t="s">
        <v>24</v>
      </c>
      <c r="F1002">
        <v>1221.95</v>
      </c>
      <c r="G1002">
        <v>39568</v>
      </c>
      <c r="H1002">
        <v>3580.54</v>
      </c>
      <c r="I1002">
        <v>78.08</v>
      </c>
      <c r="J1002">
        <f>IFERROR(INDEX(Suppliar[Estimated Carbon Footprint (tons CO₂e)],MATCH('Merge operational &amp; suppliar'!A1002,Suppliar[Facility ID],0)),"")</f>
        <v>635.72</v>
      </c>
      <c r="K1002">
        <f>IFERROR(INDEX(Suppliar[Income Distribution (%)],MATCH('Merge operational &amp; suppliar'!A1002,Suppliar[Facility ID],0)),"")</f>
        <v>67.36</v>
      </c>
    </row>
    <row r="1003" spans="1:11" x14ac:dyDescent="0.3">
      <c r="A1003" t="s">
        <v>92</v>
      </c>
      <c r="B1003" t="s">
        <v>30</v>
      </c>
      <c r="C1003" t="s">
        <v>13</v>
      </c>
      <c r="D1003" t="s">
        <v>28</v>
      </c>
      <c r="E1003" t="s">
        <v>10</v>
      </c>
      <c r="F1003">
        <v>300.75</v>
      </c>
      <c r="G1003">
        <v>18726</v>
      </c>
      <c r="H1003">
        <v>5099.54</v>
      </c>
      <c r="I1003">
        <v>71.05</v>
      </c>
      <c r="J1003">
        <f>IFERROR(INDEX(Suppliar[Estimated Carbon Footprint (tons CO₂e)],MATCH('Merge operational &amp; suppliar'!A1003,Suppliar[Facility ID],0)),"")</f>
        <v>714.03</v>
      </c>
      <c r="K1003">
        <f>IFERROR(INDEX(Suppliar[Income Distribution (%)],MATCH('Merge operational &amp; suppliar'!A1003,Suppliar[Facility ID],0)),"")</f>
        <v>32.29</v>
      </c>
    </row>
    <row r="1004" spans="1:11" x14ac:dyDescent="0.3">
      <c r="A1004" t="s">
        <v>107</v>
      </c>
      <c r="B1004" t="s">
        <v>30</v>
      </c>
      <c r="C1004" t="s">
        <v>23</v>
      </c>
      <c r="D1004" t="s">
        <v>28</v>
      </c>
      <c r="E1004" t="s">
        <v>24</v>
      </c>
      <c r="F1004">
        <v>4099.18</v>
      </c>
      <c r="G1004">
        <v>69305</v>
      </c>
      <c r="H1004">
        <v>3203.67</v>
      </c>
      <c r="I1004">
        <v>83.65</v>
      </c>
      <c r="J1004">
        <f>IFERROR(INDEX(Suppliar[Estimated Carbon Footprint (tons CO₂e)],MATCH('Merge operational &amp; suppliar'!A1004,Suppliar[Facility ID],0)),"")</f>
        <v>173.67</v>
      </c>
      <c r="K1004">
        <f>IFERROR(INDEX(Suppliar[Income Distribution (%)],MATCH('Merge operational &amp; suppliar'!A1004,Suppliar[Facility ID],0)),"")</f>
        <v>67.040000000000006</v>
      </c>
    </row>
    <row r="1005" spans="1:11" x14ac:dyDescent="0.3">
      <c r="A1005" t="s">
        <v>50</v>
      </c>
      <c r="B1005" t="s">
        <v>19</v>
      </c>
      <c r="C1005" t="s">
        <v>13</v>
      </c>
      <c r="D1005" t="s">
        <v>14</v>
      </c>
      <c r="E1005" t="s">
        <v>10</v>
      </c>
      <c r="F1005">
        <v>104.53</v>
      </c>
      <c r="G1005">
        <v>40577</v>
      </c>
      <c r="H1005">
        <v>4280.82</v>
      </c>
      <c r="I1005">
        <v>79.88</v>
      </c>
      <c r="J1005">
        <f>IFERROR(INDEX(Suppliar[Estimated Carbon Footprint (tons CO₂e)],MATCH('Merge operational &amp; suppliar'!A1005,Suppliar[Facility ID],0)),"")</f>
        <v>932.3</v>
      </c>
      <c r="K1005">
        <f>IFERROR(INDEX(Suppliar[Income Distribution (%)],MATCH('Merge operational &amp; suppliar'!A1005,Suppliar[Facility ID],0)),"")</f>
        <v>10.19</v>
      </c>
    </row>
    <row r="1006" spans="1:11" x14ac:dyDescent="0.3">
      <c r="A1006" t="s">
        <v>172</v>
      </c>
      <c r="B1006" t="s">
        <v>7</v>
      </c>
      <c r="C1006" t="s">
        <v>34</v>
      </c>
      <c r="D1006" t="s">
        <v>14</v>
      </c>
      <c r="E1006" t="s">
        <v>24</v>
      </c>
      <c r="F1006">
        <v>2781</v>
      </c>
      <c r="G1006">
        <v>68820</v>
      </c>
      <c r="H1006">
        <v>9612.25</v>
      </c>
      <c r="I1006">
        <v>83.51</v>
      </c>
      <c r="J1006">
        <f>IFERROR(INDEX(Suppliar[Estimated Carbon Footprint (tons CO₂e)],MATCH('Merge operational &amp; suppliar'!A1006,Suppliar[Facility ID],0)),"")</f>
        <v>867.66</v>
      </c>
      <c r="K1006">
        <f>IFERROR(INDEX(Suppliar[Income Distribution (%)],MATCH('Merge operational &amp; suppliar'!A1006,Suppliar[Facility ID],0)),"")</f>
        <v>18.88</v>
      </c>
    </row>
    <row r="1007" spans="1:11" x14ac:dyDescent="0.3">
      <c r="A1007" t="s">
        <v>20</v>
      </c>
      <c r="B1007" t="s">
        <v>17</v>
      </c>
      <c r="C1007" t="s">
        <v>23</v>
      </c>
      <c r="D1007" t="s">
        <v>9</v>
      </c>
      <c r="E1007" t="s">
        <v>24</v>
      </c>
      <c r="F1007">
        <v>3597.3</v>
      </c>
      <c r="G1007">
        <v>29895</v>
      </c>
      <c r="H1007">
        <v>1631.08</v>
      </c>
      <c r="I1007">
        <v>39.93</v>
      </c>
      <c r="J1007">
        <f>IFERROR(INDEX(Suppliar[Estimated Carbon Footprint (tons CO₂e)],MATCH('Merge operational &amp; suppliar'!A1007,Suppliar[Facility ID],0)),"")</f>
        <v>959.2</v>
      </c>
      <c r="K1007">
        <f>IFERROR(INDEX(Suppliar[Income Distribution (%)],MATCH('Merge operational &amp; suppliar'!A1007,Suppliar[Facility ID],0)),"")</f>
        <v>38.840000000000003</v>
      </c>
    </row>
    <row r="1008" spans="1:11" x14ac:dyDescent="0.3">
      <c r="A1008" t="s">
        <v>174</v>
      </c>
      <c r="B1008" t="s">
        <v>19</v>
      </c>
      <c r="C1008" t="s">
        <v>23</v>
      </c>
      <c r="D1008" t="s">
        <v>28</v>
      </c>
      <c r="E1008" t="s">
        <v>24</v>
      </c>
      <c r="F1008">
        <v>2055.7399999999998</v>
      </c>
      <c r="G1008">
        <v>66163</v>
      </c>
      <c r="H1008">
        <v>1416.57</v>
      </c>
      <c r="I1008">
        <v>68.73</v>
      </c>
      <c r="J1008">
        <f>IFERROR(INDEX(Suppliar[Estimated Carbon Footprint (tons CO₂e)],MATCH('Merge operational &amp; suppliar'!A1008,Suppliar[Facility ID],0)),"")</f>
        <v>773.96</v>
      </c>
      <c r="K1008">
        <f>IFERROR(INDEX(Suppliar[Income Distribution (%)],MATCH('Merge operational &amp; suppliar'!A1008,Suppliar[Facility ID],0)),"")</f>
        <v>29.26</v>
      </c>
    </row>
    <row r="1009" spans="1:11" x14ac:dyDescent="0.3">
      <c r="A1009" t="s">
        <v>167</v>
      </c>
      <c r="B1009" t="s">
        <v>30</v>
      </c>
      <c r="C1009" t="s">
        <v>23</v>
      </c>
      <c r="D1009" t="s">
        <v>14</v>
      </c>
      <c r="E1009" t="s">
        <v>10</v>
      </c>
      <c r="F1009">
        <v>437.58</v>
      </c>
      <c r="G1009">
        <v>67213</v>
      </c>
      <c r="H1009">
        <v>5533.81</v>
      </c>
      <c r="I1009">
        <v>90.88</v>
      </c>
      <c r="J1009">
        <f>IFERROR(INDEX(Suppliar[Estimated Carbon Footprint (tons CO₂e)],MATCH('Merge operational &amp; suppliar'!A1009,Suppliar[Facility ID],0)),"")</f>
        <v>467.3</v>
      </c>
      <c r="K1009">
        <f>IFERROR(INDEX(Suppliar[Income Distribution (%)],MATCH('Merge operational &amp; suppliar'!A1009,Suppliar[Facility ID],0)),"")</f>
        <v>53.15</v>
      </c>
    </row>
    <row r="1010" spans="1:11" x14ac:dyDescent="0.3">
      <c r="A1010" t="s">
        <v>185</v>
      </c>
      <c r="B1010" t="s">
        <v>30</v>
      </c>
      <c r="C1010" t="s">
        <v>13</v>
      </c>
      <c r="D1010" t="s">
        <v>28</v>
      </c>
      <c r="E1010" t="s">
        <v>10</v>
      </c>
      <c r="F1010">
        <v>3087.52</v>
      </c>
      <c r="G1010">
        <v>24913</v>
      </c>
      <c r="H1010">
        <v>5727.27</v>
      </c>
      <c r="I1010">
        <v>78.849999999999994</v>
      </c>
      <c r="J1010" t="str">
        <f>IFERROR(INDEX(Suppliar[Estimated Carbon Footprint (tons CO₂e)],MATCH('Merge operational &amp; suppliar'!A1010,Suppliar[Facility ID],0)),"")</f>
        <v/>
      </c>
      <c r="K1010" t="str">
        <f>IFERROR(INDEX(Suppliar[Income Distribution (%)],MATCH('Merge operational &amp; suppliar'!A1010,Suppliar[Facility ID],0)),"")</f>
        <v/>
      </c>
    </row>
    <row r="1011" spans="1:11" x14ac:dyDescent="0.3">
      <c r="A1011" t="s">
        <v>190</v>
      </c>
      <c r="B1011" t="s">
        <v>17</v>
      </c>
      <c r="C1011" t="s">
        <v>13</v>
      </c>
      <c r="D1011" t="s">
        <v>9</v>
      </c>
      <c r="E1011" t="s">
        <v>10</v>
      </c>
      <c r="F1011">
        <v>2226.37</v>
      </c>
      <c r="G1011">
        <v>41953</v>
      </c>
      <c r="H1011">
        <v>2379.14</v>
      </c>
      <c r="I1011">
        <v>65.67</v>
      </c>
      <c r="J1011">
        <f>IFERROR(INDEX(Suppliar[Estimated Carbon Footprint (tons CO₂e)],MATCH('Merge operational &amp; suppliar'!A1011,Suppliar[Facility ID],0)),"")</f>
        <v>571.66</v>
      </c>
      <c r="K1011">
        <f>IFERROR(INDEX(Suppliar[Income Distribution (%)],MATCH('Merge operational &amp; suppliar'!A1011,Suppliar[Facility ID],0)),"")</f>
        <v>14.81</v>
      </c>
    </row>
    <row r="1012" spans="1:11" x14ac:dyDescent="0.3">
      <c r="A1012" t="s">
        <v>211</v>
      </c>
      <c r="B1012" t="s">
        <v>7</v>
      </c>
      <c r="C1012" t="s">
        <v>8</v>
      </c>
      <c r="D1012" t="s">
        <v>28</v>
      </c>
      <c r="E1012" t="s">
        <v>10</v>
      </c>
      <c r="F1012">
        <v>769.29</v>
      </c>
      <c r="G1012">
        <v>27028</v>
      </c>
      <c r="H1012">
        <v>4617.92</v>
      </c>
      <c r="I1012">
        <v>57.62</v>
      </c>
      <c r="J1012">
        <f>IFERROR(INDEX(Suppliar[Estimated Carbon Footprint (tons CO₂e)],MATCH('Merge operational &amp; suppliar'!A1012,Suppliar[Facility ID],0)),"")</f>
        <v>780.4</v>
      </c>
      <c r="K1012">
        <f>IFERROR(INDEX(Suppliar[Income Distribution (%)],MATCH('Merge operational &amp; suppliar'!A1012,Suppliar[Facility ID],0)),"")</f>
        <v>24.87</v>
      </c>
    </row>
    <row r="1013" spans="1:11" x14ac:dyDescent="0.3">
      <c r="A1013" t="s">
        <v>27</v>
      </c>
      <c r="B1013" t="s">
        <v>12</v>
      </c>
      <c r="C1013" t="s">
        <v>23</v>
      </c>
      <c r="D1013" t="s">
        <v>28</v>
      </c>
      <c r="E1013" t="s">
        <v>24</v>
      </c>
      <c r="F1013">
        <v>3008.89</v>
      </c>
      <c r="G1013">
        <v>91031</v>
      </c>
      <c r="H1013">
        <v>1783.57</v>
      </c>
      <c r="I1013">
        <v>32.049999999999997</v>
      </c>
      <c r="J1013">
        <f>IFERROR(INDEX(Suppliar[Estimated Carbon Footprint (tons CO₂e)],MATCH('Merge operational &amp; suppliar'!A1013,Suppliar[Facility ID],0)),"")</f>
        <v>532.27</v>
      </c>
      <c r="K1013">
        <f>IFERROR(INDEX(Suppliar[Income Distribution (%)],MATCH('Merge operational &amp; suppliar'!A1013,Suppliar[Facility ID],0)),"")</f>
        <v>15.2</v>
      </c>
    </row>
    <row r="1014" spans="1:11" x14ac:dyDescent="0.3">
      <c r="A1014" t="s">
        <v>121</v>
      </c>
      <c r="B1014" t="s">
        <v>30</v>
      </c>
      <c r="C1014" t="s">
        <v>34</v>
      </c>
      <c r="D1014" t="s">
        <v>9</v>
      </c>
      <c r="E1014" t="s">
        <v>10</v>
      </c>
      <c r="F1014">
        <v>1802.3</v>
      </c>
      <c r="G1014">
        <v>58895</v>
      </c>
      <c r="H1014">
        <v>3039.17</v>
      </c>
      <c r="I1014">
        <v>59.82</v>
      </c>
      <c r="J1014">
        <f>IFERROR(INDEX(Suppliar[Estimated Carbon Footprint (tons CO₂e)],MATCH('Merge operational &amp; suppliar'!A1014,Suppliar[Facility ID],0)),"")</f>
        <v>785.8</v>
      </c>
      <c r="K1014">
        <f>IFERROR(INDEX(Suppliar[Income Distribution (%)],MATCH('Merge operational &amp; suppliar'!A1014,Suppliar[Facility ID],0)),"")</f>
        <v>22.92</v>
      </c>
    </row>
    <row r="1015" spans="1:11" x14ac:dyDescent="0.3">
      <c r="A1015" t="s">
        <v>121</v>
      </c>
      <c r="B1015" t="s">
        <v>30</v>
      </c>
      <c r="C1015" t="s">
        <v>34</v>
      </c>
      <c r="D1015" t="s">
        <v>28</v>
      </c>
      <c r="E1015" t="s">
        <v>10</v>
      </c>
      <c r="F1015">
        <v>3707.94</v>
      </c>
      <c r="G1015">
        <v>58895</v>
      </c>
      <c r="H1015">
        <v>3039.17</v>
      </c>
      <c r="I1015">
        <v>59.82</v>
      </c>
      <c r="J1015">
        <f>IFERROR(INDEX(Suppliar[Estimated Carbon Footprint (tons CO₂e)],MATCH('Merge operational &amp; suppliar'!A1015,Suppliar[Facility ID],0)),"")</f>
        <v>785.8</v>
      </c>
      <c r="K1015">
        <f>IFERROR(INDEX(Suppliar[Income Distribution (%)],MATCH('Merge operational &amp; suppliar'!A1015,Suppliar[Facility ID],0)),"")</f>
        <v>22.92</v>
      </c>
    </row>
    <row r="1016" spans="1:11" x14ac:dyDescent="0.3">
      <c r="A1016" t="s">
        <v>128</v>
      </c>
      <c r="B1016" t="s">
        <v>12</v>
      </c>
      <c r="C1016" t="s">
        <v>13</v>
      </c>
      <c r="D1016" t="s">
        <v>9</v>
      </c>
      <c r="E1016" t="s">
        <v>10</v>
      </c>
      <c r="F1016">
        <v>3134.24</v>
      </c>
      <c r="G1016">
        <v>29406</v>
      </c>
      <c r="H1016">
        <v>5281.69</v>
      </c>
      <c r="I1016">
        <v>27.01</v>
      </c>
      <c r="J1016">
        <f>IFERROR(INDEX(Suppliar[Estimated Carbon Footprint (tons CO₂e)],MATCH('Merge operational &amp; suppliar'!A1016,Suppliar[Facility ID],0)),"")</f>
        <v>231.68</v>
      </c>
      <c r="K1016">
        <f>IFERROR(INDEX(Suppliar[Income Distribution (%)],MATCH('Merge operational &amp; suppliar'!A1016,Suppliar[Facility ID],0)),"")</f>
        <v>13.88</v>
      </c>
    </row>
    <row r="1017" spans="1:11" x14ac:dyDescent="0.3">
      <c r="A1017" t="s">
        <v>29</v>
      </c>
      <c r="B1017" t="s">
        <v>30</v>
      </c>
      <c r="C1017" t="s">
        <v>23</v>
      </c>
      <c r="D1017" t="s">
        <v>28</v>
      </c>
      <c r="E1017" t="s">
        <v>15</v>
      </c>
      <c r="F1017">
        <v>1671.05</v>
      </c>
      <c r="G1017">
        <v>32131</v>
      </c>
      <c r="H1017">
        <v>1474.23</v>
      </c>
      <c r="I1017">
        <v>45.47</v>
      </c>
      <c r="J1017">
        <f>IFERROR(INDEX(Suppliar[Estimated Carbon Footprint (tons CO₂e)],MATCH('Merge operational &amp; suppliar'!A1017,Suppliar[Facility ID],0)),"")</f>
        <v>830.73</v>
      </c>
      <c r="K1017">
        <f>IFERROR(INDEX(Suppliar[Income Distribution (%)],MATCH('Merge operational &amp; suppliar'!A1017,Suppliar[Facility ID],0)),"")</f>
        <v>17.97</v>
      </c>
    </row>
    <row r="1018" spans="1:11" x14ac:dyDescent="0.3">
      <c r="A1018" t="s">
        <v>90</v>
      </c>
      <c r="B1018" t="s">
        <v>19</v>
      </c>
      <c r="C1018" t="s">
        <v>8</v>
      </c>
      <c r="D1018" t="s">
        <v>9</v>
      </c>
      <c r="E1018" t="s">
        <v>15</v>
      </c>
      <c r="F1018">
        <v>456.6</v>
      </c>
      <c r="G1018">
        <v>97337</v>
      </c>
      <c r="H1018">
        <v>3362.06</v>
      </c>
      <c r="I1018">
        <v>55.46</v>
      </c>
      <c r="J1018">
        <f>IFERROR(INDEX(Suppliar[Estimated Carbon Footprint (tons CO₂e)],MATCH('Merge operational &amp; suppliar'!A1018,Suppliar[Facility ID],0)),"")</f>
        <v>459.56</v>
      </c>
      <c r="K1018">
        <f>IFERROR(INDEX(Suppliar[Income Distribution (%)],MATCH('Merge operational &amp; suppliar'!A1018,Suppliar[Facility ID],0)),"")</f>
        <v>10.31</v>
      </c>
    </row>
    <row r="1019" spans="1:11" x14ac:dyDescent="0.3">
      <c r="A1019" t="s">
        <v>140</v>
      </c>
      <c r="B1019" t="s">
        <v>17</v>
      </c>
      <c r="C1019" t="s">
        <v>8</v>
      </c>
      <c r="D1019" t="s">
        <v>14</v>
      </c>
      <c r="E1019" t="s">
        <v>10</v>
      </c>
      <c r="F1019">
        <v>4237.93</v>
      </c>
      <c r="G1019">
        <v>88308</v>
      </c>
      <c r="H1019">
        <v>7802.07</v>
      </c>
      <c r="I1019">
        <v>36.130000000000003</v>
      </c>
      <c r="J1019">
        <f>IFERROR(INDEX(Suppliar[Estimated Carbon Footprint (tons CO₂e)],MATCH('Merge operational &amp; suppliar'!A1019,Suppliar[Facility ID],0)),"")</f>
        <v>557.72</v>
      </c>
      <c r="K1019">
        <f>IFERROR(INDEX(Suppliar[Income Distribution (%)],MATCH('Merge operational &amp; suppliar'!A1019,Suppliar[Facility ID],0)),"")</f>
        <v>62.75</v>
      </c>
    </row>
    <row r="1020" spans="1:11" x14ac:dyDescent="0.3">
      <c r="A1020" t="s">
        <v>203</v>
      </c>
      <c r="B1020" t="s">
        <v>12</v>
      </c>
      <c r="C1020" t="s">
        <v>23</v>
      </c>
      <c r="D1020" t="s">
        <v>9</v>
      </c>
      <c r="E1020" t="s">
        <v>24</v>
      </c>
      <c r="F1020">
        <v>4750.1899999999996</v>
      </c>
      <c r="G1020">
        <v>66398</v>
      </c>
      <c r="H1020">
        <v>8713.61</v>
      </c>
      <c r="I1020">
        <v>83.44</v>
      </c>
      <c r="J1020">
        <f>IFERROR(INDEX(Suppliar[Estimated Carbon Footprint (tons CO₂e)],MATCH('Merge operational &amp; suppliar'!A1020,Suppliar[Facility ID],0)),"")</f>
        <v>763.97</v>
      </c>
      <c r="K1020">
        <f>IFERROR(INDEX(Suppliar[Income Distribution (%)],MATCH('Merge operational &amp; suppliar'!A1020,Suppliar[Facility ID],0)),"")</f>
        <v>22.42</v>
      </c>
    </row>
    <row r="1021" spans="1:11" x14ac:dyDescent="0.3">
      <c r="A1021" t="s">
        <v>215</v>
      </c>
      <c r="B1021" t="s">
        <v>17</v>
      </c>
      <c r="C1021" t="s">
        <v>23</v>
      </c>
      <c r="D1021" t="s">
        <v>28</v>
      </c>
      <c r="E1021" t="s">
        <v>10</v>
      </c>
      <c r="F1021">
        <v>3912.43</v>
      </c>
      <c r="G1021">
        <v>72813</v>
      </c>
      <c r="H1021">
        <v>8818.16</v>
      </c>
      <c r="I1021">
        <v>54.12</v>
      </c>
      <c r="J1021">
        <f>IFERROR(INDEX(Suppliar[Estimated Carbon Footprint (tons CO₂e)],MATCH('Merge operational &amp; suppliar'!A1021,Suppliar[Facility ID],0)),"")</f>
        <v>986.62</v>
      </c>
      <c r="K1021">
        <f>IFERROR(INDEX(Suppliar[Income Distribution (%)],MATCH('Merge operational &amp; suppliar'!A1021,Suppliar[Facility ID],0)),"")</f>
        <v>42.1</v>
      </c>
    </row>
    <row r="1022" spans="1:11" x14ac:dyDescent="0.3">
      <c r="A1022" t="s">
        <v>50</v>
      </c>
      <c r="B1022" t="s">
        <v>19</v>
      </c>
      <c r="C1022" t="s">
        <v>23</v>
      </c>
      <c r="D1022" t="s">
        <v>14</v>
      </c>
      <c r="E1022" t="s">
        <v>15</v>
      </c>
      <c r="F1022">
        <v>349.13</v>
      </c>
      <c r="G1022">
        <v>40577</v>
      </c>
      <c r="H1022">
        <v>4280.82</v>
      </c>
      <c r="I1022">
        <v>79.88</v>
      </c>
      <c r="J1022">
        <f>IFERROR(INDEX(Suppliar[Estimated Carbon Footprint (tons CO₂e)],MATCH('Merge operational &amp; suppliar'!A1022,Suppliar[Facility ID],0)),"")</f>
        <v>932.3</v>
      </c>
      <c r="K1022">
        <f>IFERROR(INDEX(Suppliar[Income Distribution (%)],MATCH('Merge operational &amp; suppliar'!A1022,Suppliar[Facility ID],0)),"")</f>
        <v>10.19</v>
      </c>
    </row>
    <row r="1023" spans="1:11" x14ac:dyDescent="0.3">
      <c r="A1023" t="s">
        <v>35</v>
      </c>
      <c r="B1023" t="s">
        <v>19</v>
      </c>
      <c r="C1023" t="s">
        <v>13</v>
      </c>
      <c r="D1023" t="s">
        <v>28</v>
      </c>
      <c r="E1023" t="s">
        <v>24</v>
      </c>
      <c r="F1023">
        <v>3133.74</v>
      </c>
      <c r="G1023">
        <v>42382</v>
      </c>
      <c r="H1023">
        <v>5116.6899999999996</v>
      </c>
      <c r="I1023">
        <v>80.42</v>
      </c>
      <c r="J1023">
        <f>IFERROR(INDEX(Suppliar[Estimated Carbon Footprint (tons CO₂e)],MATCH('Merge operational &amp; suppliar'!A1023,Suppliar[Facility ID],0)),"")</f>
        <v>626.54</v>
      </c>
      <c r="K1023">
        <f>IFERROR(INDEX(Suppliar[Income Distribution (%)],MATCH('Merge operational &amp; suppliar'!A1023,Suppliar[Facility ID],0)),"")</f>
        <v>70.540000000000006</v>
      </c>
    </row>
    <row r="1024" spans="1:11" x14ac:dyDescent="0.3">
      <c r="A1024" t="s">
        <v>50</v>
      </c>
      <c r="B1024" t="s">
        <v>19</v>
      </c>
      <c r="C1024" t="s">
        <v>34</v>
      </c>
      <c r="D1024" t="s">
        <v>28</v>
      </c>
      <c r="E1024" t="s">
        <v>10</v>
      </c>
      <c r="F1024">
        <v>228.22</v>
      </c>
      <c r="G1024">
        <v>40577</v>
      </c>
      <c r="H1024">
        <v>4280.82</v>
      </c>
      <c r="I1024">
        <v>79.88</v>
      </c>
      <c r="J1024">
        <f>IFERROR(INDEX(Suppliar[Estimated Carbon Footprint (tons CO₂e)],MATCH('Merge operational &amp; suppliar'!A1024,Suppliar[Facility ID],0)),"")</f>
        <v>932.3</v>
      </c>
      <c r="K1024">
        <f>IFERROR(INDEX(Suppliar[Income Distribution (%)],MATCH('Merge operational &amp; suppliar'!A1024,Suppliar[Facility ID],0)),"")</f>
        <v>10.19</v>
      </c>
    </row>
    <row r="1025" spans="1:11" x14ac:dyDescent="0.3">
      <c r="A1025" t="s">
        <v>123</v>
      </c>
      <c r="B1025" t="s">
        <v>30</v>
      </c>
      <c r="C1025" t="s">
        <v>8</v>
      </c>
      <c r="D1025" t="s">
        <v>28</v>
      </c>
      <c r="E1025" t="s">
        <v>15</v>
      </c>
      <c r="F1025">
        <v>1437.79</v>
      </c>
      <c r="G1025">
        <v>73977</v>
      </c>
      <c r="H1025">
        <v>1646.75</v>
      </c>
      <c r="I1025">
        <v>43.77</v>
      </c>
      <c r="J1025" t="str">
        <f>IFERROR(INDEX(Suppliar[Estimated Carbon Footprint (tons CO₂e)],MATCH('Merge operational &amp; suppliar'!A1025,Suppliar[Facility ID],0)),"")</f>
        <v/>
      </c>
      <c r="K1025" t="str">
        <f>IFERROR(INDEX(Suppliar[Income Distribution (%)],MATCH('Merge operational &amp; suppliar'!A1025,Suppliar[Facility ID],0)),"")</f>
        <v/>
      </c>
    </row>
    <row r="1026" spans="1:11" x14ac:dyDescent="0.3">
      <c r="A1026" t="s">
        <v>83</v>
      </c>
      <c r="B1026" t="s">
        <v>17</v>
      </c>
      <c r="C1026" t="s">
        <v>34</v>
      </c>
      <c r="D1026" t="s">
        <v>28</v>
      </c>
      <c r="E1026" t="s">
        <v>24</v>
      </c>
      <c r="F1026">
        <v>3734.66</v>
      </c>
      <c r="G1026">
        <v>30934</v>
      </c>
      <c r="H1026">
        <v>4175.6499999999996</v>
      </c>
      <c r="I1026">
        <v>77.290000000000006</v>
      </c>
      <c r="J1026">
        <f>IFERROR(INDEX(Suppliar[Estimated Carbon Footprint (tons CO₂e)],MATCH('Merge operational &amp; suppliar'!A1026,Suppliar[Facility ID],0)),"")</f>
        <v>610.79999999999995</v>
      </c>
      <c r="K1026">
        <f>IFERROR(INDEX(Suppliar[Income Distribution (%)],MATCH('Merge operational &amp; suppliar'!A1026,Suppliar[Facility ID],0)),"")</f>
        <v>14.23</v>
      </c>
    </row>
    <row r="1027" spans="1:11" x14ac:dyDescent="0.3">
      <c r="A1027" t="s">
        <v>40</v>
      </c>
      <c r="B1027" t="s">
        <v>19</v>
      </c>
      <c r="C1027" t="s">
        <v>13</v>
      </c>
      <c r="D1027" t="s">
        <v>28</v>
      </c>
      <c r="E1027" t="s">
        <v>15</v>
      </c>
      <c r="F1027">
        <v>923.68</v>
      </c>
      <c r="G1027">
        <v>96474</v>
      </c>
      <c r="H1027">
        <v>7574.39</v>
      </c>
      <c r="I1027">
        <v>95.54</v>
      </c>
      <c r="J1027">
        <f>IFERROR(INDEX(Suppliar[Estimated Carbon Footprint (tons CO₂e)],MATCH('Merge operational &amp; suppliar'!A1027,Suppliar[Facility ID],0)),"")</f>
        <v>886.71</v>
      </c>
      <c r="K1027">
        <f>IFERROR(INDEX(Suppliar[Income Distribution (%)],MATCH('Merge operational &amp; suppliar'!A1027,Suppliar[Facility ID],0)),"")</f>
        <v>24.84</v>
      </c>
    </row>
    <row r="1028" spans="1:11" x14ac:dyDescent="0.3">
      <c r="A1028" t="s">
        <v>163</v>
      </c>
      <c r="B1028" t="s">
        <v>19</v>
      </c>
      <c r="C1028" t="s">
        <v>34</v>
      </c>
      <c r="D1028" t="s">
        <v>28</v>
      </c>
      <c r="E1028" t="s">
        <v>24</v>
      </c>
      <c r="F1028">
        <v>1962.58</v>
      </c>
      <c r="G1028">
        <v>87482</v>
      </c>
      <c r="H1028">
        <v>2231.7399999999998</v>
      </c>
      <c r="I1028">
        <v>45.43</v>
      </c>
      <c r="J1028">
        <f>IFERROR(INDEX(Suppliar[Estimated Carbon Footprint (tons CO₂e)],MATCH('Merge operational &amp; suppliar'!A1028,Suppliar[Facility ID],0)),"")</f>
        <v>638.89</v>
      </c>
      <c r="K1028">
        <f>IFERROR(INDEX(Suppliar[Income Distribution (%)],MATCH('Merge operational &amp; suppliar'!A1028,Suppliar[Facility ID],0)),"")</f>
        <v>24.69</v>
      </c>
    </row>
    <row r="1029" spans="1:11" x14ac:dyDescent="0.3">
      <c r="A1029" t="s">
        <v>180</v>
      </c>
      <c r="B1029" t="s">
        <v>30</v>
      </c>
      <c r="C1029" t="s">
        <v>8</v>
      </c>
      <c r="D1029" t="s">
        <v>14</v>
      </c>
      <c r="E1029" t="s">
        <v>15</v>
      </c>
      <c r="F1029">
        <v>690.6</v>
      </c>
      <c r="G1029">
        <v>72846</v>
      </c>
      <c r="H1029">
        <v>5169.53</v>
      </c>
      <c r="I1029">
        <v>76.709999999999994</v>
      </c>
      <c r="J1029" t="str">
        <f>IFERROR(INDEX(Suppliar[Estimated Carbon Footprint (tons CO₂e)],MATCH('Merge operational &amp; suppliar'!A1029,Suppliar[Facility ID],0)),"")</f>
        <v/>
      </c>
      <c r="K1029" t="str">
        <f>IFERROR(INDEX(Suppliar[Income Distribution (%)],MATCH('Merge operational &amp; suppliar'!A1029,Suppliar[Facility ID],0)),"")</f>
        <v/>
      </c>
    </row>
    <row r="1030" spans="1:11" x14ac:dyDescent="0.3">
      <c r="A1030" t="s">
        <v>175</v>
      </c>
      <c r="B1030" t="s">
        <v>7</v>
      </c>
      <c r="C1030" t="s">
        <v>34</v>
      </c>
      <c r="D1030" t="s">
        <v>9</v>
      </c>
      <c r="E1030" t="s">
        <v>10</v>
      </c>
      <c r="F1030">
        <v>1785.82</v>
      </c>
      <c r="G1030">
        <v>83923</v>
      </c>
      <c r="H1030">
        <v>8768.7999999999993</v>
      </c>
      <c r="I1030">
        <v>65.290000000000006</v>
      </c>
      <c r="J1030">
        <f>IFERROR(INDEX(Suppliar[Estimated Carbon Footprint (tons CO₂e)],MATCH('Merge operational &amp; suppliar'!A1030,Suppliar[Facility ID],0)),"")</f>
        <v>579.80999999999995</v>
      </c>
      <c r="K1030">
        <f>IFERROR(INDEX(Suppliar[Income Distribution (%)],MATCH('Merge operational &amp; suppliar'!A1030,Suppliar[Facility ID],0)),"")</f>
        <v>34.93</v>
      </c>
    </row>
    <row r="1031" spans="1:11" x14ac:dyDescent="0.3">
      <c r="A1031" t="s">
        <v>38</v>
      </c>
      <c r="B1031" t="s">
        <v>30</v>
      </c>
      <c r="C1031" t="s">
        <v>23</v>
      </c>
      <c r="D1031" t="s">
        <v>28</v>
      </c>
      <c r="E1031" t="s">
        <v>24</v>
      </c>
      <c r="F1031">
        <v>4949.3</v>
      </c>
      <c r="G1031">
        <v>57215</v>
      </c>
      <c r="H1031">
        <v>3227.1</v>
      </c>
      <c r="I1031">
        <v>32.909999999999997</v>
      </c>
      <c r="J1031">
        <f>IFERROR(INDEX(Suppliar[Estimated Carbon Footprint (tons CO₂e)],MATCH('Merge operational &amp; suppliar'!A1031,Suppliar[Facility ID],0)),"")</f>
        <v>951.35</v>
      </c>
      <c r="K1031">
        <f>IFERROR(INDEX(Suppliar[Income Distribution (%)],MATCH('Merge operational &amp; suppliar'!A1031,Suppliar[Facility ID],0)),"")</f>
        <v>33.299999999999997</v>
      </c>
    </row>
    <row r="1032" spans="1:11" x14ac:dyDescent="0.3">
      <c r="A1032" t="s">
        <v>92</v>
      </c>
      <c r="B1032" t="s">
        <v>30</v>
      </c>
      <c r="C1032" t="s">
        <v>23</v>
      </c>
      <c r="D1032" t="s">
        <v>9</v>
      </c>
      <c r="E1032" t="s">
        <v>10</v>
      </c>
      <c r="F1032">
        <v>3153.34</v>
      </c>
      <c r="G1032">
        <v>18726</v>
      </c>
      <c r="H1032">
        <v>5099.54</v>
      </c>
      <c r="I1032">
        <v>71.05</v>
      </c>
      <c r="J1032">
        <f>IFERROR(INDEX(Suppliar[Estimated Carbon Footprint (tons CO₂e)],MATCH('Merge operational &amp; suppliar'!A1032,Suppliar[Facility ID],0)),"")</f>
        <v>714.03</v>
      </c>
      <c r="K1032">
        <f>IFERROR(INDEX(Suppliar[Income Distribution (%)],MATCH('Merge operational &amp; suppliar'!A1032,Suppliar[Facility ID],0)),"")</f>
        <v>32.29</v>
      </c>
    </row>
    <row r="1033" spans="1:11" x14ac:dyDescent="0.3">
      <c r="A1033" t="s">
        <v>129</v>
      </c>
      <c r="B1033" t="s">
        <v>17</v>
      </c>
      <c r="C1033" t="s">
        <v>34</v>
      </c>
      <c r="D1033" t="s">
        <v>14</v>
      </c>
      <c r="E1033" t="s">
        <v>15</v>
      </c>
      <c r="F1033">
        <v>919.35</v>
      </c>
      <c r="G1033">
        <v>95292</v>
      </c>
      <c r="H1033">
        <v>697.47</v>
      </c>
      <c r="I1033">
        <v>88.35</v>
      </c>
      <c r="J1033">
        <f>IFERROR(INDEX(Suppliar[Estimated Carbon Footprint (tons CO₂e)],MATCH('Merge operational &amp; suppliar'!A1033,Suppliar[Facility ID],0)),"")</f>
        <v>114.57</v>
      </c>
      <c r="K1033">
        <f>IFERROR(INDEX(Suppliar[Income Distribution (%)],MATCH('Merge operational &amp; suppliar'!A1033,Suppliar[Facility ID],0)),"")</f>
        <v>36.04</v>
      </c>
    </row>
    <row r="1034" spans="1:11" x14ac:dyDescent="0.3">
      <c r="A1034" t="s">
        <v>123</v>
      </c>
      <c r="B1034" t="s">
        <v>30</v>
      </c>
      <c r="C1034" t="s">
        <v>34</v>
      </c>
      <c r="D1034" t="s">
        <v>14</v>
      </c>
      <c r="E1034" t="s">
        <v>15</v>
      </c>
      <c r="F1034">
        <v>2465.21</v>
      </c>
      <c r="G1034">
        <v>73977</v>
      </c>
      <c r="H1034">
        <v>1646.75</v>
      </c>
      <c r="I1034">
        <v>43.77</v>
      </c>
      <c r="J1034" t="str">
        <f>IFERROR(INDEX(Suppliar[Estimated Carbon Footprint (tons CO₂e)],MATCH('Merge operational &amp; suppliar'!A1034,Suppliar[Facility ID],0)),"")</f>
        <v/>
      </c>
      <c r="K1034" t="str">
        <f>IFERROR(INDEX(Suppliar[Income Distribution (%)],MATCH('Merge operational &amp; suppliar'!A1034,Suppliar[Facility ID],0)),"")</f>
        <v/>
      </c>
    </row>
    <row r="1035" spans="1:11" x14ac:dyDescent="0.3">
      <c r="A1035" t="s">
        <v>147</v>
      </c>
      <c r="B1035" t="s">
        <v>17</v>
      </c>
      <c r="C1035" t="s">
        <v>23</v>
      </c>
      <c r="D1035" t="s">
        <v>14</v>
      </c>
      <c r="E1035" t="s">
        <v>10</v>
      </c>
      <c r="F1035">
        <v>2956.74</v>
      </c>
      <c r="G1035">
        <v>24095</v>
      </c>
      <c r="H1035">
        <v>3167.52</v>
      </c>
      <c r="I1035">
        <v>31.02</v>
      </c>
      <c r="J1035">
        <f>IFERROR(INDEX(Suppliar[Estimated Carbon Footprint (tons CO₂e)],MATCH('Merge operational &amp; suppliar'!A1035,Suppliar[Facility ID],0)),"")</f>
        <v>608.07000000000005</v>
      </c>
      <c r="K1035">
        <f>IFERROR(INDEX(Suppliar[Income Distribution (%)],MATCH('Merge operational &amp; suppliar'!A1035,Suppliar[Facility ID],0)),"")</f>
        <v>13.98</v>
      </c>
    </row>
    <row r="1036" spans="1:11" x14ac:dyDescent="0.3">
      <c r="A1036" t="s">
        <v>125</v>
      </c>
      <c r="B1036" t="s">
        <v>7</v>
      </c>
      <c r="C1036" t="s">
        <v>34</v>
      </c>
      <c r="D1036" t="s">
        <v>9</v>
      </c>
      <c r="E1036" t="s">
        <v>10</v>
      </c>
      <c r="F1036">
        <v>1174.6300000000001</v>
      </c>
      <c r="G1036">
        <v>56392</v>
      </c>
      <c r="H1036">
        <v>5703.76</v>
      </c>
      <c r="I1036">
        <v>23.04</v>
      </c>
      <c r="J1036">
        <f>IFERROR(INDEX(Suppliar[Estimated Carbon Footprint (tons CO₂e)],MATCH('Merge operational &amp; suppliar'!A1036,Suppliar[Facility ID],0)),"")</f>
        <v>991.03</v>
      </c>
      <c r="K1036">
        <f>IFERROR(INDEX(Suppliar[Income Distribution (%)],MATCH('Merge operational &amp; suppliar'!A1036,Suppliar[Facility ID],0)),"")</f>
        <v>27.62</v>
      </c>
    </row>
    <row r="1037" spans="1:11" x14ac:dyDescent="0.3">
      <c r="A1037" t="s">
        <v>130</v>
      </c>
      <c r="B1037" t="s">
        <v>12</v>
      </c>
      <c r="C1037" t="s">
        <v>34</v>
      </c>
      <c r="D1037" t="s">
        <v>14</v>
      </c>
      <c r="E1037" t="s">
        <v>24</v>
      </c>
      <c r="F1037">
        <v>1574.82</v>
      </c>
      <c r="G1037">
        <v>82332</v>
      </c>
      <c r="H1037">
        <v>7134.86</v>
      </c>
      <c r="I1037">
        <v>22.44</v>
      </c>
      <c r="J1037">
        <f>IFERROR(INDEX(Suppliar[Estimated Carbon Footprint (tons CO₂e)],MATCH('Merge operational &amp; suppliar'!A1037,Suppliar[Facility ID],0)),"")</f>
        <v>553.44000000000005</v>
      </c>
      <c r="K1037">
        <f>IFERROR(INDEX(Suppliar[Income Distribution (%)],MATCH('Merge operational &amp; suppliar'!A1037,Suppliar[Facility ID],0)),"")</f>
        <v>13.24</v>
      </c>
    </row>
    <row r="1038" spans="1:11" x14ac:dyDescent="0.3">
      <c r="A1038" t="s">
        <v>102</v>
      </c>
      <c r="B1038" t="s">
        <v>19</v>
      </c>
      <c r="C1038" t="s">
        <v>8</v>
      </c>
      <c r="D1038" t="s">
        <v>9</v>
      </c>
      <c r="E1038" t="s">
        <v>10</v>
      </c>
      <c r="F1038">
        <v>922.32</v>
      </c>
      <c r="G1038">
        <v>86263</v>
      </c>
      <c r="H1038">
        <v>3213.71</v>
      </c>
      <c r="I1038">
        <v>98.39</v>
      </c>
      <c r="J1038">
        <f>IFERROR(INDEX(Suppliar[Estimated Carbon Footprint (tons CO₂e)],MATCH('Merge operational &amp; suppliar'!A1038,Suppliar[Facility ID],0)),"")</f>
        <v>662.74</v>
      </c>
      <c r="K1038">
        <f>IFERROR(INDEX(Suppliar[Income Distribution (%)],MATCH('Merge operational &amp; suppliar'!A1038,Suppliar[Facility ID],0)),"")</f>
        <v>20.66</v>
      </c>
    </row>
    <row r="1039" spans="1:11" x14ac:dyDescent="0.3">
      <c r="A1039" t="s">
        <v>73</v>
      </c>
      <c r="B1039" t="s">
        <v>30</v>
      </c>
      <c r="C1039" t="s">
        <v>23</v>
      </c>
      <c r="D1039" t="s">
        <v>9</v>
      </c>
      <c r="E1039" t="s">
        <v>10</v>
      </c>
      <c r="F1039">
        <v>842.92</v>
      </c>
      <c r="G1039">
        <v>55974</v>
      </c>
      <c r="H1039">
        <v>7542.28</v>
      </c>
      <c r="I1039">
        <v>72.430000000000007</v>
      </c>
      <c r="J1039">
        <f>IFERROR(INDEX(Suppliar[Estimated Carbon Footprint (tons CO₂e)],MATCH('Merge operational &amp; suppliar'!A1039,Suppliar[Facility ID],0)),"")</f>
        <v>626.54</v>
      </c>
      <c r="K1039">
        <f>IFERROR(INDEX(Suppliar[Income Distribution (%)],MATCH('Merge operational &amp; suppliar'!A1039,Suppliar[Facility ID],0)),"")</f>
        <v>29.46</v>
      </c>
    </row>
    <row r="1040" spans="1:11" x14ac:dyDescent="0.3">
      <c r="A1040" t="s">
        <v>110</v>
      </c>
      <c r="B1040" t="s">
        <v>12</v>
      </c>
      <c r="C1040" t="s">
        <v>8</v>
      </c>
      <c r="D1040" t="s">
        <v>14</v>
      </c>
      <c r="E1040" t="s">
        <v>10</v>
      </c>
      <c r="F1040">
        <v>3132.1</v>
      </c>
      <c r="G1040">
        <v>70481</v>
      </c>
      <c r="H1040">
        <v>4452.83</v>
      </c>
      <c r="I1040">
        <v>91.26</v>
      </c>
      <c r="J1040" t="str">
        <f>IFERROR(INDEX(Suppliar[Estimated Carbon Footprint (tons CO₂e)],MATCH('Merge operational &amp; suppliar'!A1040,Suppliar[Facility ID],0)),"")</f>
        <v/>
      </c>
      <c r="K1040" t="str">
        <f>IFERROR(INDEX(Suppliar[Income Distribution (%)],MATCH('Merge operational &amp; suppliar'!A1040,Suppliar[Facility ID],0)),"")</f>
        <v/>
      </c>
    </row>
    <row r="1041" spans="1:11" x14ac:dyDescent="0.3">
      <c r="A1041" t="s">
        <v>109</v>
      </c>
      <c r="B1041" t="s">
        <v>12</v>
      </c>
      <c r="C1041" t="s">
        <v>13</v>
      </c>
      <c r="D1041" t="s">
        <v>9</v>
      </c>
      <c r="E1041" t="s">
        <v>10</v>
      </c>
      <c r="F1041">
        <v>3613.5</v>
      </c>
      <c r="G1041">
        <v>84721</v>
      </c>
      <c r="H1041">
        <v>2278.9699999999998</v>
      </c>
      <c r="I1041">
        <v>68.53</v>
      </c>
      <c r="J1041">
        <f>IFERROR(INDEX(Suppliar[Estimated Carbon Footprint (tons CO₂e)],MATCH('Merge operational &amp; suppliar'!A1041,Suppliar[Facility ID],0)),"")</f>
        <v>796.34</v>
      </c>
      <c r="K1041">
        <f>IFERROR(INDEX(Suppliar[Income Distribution (%)],MATCH('Merge operational &amp; suppliar'!A1041,Suppliar[Facility ID],0)),"")</f>
        <v>33.590000000000003</v>
      </c>
    </row>
    <row r="1042" spans="1:11" x14ac:dyDescent="0.3">
      <c r="A1042" t="s">
        <v>45</v>
      </c>
      <c r="B1042" t="s">
        <v>7</v>
      </c>
      <c r="C1042" t="s">
        <v>34</v>
      </c>
      <c r="D1042" t="s">
        <v>9</v>
      </c>
      <c r="E1042" t="s">
        <v>24</v>
      </c>
      <c r="F1042">
        <v>1968.52</v>
      </c>
      <c r="G1042">
        <v>49924</v>
      </c>
      <c r="H1042">
        <v>2199.16</v>
      </c>
      <c r="I1042">
        <v>75.48</v>
      </c>
      <c r="J1042">
        <f>IFERROR(INDEX(Suppliar[Estimated Carbon Footprint (tons CO₂e)],MATCH('Merge operational &amp; suppliar'!A1042,Suppliar[Facility ID],0)),"")</f>
        <v>432.23</v>
      </c>
      <c r="K1042">
        <f>IFERROR(INDEX(Suppliar[Income Distribution (%)],MATCH('Merge operational &amp; suppliar'!A1042,Suppliar[Facility ID],0)),"")</f>
        <v>13.54</v>
      </c>
    </row>
    <row r="1043" spans="1:11" x14ac:dyDescent="0.3">
      <c r="A1043" t="s">
        <v>179</v>
      </c>
      <c r="B1043" t="s">
        <v>7</v>
      </c>
      <c r="C1043" t="s">
        <v>23</v>
      </c>
      <c r="D1043" t="s">
        <v>14</v>
      </c>
      <c r="E1043" t="s">
        <v>10</v>
      </c>
      <c r="F1043">
        <v>70.83</v>
      </c>
      <c r="G1043">
        <v>94393</v>
      </c>
      <c r="H1043">
        <v>6691.7</v>
      </c>
      <c r="I1043">
        <v>74.790000000000006</v>
      </c>
      <c r="J1043">
        <f>IFERROR(INDEX(Suppliar[Estimated Carbon Footprint (tons CO₂e)],MATCH('Merge operational &amp; suppliar'!A1043,Suppliar[Facility ID],0)),"")</f>
        <v>867.66</v>
      </c>
      <c r="K1043">
        <f>IFERROR(INDEX(Suppliar[Income Distribution (%)],MATCH('Merge operational &amp; suppliar'!A1043,Suppliar[Facility ID],0)),"")</f>
        <v>32.97</v>
      </c>
    </row>
    <row r="1044" spans="1:11" x14ac:dyDescent="0.3">
      <c r="A1044" t="s">
        <v>179</v>
      </c>
      <c r="B1044" t="s">
        <v>7</v>
      </c>
      <c r="C1044" t="s">
        <v>13</v>
      </c>
      <c r="D1044" t="s">
        <v>14</v>
      </c>
      <c r="E1044" t="s">
        <v>15</v>
      </c>
      <c r="F1044">
        <v>1698.04</v>
      </c>
      <c r="G1044">
        <v>94393</v>
      </c>
      <c r="H1044">
        <v>6691.7</v>
      </c>
      <c r="I1044">
        <v>74.790000000000006</v>
      </c>
      <c r="J1044">
        <f>IFERROR(INDEX(Suppliar[Estimated Carbon Footprint (tons CO₂e)],MATCH('Merge operational &amp; suppliar'!A1044,Suppliar[Facility ID],0)),"")</f>
        <v>867.66</v>
      </c>
      <c r="K1044">
        <f>IFERROR(INDEX(Suppliar[Income Distribution (%)],MATCH('Merge operational &amp; suppliar'!A1044,Suppliar[Facility ID],0)),"")</f>
        <v>32.97</v>
      </c>
    </row>
    <row r="1045" spans="1:11" x14ac:dyDescent="0.3">
      <c r="A1045" t="s">
        <v>173</v>
      </c>
      <c r="B1045" t="s">
        <v>30</v>
      </c>
      <c r="C1045" t="s">
        <v>23</v>
      </c>
      <c r="D1045" t="s">
        <v>28</v>
      </c>
      <c r="E1045" t="s">
        <v>10</v>
      </c>
      <c r="F1045">
        <v>4151.2</v>
      </c>
      <c r="G1045">
        <v>49620</v>
      </c>
      <c r="H1045">
        <v>2424.31</v>
      </c>
      <c r="I1045">
        <v>62.09</v>
      </c>
      <c r="J1045">
        <f>IFERROR(INDEX(Suppliar[Estimated Carbon Footprint (tons CO₂e)],MATCH('Merge operational &amp; suppliar'!A1045,Suppliar[Facility ID],0)),"")</f>
        <v>184.92</v>
      </c>
      <c r="K1045">
        <f>IFERROR(INDEX(Suppliar[Income Distribution (%)],MATCH('Merge operational &amp; suppliar'!A1045,Suppliar[Facility ID],0)),"")</f>
        <v>19.55</v>
      </c>
    </row>
    <row r="1046" spans="1:11" x14ac:dyDescent="0.3">
      <c r="A1046" t="s">
        <v>122</v>
      </c>
      <c r="B1046" t="s">
        <v>19</v>
      </c>
      <c r="C1046" t="s">
        <v>34</v>
      </c>
      <c r="D1046" t="s">
        <v>28</v>
      </c>
      <c r="E1046" t="s">
        <v>15</v>
      </c>
      <c r="F1046">
        <v>4411.01</v>
      </c>
      <c r="G1046">
        <v>95962</v>
      </c>
      <c r="H1046">
        <v>524.72</v>
      </c>
      <c r="I1046">
        <v>49.55</v>
      </c>
      <c r="J1046">
        <f>IFERROR(INDEX(Suppliar[Estimated Carbon Footprint (tons CO₂e)],MATCH('Merge operational &amp; suppliar'!A1046,Suppliar[Facility ID],0)),"")</f>
        <v>991.36</v>
      </c>
      <c r="K1046">
        <f>IFERROR(INDEX(Suppliar[Income Distribution (%)],MATCH('Merge operational &amp; suppliar'!A1046,Suppliar[Facility ID],0)),"")</f>
        <v>18.28</v>
      </c>
    </row>
    <row r="1047" spans="1:11" x14ac:dyDescent="0.3">
      <c r="A1047" t="s">
        <v>155</v>
      </c>
      <c r="B1047" t="s">
        <v>7</v>
      </c>
      <c r="C1047" t="s">
        <v>13</v>
      </c>
      <c r="D1047" t="s">
        <v>28</v>
      </c>
      <c r="E1047" t="s">
        <v>15</v>
      </c>
      <c r="F1047">
        <v>284.04000000000002</v>
      </c>
      <c r="G1047">
        <v>72224</v>
      </c>
      <c r="H1047">
        <v>1613.32</v>
      </c>
      <c r="I1047">
        <v>39.21</v>
      </c>
      <c r="J1047">
        <f>IFERROR(INDEX(Suppliar[Estimated Carbon Footprint (tons CO₂e)],MATCH('Merge operational &amp; suppliar'!A1047,Suppliar[Facility ID],0)),"")</f>
        <v>111.84</v>
      </c>
      <c r="K1047">
        <f>IFERROR(INDEX(Suppliar[Income Distribution (%)],MATCH('Merge operational &amp; suppliar'!A1047,Suppliar[Facility ID],0)),"")</f>
        <v>28.69</v>
      </c>
    </row>
    <row r="1048" spans="1:11" x14ac:dyDescent="0.3">
      <c r="A1048" t="s">
        <v>200</v>
      </c>
      <c r="B1048" t="s">
        <v>30</v>
      </c>
      <c r="C1048" t="s">
        <v>8</v>
      </c>
      <c r="D1048" t="s">
        <v>9</v>
      </c>
      <c r="E1048" t="s">
        <v>24</v>
      </c>
      <c r="F1048">
        <v>3725.85</v>
      </c>
      <c r="G1048">
        <v>46863</v>
      </c>
      <c r="H1048">
        <v>6762.98</v>
      </c>
      <c r="I1048">
        <v>23.45</v>
      </c>
      <c r="J1048">
        <f>IFERROR(INDEX(Suppliar[Estimated Carbon Footprint (tons CO₂e)],MATCH('Merge operational &amp; suppliar'!A1048,Suppliar[Facility ID],0)),"")</f>
        <v>231.68</v>
      </c>
      <c r="K1048">
        <f>IFERROR(INDEX(Suppliar[Income Distribution (%)],MATCH('Merge operational &amp; suppliar'!A1048,Suppliar[Facility ID],0)),"")</f>
        <v>35.92</v>
      </c>
    </row>
    <row r="1049" spans="1:11" x14ac:dyDescent="0.3">
      <c r="A1049" t="s">
        <v>191</v>
      </c>
      <c r="B1049" t="s">
        <v>12</v>
      </c>
      <c r="C1049" t="s">
        <v>13</v>
      </c>
      <c r="D1049" t="s">
        <v>28</v>
      </c>
      <c r="E1049" t="s">
        <v>24</v>
      </c>
      <c r="F1049">
        <v>324.83999999999997</v>
      </c>
      <c r="G1049">
        <v>43346</v>
      </c>
      <c r="H1049">
        <v>5559.12</v>
      </c>
      <c r="I1049">
        <v>39.4</v>
      </c>
      <c r="J1049">
        <f>IFERROR(INDEX(Suppliar[Estimated Carbon Footprint (tons CO₂e)],MATCH('Merge operational &amp; suppliar'!A1049,Suppliar[Facility ID],0)),"")</f>
        <v>571.88</v>
      </c>
      <c r="K1049">
        <f>IFERROR(INDEX(Suppliar[Income Distribution (%)],MATCH('Merge operational &amp; suppliar'!A1049,Suppliar[Facility ID],0)),"")</f>
        <v>32.18</v>
      </c>
    </row>
    <row r="1050" spans="1:11" x14ac:dyDescent="0.3">
      <c r="A1050" t="s">
        <v>51</v>
      </c>
      <c r="B1050" t="s">
        <v>30</v>
      </c>
      <c r="C1050" t="s">
        <v>13</v>
      </c>
      <c r="D1050" t="s">
        <v>28</v>
      </c>
      <c r="E1050" t="s">
        <v>24</v>
      </c>
      <c r="F1050">
        <v>574.69000000000005</v>
      </c>
      <c r="G1050">
        <v>44164</v>
      </c>
      <c r="H1050">
        <v>3869.32</v>
      </c>
      <c r="I1050">
        <v>13.81</v>
      </c>
      <c r="J1050">
        <f>IFERROR(INDEX(Suppliar[Estimated Carbon Footprint (tons CO₂e)],MATCH('Merge operational &amp; suppliar'!A1050,Suppliar[Facility ID],0)),"")</f>
        <v>943.59</v>
      </c>
      <c r="K1050">
        <f>IFERROR(INDEX(Suppliar[Income Distribution (%)],MATCH('Merge operational &amp; suppliar'!A1050,Suppliar[Facility ID],0)),"")</f>
        <v>16.02</v>
      </c>
    </row>
    <row r="1051" spans="1:11" x14ac:dyDescent="0.3">
      <c r="A1051" t="s">
        <v>198</v>
      </c>
      <c r="B1051" t="s">
        <v>12</v>
      </c>
      <c r="C1051" t="s">
        <v>34</v>
      </c>
      <c r="D1051" t="s">
        <v>9</v>
      </c>
      <c r="E1051" t="s">
        <v>24</v>
      </c>
      <c r="F1051">
        <v>3034.33</v>
      </c>
      <c r="G1051">
        <v>58113</v>
      </c>
      <c r="H1051">
        <v>6382.12</v>
      </c>
      <c r="I1051">
        <v>56.66</v>
      </c>
      <c r="J1051">
        <f>IFERROR(INDEX(Suppliar[Estimated Carbon Footprint (tons CO₂e)],MATCH('Merge operational &amp; suppliar'!A1051,Suppliar[Facility ID],0)),"")</f>
        <v>431.16</v>
      </c>
      <c r="K1051">
        <f>IFERROR(INDEX(Suppliar[Income Distribution (%)],MATCH('Merge operational &amp; suppliar'!A1051,Suppliar[Facility ID],0)),"")</f>
        <v>48.25</v>
      </c>
    </row>
    <row r="1052" spans="1:11" x14ac:dyDescent="0.3">
      <c r="A1052" t="s">
        <v>116</v>
      </c>
      <c r="B1052" t="s">
        <v>17</v>
      </c>
      <c r="C1052" t="s">
        <v>34</v>
      </c>
      <c r="D1052" t="s">
        <v>28</v>
      </c>
      <c r="E1052" t="s">
        <v>24</v>
      </c>
      <c r="F1052">
        <v>169.73</v>
      </c>
      <c r="G1052">
        <v>68216</v>
      </c>
      <c r="H1052">
        <v>9562.33</v>
      </c>
      <c r="I1052">
        <v>63.59</v>
      </c>
      <c r="J1052">
        <f>IFERROR(INDEX(Suppliar[Estimated Carbon Footprint (tons CO₂e)],MATCH('Merge operational &amp; suppliar'!A1052,Suppliar[Facility ID],0)),"")</f>
        <v>830.73</v>
      </c>
      <c r="K1052">
        <f>IFERROR(INDEX(Suppliar[Income Distribution (%)],MATCH('Merge operational &amp; suppliar'!A1052,Suppliar[Facility ID],0)),"")</f>
        <v>46.68</v>
      </c>
    </row>
    <row r="1053" spans="1:11" x14ac:dyDescent="0.3">
      <c r="A1053" t="s">
        <v>142</v>
      </c>
      <c r="B1053" t="s">
        <v>17</v>
      </c>
      <c r="C1053" t="s">
        <v>13</v>
      </c>
      <c r="D1053" t="s">
        <v>14</v>
      </c>
      <c r="E1053" t="s">
        <v>24</v>
      </c>
      <c r="F1053">
        <v>1309.6199999999999</v>
      </c>
      <c r="G1053">
        <v>75736</v>
      </c>
      <c r="H1053">
        <v>6287.07</v>
      </c>
      <c r="I1053">
        <v>63.11</v>
      </c>
      <c r="J1053">
        <f>IFERROR(INDEX(Suppliar[Estimated Carbon Footprint (tons CO₂e)],MATCH('Merge operational &amp; suppliar'!A1053,Suppliar[Facility ID],0)),"")</f>
        <v>851.48</v>
      </c>
      <c r="K1053">
        <f>IFERROR(INDEX(Suppliar[Income Distribution (%)],MATCH('Merge operational &amp; suppliar'!A1053,Suppliar[Facility ID],0)),"")</f>
        <v>25.39</v>
      </c>
    </row>
    <row r="1054" spans="1:11" x14ac:dyDescent="0.3">
      <c r="A1054" t="s">
        <v>149</v>
      </c>
      <c r="B1054" t="s">
        <v>17</v>
      </c>
      <c r="C1054" t="s">
        <v>8</v>
      </c>
      <c r="D1054" t="s">
        <v>28</v>
      </c>
      <c r="E1054" t="s">
        <v>24</v>
      </c>
      <c r="F1054">
        <v>2624.96</v>
      </c>
      <c r="G1054">
        <v>49885</v>
      </c>
      <c r="H1054">
        <v>6845.46</v>
      </c>
      <c r="I1054">
        <v>58.4</v>
      </c>
      <c r="J1054">
        <f>IFERROR(INDEX(Suppliar[Estimated Carbon Footprint (tons CO₂e)],MATCH('Merge operational &amp; suppliar'!A1054,Suppliar[Facility ID],0)),"")</f>
        <v>341.24</v>
      </c>
      <c r="K1054">
        <f>IFERROR(INDEX(Suppliar[Income Distribution (%)],MATCH('Merge operational &amp; suppliar'!A1054,Suppliar[Facility ID],0)),"")</f>
        <v>19.309999999999999</v>
      </c>
    </row>
    <row r="1055" spans="1:11" x14ac:dyDescent="0.3">
      <c r="A1055" t="s">
        <v>113</v>
      </c>
      <c r="B1055" t="s">
        <v>30</v>
      </c>
      <c r="C1055" t="s">
        <v>8</v>
      </c>
      <c r="D1055" t="s">
        <v>14</v>
      </c>
      <c r="E1055" t="s">
        <v>15</v>
      </c>
      <c r="F1055">
        <v>1753.99</v>
      </c>
      <c r="G1055">
        <v>90679</v>
      </c>
      <c r="H1055">
        <v>7266.82</v>
      </c>
      <c r="I1055">
        <v>23.3</v>
      </c>
      <c r="J1055">
        <f>IFERROR(INDEX(Suppliar[Estimated Carbon Footprint (tons CO₂e)],MATCH('Merge operational &amp; suppliar'!A1055,Suppliar[Facility ID],0)),"")</f>
        <v>943.59</v>
      </c>
      <c r="K1055">
        <f>IFERROR(INDEX(Suppliar[Income Distribution (%)],MATCH('Merge operational &amp; suppliar'!A1055,Suppliar[Facility ID],0)),"")</f>
        <v>15.81</v>
      </c>
    </row>
    <row r="1056" spans="1:11" x14ac:dyDescent="0.3">
      <c r="A1056" t="s">
        <v>94</v>
      </c>
      <c r="B1056" t="s">
        <v>7</v>
      </c>
      <c r="C1056" t="s">
        <v>13</v>
      </c>
      <c r="D1056" t="s">
        <v>9</v>
      </c>
      <c r="E1056" t="s">
        <v>10</v>
      </c>
      <c r="F1056">
        <v>4506.3500000000004</v>
      </c>
      <c r="G1056">
        <v>26338</v>
      </c>
      <c r="H1056">
        <v>578.73</v>
      </c>
      <c r="I1056">
        <v>72.52</v>
      </c>
      <c r="J1056">
        <f>IFERROR(INDEX(Suppliar[Estimated Carbon Footprint (tons CO₂e)],MATCH('Merge operational &amp; suppliar'!A1056,Suppliar[Facility ID],0)),"")</f>
        <v>991.36</v>
      </c>
      <c r="K1056">
        <f>IFERROR(INDEX(Suppliar[Income Distribution (%)],MATCH('Merge operational &amp; suppliar'!A1056,Suppliar[Facility ID],0)),"")</f>
        <v>35.39</v>
      </c>
    </row>
    <row r="1057" spans="1:11" x14ac:dyDescent="0.3">
      <c r="A1057" t="s">
        <v>154</v>
      </c>
      <c r="B1057" t="s">
        <v>12</v>
      </c>
      <c r="C1057" t="s">
        <v>13</v>
      </c>
      <c r="D1057" t="s">
        <v>9</v>
      </c>
      <c r="E1057" t="s">
        <v>24</v>
      </c>
      <c r="F1057">
        <v>1399.94</v>
      </c>
      <c r="G1057">
        <v>87012</v>
      </c>
      <c r="H1057">
        <v>7478.13</v>
      </c>
      <c r="I1057">
        <v>27.22</v>
      </c>
      <c r="J1057">
        <f>IFERROR(INDEX(Suppliar[Estimated Carbon Footprint (tons CO₂e)],MATCH('Merge operational &amp; suppliar'!A1057,Suppliar[Facility ID],0)),"")</f>
        <v>579.80999999999995</v>
      </c>
      <c r="K1057">
        <f>IFERROR(INDEX(Suppliar[Income Distribution (%)],MATCH('Merge operational &amp; suppliar'!A1057,Suppliar[Facility ID],0)),"")</f>
        <v>28.6</v>
      </c>
    </row>
    <row r="1058" spans="1:11" x14ac:dyDescent="0.3">
      <c r="A1058" t="s">
        <v>103</v>
      </c>
      <c r="B1058" t="s">
        <v>19</v>
      </c>
      <c r="C1058" t="s">
        <v>23</v>
      </c>
      <c r="D1058" t="s">
        <v>9</v>
      </c>
      <c r="E1058" t="s">
        <v>15</v>
      </c>
      <c r="F1058">
        <v>3722.06</v>
      </c>
      <c r="G1058">
        <v>38869</v>
      </c>
      <c r="H1058">
        <v>5109.76</v>
      </c>
      <c r="I1058">
        <v>35.270000000000003</v>
      </c>
      <c r="J1058">
        <f>IFERROR(INDEX(Suppliar[Estimated Carbon Footprint (tons CO₂e)],MATCH('Merge operational &amp; suppliar'!A1058,Suppliar[Facility ID],0)),"")</f>
        <v>986.62</v>
      </c>
      <c r="K1058">
        <f>IFERROR(INDEX(Suppliar[Income Distribution (%)],MATCH('Merge operational &amp; suppliar'!A1058,Suppliar[Facility ID],0)),"")</f>
        <v>40.86</v>
      </c>
    </row>
    <row r="1059" spans="1:11" x14ac:dyDescent="0.3">
      <c r="A1059" t="s">
        <v>66</v>
      </c>
      <c r="B1059" t="s">
        <v>30</v>
      </c>
      <c r="C1059" t="s">
        <v>23</v>
      </c>
      <c r="D1059" t="s">
        <v>9</v>
      </c>
      <c r="E1059" t="s">
        <v>24</v>
      </c>
      <c r="F1059">
        <v>4854.66</v>
      </c>
      <c r="G1059">
        <v>98396</v>
      </c>
      <c r="H1059">
        <v>5174.07</v>
      </c>
      <c r="I1059">
        <v>63.38</v>
      </c>
      <c r="J1059">
        <f>IFERROR(INDEX(Suppliar[Estimated Carbon Footprint (tons CO₂e)],MATCH('Merge operational &amp; suppliar'!A1059,Suppliar[Facility ID],0)),"")</f>
        <v>714.03</v>
      </c>
      <c r="K1059">
        <f>IFERROR(INDEX(Suppliar[Income Distribution (%)],MATCH('Merge operational &amp; suppliar'!A1059,Suppliar[Facility ID],0)),"")</f>
        <v>36.89</v>
      </c>
    </row>
    <row r="1060" spans="1:11" x14ac:dyDescent="0.3">
      <c r="A1060" t="s">
        <v>168</v>
      </c>
      <c r="B1060" t="s">
        <v>17</v>
      </c>
      <c r="C1060" t="s">
        <v>13</v>
      </c>
      <c r="D1060" t="s">
        <v>9</v>
      </c>
      <c r="E1060" t="s">
        <v>24</v>
      </c>
      <c r="F1060">
        <v>3995.71</v>
      </c>
      <c r="G1060">
        <v>41050</v>
      </c>
      <c r="H1060">
        <v>6025.84</v>
      </c>
      <c r="I1060">
        <v>53.53</v>
      </c>
      <c r="J1060">
        <f>IFERROR(INDEX(Suppliar[Estimated Carbon Footprint (tons CO₂e)],MATCH('Merge operational &amp; suppliar'!A1060,Suppliar[Facility ID],0)),"")</f>
        <v>289.77</v>
      </c>
      <c r="K1060">
        <f>IFERROR(INDEX(Suppliar[Income Distribution (%)],MATCH('Merge operational &amp; suppliar'!A1060,Suppliar[Facility ID],0)),"")</f>
        <v>19.260000000000002</v>
      </c>
    </row>
    <row r="1061" spans="1:11" x14ac:dyDescent="0.3">
      <c r="A1061" t="s">
        <v>183</v>
      </c>
      <c r="B1061" t="s">
        <v>7</v>
      </c>
      <c r="C1061" t="s">
        <v>23</v>
      </c>
      <c r="D1061" t="s">
        <v>9</v>
      </c>
      <c r="E1061" t="s">
        <v>10</v>
      </c>
      <c r="F1061">
        <v>1233.93</v>
      </c>
      <c r="G1061">
        <v>14009</v>
      </c>
      <c r="H1061">
        <v>7528.98</v>
      </c>
      <c r="I1061">
        <v>77.62</v>
      </c>
      <c r="J1061">
        <f>IFERROR(INDEX(Suppliar[Estimated Carbon Footprint (tons CO₂e)],MATCH('Merge operational &amp; suppliar'!A1061,Suppliar[Facility ID],0)),"")</f>
        <v>763.97</v>
      </c>
      <c r="K1061">
        <f>IFERROR(INDEX(Suppliar[Income Distribution (%)],MATCH('Merge operational &amp; suppliar'!A1061,Suppliar[Facility ID],0)),"")</f>
        <v>24.91</v>
      </c>
    </row>
    <row r="1062" spans="1:11" x14ac:dyDescent="0.3">
      <c r="A1062" t="s">
        <v>159</v>
      </c>
      <c r="B1062" t="s">
        <v>7</v>
      </c>
      <c r="C1062" t="s">
        <v>23</v>
      </c>
      <c r="D1062" t="s">
        <v>14</v>
      </c>
      <c r="E1062" t="s">
        <v>15</v>
      </c>
      <c r="F1062">
        <v>2802.78</v>
      </c>
      <c r="G1062">
        <v>47727</v>
      </c>
      <c r="H1062">
        <v>8907.33</v>
      </c>
      <c r="I1062">
        <v>47.4</v>
      </c>
      <c r="J1062">
        <f>IFERROR(INDEX(Suppliar[Estimated Carbon Footprint (tons CO₂e)],MATCH('Merge operational &amp; suppliar'!A1062,Suppliar[Facility ID],0)),"")</f>
        <v>344.93</v>
      </c>
      <c r="K1062">
        <f>IFERROR(INDEX(Suppliar[Income Distribution (%)],MATCH('Merge operational &amp; suppliar'!A1062,Suppliar[Facility ID],0)),"")</f>
        <v>43.18</v>
      </c>
    </row>
    <row r="1063" spans="1:11" x14ac:dyDescent="0.3">
      <c r="A1063" t="s">
        <v>211</v>
      </c>
      <c r="B1063" t="s">
        <v>7</v>
      </c>
      <c r="C1063" t="s">
        <v>8</v>
      </c>
      <c r="D1063" t="s">
        <v>14</v>
      </c>
      <c r="E1063" t="s">
        <v>15</v>
      </c>
      <c r="F1063">
        <v>2330.0300000000002</v>
      </c>
      <c r="G1063">
        <v>27028</v>
      </c>
      <c r="H1063">
        <v>4617.92</v>
      </c>
      <c r="I1063">
        <v>57.62</v>
      </c>
      <c r="J1063">
        <f>IFERROR(INDEX(Suppliar[Estimated Carbon Footprint (tons CO₂e)],MATCH('Merge operational &amp; suppliar'!A1063,Suppliar[Facility ID],0)),"")</f>
        <v>780.4</v>
      </c>
      <c r="K1063">
        <f>IFERROR(INDEX(Suppliar[Income Distribution (%)],MATCH('Merge operational &amp; suppliar'!A1063,Suppliar[Facility ID],0)),"")</f>
        <v>24.87</v>
      </c>
    </row>
    <row r="1064" spans="1:11" x14ac:dyDescent="0.3">
      <c r="A1064" t="s">
        <v>214</v>
      </c>
      <c r="B1064" t="s">
        <v>30</v>
      </c>
      <c r="C1064" t="s">
        <v>8</v>
      </c>
      <c r="D1064" t="s">
        <v>28</v>
      </c>
      <c r="E1064" t="s">
        <v>24</v>
      </c>
      <c r="F1064">
        <v>4895.2700000000004</v>
      </c>
      <c r="G1064">
        <v>79330</v>
      </c>
      <c r="H1064">
        <v>6075.23</v>
      </c>
      <c r="I1064">
        <v>83.97</v>
      </c>
      <c r="J1064">
        <f>IFERROR(INDEX(Suppliar[Estimated Carbon Footprint (tons CO₂e)],MATCH('Merge operational &amp; suppliar'!A1064,Suppliar[Facility ID],0)),"")</f>
        <v>209.33</v>
      </c>
      <c r="K1064">
        <f>IFERROR(INDEX(Suppliar[Income Distribution (%)],MATCH('Merge operational &amp; suppliar'!A1064,Suppliar[Facility ID],0)),"")</f>
        <v>13.62</v>
      </c>
    </row>
    <row r="1065" spans="1:11" x14ac:dyDescent="0.3">
      <c r="A1065" t="s">
        <v>52</v>
      </c>
      <c r="B1065" t="s">
        <v>19</v>
      </c>
      <c r="C1065" t="s">
        <v>13</v>
      </c>
      <c r="D1065" t="s">
        <v>14</v>
      </c>
      <c r="E1065" t="s">
        <v>24</v>
      </c>
      <c r="F1065">
        <v>804.58</v>
      </c>
      <c r="G1065">
        <v>94949</v>
      </c>
      <c r="H1065">
        <v>9714.76</v>
      </c>
      <c r="I1065">
        <v>64.900000000000006</v>
      </c>
      <c r="J1065">
        <f>IFERROR(INDEX(Suppliar[Estimated Carbon Footprint (tons CO₂e)],MATCH('Merge operational &amp; suppliar'!A1065,Suppliar[Facility ID],0)),"")</f>
        <v>241.41</v>
      </c>
      <c r="K1065">
        <f>IFERROR(INDEX(Suppliar[Income Distribution (%)],MATCH('Merge operational &amp; suppliar'!A1065,Suppliar[Facility ID],0)),"")</f>
        <v>20.62</v>
      </c>
    </row>
    <row r="1066" spans="1:11" x14ac:dyDescent="0.3">
      <c r="A1066" t="s">
        <v>61</v>
      </c>
      <c r="B1066" t="s">
        <v>30</v>
      </c>
      <c r="C1066" t="s">
        <v>13</v>
      </c>
      <c r="D1066" t="s">
        <v>9</v>
      </c>
      <c r="E1066" t="s">
        <v>10</v>
      </c>
      <c r="F1066">
        <v>5233.95</v>
      </c>
      <c r="G1066">
        <v>95718</v>
      </c>
      <c r="H1066">
        <v>2443.12</v>
      </c>
      <c r="I1066">
        <v>35.49</v>
      </c>
      <c r="J1066">
        <f>IFERROR(INDEX(Suppliar[Estimated Carbon Footprint (tons CO₂e)],MATCH('Merge operational &amp; suppliar'!A1066,Suppliar[Facility ID],0)),"")</f>
        <v>818.45</v>
      </c>
      <c r="K1066">
        <f>IFERROR(INDEX(Suppliar[Income Distribution (%)],MATCH('Merge operational &amp; suppliar'!A1066,Suppliar[Facility ID],0)),"")</f>
        <v>9.9499999999999993</v>
      </c>
    </row>
    <row r="1067" spans="1:11" x14ac:dyDescent="0.3">
      <c r="A1067" t="s">
        <v>182</v>
      </c>
      <c r="B1067" t="s">
        <v>12</v>
      </c>
      <c r="C1067" t="s">
        <v>23</v>
      </c>
      <c r="D1067" t="s">
        <v>14</v>
      </c>
      <c r="E1067" t="s">
        <v>10</v>
      </c>
      <c r="F1067">
        <v>2997.09</v>
      </c>
      <c r="G1067">
        <v>21081</v>
      </c>
      <c r="H1067">
        <v>9001.77</v>
      </c>
      <c r="I1067">
        <v>49.27</v>
      </c>
      <c r="J1067">
        <f>IFERROR(INDEX(Suppliar[Estimated Carbon Footprint (tons CO₂e)],MATCH('Merge operational &amp; suppliar'!A1067,Suppliar[Facility ID],0)),"")</f>
        <v>114.57</v>
      </c>
      <c r="K1067">
        <f>IFERROR(INDEX(Suppliar[Income Distribution (%)],MATCH('Merge operational &amp; suppliar'!A1067,Suppliar[Facility ID],0)),"")</f>
        <v>44.17</v>
      </c>
    </row>
    <row r="1068" spans="1:11" x14ac:dyDescent="0.3">
      <c r="A1068" t="s">
        <v>161</v>
      </c>
      <c r="B1068" t="s">
        <v>7</v>
      </c>
      <c r="C1068" t="s">
        <v>8</v>
      </c>
      <c r="D1068" t="s">
        <v>9</v>
      </c>
      <c r="E1068" t="s">
        <v>10</v>
      </c>
      <c r="F1068">
        <v>964.92</v>
      </c>
      <c r="G1068">
        <v>15788</v>
      </c>
      <c r="H1068">
        <v>1824.14</v>
      </c>
      <c r="I1068">
        <v>52.78</v>
      </c>
      <c r="J1068">
        <f>IFERROR(INDEX(Suppliar[Estimated Carbon Footprint (tons CO₂e)],MATCH('Merge operational &amp; suppliar'!A1068,Suppliar[Facility ID],0)),"")</f>
        <v>571.88</v>
      </c>
      <c r="K1068">
        <f>IFERROR(INDEX(Suppliar[Income Distribution (%)],MATCH('Merge operational &amp; suppliar'!A1068,Suppliar[Facility ID],0)),"")</f>
        <v>8.17</v>
      </c>
    </row>
    <row r="1069" spans="1:11" x14ac:dyDescent="0.3">
      <c r="A1069" t="s">
        <v>180</v>
      </c>
      <c r="B1069" t="s">
        <v>30</v>
      </c>
      <c r="C1069" t="s">
        <v>8</v>
      </c>
      <c r="D1069" t="s">
        <v>9</v>
      </c>
      <c r="E1069" t="s">
        <v>24</v>
      </c>
      <c r="F1069">
        <v>3145.31</v>
      </c>
      <c r="G1069">
        <v>72846</v>
      </c>
      <c r="H1069">
        <v>5169.53</v>
      </c>
      <c r="I1069">
        <v>76.709999999999994</v>
      </c>
      <c r="J1069" t="str">
        <f>IFERROR(INDEX(Suppliar[Estimated Carbon Footprint (tons CO₂e)],MATCH('Merge operational &amp; suppliar'!A1069,Suppliar[Facility ID],0)),"")</f>
        <v/>
      </c>
      <c r="K1069" t="str">
        <f>IFERROR(INDEX(Suppliar[Income Distribution (%)],MATCH('Merge operational &amp; suppliar'!A1069,Suppliar[Facility ID],0)),"")</f>
        <v/>
      </c>
    </row>
    <row r="1070" spans="1:11" x14ac:dyDescent="0.3">
      <c r="A1070" t="s">
        <v>38</v>
      </c>
      <c r="B1070" t="s">
        <v>30</v>
      </c>
      <c r="C1070" t="s">
        <v>13</v>
      </c>
      <c r="D1070" t="s">
        <v>28</v>
      </c>
      <c r="E1070" t="s">
        <v>15</v>
      </c>
      <c r="F1070">
        <v>2135.2800000000002</v>
      </c>
      <c r="G1070">
        <v>57215</v>
      </c>
      <c r="H1070">
        <v>3227.1</v>
      </c>
      <c r="I1070">
        <v>32.909999999999997</v>
      </c>
      <c r="J1070">
        <f>IFERROR(INDEX(Suppliar[Estimated Carbon Footprint (tons CO₂e)],MATCH('Merge operational &amp; suppliar'!A1070,Suppliar[Facility ID],0)),"")</f>
        <v>951.35</v>
      </c>
      <c r="K1070">
        <f>IFERROR(INDEX(Suppliar[Income Distribution (%)],MATCH('Merge operational &amp; suppliar'!A1070,Suppliar[Facility ID],0)),"")</f>
        <v>33.299999999999997</v>
      </c>
    </row>
    <row r="1071" spans="1:11" x14ac:dyDescent="0.3">
      <c r="A1071" t="s">
        <v>128</v>
      </c>
      <c r="B1071" t="s">
        <v>12</v>
      </c>
      <c r="C1071" t="s">
        <v>34</v>
      </c>
      <c r="D1071" t="s">
        <v>9</v>
      </c>
      <c r="E1071" t="s">
        <v>24</v>
      </c>
      <c r="F1071">
        <v>4359.51</v>
      </c>
      <c r="G1071">
        <v>29406</v>
      </c>
      <c r="H1071">
        <v>5281.69</v>
      </c>
      <c r="I1071">
        <v>27.01</v>
      </c>
      <c r="J1071">
        <f>IFERROR(INDEX(Suppliar[Estimated Carbon Footprint (tons CO₂e)],MATCH('Merge operational &amp; suppliar'!A1071,Suppliar[Facility ID],0)),"")</f>
        <v>231.68</v>
      </c>
      <c r="K1071">
        <f>IFERROR(INDEX(Suppliar[Income Distribution (%)],MATCH('Merge operational &amp; suppliar'!A1071,Suppliar[Facility ID],0)),"")</f>
        <v>13.88</v>
      </c>
    </row>
    <row r="1072" spans="1:11" x14ac:dyDescent="0.3">
      <c r="A1072" t="s">
        <v>99</v>
      </c>
      <c r="B1072" t="s">
        <v>19</v>
      </c>
      <c r="C1072" t="s">
        <v>23</v>
      </c>
      <c r="D1072" t="s">
        <v>14</v>
      </c>
      <c r="E1072" t="s">
        <v>15</v>
      </c>
      <c r="F1072">
        <v>4094.25</v>
      </c>
      <c r="G1072">
        <v>77400</v>
      </c>
      <c r="H1072">
        <v>7504.8</v>
      </c>
      <c r="I1072">
        <v>68.819999999999993</v>
      </c>
      <c r="J1072" t="str">
        <f>IFERROR(INDEX(Suppliar[Estimated Carbon Footprint (tons CO₂e)],MATCH('Merge operational &amp; suppliar'!A1072,Suppliar[Facility ID],0)),"")</f>
        <v/>
      </c>
      <c r="K1072" t="str">
        <f>IFERROR(INDEX(Suppliar[Income Distribution (%)],MATCH('Merge operational &amp; suppliar'!A1072,Suppliar[Facility ID],0)),"")</f>
        <v/>
      </c>
    </row>
    <row r="1073" spans="1:11" x14ac:dyDescent="0.3">
      <c r="A1073" t="s">
        <v>183</v>
      </c>
      <c r="B1073" t="s">
        <v>7</v>
      </c>
      <c r="C1073" t="s">
        <v>34</v>
      </c>
      <c r="D1073" t="s">
        <v>9</v>
      </c>
      <c r="E1073" t="s">
        <v>15</v>
      </c>
      <c r="F1073">
        <v>1200.6199999999999</v>
      </c>
      <c r="G1073">
        <v>14009</v>
      </c>
      <c r="H1073">
        <v>7528.98</v>
      </c>
      <c r="I1073">
        <v>77.62</v>
      </c>
      <c r="J1073">
        <f>IFERROR(INDEX(Suppliar[Estimated Carbon Footprint (tons CO₂e)],MATCH('Merge operational &amp; suppliar'!A1073,Suppliar[Facility ID],0)),"")</f>
        <v>763.97</v>
      </c>
      <c r="K1073">
        <f>IFERROR(INDEX(Suppliar[Income Distribution (%)],MATCH('Merge operational &amp; suppliar'!A1073,Suppliar[Facility ID],0)),"")</f>
        <v>24.91</v>
      </c>
    </row>
    <row r="1074" spans="1:11" x14ac:dyDescent="0.3">
      <c r="A1074" t="s">
        <v>205</v>
      </c>
      <c r="B1074" t="s">
        <v>17</v>
      </c>
      <c r="C1074" t="s">
        <v>23</v>
      </c>
      <c r="D1074" t="s">
        <v>9</v>
      </c>
      <c r="E1074" t="s">
        <v>24</v>
      </c>
      <c r="F1074">
        <v>2599.94</v>
      </c>
      <c r="G1074">
        <v>52594</v>
      </c>
      <c r="H1074">
        <v>8715.0400000000009</v>
      </c>
      <c r="I1074">
        <v>90.54</v>
      </c>
      <c r="J1074">
        <f>IFERROR(INDEX(Suppliar[Estimated Carbon Footprint (tons CO₂e)],MATCH('Merge operational &amp; suppliar'!A1074,Suppliar[Facility ID],0)),"")</f>
        <v>553.44000000000005</v>
      </c>
      <c r="K1074">
        <f>IFERROR(INDEX(Suppliar[Income Distribution (%)],MATCH('Merge operational &amp; suppliar'!A1074,Suppliar[Facility ID],0)),"")</f>
        <v>23.44</v>
      </c>
    </row>
    <row r="1075" spans="1:11" x14ac:dyDescent="0.3">
      <c r="A1075" t="s">
        <v>199</v>
      </c>
      <c r="B1075" t="s">
        <v>17</v>
      </c>
      <c r="C1075" t="s">
        <v>34</v>
      </c>
      <c r="D1075" t="s">
        <v>14</v>
      </c>
      <c r="E1075" t="s">
        <v>10</v>
      </c>
      <c r="F1075">
        <v>3672.52</v>
      </c>
      <c r="G1075">
        <v>77317</v>
      </c>
      <c r="H1075">
        <v>4862.95</v>
      </c>
      <c r="I1075">
        <v>89.78</v>
      </c>
      <c r="J1075">
        <f>IFERROR(INDEX(Suppliar[Estimated Carbon Footprint (tons CO₂e)],MATCH('Merge operational &amp; suppliar'!A1075,Suppliar[Facility ID],0)),"")</f>
        <v>960.4</v>
      </c>
      <c r="K1075">
        <f>IFERROR(INDEX(Suppliar[Income Distribution (%)],MATCH('Merge operational &amp; suppliar'!A1075,Suppliar[Facility ID],0)),"")</f>
        <v>31.34</v>
      </c>
    </row>
    <row r="1076" spans="1:11" x14ac:dyDescent="0.3">
      <c r="A1076" t="s">
        <v>196</v>
      </c>
      <c r="B1076" t="s">
        <v>30</v>
      </c>
      <c r="C1076" t="s">
        <v>23</v>
      </c>
      <c r="D1076" t="s">
        <v>28</v>
      </c>
      <c r="E1076" t="s">
        <v>24</v>
      </c>
      <c r="F1076">
        <v>787.76</v>
      </c>
      <c r="G1076">
        <v>12262</v>
      </c>
      <c r="H1076">
        <v>7106.18</v>
      </c>
      <c r="I1076">
        <v>45.69</v>
      </c>
      <c r="J1076">
        <f>IFERROR(INDEX(Suppliar[Estimated Carbon Footprint (tons CO₂e)],MATCH('Merge operational &amp; suppliar'!A1076,Suppliar[Facility ID],0)),"")</f>
        <v>459.56</v>
      </c>
      <c r="K1076">
        <f>IFERROR(INDEX(Suppliar[Income Distribution (%)],MATCH('Merge operational &amp; suppliar'!A1076,Suppliar[Facility ID],0)),"")</f>
        <v>29.71</v>
      </c>
    </row>
    <row r="1077" spans="1:11" x14ac:dyDescent="0.3">
      <c r="A1077" t="s">
        <v>154</v>
      </c>
      <c r="B1077" t="s">
        <v>12</v>
      </c>
      <c r="C1077" t="s">
        <v>8</v>
      </c>
      <c r="D1077" t="s">
        <v>14</v>
      </c>
      <c r="E1077" t="s">
        <v>10</v>
      </c>
      <c r="F1077">
        <v>4418.3</v>
      </c>
      <c r="G1077">
        <v>87012</v>
      </c>
      <c r="H1077">
        <v>7478.13</v>
      </c>
      <c r="I1077">
        <v>27.22</v>
      </c>
      <c r="J1077">
        <f>IFERROR(INDEX(Suppliar[Estimated Carbon Footprint (tons CO₂e)],MATCH('Merge operational &amp; suppliar'!A1077,Suppliar[Facility ID],0)),"")</f>
        <v>579.80999999999995</v>
      </c>
      <c r="K1077">
        <f>IFERROR(INDEX(Suppliar[Income Distribution (%)],MATCH('Merge operational &amp; suppliar'!A1077,Suppliar[Facility ID],0)),"")</f>
        <v>28.6</v>
      </c>
    </row>
    <row r="1078" spans="1:11" x14ac:dyDescent="0.3">
      <c r="A1078" t="s">
        <v>145</v>
      </c>
      <c r="B1078" t="s">
        <v>7</v>
      </c>
      <c r="C1078" t="s">
        <v>23</v>
      </c>
      <c r="D1078" t="s">
        <v>28</v>
      </c>
      <c r="E1078" t="s">
        <v>24</v>
      </c>
      <c r="F1078">
        <v>1918.45</v>
      </c>
      <c r="G1078">
        <v>60710</v>
      </c>
      <c r="H1078">
        <v>2726.26</v>
      </c>
      <c r="I1078">
        <v>83.02</v>
      </c>
      <c r="J1078">
        <f>IFERROR(INDEX(Suppliar[Estimated Carbon Footprint (tons CO₂e)],MATCH('Merge operational &amp; suppliar'!A1078,Suppliar[Facility ID],0)),"")</f>
        <v>714.81</v>
      </c>
      <c r="K1078">
        <f>IFERROR(INDEX(Suppliar[Income Distribution (%)],MATCH('Merge operational &amp; suppliar'!A1078,Suppliar[Facility ID],0)),"")</f>
        <v>58.54</v>
      </c>
    </row>
    <row r="1079" spans="1:11" x14ac:dyDescent="0.3">
      <c r="A1079" t="s">
        <v>208</v>
      </c>
      <c r="B1079" t="s">
        <v>19</v>
      </c>
      <c r="C1079" t="s">
        <v>23</v>
      </c>
      <c r="D1079" t="s">
        <v>28</v>
      </c>
      <c r="E1079" t="s">
        <v>10</v>
      </c>
      <c r="F1079">
        <v>4411.78</v>
      </c>
      <c r="G1079">
        <v>40553</v>
      </c>
      <c r="H1079">
        <v>4875.2299999999996</v>
      </c>
      <c r="I1079">
        <v>23.33</v>
      </c>
      <c r="J1079">
        <f>IFERROR(INDEX(Suppliar[Estimated Carbon Footprint (tons CO₂e)],MATCH('Merge operational &amp; suppliar'!A1079,Suppliar[Facility ID],0)),"")</f>
        <v>818.45</v>
      </c>
      <c r="K1079">
        <f>IFERROR(INDEX(Suppliar[Income Distribution (%)],MATCH('Merge operational &amp; suppliar'!A1079,Suppliar[Facility ID],0)),"")</f>
        <v>19.420000000000002</v>
      </c>
    </row>
    <row r="1080" spans="1:11" x14ac:dyDescent="0.3">
      <c r="A1080" t="s">
        <v>177</v>
      </c>
      <c r="B1080" t="s">
        <v>7</v>
      </c>
      <c r="C1080" t="s">
        <v>23</v>
      </c>
      <c r="D1080" t="s">
        <v>9</v>
      </c>
      <c r="E1080" t="s">
        <v>10</v>
      </c>
      <c r="F1080">
        <v>755.84</v>
      </c>
      <c r="G1080">
        <v>17097</v>
      </c>
      <c r="H1080">
        <v>9061.7800000000007</v>
      </c>
      <c r="I1080">
        <v>95.92</v>
      </c>
      <c r="J1080">
        <f>IFERROR(INDEX(Suppliar[Estimated Carbon Footprint (tons CO₂e)],MATCH('Merge operational &amp; suppliar'!A1080,Suppliar[Facility ID],0)),"")</f>
        <v>390.06</v>
      </c>
      <c r="K1080">
        <f>IFERROR(INDEX(Suppliar[Income Distribution (%)],MATCH('Merge operational &amp; suppliar'!A1080,Suppliar[Facility ID],0)),"")</f>
        <v>18.010000000000002</v>
      </c>
    </row>
    <row r="1081" spans="1:11" x14ac:dyDescent="0.3">
      <c r="A1081" t="s">
        <v>166</v>
      </c>
      <c r="B1081" t="s">
        <v>7</v>
      </c>
      <c r="C1081" t="s">
        <v>13</v>
      </c>
      <c r="D1081" t="s">
        <v>9</v>
      </c>
      <c r="E1081" t="s">
        <v>10</v>
      </c>
      <c r="F1081">
        <v>868.51</v>
      </c>
      <c r="G1081">
        <v>34318</v>
      </c>
      <c r="H1081">
        <v>675.67</v>
      </c>
      <c r="I1081">
        <v>41.05</v>
      </c>
      <c r="J1081">
        <f>IFERROR(INDEX(Suppliar[Estimated Carbon Footprint (tons CO₂e)],MATCH('Merge operational &amp; suppliar'!A1081,Suppliar[Facility ID],0)),"")</f>
        <v>390.06</v>
      </c>
      <c r="K1081">
        <f>IFERROR(INDEX(Suppliar[Income Distribution (%)],MATCH('Merge operational &amp; suppliar'!A1081,Suppliar[Facility ID],0)),"")</f>
        <v>27.42</v>
      </c>
    </row>
    <row r="1082" spans="1:11" x14ac:dyDescent="0.3">
      <c r="A1082" t="s">
        <v>26</v>
      </c>
      <c r="B1082" t="s">
        <v>17</v>
      </c>
      <c r="C1082" t="s">
        <v>34</v>
      </c>
      <c r="D1082" t="s">
        <v>14</v>
      </c>
      <c r="E1082" t="s">
        <v>10</v>
      </c>
      <c r="F1082">
        <v>3296.99</v>
      </c>
      <c r="G1082">
        <v>17311</v>
      </c>
      <c r="H1082">
        <v>2257.38</v>
      </c>
      <c r="I1082">
        <v>91.07</v>
      </c>
      <c r="J1082">
        <f>IFERROR(INDEX(Suppliar[Estimated Carbon Footprint (tons CO₂e)],MATCH('Merge operational &amp; suppliar'!A1082,Suppliar[Facility ID],0)),"")</f>
        <v>341.24</v>
      </c>
      <c r="K1082">
        <f>IFERROR(INDEX(Suppliar[Income Distribution (%)],MATCH('Merge operational &amp; suppliar'!A1082,Suppliar[Facility ID],0)),"")</f>
        <v>80.69</v>
      </c>
    </row>
    <row r="1083" spans="1:11" x14ac:dyDescent="0.3">
      <c r="A1083" t="s">
        <v>101</v>
      </c>
      <c r="B1083" t="s">
        <v>19</v>
      </c>
      <c r="C1083" t="s">
        <v>34</v>
      </c>
      <c r="D1083" t="s">
        <v>28</v>
      </c>
      <c r="E1083" t="s">
        <v>24</v>
      </c>
      <c r="F1083">
        <v>4240.42</v>
      </c>
      <c r="G1083">
        <v>39050</v>
      </c>
      <c r="H1083">
        <v>5885.73</v>
      </c>
      <c r="I1083">
        <v>93.04</v>
      </c>
      <c r="J1083">
        <f>IFERROR(INDEX(Suppliar[Estimated Carbon Footprint (tons CO₂e)],MATCH('Merge operational &amp; suppliar'!A1083,Suppliar[Facility ID],0)),"")</f>
        <v>318.55</v>
      </c>
      <c r="K1083">
        <f>IFERROR(INDEX(Suppliar[Income Distribution (%)],MATCH('Merge operational &amp; suppliar'!A1083,Suppliar[Facility ID],0)),"")</f>
        <v>39.81</v>
      </c>
    </row>
    <row r="1084" spans="1:11" x14ac:dyDescent="0.3">
      <c r="A1084" t="s">
        <v>194</v>
      </c>
      <c r="B1084" t="s">
        <v>17</v>
      </c>
      <c r="C1084" t="s">
        <v>13</v>
      </c>
      <c r="D1084" t="s">
        <v>9</v>
      </c>
      <c r="E1084" t="s">
        <v>10</v>
      </c>
      <c r="F1084">
        <v>1409.82</v>
      </c>
      <c r="G1084">
        <v>95165</v>
      </c>
      <c r="H1084">
        <v>8562.76</v>
      </c>
      <c r="I1084">
        <v>37.54</v>
      </c>
      <c r="J1084">
        <f>IFERROR(INDEX(Suppliar[Estimated Carbon Footprint (tons CO₂e)],MATCH('Merge operational &amp; suppliar'!A1084,Suppliar[Facility ID],0)),"")</f>
        <v>479.41</v>
      </c>
      <c r="K1084">
        <f>IFERROR(INDEX(Suppliar[Income Distribution (%)],MATCH('Merge operational &amp; suppliar'!A1084,Suppliar[Facility ID],0)),"")</f>
        <v>13.64</v>
      </c>
    </row>
    <row r="1085" spans="1:11" x14ac:dyDescent="0.3">
      <c r="A1085" t="s">
        <v>122</v>
      </c>
      <c r="B1085" t="s">
        <v>19</v>
      </c>
      <c r="C1085" t="s">
        <v>34</v>
      </c>
      <c r="D1085" t="s">
        <v>14</v>
      </c>
      <c r="E1085" t="s">
        <v>10</v>
      </c>
      <c r="F1085">
        <v>3970.76</v>
      </c>
      <c r="G1085">
        <v>95962</v>
      </c>
      <c r="H1085">
        <v>524.72</v>
      </c>
      <c r="I1085">
        <v>49.55</v>
      </c>
      <c r="J1085">
        <f>IFERROR(INDEX(Suppliar[Estimated Carbon Footprint (tons CO₂e)],MATCH('Merge operational &amp; suppliar'!A1085,Suppliar[Facility ID],0)),"")</f>
        <v>991.36</v>
      </c>
      <c r="K1085">
        <f>IFERROR(INDEX(Suppliar[Income Distribution (%)],MATCH('Merge operational &amp; suppliar'!A1085,Suppliar[Facility ID],0)),"")</f>
        <v>18.28</v>
      </c>
    </row>
    <row r="1086" spans="1:11" x14ac:dyDescent="0.3">
      <c r="A1086" t="s">
        <v>102</v>
      </c>
      <c r="B1086" t="s">
        <v>19</v>
      </c>
      <c r="C1086" t="s">
        <v>8</v>
      </c>
      <c r="D1086" t="s">
        <v>28</v>
      </c>
      <c r="E1086" t="s">
        <v>15</v>
      </c>
      <c r="F1086">
        <v>549.77</v>
      </c>
      <c r="G1086">
        <v>86263</v>
      </c>
      <c r="H1086">
        <v>3213.71</v>
      </c>
      <c r="I1086">
        <v>98.39</v>
      </c>
      <c r="J1086">
        <f>IFERROR(INDEX(Suppliar[Estimated Carbon Footprint (tons CO₂e)],MATCH('Merge operational &amp; suppliar'!A1086,Suppliar[Facility ID],0)),"")</f>
        <v>662.74</v>
      </c>
      <c r="K1086">
        <f>IFERROR(INDEX(Suppliar[Income Distribution (%)],MATCH('Merge operational &amp; suppliar'!A1086,Suppliar[Facility ID],0)),"")</f>
        <v>20.66</v>
      </c>
    </row>
    <row r="1087" spans="1:11" x14ac:dyDescent="0.3">
      <c r="A1087" t="s">
        <v>69</v>
      </c>
      <c r="B1087" t="s">
        <v>7</v>
      </c>
      <c r="C1087" t="s">
        <v>13</v>
      </c>
      <c r="D1087" t="s">
        <v>14</v>
      </c>
      <c r="E1087" t="s">
        <v>10</v>
      </c>
      <c r="F1087">
        <v>104.29</v>
      </c>
      <c r="G1087">
        <v>34725</v>
      </c>
      <c r="H1087">
        <v>3269.89</v>
      </c>
      <c r="I1087">
        <v>78.86</v>
      </c>
      <c r="J1087">
        <f>IFERROR(INDEX(Suppliar[Estimated Carbon Footprint (tons CO₂e)],MATCH('Merge operational &amp; suppliar'!A1087,Suppliar[Facility ID],0)),"")</f>
        <v>436.04</v>
      </c>
      <c r="K1087">
        <f>IFERROR(INDEX(Suppliar[Income Distribution (%)],MATCH('Merge operational &amp; suppliar'!A1087,Suppliar[Facility ID],0)),"")</f>
        <v>31.8</v>
      </c>
    </row>
    <row r="1088" spans="1:11" x14ac:dyDescent="0.3">
      <c r="A1088" t="s">
        <v>212</v>
      </c>
      <c r="B1088" t="s">
        <v>7</v>
      </c>
      <c r="C1088" t="s">
        <v>13</v>
      </c>
      <c r="D1088" t="s">
        <v>14</v>
      </c>
      <c r="E1088" t="s">
        <v>10</v>
      </c>
      <c r="F1088">
        <v>1468.86</v>
      </c>
      <c r="G1088">
        <v>67820</v>
      </c>
      <c r="H1088">
        <v>8177.95</v>
      </c>
      <c r="I1088">
        <v>40.69</v>
      </c>
      <c r="J1088">
        <f>IFERROR(INDEX(Suppliar[Estimated Carbon Footprint (tons CO₂e)],MATCH('Merge operational &amp; suppliar'!A1088,Suppliar[Facility ID],0)),"")</f>
        <v>790.74</v>
      </c>
      <c r="K1088">
        <f>IFERROR(INDEX(Suppliar[Income Distribution (%)],MATCH('Merge operational &amp; suppliar'!A1088,Suppliar[Facility ID],0)),"")</f>
        <v>15.94</v>
      </c>
    </row>
    <row r="1089" spans="1:11" x14ac:dyDescent="0.3">
      <c r="A1089" t="s">
        <v>163</v>
      </c>
      <c r="B1089" t="s">
        <v>19</v>
      </c>
      <c r="C1089" t="s">
        <v>13</v>
      </c>
      <c r="D1089" t="s">
        <v>14</v>
      </c>
      <c r="E1089" t="s">
        <v>15</v>
      </c>
      <c r="F1089">
        <v>2876.13</v>
      </c>
      <c r="G1089">
        <v>87482</v>
      </c>
      <c r="H1089">
        <v>2231.7399999999998</v>
      </c>
      <c r="I1089">
        <v>45.43</v>
      </c>
      <c r="J1089">
        <f>IFERROR(INDEX(Suppliar[Estimated Carbon Footprint (tons CO₂e)],MATCH('Merge operational &amp; suppliar'!A1089,Suppliar[Facility ID],0)),"")</f>
        <v>638.89</v>
      </c>
      <c r="K1089">
        <f>IFERROR(INDEX(Suppliar[Income Distribution (%)],MATCH('Merge operational &amp; suppliar'!A1089,Suppliar[Facility ID],0)),"")</f>
        <v>24.69</v>
      </c>
    </row>
    <row r="1090" spans="1:11" x14ac:dyDescent="0.3">
      <c r="A1090" t="s">
        <v>154</v>
      </c>
      <c r="B1090" t="s">
        <v>12</v>
      </c>
      <c r="C1090" t="s">
        <v>13</v>
      </c>
      <c r="D1090" t="s">
        <v>28</v>
      </c>
      <c r="E1090" t="s">
        <v>24</v>
      </c>
      <c r="F1090">
        <v>1825.34</v>
      </c>
      <c r="G1090">
        <v>87012</v>
      </c>
      <c r="H1090">
        <v>7478.13</v>
      </c>
      <c r="I1090">
        <v>27.22</v>
      </c>
      <c r="J1090">
        <f>IFERROR(INDEX(Suppliar[Estimated Carbon Footprint (tons CO₂e)],MATCH('Merge operational &amp; suppliar'!A1090,Suppliar[Facility ID],0)),"")</f>
        <v>579.80999999999995</v>
      </c>
      <c r="K1090">
        <f>IFERROR(INDEX(Suppliar[Income Distribution (%)],MATCH('Merge operational &amp; suppliar'!A1090,Suppliar[Facility ID],0)),"")</f>
        <v>28.6</v>
      </c>
    </row>
    <row r="1091" spans="1:11" x14ac:dyDescent="0.3">
      <c r="A1091" t="s">
        <v>124</v>
      </c>
      <c r="B1091" t="s">
        <v>12</v>
      </c>
      <c r="C1091" t="s">
        <v>23</v>
      </c>
      <c r="D1091" t="s">
        <v>14</v>
      </c>
      <c r="E1091" t="s">
        <v>15</v>
      </c>
      <c r="F1091">
        <v>3246.39</v>
      </c>
      <c r="G1091">
        <v>47491</v>
      </c>
      <c r="H1091">
        <v>5781.05</v>
      </c>
      <c r="I1091">
        <v>92.18</v>
      </c>
      <c r="J1091">
        <f>IFERROR(INDEX(Suppliar[Estimated Carbon Footprint (tons CO₂e)],MATCH('Merge operational &amp; suppliar'!A1091,Suppliar[Facility ID],0)),"")</f>
        <v>344.93</v>
      </c>
      <c r="K1091">
        <f>IFERROR(INDEX(Suppliar[Income Distribution (%)],MATCH('Merge operational &amp; suppliar'!A1091,Suppliar[Facility ID],0)),"")</f>
        <v>36.229999999999997</v>
      </c>
    </row>
    <row r="1092" spans="1:11" x14ac:dyDescent="0.3">
      <c r="A1092" t="s">
        <v>42</v>
      </c>
      <c r="B1092" t="s">
        <v>30</v>
      </c>
      <c r="C1092" t="s">
        <v>8</v>
      </c>
      <c r="D1092" t="s">
        <v>28</v>
      </c>
      <c r="E1092" t="s">
        <v>10</v>
      </c>
      <c r="F1092">
        <v>1846.98</v>
      </c>
      <c r="G1092">
        <v>41539</v>
      </c>
      <c r="H1092">
        <v>982.8</v>
      </c>
      <c r="I1092">
        <v>79.7</v>
      </c>
      <c r="J1092">
        <f>IFERROR(INDEX(Suppliar[Estimated Carbon Footprint (tons CO₂e)],MATCH('Merge operational &amp; suppliar'!A1092,Suppliar[Facility ID],0)),"")</f>
        <v>851.48</v>
      </c>
      <c r="K1092">
        <f>IFERROR(INDEX(Suppliar[Income Distribution (%)],MATCH('Merge operational &amp; suppliar'!A1092,Suppliar[Facility ID],0)),"")</f>
        <v>13.07</v>
      </c>
    </row>
    <row r="1093" spans="1:11" x14ac:dyDescent="0.3">
      <c r="A1093" t="s">
        <v>134</v>
      </c>
      <c r="B1093" t="s">
        <v>7</v>
      </c>
      <c r="C1093" t="s">
        <v>23</v>
      </c>
      <c r="D1093" t="s">
        <v>14</v>
      </c>
      <c r="E1093" t="s">
        <v>24</v>
      </c>
      <c r="F1093">
        <v>4193.53</v>
      </c>
      <c r="G1093">
        <v>39568</v>
      </c>
      <c r="H1093">
        <v>3580.54</v>
      </c>
      <c r="I1093">
        <v>78.08</v>
      </c>
      <c r="J1093">
        <f>IFERROR(INDEX(Suppliar[Estimated Carbon Footprint (tons CO₂e)],MATCH('Merge operational &amp; suppliar'!A1093,Suppliar[Facility ID],0)),"")</f>
        <v>635.72</v>
      </c>
      <c r="K1093">
        <f>IFERROR(INDEX(Suppliar[Income Distribution (%)],MATCH('Merge operational &amp; suppliar'!A1093,Suppliar[Facility ID],0)),"")</f>
        <v>67.36</v>
      </c>
    </row>
    <row r="1094" spans="1:11" x14ac:dyDescent="0.3">
      <c r="A1094" t="s">
        <v>135</v>
      </c>
      <c r="B1094" t="s">
        <v>12</v>
      </c>
      <c r="C1094" t="s">
        <v>34</v>
      </c>
      <c r="D1094" t="s">
        <v>28</v>
      </c>
      <c r="E1094" t="s">
        <v>10</v>
      </c>
      <c r="F1094">
        <v>1402.57</v>
      </c>
      <c r="G1094">
        <v>39560</v>
      </c>
      <c r="H1094">
        <v>8380.77</v>
      </c>
      <c r="I1094">
        <v>94.01</v>
      </c>
      <c r="J1094" t="str">
        <f>IFERROR(INDEX(Suppliar[Estimated Carbon Footprint (tons CO₂e)],MATCH('Merge operational &amp; suppliar'!A1094,Suppliar[Facility ID],0)),"")</f>
        <v/>
      </c>
      <c r="K1094" t="str">
        <f>IFERROR(INDEX(Suppliar[Income Distribution (%)],MATCH('Merge operational &amp; suppliar'!A1094,Suppliar[Facility ID],0)),"")</f>
        <v/>
      </c>
    </row>
    <row r="1095" spans="1:11" x14ac:dyDescent="0.3">
      <c r="A1095" t="s">
        <v>80</v>
      </c>
      <c r="B1095" t="s">
        <v>17</v>
      </c>
      <c r="C1095" t="s">
        <v>8</v>
      </c>
      <c r="D1095" t="s">
        <v>9</v>
      </c>
      <c r="E1095" t="s">
        <v>10</v>
      </c>
      <c r="F1095">
        <v>2860.15</v>
      </c>
      <c r="G1095">
        <v>75508</v>
      </c>
      <c r="H1095">
        <v>6856.22</v>
      </c>
      <c r="I1095">
        <v>18.2</v>
      </c>
      <c r="J1095">
        <f>IFERROR(INDEX(Suppliar[Estimated Carbon Footprint (tons CO₂e)],MATCH('Merge operational &amp; suppliar'!A1095,Suppliar[Facility ID],0)),"")</f>
        <v>991.03</v>
      </c>
      <c r="K1095">
        <f>IFERROR(INDEX(Suppliar[Income Distribution (%)],MATCH('Merge operational &amp; suppliar'!A1095,Suppliar[Facility ID],0)),"")</f>
        <v>13.32</v>
      </c>
    </row>
    <row r="1096" spans="1:11" x14ac:dyDescent="0.3">
      <c r="A1096" t="s">
        <v>62</v>
      </c>
      <c r="B1096" t="s">
        <v>30</v>
      </c>
      <c r="C1096" t="s">
        <v>13</v>
      </c>
      <c r="D1096" t="s">
        <v>28</v>
      </c>
      <c r="E1096" t="s">
        <v>15</v>
      </c>
      <c r="F1096">
        <v>1019.13</v>
      </c>
      <c r="G1096">
        <v>22309</v>
      </c>
      <c r="H1096">
        <v>3656.29</v>
      </c>
      <c r="I1096">
        <v>75.25</v>
      </c>
      <c r="J1096">
        <f>IFERROR(INDEX(Suppliar[Estimated Carbon Footprint (tons CO₂e)],MATCH('Merge operational &amp; suppliar'!A1096,Suppliar[Facility ID],0)),"")</f>
        <v>795.74</v>
      </c>
      <c r="K1096">
        <f>IFERROR(INDEX(Suppliar[Income Distribution (%)],MATCH('Merge operational &amp; suppliar'!A1096,Suppliar[Facility ID],0)),"")</f>
        <v>26.99</v>
      </c>
    </row>
    <row r="1097" spans="1:11" x14ac:dyDescent="0.3">
      <c r="A1097" t="s">
        <v>188</v>
      </c>
      <c r="B1097" t="s">
        <v>19</v>
      </c>
      <c r="C1097" t="s">
        <v>8</v>
      </c>
      <c r="D1097" t="s">
        <v>28</v>
      </c>
      <c r="E1097" t="s">
        <v>15</v>
      </c>
      <c r="F1097">
        <v>3886.16</v>
      </c>
      <c r="G1097">
        <v>60513</v>
      </c>
      <c r="H1097">
        <v>4578.16</v>
      </c>
      <c r="I1097">
        <v>65.53</v>
      </c>
      <c r="J1097" t="str">
        <f>IFERROR(INDEX(Suppliar[Estimated Carbon Footprint (tons CO₂e)],MATCH('Merge operational &amp; suppliar'!A1097,Suppliar[Facility ID],0)),"")</f>
        <v/>
      </c>
      <c r="K1097" t="str">
        <f>IFERROR(INDEX(Suppliar[Income Distribution (%)],MATCH('Merge operational &amp; suppliar'!A1097,Suppliar[Facility ID],0)),"")</f>
        <v/>
      </c>
    </row>
    <row r="1098" spans="1:11" x14ac:dyDescent="0.3">
      <c r="A1098" t="s">
        <v>125</v>
      </c>
      <c r="B1098" t="s">
        <v>7</v>
      </c>
      <c r="C1098" t="s">
        <v>34</v>
      </c>
      <c r="D1098" t="s">
        <v>9</v>
      </c>
      <c r="E1098" t="s">
        <v>15</v>
      </c>
      <c r="F1098">
        <v>2913.93</v>
      </c>
      <c r="G1098">
        <v>56392</v>
      </c>
      <c r="H1098">
        <v>5703.76</v>
      </c>
      <c r="I1098">
        <v>23.04</v>
      </c>
      <c r="J1098">
        <f>IFERROR(INDEX(Suppliar[Estimated Carbon Footprint (tons CO₂e)],MATCH('Merge operational &amp; suppliar'!A1098,Suppliar[Facility ID],0)),"")</f>
        <v>991.03</v>
      </c>
      <c r="K1098">
        <f>IFERROR(INDEX(Suppliar[Income Distribution (%)],MATCH('Merge operational &amp; suppliar'!A1098,Suppliar[Facility ID],0)),"")</f>
        <v>27.62</v>
      </c>
    </row>
    <row r="1099" spans="1:11" x14ac:dyDescent="0.3">
      <c r="A1099" t="s">
        <v>35</v>
      </c>
      <c r="B1099" t="s">
        <v>19</v>
      </c>
      <c r="C1099" t="s">
        <v>8</v>
      </c>
      <c r="D1099" t="s">
        <v>14</v>
      </c>
      <c r="E1099" t="s">
        <v>10</v>
      </c>
      <c r="F1099">
        <v>4929.24</v>
      </c>
      <c r="G1099">
        <v>42382</v>
      </c>
      <c r="H1099">
        <v>5116.6899999999996</v>
      </c>
      <c r="I1099">
        <v>80.42</v>
      </c>
      <c r="J1099">
        <f>IFERROR(INDEX(Suppliar[Estimated Carbon Footprint (tons CO₂e)],MATCH('Merge operational &amp; suppliar'!A1099,Suppliar[Facility ID],0)),"")</f>
        <v>626.54</v>
      </c>
      <c r="K1099">
        <f>IFERROR(INDEX(Suppliar[Income Distribution (%)],MATCH('Merge operational &amp; suppliar'!A1099,Suppliar[Facility ID],0)),"")</f>
        <v>70.540000000000006</v>
      </c>
    </row>
    <row r="1100" spans="1:11" x14ac:dyDescent="0.3">
      <c r="A1100" t="s">
        <v>48</v>
      </c>
      <c r="B1100" t="s">
        <v>19</v>
      </c>
      <c r="C1100" t="s">
        <v>13</v>
      </c>
      <c r="D1100" t="s">
        <v>14</v>
      </c>
      <c r="E1100" t="s">
        <v>10</v>
      </c>
      <c r="F1100">
        <v>197.22</v>
      </c>
      <c r="G1100">
        <v>11952</v>
      </c>
      <c r="H1100">
        <v>4637.74</v>
      </c>
      <c r="I1100">
        <v>63.78</v>
      </c>
      <c r="J1100">
        <f>IFERROR(INDEX(Suppliar[Estimated Carbon Footprint (tons CO₂e)],MATCH('Merge operational &amp; suppliar'!A1100,Suppliar[Facility ID],0)),"")</f>
        <v>886.71</v>
      </c>
      <c r="K1100">
        <f>IFERROR(INDEX(Suppliar[Income Distribution (%)],MATCH('Merge operational &amp; suppliar'!A1100,Suppliar[Facility ID],0)),"")</f>
        <v>29.53</v>
      </c>
    </row>
    <row r="1101" spans="1:11" x14ac:dyDescent="0.3">
      <c r="A1101" t="s">
        <v>205</v>
      </c>
      <c r="B1101" t="s">
        <v>17</v>
      </c>
      <c r="C1101" t="s">
        <v>34</v>
      </c>
      <c r="D1101" t="s">
        <v>28</v>
      </c>
      <c r="E1101" t="s">
        <v>10</v>
      </c>
      <c r="F1101">
        <v>3407.21</v>
      </c>
      <c r="G1101">
        <v>52594</v>
      </c>
      <c r="H1101">
        <v>8715.0400000000009</v>
      </c>
      <c r="I1101">
        <v>90.54</v>
      </c>
      <c r="J1101">
        <f>IFERROR(INDEX(Suppliar[Estimated Carbon Footprint (tons CO₂e)],MATCH('Merge operational &amp; suppliar'!A1101,Suppliar[Facility ID],0)),"")</f>
        <v>553.44000000000005</v>
      </c>
      <c r="K1101">
        <f>IFERROR(INDEX(Suppliar[Income Distribution (%)],MATCH('Merge operational &amp; suppliar'!A1101,Suppliar[Facility ID],0)),"")</f>
        <v>23.44</v>
      </c>
    </row>
    <row r="1102" spans="1:11" x14ac:dyDescent="0.3">
      <c r="A1102" t="s">
        <v>145</v>
      </c>
      <c r="B1102" t="s">
        <v>7</v>
      </c>
      <c r="C1102" t="s">
        <v>13</v>
      </c>
      <c r="D1102" t="s">
        <v>28</v>
      </c>
      <c r="E1102" t="s">
        <v>24</v>
      </c>
      <c r="F1102">
        <v>538.5</v>
      </c>
      <c r="G1102">
        <v>60710</v>
      </c>
      <c r="H1102">
        <v>2726.26</v>
      </c>
      <c r="I1102">
        <v>83.02</v>
      </c>
      <c r="J1102">
        <f>IFERROR(INDEX(Suppliar[Estimated Carbon Footprint (tons CO₂e)],MATCH('Merge operational &amp; suppliar'!A1102,Suppliar[Facility ID],0)),"")</f>
        <v>714.81</v>
      </c>
      <c r="K1102">
        <f>IFERROR(INDEX(Suppliar[Income Distribution (%)],MATCH('Merge operational &amp; suppliar'!A1102,Suppliar[Facility ID],0)),"")</f>
        <v>58.54</v>
      </c>
    </row>
    <row r="1103" spans="1:11" x14ac:dyDescent="0.3">
      <c r="A1103" t="s">
        <v>105</v>
      </c>
      <c r="B1103" t="s">
        <v>30</v>
      </c>
      <c r="C1103" t="s">
        <v>13</v>
      </c>
      <c r="D1103" t="s">
        <v>28</v>
      </c>
      <c r="E1103" t="s">
        <v>10</v>
      </c>
      <c r="F1103">
        <v>4976.37</v>
      </c>
      <c r="G1103">
        <v>87337</v>
      </c>
      <c r="H1103">
        <v>3603.06</v>
      </c>
      <c r="I1103">
        <v>67.13</v>
      </c>
      <c r="J1103" t="str">
        <f>IFERROR(INDEX(Suppliar[Estimated Carbon Footprint (tons CO₂e)],MATCH('Merge operational &amp; suppliar'!A1103,Suppliar[Facility ID],0)),"")</f>
        <v/>
      </c>
      <c r="K1103" t="str">
        <f>IFERROR(INDEX(Suppliar[Income Distribution (%)],MATCH('Merge operational &amp; suppliar'!A1103,Suppliar[Facility ID],0)),"")</f>
        <v/>
      </c>
    </row>
    <row r="1104" spans="1:11" x14ac:dyDescent="0.3">
      <c r="A1104" t="s">
        <v>131</v>
      </c>
      <c r="B1104" t="s">
        <v>17</v>
      </c>
      <c r="C1104" t="s">
        <v>8</v>
      </c>
      <c r="D1104" t="s">
        <v>14</v>
      </c>
      <c r="E1104" t="s">
        <v>24</v>
      </c>
      <c r="F1104">
        <v>1334.36</v>
      </c>
      <c r="G1104">
        <v>94128</v>
      </c>
      <c r="H1104">
        <v>8117.82</v>
      </c>
      <c r="I1104">
        <v>73.83</v>
      </c>
      <c r="J1104">
        <f>IFERROR(INDEX(Suppliar[Estimated Carbon Footprint (tons CO₂e)],MATCH('Merge operational &amp; suppliar'!A1104,Suppliar[Facility ID],0)),"")</f>
        <v>532.27</v>
      </c>
      <c r="K1104">
        <f>IFERROR(INDEX(Suppliar[Income Distribution (%)],MATCH('Merge operational &amp; suppliar'!A1104,Suppliar[Facility ID],0)),"")</f>
        <v>31.74</v>
      </c>
    </row>
    <row r="1105" spans="1:11" x14ac:dyDescent="0.3">
      <c r="A1105" t="s">
        <v>172</v>
      </c>
      <c r="B1105" t="s">
        <v>7</v>
      </c>
      <c r="C1105" t="s">
        <v>23</v>
      </c>
      <c r="D1105" t="s">
        <v>14</v>
      </c>
      <c r="E1105" t="s">
        <v>10</v>
      </c>
      <c r="F1105">
        <v>2641.31</v>
      </c>
      <c r="G1105">
        <v>68820</v>
      </c>
      <c r="H1105">
        <v>9612.25</v>
      </c>
      <c r="I1105">
        <v>83.51</v>
      </c>
      <c r="J1105">
        <f>IFERROR(INDEX(Suppliar[Estimated Carbon Footprint (tons CO₂e)],MATCH('Merge operational &amp; suppliar'!A1105,Suppliar[Facility ID],0)),"")</f>
        <v>867.66</v>
      </c>
      <c r="K1105">
        <f>IFERROR(INDEX(Suppliar[Income Distribution (%)],MATCH('Merge operational &amp; suppliar'!A1105,Suppliar[Facility ID],0)),"")</f>
        <v>18.88</v>
      </c>
    </row>
    <row r="1106" spans="1:11" x14ac:dyDescent="0.3">
      <c r="A1106" t="s">
        <v>196</v>
      </c>
      <c r="B1106" t="s">
        <v>30</v>
      </c>
      <c r="C1106" t="s">
        <v>13</v>
      </c>
      <c r="D1106" t="s">
        <v>9</v>
      </c>
      <c r="E1106" t="s">
        <v>24</v>
      </c>
      <c r="F1106">
        <v>3466.63</v>
      </c>
      <c r="G1106">
        <v>12262</v>
      </c>
      <c r="H1106">
        <v>7106.18</v>
      </c>
      <c r="I1106">
        <v>45.69</v>
      </c>
      <c r="J1106">
        <f>IFERROR(INDEX(Suppliar[Estimated Carbon Footprint (tons CO₂e)],MATCH('Merge operational &amp; suppliar'!A1106,Suppliar[Facility ID],0)),"")</f>
        <v>459.56</v>
      </c>
      <c r="K1106">
        <f>IFERROR(INDEX(Suppliar[Income Distribution (%)],MATCH('Merge operational &amp; suppliar'!A1106,Suppliar[Facility ID],0)),"")</f>
        <v>29.71</v>
      </c>
    </row>
    <row r="1107" spans="1:11" x14ac:dyDescent="0.3">
      <c r="A1107" t="s">
        <v>152</v>
      </c>
      <c r="B1107" t="s">
        <v>30</v>
      </c>
      <c r="C1107" t="s">
        <v>8</v>
      </c>
      <c r="D1107" t="s">
        <v>14</v>
      </c>
      <c r="E1107" t="s">
        <v>24</v>
      </c>
      <c r="F1107">
        <v>4682.5600000000004</v>
      </c>
      <c r="G1107">
        <v>21914</v>
      </c>
      <c r="H1107">
        <v>5897.27</v>
      </c>
      <c r="I1107">
        <v>49.41</v>
      </c>
      <c r="J1107">
        <f>IFERROR(INDEX(Suppliar[Estimated Carbon Footprint (tons CO₂e)],MATCH('Merge operational &amp; suppliar'!A1107,Suppliar[Facility ID],0)),"")</f>
        <v>790.74</v>
      </c>
      <c r="K1107">
        <f>IFERROR(INDEX(Suppliar[Income Distribution (%)],MATCH('Merge operational &amp; suppliar'!A1107,Suppliar[Facility ID],0)),"")</f>
        <v>15.07</v>
      </c>
    </row>
    <row r="1108" spans="1:11" x14ac:dyDescent="0.3">
      <c r="A1108" t="s">
        <v>202</v>
      </c>
      <c r="B1108" t="s">
        <v>12</v>
      </c>
      <c r="C1108" t="s">
        <v>13</v>
      </c>
      <c r="D1108" t="s">
        <v>14</v>
      </c>
      <c r="E1108" t="s">
        <v>24</v>
      </c>
      <c r="F1108">
        <v>272.64</v>
      </c>
      <c r="G1108">
        <v>28400</v>
      </c>
      <c r="H1108">
        <v>3056.67</v>
      </c>
      <c r="I1108">
        <v>52.68</v>
      </c>
      <c r="J1108">
        <f>IFERROR(INDEX(Suppliar[Estimated Carbon Footprint (tons CO₂e)],MATCH('Merge operational &amp; suppliar'!A1108,Suppliar[Facility ID],0)),"")</f>
        <v>571.88</v>
      </c>
      <c r="K1108">
        <f>IFERROR(INDEX(Suppliar[Income Distribution (%)],MATCH('Merge operational &amp; suppliar'!A1108,Suppliar[Facility ID],0)),"")</f>
        <v>8.6199999999999992</v>
      </c>
    </row>
    <row r="1109" spans="1:11" x14ac:dyDescent="0.3">
      <c r="A1109" t="s">
        <v>116</v>
      </c>
      <c r="B1109" t="s">
        <v>17</v>
      </c>
      <c r="C1109" t="s">
        <v>23</v>
      </c>
      <c r="D1109" t="s">
        <v>14</v>
      </c>
      <c r="E1109" t="s">
        <v>24</v>
      </c>
      <c r="F1109">
        <v>4584.96</v>
      </c>
      <c r="G1109">
        <v>68216</v>
      </c>
      <c r="H1109">
        <v>9562.33</v>
      </c>
      <c r="I1109">
        <v>63.59</v>
      </c>
      <c r="J1109">
        <f>IFERROR(INDEX(Suppliar[Estimated Carbon Footprint (tons CO₂e)],MATCH('Merge operational &amp; suppliar'!A1109,Suppliar[Facility ID],0)),"")</f>
        <v>830.73</v>
      </c>
      <c r="K1109">
        <f>IFERROR(INDEX(Suppliar[Income Distribution (%)],MATCH('Merge operational &amp; suppliar'!A1109,Suppliar[Facility ID],0)),"")</f>
        <v>46.68</v>
      </c>
    </row>
    <row r="1110" spans="1:11" x14ac:dyDescent="0.3">
      <c r="A1110" t="s">
        <v>175</v>
      </c>
      <c r="B1110" t="s">
        <v>7</v>
      </c>
      <c r="C1110" t="s">
        <v>23</v>
      </c>
      <c r="D1110" t="s">
        <v>14</v>
      </c>
      <c r="E1110" t="s">
        <v>15</v>
      </c>
      <c r="F1110">
        <v>3965.06</v>
      </c>
      <c r="G1110">
        <v>83923</v>
      </c>
      <c r="H1110">
        <v>8768.7999999999993</v>
      </c>
      <c r="I1110">
        <v>65.290000000000006</v>
      </c>
      <c r="J1110">
        <f>IFERROR(INDEX(Suppliar[Estimated Carbon Footprint (tons CO₂e)],MATCH('Merge operational &amp; suppliar'!A1110,Suppliar[Facility ID],0)),"")</f>
        <v>579.80999999999995</v>
      </c>
      <c r="K1110">
        <f>IFERROR(INDEX(Suppliar[Income Distribution (%)],MATCH('Merge operational &amp; suppliar'!A1110,Suppliar[Facility ID],0)),"")</f>
        <v>34.93</v>
      </c>
    </row>
    <row r="1111" spans="1:11" x14ac:dyDescent="0.3">
      <c r="A1111" t="s">
        <v>68</v>
      </c>
      <c r="B1111" t="s">
        <v>12</v>
      </c>
      <c r="C1111" t="s">
        <v>8</v>
      </c>
      <c r="D1111" t="s">
        <v>9</v>
      </c>
      <c r="E1111" t="s">
        <v>24</v>
      </c>
      <c r="F1111">
        <v>1855</v>
      </c>
      <c r="G1111">
        <v>69100</v>
      </c>
      <c r="H1111">
        <v>9356.02</v>
      </c>
      <c r="I1111">
        <v>16.5</v>
      </c>
      <c r="J1111">
        <f>IFERROR(INDEX(Suppliar[Estimated Carbon Footprint (tons CO₂e)],MATCH('Merge operational &amp; suppliar'!A1111,Suppliar[Facility ID],0)),"")</f>
        <v>694.92</v>
      </c>
      <c r="K1111">
        <f>IFERROR(INDEX(Suppliar[Income Distribution (%)],MATCH('Merge operational &amp; suppliar'!A1111,Suppliar[Facility ID],0)),"")</f>
        <v>23.67</v>
      </c>
    </row>
    <row r="1112" spans="1:11" x14ac:dyDescent="0.3">
      <c r="A1112" t="s">
        <v>58</v>
      </c>
      <c r="B1112" t="s">
        <v>17</v>
      </c>
      <c r="C1112" t="s">
        <v>34</v>
      </c>
      <c r="D1112" t="s">
        <v>9</v>
      </c>
      <c r="E1112" t="s">
        <v>10</v>
      </c>
      <c r="F1112">
        <v>1170.49</v>
      </c>
      <c r="G1112">
        <v>32246</v>
      </c>
      <c r="H1112">
        <v>7903.93</v>
      </c>
      <c r="I1112">
        <v>42.12</v>
      </c>
      <c r="J1112">
        <f>IFERROR(INDEX(Suppliar[Estimated Carbon Footprint (tons CO₂e)],MATCH('Merge operational &amp; suppliar'!A1112,Suppliar[Facility ID],0)),"")</f>
        <v>459.56</v>
      </c>
      <c r="K1112">
        <f>IFERROR(INDEX(Suppliar[Income Distribution (%)],MATCH('Merge operational &amp; suppliar'!A1112,Suppliar[Facility ID],0)),"")</f>
        <v>28.62</v>
      </c>
    </row>
    <row r="1113" spans="1:11" x14ac:dyDescent="0.3">
      <c r="A1113" t="s">
        <v>90</v>
      </c>
      <c r="B1113" t="s">
        <v>19</v>
      </c>
      <c r="C1113" t="s">
        <v>23</v>
      </c>
      <c r="D1113" t="s">
        <v>14</v>
      </c>
      <c r="E1113" t="s">
        <v>10</v>
      </c>
      <c r="F1113">
        <v>2881.56</v>
      </c>
      <c r="G1113">
        <v>97337</v>
      </c>
      <c r="H1113">
        <v>3362.06</v>
      </c>
      <c r="I1113">
        <v>55.46</v>
      </c>
      <c r="J1113">
        <f>IFERROR(INDEX(Suppliar[Estimated Carbon Footprint (tons CO₂e)],MATCH('Merge operational &amp; suppliar'!A1113,Suppliar[Facility ID],0)),"")</f>
        <v>459.56</v>
      </c>
      <c r="K1113">
        <f>IFERROR(INDEX(Suppliar[Income Distribution (%)],MATCH('Merge operational &amp; suppliar'!A1113,Suppliar[Facility ID],0)),"")</f>
        <v>10.31</v>
      </c>
    </row>
    <row r="1114" spans="1:11" x14ac:dyDescent="0.3">
      <c r="A1114" t="s">
        <v>73</v>
      </c>
      <c r="B1114" t="s">
        <v>30</v>
      </c>
      <c r="C1114" t="s">
        <v>34</v>
      </c>
      <c r="D1114" t="s">
        <v>14</v>
      </c>
      <c r="E1114" t="s">
        <v>24</v>
      </c>
      <c r="F1114">
        <v>4820.21</v>
      </c>
      <c r="G1114">
        <v>55974</v>
      </c>
      <c r="H1114">
        <v>7542.28</v>
      </c>
      <c r="I1114">
        <v>72.430000000000007</v>
      </c>
      <c r="J1114">
        <f>IFERROR(INDEX(Suppliar[Estimated Carbon Footprint (tons CO₂e)],MATCH('Merge operational &amp; suppliar'!A1114,Suppliar[Facility ID],0)),"")</f>
        <v>626.54</v>
      </c>
      <c r="K1114">
        <f>IFERROR(INDEX(Suppliar[Income Distribution (%)],MATCH('Merge operational &amp; suppliar'!A1114,Suppliar[Facility ID],0)),"")</f>
        <v>29.46</v>
      </c>
    </row>
    <row r="1115" spans="1:11" x14ac:dyDescent="0.3">
      <c r="A1115" t="s">
        <v>122</v>
      </c>
      <c r="B1115" t="s">
        <v>19</v>
      </c>
      <c r="C1115" t="s">
        <v>8</v>
      </c>
      <c r="D1115" t="s">
        <v>14</v>
      </c>
      <c r="E1115" t="s">
        <v>15</v>
      </c>
      <c r="F1115">
        <v>2635.84</v>
      </c>
      <c r="G1115">
        <v>95962</v>
      </c>
      <c r="H1115">
        <v>524.72</v>
      </c>
      <c r="I1115">
        <v>49.55</v>
      </c>
      <c r="J1115">
        <f>IFERROR(INDEX(Suppliar[Estimated Carbon Footprint (tons CO₂e)],MATCH('Merge operational &amp; suppliar'!A1115,Suppliar[Facility ID],0)),"")</f>
        <v>991.36</v>
      </c>
      <c r="K1115">
        <f>IFERROR(INDEX(Suppliar[Income Distribution (%)],MATCH('Merge operational &amp; suppliar'!A1115,Suppliar[Facility ID],0)),"")</f>
        <v>18.28</v>
      </c>
    </row>
    <row r="1116" spans="1:11" x14ac:dyDescent="0.3">
      <c r="A1116" t="s">
        <v>25</v>
      </c>
      <c r="B1116" t="s">
        <v>19</v>
      </c>
      <c r="C1116" t="s">
        <v>34</v>
      </c>
      <c r="D1116" t="s">
        <v>28</v>
      </c>
      <c r="E1116" t="s">
        <v>15</v>
      </c>
      <c r="F1116">
        <v>3933.16</v>
      </c>
      <c r="G1116">
        <v>95306</v>
      </c>
      <c r="H1116">
        <v>9037.76</v>
      </c>
      <c r="I1116">
        <v>13.35</v>
      </c>
      <c r="J1116">
        <f>IFERROR(INDEX(Suppliar[Estimated Carbon Footprint (tons CO₂e)],MATCH('Merge operational &amp; suppliar'!A1116,Suppliar[Facility ID],0)),"")</f>
        <v>724.63</v>
      </c>
      <c r="K1116">
        <f>IFERROR(INDEX(Suppliar[Income Distribution (%)],MATCH('Merge operational &amp; suppliar'!A1116,Suppliar[Facility ID],0)),"")</f>
        <v>21.2</v>
      </c>
    </row>
    <row r="1117" spans="1:11" x14ac:dyDescent="0.3">
      <c r="A1117" t="s">
        <v>33</v>
      </c>
      <c r="B1117" t="s">
        <v>19</v>
      </c>
      <c r="C1117" t="s">
        <v>23</v>
      </c>
      <c r="D1117" t="s">
        <v>14</v>
      </c>
      <c r="E1117" t="s">
        <v>24</v>
      </c>
      <c r="F1117">
        <v>425.14</v>
      </c>
      <c r="G1117">
        <v>65719</v>
      </c>
      <c r="H1117">
        <v>9362.41</v>
      </c>
      <c r="I1117">
        <v>86.55</v>
      </c>
      <c r="J1117">
        <f>IFERROR(INDEX(Suppliar[Estimated Carbon Footprint (tons CO₂e)],MATCH('Merge operational &amp; suppliar'!A1117,Suppliar[Facility ID],0)),"")</f>
        <v>932.3</v>
      </c>
      <c r="K1117">
        <f>IFERROR(INDEX(Suppliar[Income Distribution (%)],MATCH('Merge operational &amp; suppliar'!A1117,Suppliar[Facility ID],0)),"")</f>
        <v>28.9</v>
      </c>
    </row>
    <row r="1118" spans="1:11" x14ac:dyDescent="0.3">
      <c r="A1118" t="s">
        <v>136</v>
      </c>
      <c r="B1118" t="s">
        <v>17</v>
      </c>
      <c r="C1118" t="s">
        <v>23</v>
      </c>
      <c r="D1118" t="s">
        <v>28</v>
      </c>
      <c r="E1118" t="s">
        <v>24</v>
      </c>
      <c r="F1118">
        <v>3494.61</v>
      </c>
      <c r="G1118">
        <v>15128</v>
      </c>
      <c r="H1118">
        <v>8847.09</v>
      </c>
      <c r="I1118">
        <v>5.25</v>
      </c>
      <c r="J1118">
        <f>IFERROR(INDEX(Suppliar[Estimated Carbon Footprint (tons CO₂e)],MATCH('Merge operational &amp; suppliar'!A1118,Suppliar[Facility ID],0)),"")</f>
        <v>230.57</v>
      </c>
      <c r="K1118">
        <f>IFERROR(INDEX(Suppliar[Income Distribution (%)],MATCH('Merge operational &amp; suppliar'!A1118,Suppliar[Facility ID],0)),"")</f>
        <v>60.48</v>
      </c>
    </row>
    <row r="1119" spans="1:11" x14ac:dyDescent="0.3">
      <c r="A1119" t="s">
        <v>204</v>
      </c>
      <c r="B1119" t="s">
        <v>30</v>
      </c>
      <c r="C1119" t="s">
        <v>23</v>
      </c>
      <c r="D1119" t="s">
        <v>9</v>
      </c>
      <c r="E1119" t="s">
        <v>10</v>
      </c>
      <c r="F1119">
        <v>3199.76</v>
      </c>
      <c r="G1119">
        <v>36423</v>
      </c>
      <c r="H1119">
        <v>589.96</v>
      </c>
      <c r="I1119">
        <v>30.9</v>
      </c>
      <c r="J1119">
        <f>IFERROR(INDEX(Suppliar[Estimated Carbon Footprint (tons CO₂e)],MATCH('Merge operational &amp; suppliar'!A1119,Suppliar[Facility ID],0)),"")</f>
        <v>111.84</v>
      </c>
      <c r="K1119">
        <f>IFERROR(INDEX(Suppliar[Income Distribution (%)],MATCH('Merge operational &amp; suppliar'!A1119,Suppliar[Facility ID],0)),"")</f>
        <v>23.26</v>
      </c>
    </row>
    <row r="1120" spans="1:11" x14ac:dyDescent="0.3">
      <c r="A1120" t="s">
        <v>183</v>
      </c>
      <c r="B1120" t="s">
        <v>7</v>
      </c>
      <c r="C1120" t="s">
        <v>8</v>
      </c>
      <c r="D1120" t="s">
        <v>14</v>
      </c>
      <c r="E1120" t="s">
        <v>15</v>
      </c>
      <c r="F1120">
        <v>290.08999999999997</v>
      </c>
      <c r="G1120">
        <v>14009</v>
      </c>
      <c r="H1120">
        <v>7528.98</v>
      </c>
      <c r="I1120">
        <v>77.62</v>
      </c>
      <c r="J1120">
        <f>IFERROR(INDEX(Suppliar[Estimated Carbon Footprint (tons CO₂e)],MATCH('Merge operational &amp; suppliar'!A1120,Suppliar[Facility ID],0)),"")</f>
        <v>763.97</v>
      </c>
      <c r="K1120">
        <f>IFERROR(INDEX(Suppliar[Income Distribution (%)],MATCH('Merge operational &amp; suppliar'!A1120,Suppliar[Facility ID],0)),"")</f>
        <v>24.91</v>
      </c>
    </row>
    <row r="1121" spans="1:11" x14ac:dyDescent="0.3">
      <c r="A1121" t="s">
        <v>166</v>
      </c>
      <c r="B1121" t="s">
        <v>7</v>
      </c>
      <c r="C1121" t="s">
        <v>23</v>
      </c>
      <c r="D1121" t="s">
        <v>28</v>
      </c>
      <c r="E1121" t="s">
        <v>15</v>
      </c>
      <c r="F1121">
        <v>1123.56</v>
      </c>
      <c r="G1121">
        <v>34318</v>
      </c>
      <c r="H1121">
        <v>675.67</v>
      </c>
      <c r="I1121">
        <v>41.05</v>
      </c>
      <c r="J1121">
        <f>IFERROR(INDEX(Suppliar[Estimated Carbon Footprint (tons CO₂e)],MATCH('Merge operational &amp; suppliar'!A1121,Suppliar[Facility ID],0)),"")</f>
        <v>390.06</v>
      </c>
      <c r="K1121">
        <f>IFERROR(INDEX(Suppliar[Income Distribution (%)],MATCH('Merge operational &amp; suppliar'!A1121,Suppliar[Facility ID],0)),"")</f>
        <v>27.42</v>
      </c>
    </row>
    <row r="1122" spans="1:11" x14ac:dyDescent="0.3">
      <c r="A1122" t="s">
        <v>206</v>
      </c>
      <c r="B1122" t="s">
        <v>19</v>
      </c>
      <c r="C1122" t="s">
        <v>8</v>
      </c>
      <c r="D1122" t="s">
        <v>28</v>
      </c>
      <c r="E1122" t="s">
        <v>10</v>
      </c>
      <c r="F1122">
        <v>1109.47</v>
      </c>
      <c r="G1122">
        <v>10250</v>
      </c>
      <c r="H1122">
        <v>4717</v>
      </c>
      <c r="I1122">
        <v>16.600000000000001</v>
      </c>
      <c r="J1122">
        <f>IFERROR(INDEX(Suppliar[Estimated Carbon Footprint (tons CO₂e)],MATCH('Merge operational &amp; suppliar'!A1122,Suppliar[Facility ID],0)),"")</f>
        <v>249.3</v>
      </c>
      <c r="K1122">
        <f>IFERROR(INDEX(Suppliar[Income Distribution (%)],MATCH('Merge operational &amp; suppliar'!A1122,Suppliar[Facility ID],0)),"")</f>
        <v>32.97</v>
      </c>
    </row>
    <row r="1123" spans="1:11" x14ac:dyDescent="0.3">
      <c r="A1123" t="s">
        <v>47</v>
      </c>
      <c r="B1123" t="s">
        <v>30</v>
      </c>
      <c r="C1123" t="s">
        <v>34</v>
      </c>
      <c r="D1123" t="s">
        <v>9</v>
      </c>
      <c r="E1123" t="s">
        <v>10</v>
      </c>
      <c r="F1123">
        <v>1044.92</v>
      </c>
      <c r="G1123">
        <v>53661</v>
      </c>
      <c r="H1123">
        <v>6965.81</v>
      </c>
      <c r="I1123">
        <v>69.400000000000006</v>
      </c>
      <c r="J1123">
        <f>IFERROR(INDEX(Suppliar[Estimated Carbon Footprint (tons CO₂e)],MATCH('Merge operational &amp; suppliar'!A1123,Suppliar[Facility ID],0)),"")</f>
        <v>610.79999999999995</v>
      </c>
      <c r="K1123">
        <f>IFERROR(INDEX(Suppliar[Income Distribution (%)],MATCH('Merge operational &amp; suppliar'!A1123,Suppliar[Facility ID],0)),"")</f>
        <v>29.15</v>
      </c>
    </row>
    <row r="1124" spans="1:11" x14ac:dyDescent="0.3">
      <c r="A1124" t="s">
        <v>50</v>
      </c>
      <c r="B1124" t="s">
        <v>19</v>
      </c>
      <c r="C1124" t="s">
        <v>13</v>
      </c>
      <c r="D1124" t="s">
        <v>9</v>
      </c>
      <c r="E1124" t="s">
        <v>15</v>
      </c>
      <c r="F1124">
        <v>5387.67</v>
      </c>
      <c r="G1124">
        <v>40577</v>
      </c>
      <c r="H1124">
        <v>4280.82</v>
      </c>
      <c r="I1124">
        <v>79.88</v>
      </c>
      <c r="J1124">
        <f>IFERROR(INDEX(Suppliar[Estimated Carbon Footprint (tons CO₂e)],MATCH('Merge operational &amp; suppliar'!A1124,Suppliar[Facility ID],0)),"")</f>
        <v>932.3</v>
      </c>
      <c r="K1124">
        <f>IFERROR(INDEX(Suppliar[Income Distribution (%)],MATCH('Merge operational &amp; suppliar'!A1124,Suppliar[Facility ID],0)),"")</f>
        <v>10.19</v>
      </c>
    </row>
    <row r="1125" spans="1:11" x14ac:dyDescent="0.3">
      <c r="A1125" t="s">
        <v>130</v>
      </c>
      <c r="B1125" t="s">
        <v>12</v>
      </c>
      <c r="C1125" t="s">
        <v>13</v>
      </c>
      <c r="D1125" t="s">
        <v>9</v>
      </c>
      <c r="E1125" t="s">
        <v>10</v>
      </c>
      <c r="F1125">
        <v>3244.17</v>
      </c>
      <c r="G1125">
        <v>82332</v>
      </c>
      <c r="H1125">
        <v>7134.86</v>
      </c>
      <c r="I1125">
        <v>22.44</v>
      </c>
      <c r="J1125">
        <f>IFERROR(INDEX(Suppliar[Estimated Carbon Footprint (tons CO₂e)],MATCH('Merge operational &amp; suppliar'!A1125,Suppliar[Facility ID],0)),"")</f>
        <v>553.44000000000005</v>
      </c>
      <c r="K1125">
        <f>IFERROR(INDEX(Suppliar[Income Distribution (%)],MATCH('Merge operational &amp; suppliar'!A1125,Suppliar[Facility ID],0)),"")</f>
        <v>13.24</v>
      </c>
    </row>
    <row r="1126" spans="1:11" x14ac:dyDescent="0.3">
      <c r="A1126" t="s">
        <v>125</v>
      </c>
      <c r="B1126" t="s">
        <v>7</v>
      </c>
      <c r="C1126" t="s">
        <v>34</v>
      </c>
      <c r="D1126" t="s">
        <v>14</v>
      </c>
      <c r="E1126" t="s">
        <v>15</v>
      </c>
      <c r="F1126">
        <v>3954.01</v>
      </c>
      <c r="G1126">
        <v>56392</v>
      </c>
      <c r="H1126">
        <v>5703.76</v>
      </c>
      <c r="I1126">
        <v>23.04</v>
      </c>
      <c r="J1126">
        <f>IFERROR(INDEX(Suppliar[Estimated Carbon Footprint (tons CO₂e)],MATCH('Merge operational &amp; suppliar'!A1126,Suppliar[Facility ID],0)),"")</f>
        <v>991.03</v>
      </c>
      <c r="K1126">
        <f>IFERROR(INDEX(Suppliar[Income Distribution (%)],MATCH('Merge operational &amp; suppliar'!A1126,Suppliar[Facility ID],0)),"")</f>
        <v>27.62</v>
      </c>
    </row>
    <row r="1127" spans="1:11" x14ac:dyDescent="0.3">
      <c r="A1127" t="s">
        <v>147</v>
      </c>
      <c r="B1127" t="s">
        <v>17</v>
      </c>
      <c r="C1127" t="s">
        <v>34</v>
      </c>
      <c r="D1127" t="s">
        <v>14</v>
      </c>
      <c r="E1127" t="s">
        <v>24</v>
      </c>
      <c r="F1127">
        <v>1475.99</v>
      </c>
      <c r="G1127">
        <v>24095</v>
      </c>
      <c r="H1127">
        <v>3167.52</v>
      </c>
      <c r="I1127">
        <v>31.02</v>
      </c>
      <c r="J1127">
        <f>IFERROR(INDEX(Suppliar[Estimated Carbon Footprint (tons CO₂e)],MATCH('Merge operational &amp; suppliar'!A1127,Suppliar[Facility ID],0)),"")</f>
        <v>608.07000000000005</v>
      </c>
      <c r="K1127">
        <f>IFERROR(INDEX(Suppliar[Income Distribution (%)],MATCH('Merge operational &amp; suppliar'!A1127,Suppliar[Facility ID],0)),"")</f>
        <v>13.98</v>
      </c>
    </row>
    <row r="1128" spans="1:11" x14ac:dyDescent="0.3">
      <c r="A1128" t="s">
        <v>120</v>
      </c>
      <c r="B1128" t="s">
        <v>30</v>
      </c>
      <c r="C1128" t="s">
        <v>34</v>
      </c>
      <c r="D1128" t="s">
        <v>9</v>
      </c>
      <c r="E1128" t="s">
        <v>24</v>
      </c>
      <c r="F1128">
        <v>4669.9799999999996</v>
      </c>
      <c r="G1128">
        <v>79495</v>
      </c>
      <c r="H1128">
        <v>7157.48</v>
      </c>
      <c r="I1128">
        <v>26.84</v>
      </c>
      <c r="J1128">
        <f>IFERROR(INDEX(Suppliar[Estimated Carbon Footprint (tons CO₂e)],MATCH('Merge operational &amp; suppliar'!A1128,Suppliar[Facility ID],0)),"")</f>
        <v>114.57</v>
      </c>
      <c r="K1128">
        <f>IFERROR(INDEX(Suppliar[Income Distribution (%)],MATCH('Merge operational &amp; suppliar'!A1128,Suppliar[Facility ID],0)),"")</f>
        <v>9.83</v>
      </c>
    </row>
    <row r="1129" spans="1:11" x14ac:dyDescent="0.3">
      <c r="A1129" t="s">
        <v>138</v>
      </c>
      <c r="B1129" t="s">
        <v>12</v>
      </c>
      <c r="C1129" t="s">
        <v>13</v>
      </c>
      <c r="D1129" t="s">
        <v>9</v>
      </c>
      <c r="E1129" t="s">
        <v>15</v>
      </c>
      <c r="F1129">
        <v>502.57</v>
      </c>
      <c r="G1129">
        <v>57353</v>
      </c>
      <c r="H1129">
        <v>2274.71</v>
      </c>
      <c r="I1129">
        <v>65.34</v>
      </c>
      <c r="J1129">
        <f>IFERROR(INDEX(Suppliar[Estimated Carbon Footprint (tons CO₂e)],MATCH('Merge operational &amp; suppliar'!A1129,Suppliar[Facility ID],0)),"")</f>
        <v>931.73</v>
      </c>
      <c r="K1129">
        <f>IFERROR(INDEX(Suppliar[Income Distribution (%)],MATCH('Merge operational &amp; suppliar'!A1129,Suppliar[Facility ID],0)),"")</f>
        <v>46.27</v>
      </c>
    </row>
    <row r="1130" spans="1:11" x14ac:dyDescent="0.3">
      <c r="A1130" t="s">
        <v>166</v>
      </c>
      <c r="B1130" t="s">
        <v>7</v>
      </c>
      <c r="C1130" t="s">
        <v>8</v>
      </c>
      <c r="D1130" t="s">
        <v>14</v>
      </c>
      <c r="E1130" t="s">
        <v>10</v>
      </c>
      <c r="F1130">
        <v>2663.13</v>
      </c>
      <c r="G1130">
        <v>34318</v>
      </c>
      <c r="H1130">
        <v>675.67</v>
      </c>
      <c r="I1130">
        <v>41.05</v>
      </c>
      <c r="J1130">
        <f>IFERROR(INDEX(Suppliar[Estimated Carbon Footprint (tons CO₂e)],MATCH('Merge operational &amp; suppliar'!A1130,Suppliar[Facility ID],0)),"")</f>
        <v>390.06</v>
      </c>
      <c r="K1130">
        <f>IFERROR(INDEX(Suppliar[Income Distribution (%)],MATCH('Merge operational &amp; suppliar'!A1130,Suppliar[Facility ID],0)),"")</f>
        <v>27.42</v>
      </c>
    </row>
    <row r="1131" spans="1:11" x14ac:dyDescent="0.3">
      <c r="A1131" t="s">
        <v>188</v>
      </c>
      <c r="B1131" t="s">
        <v>19</v>
      </c>
      <c r="C1131" t="s">
        <v>13</v>
      </c>
      <c r="D1131" t="s">
        <v>14</v>
      </c>
      <c r="E1131" t="s">
        <v>15</v>
      </c>
      <c r="F1131">
        <v>3327.22</v>
      </c>
      <c r="G1131">
        <v>60513</v>
      </c>
      <c r="H1131">
        <v>4578.16</v>
      </c>
      <c r="I1131">
        <v>65.53</v>
      </c>
      <c r="J1131" t="str">
        <f>IFERROR(INDEX(Suppliar[Estimated Carbon Footprint (tons CO₂e)],MATCH('Merge operational &amp; suppliar'!A1131,Suppliar[Facility ID],0)),"")</f>
        <v/>
      </c>
      <c r="K1131" t="str">
        <f>IFERROR(INDEX(Suppliar[Income Distribution (%)],MATCH('Merge operational &amp; suppliar'!A1131,Suppliar[Facility ID],0)),"")</f>
        <v/>
      </c>
    </row>
    <row r="1132" spans="1:11" x14ac:dyDescent="0.3">
      <c r="A1132" t="s">
        <v>198</v>
      </c>
      <c r="B1132" t="s">
        <v>12</v>
      </c>
      <c r="C1132" t="s">
        <v>23</v>
      </c>
      <c r="D1132" t="s">
        <v>14</v>
      </c>
      <c r="E1132" t="s">
        <v>10</v>
      </c>
      <c r="F1132">
        <v>441.04</v>
      </c>
      <c r="G1132">
        <v>58113</v>
      </c>
      <c r="H1132">
        <v>6382.12</v>
      </c>
      <c r="I1132">
        <v>56.66</v>
      </c>
      <c r="J1132">
        <f>IFERROR(INDEX(Suppliar[Estimated Carbon Footprint (tons CO₂e)],MATCH('Merge operational &amp; suppliar'!A1132,Suppliar[Facility ID],0)),"")</f>
        <v>431.16</v>
      </c>
      <c r="K1132">
        <f>IFERROR(INDEX(Suppliar[Income Distribution (%)],MATCH('Merge operational &amp; suppliar'!A1132,Suppliar[Facility ID],0)),"")</f>
        <v>48.25</v>
      </c>
    </row>
    <row r="1133" spans="1:11" x14ac:dyDescent="0.3">
      <c r="A1133" t="s">
        <v>31</v>
      </c>
      <c r="B1133" t="s">
        <v>30</v>
      </c>
      <c r="C1133" t="s">
        <v>13</v>
      </c>
      <c r="D1133" t="s">
        <v>9</v>
      </c>
      <c r="E1133" t="s">
        <v>10</v>
      </c>
      <c r="F1133">
        <v>1466.47</v>
      </c>
      <c r="G1133">
        <v>84851</v>
      </c>
      <c r="H1133">
        <v>560.75</v>
      </c>
      <c r="I1133">
        <v>80.23</v>
      </c>
      <c r="J1133">
        <f>IFERROR(INDEX(Suppliar[Estimated Carbon Footprint (tons CO₂e)],MATCH('Merge operational &amp; suppliar'!A1133,Suppliar[Facility ID],0)),"")</f>
        <v>610.79999999999995</v>
      </c>
      <c r="K1133">
        <f>IFERROR(INDEX(Suppliar[Income Distribution (%)],MATCH('Merge operational &amp; suppliar'!A1133,Suppliar[Facility ID],0)),"")</f>
        <v>26.58</v>
      </c>
    </row>
    <row r="1134" spans="1:11" x14ac:dyDescent="0.3">
      <c r="A1134" t="s">
        <v>95</v>
      </c>
      <c r="B1134" t="s">
        <v>30</v>
      </c>
      <c r="C1134" t="s">
        <v>34</v>
      </c>
      <c r="D1134" t="s">
        <v>9</v>
      </c>
      <c r="E1134" t="s">
        <v>10</v>
      </c>
      <c r="F1134">
        <v>5076.01</v>
      </c>
      <c r="G1134">
        <v>51800</v>
      </c>
      <c r="H1134">
        <v>3042.95</v>
      </c>
      <c r="I1134">
        <v>71.87</v>
      </c>
      <c r="J1134">
        <f>IFERROR(INDEX(Suppliar[Estimated Carbon Footprint (tons CO₂e)],MATCH('Merge operational &amp; suppliar'!A1134,Suppliar[Facility ID],0)),"")</f>
        <v>714.03</v>
      </c>
      <c r="K1134">
        <f>IFERROR(INDEX(Suppliar[Income Distribution (%)],MATCH('Merge operational &amp; suppliar'!A1134,Suppliar[Facility ID],0)),"")</f>
        <v>10.84</v>
      </c>
    </row>
    <row r="1135" spans="1:11" x14ac:dyDescent="0.3">
      <c r="A1135" t="s">
        <v>41</v>
      </c>
      <c r="B1135" t="s">
        <v>30</v>
      </c>
      <c r="C1135" t="s">
        <v>34</v>
      </c>
      <c r="D1135" t="s">
        <v>28</v>
      </c>
      <c r="E1135" t="s">
        <v>10</v>
      </c>
      <c r="F1135">
        <v>3971.86</v>
      </c>
      <c r="G1135">
        <v>61743</v>
      </c>
      <c r="H1135">
        <v>7426.75</v>
      </c>
      <c r="I1135">
        <v>26.39</v>
      </c>
      <c r="J1135">
        <f>IFERROR(INDEX(Suppliar[Estimated Carbon Footprint (tons CO₂e)],MATCH('Merge operational &amp; suppliar'!A1135,Suppliar[Facility ID],0)),"")</f>
        <v>527.37</v>
      </c>
      <c r="K1135">
        <f>IFERROR(INDEX(Suppliar[Income Distribution (%)],MATCH('Merge operational &amp; suppliar'!A1135,Suppliar[Facility ID],0)),"")</f>
        <v>39.28</v>
      </c>
    </row>
    <row r="1136" spans="1:11" x14ac:dyDescent="0.3">
      <c r="A1136" t="s">
        <v>189</v>
      </c>
      <c r="B1136" t="s">
        <v>19</v>
      </c>
      <c r="C1136" t="s">
        <v>23</v>
      </c>
      <c r="D1136" t="s">
        <v>28</v>
      </c>
      <c r="E1136" t="s">
        <v>10</v>
      </c>
      <c r="F1136">
        <v>3120.88</v>
      </c>
      <c r="G1136">
        <v>27681</v>
      </c>
      <c r="H1136">
        <v>928.26</v>
      </c>
      <c r="I1136">
        <v>44.97</v>
      </c>
      <c r="J1136" t="str">
        <f>IFERROR(INDEX(Suppliar[Estimated Carbon Footprint (tons CO₂e)],MATCH('Merge operational &amp; suppliar'!A1136,Suppliar[Facility ID],0)),"")</f>
        <v/>
      </c>
      <c r="K1136" t="str">
        <f>IFERROR(INDEX(Suppliar[Income Distribution (%)],MATCH('Merge operational &amp; suppliar'!A1136,Suppliar[Facility ID],0)),"")</f>
        <v/>
      </c>
    </row>
    <row r="1137" spans="1:11" x14ac:dyDescent="0.3">
      <c r="A1137" t="s">
        <v>25</v>
      </c>
      <c r="B1137" t="s">
        <v>19</v>
      </c>
      <c r="C1137" t="s">
        <v>23</v>
      </c>
      <c r="D1137" t="s">
        <v>14</v>
      </c>
      <c r="E1137" t="s">
        <v>15</v>
      </c>
      <c r="F1137">
        <v>3407.69</v>
      </c>
      <c r="G1137">
        <v>95306</v>
      </c>
      <c r="H1137">
        <v>9037.76</v>
      </c>
      <c r="I1137">
        <v>13.35</v>
      </c>
      <c r="J1137">
        <f>IFERROR(INDEX(Suppliar[Estimated Carbon Footprint (tons CO₂e)],MATCH('Merge operational &amp; suppliar'!A1137,Suppliar[Facility ID],0)),"")</f>
        <v>724.63</v>
      </c>
      <c r="K1137">
        <f>IFERROR(INDEX(Suppliar[Income Distribution (%)],MATCH('Merge operational &amp; suppliar'!A1137,Suppliar[Facility ID],0)),"")</f>
        <v>21.2</v>
      </c>
    </row>
    <row r="1138" spans="1:11" x14ac:dyDescent="0.3">
      <c r="A1138" t="s">
        <v>103</v>
      </c>
      <c r="B1138" t="s">
        <v>19</v>
      </c>
      <c r="C1138" t="s">
        <v>8</v>
      </c>
      <c r="D1138" t="s">
        <v>9</v>
      </c>
      <c r="E1138" t="s">
        <v>10</v>
      </c>
      <c r="F1138">
        <v>4867.8900000000003</v>
      </c>
      <c r="G1138">
        <v>38869</v>
      </c>
      <c r="H1138">
        <v>5109.76</v>
      </c>
      <c r="I1138">
        <v>35.270000000000003</v>
      </c>
      <c r="J1138">
        <f>IFERROR(INDEX(Suppliar[Estimated Carbon Footprint (tons CO₂e)],MATCH('Merge operational &amp; suppliar'!A1138,Suppliar[Facility ID],0)),"")</f>
        <v>986.62</v>
      </c>
      <c r="K1138">
        <f>IFERROR(INDEX(Suppliar[Income Distribution (%)],MATCH('Merge operational &amp; suppliar'!A1138,Suppliar[Facility ID],0)),"")</f>
        <v>40.86</v>
      </c>
    </row>
    <row r="1139" spans="1:11" x14ac:dyDescent="0.3">
      <c r="A1139" t="s">
        <v>56</v>
      </c>
      <c r="B1139" t="s">
        <v>19</v>
      </c>
      <c r="C1139" t="s">
        <v>13</v>
      </c>
      <c r="D1139" t="s">
        <v>14</v>
      </c>
      <c r="E1139" t="s">
        <v>15</v>
      </c>
      <c r="F1139">
        <v>1080.8399999999999</v>
      </c>
      <c r="G1139">
        <v>43747</v>
      </c>
      <c r="H1139">
        <v>3453.48</v>
      </c>
      <c r="I1139">
        <v>98.78</v>
      </c>
      <c r="J1139">
        <f>IFERROR(INDEX(Suppliar[Estimated Carbon Footprint (tons CO₂e)],MATCH('Merge operational &amp; suppliar'!A1139,Suppliar[Facility ID],0)),"")</f>
        <v>459.56</v>
      </c>
      <c r="K1139">
        <f>IFERROR(INDEX(Suppliar[Income Distribution (%)],MATCH('Merge operational &amp; suppliar'!A1139,Suppliar[Facility ID],0)),"")</f>
        <v>23.81</v>
      </c>
    </row>
    <row r="1140" spans="1:11" x14ac:dyDescent="0.3">
      <c r="A1140" t="s">
        <v>171</v>
      </c>
      <c r="B1140" t="s">
        <v>17</v>
      </c>
      <c r="C1140" t="s">
        <v>23</v>
      </c>
      <c r="D1140" t="s">
        <v>9</v>
      </c>
      <c r="E1140" t="s">
        <v>24</v>
      </c>
      <c r="F1140">
        <v>1196.42</v>
      </c>
      <c r="G1140">
        <v>24502</v>
      </c>
      <c r="H1140">
        <v>7466.86</v>
      </c>
      <c r="I1140">
        <v>88.83</v>
      </c>
      <c r="J1140">
        <f>IFERROR(INDEX(Suppliar[Estimated Carbon Footprint (tons CO₂e)],MATCH('Merge operational &amp; suppliar'!A1140,Suppliar[Facility ID],0)),"")</f>
        <v>847.51</v>
      </c>
      <c r="K1140">
        <f>IFERROR(INDEX(Suppliar[Income Distribution (%)],MATCH('Merge operational &amp; suppliar'!A1140,Suppliar[Facility ID],0)),"")</f>
        <v>26.48</v>
      </c>
    </row>
    <row r="1141" spans="1:11" x14ac:dyDescent="0.3">
      <c r="A1141" t="s">
        <v>176</v>
      </c>
      <c r="B1141" t="s">
        <v>19</v>
      </c>
      <c r="C1141" t="s">
        <v>34</v>
      </c>
      <c r="D1141" t="s">
        <v>14</v>
      </c>
      <c r="E1141" t="s">
        <v>15</v>
      </c>
      <c r="F1141">
        <v>2634.83</v>
      </c>
      <c r="G1141">
        <v>10907</v>
      </c>
      <c r="H1141">
        <v>4748.66</v>
      </c>
      <c r="I1141">
        <v>39.36</v>
      </c>
      <c r="J1141">
        <f>IFERROR(INDEX(Suppliar[Estimated Carbon Footprint (tons CO₂e)],MATCH('Merge operational &amp; suppliar'!A1141,Suppliar[Facility ID],0)),"")</f>
        <v>986.62</v>
      </c>
      <c r="K1141">
        <f>IFERROR(INDEX(Suppliar[Income Distribution (%)],MATCH('Merge operational &amp; suppliar'!A1141,Suppliar[Facility ID],0)),"")</f>
        <v>17.04</v>
      </c>
    </row>
    <row r="1142" spans="1:11" x14ac:dyDescent="0.3">
      <c r="A1142" t="s">
        <v>181</v>
      </c>
      <c r="B1142" t="s">
        <v>30</v>
      </c>
      <c r="C1142" t="s">
        <v>23</v>
      </c>
      <c r="D1142" t="s">
        <v>9</v>
      </c>
      <c r="E1142" t="s">
        <v>10</v>
      </c>
      <c r="F1142">
        <v>3396.58</v>
      </c>
      <c r="G1142">
        <v>28704</v>
      </c>
      <c r="H1142">
        <v>6009.24</v>
      </c>
      <c r="I1142">
        <v>39.31</v>
      </c>
      <c r="J1142">
        <f>IFERROR(INDEX(Suppliar[Estimated Carbon Footprint (tons CO₂e)],MATCH('Merge operational &amp; suppliar'!A1142,Suppliar[Facility ID],0)),"")</f>
        <v>479.41</v>
      </c>
      <c r="K1142">
        <f>IFERROR(INDEX(Suppliar[Income Distribution (%)],MATCH('Merge operational &amp; suppliar'!A1142,Suppliar[Facility ID],0)),"")</f>
        <v>19.7</v>
      </c>
    </row>
    <row r="1143" spans="1:11" x14ac:dyDescent="0.3">
      <c r="A1143" t="s">
        <v>186</v>
      </c>
      <c r="B1143" t="s">
        <v>30</v>
      </c>
      <c r="C1143" t="s">
        <v>13</v>
      </c>
      <c r="D1143" t="s">
        <v>14</v>
      </c>
      <c r="E1143" t="s">
        <v>15</v>
      </c>
      <c r="F1143">
        <v>4067.32</v>
      </c>
      <c r="G1143">
        <v>85868</v>
      </c>
      <c r="H1143">
        <v>907.72</v>
      </c>
      <c r="I1143">
        <v>90.36</v>
      </c>
      <c r="J1143">
        <f>IFERROR(INDEX(Suppliar[Estimated Carbon Footprint (tons CO₂e)],MATCH('Merge operational &amp; suppliar'!A1143,Suppliar[Facility ID],0)),"")</f>
        <v>960.4</v>
      </c>
      <c r="K1143">
        <f>IFERROR(INDEX(Suppliar[Income Distribution (%)],MATCH('Merge operational &amp; suppliar'!A1143,Suppliar[Facility ID],0)),"")</f>
        <v>10.65</v>
      </c>
    </row>
    <row r="1144" spans="1:11" x14ac:dyDescent="0.3">
      <c r="A1144" t="s">
        <v>183</v>
      </c>
      <c r="B1144" t="s">
        <v>7</v>
      </c>
      <c r="C1144" t="s">
        <v>13</v>
      </c>
      <c r="D1144" t="s">
        <v>9</v>
      </c>
      <c r="E1144" t="s">
        <v>10</v>
      </c>
      <c r="F1144">
        <v>1241.4100000000001</v>
      </c>
      <c r="G1144">
        <v>14009</v>
      </c>
      <c r="H1144">
        <v>7528.98</v>
      </c>
      <c r="I1144">
        <v>77.62</v>
      </c>
      <c r="J1144">
        <f>IFERROR(INDEX(Suppliar[Estimated Carbon Footprint (tons CO₂e)],MATCH('Merge operational &amp; suppliar'!A1144,Suppliar[Facility ID],0)),"")</f>
        <v>763.97</v>
      </c>
      <c r="K1144">
        <f>IFERROR(INDEX(Suppliar[Income Distribution (%)],MATCH('Merge operational &amp; suppliar'!A1144,Suppliar[Facility ID],0)),"")</f>
        <v>24.91</v>
      </c>
    </row>
    <row r="1145" spans="1:11" x14ac:dyDescent="0.3">
      <c r="A1145" t="s">
        <v>52</v>
      </c>
      <c r="B1145" t="s">
        <v>19</v>
      </c>
      <c r="C1145" t="s">
        <v>23</v>
      </c>
      <c r="D1145" t="s">
        <v>14</v>
      </c>
      <c r="E1145" t="s">
        <v>24</v>
      </c>
      <c r="F1145">
        <v>3737.92</v>
      </c>
      <c r="G1145">
        <v>94949</v>
      </c>
      <c r="H1145">
        <v>9714.76</v>
      </c>
      <c r="I1145">
        <v>64.900000000000006</v>
      </c>
      <c r="J1145">
        <f>IFERROR(INDEX(Suppliar[Estimated Carbon Footprint (tons CO₂e)],MATCH('Merge operational &amp; suppliar'!A1145,Suppliar[Facility ID],0)),"")</f>
        <v>241.41</v>
      </c>
      <c r="K1145">
        <f>IFERROR(INDEX(Suppliar[Income Distribution (%)],MATCH('Merge operational &amp; suppliar'!A1145,Suppliar[Facility ID],0)),"")</f>
        <v>20.62</v>
      </c>
    </row>
    <row r="1146" spans="1:11" x14ac:dyDescent="0.3">
      <c r="A1146" t="s">
        <v>70</v>
      </c>
      <c r="B1146" t="s">
        <v>19</v>
      </c>
      <c r="C1146" t="s">
        <v>34</v>
      </c>
      <c r="D1146" t="s">
        <v>9</v>
      </c>
      <c r="E1146" t="s">
        <v>24</v>
      </c>
      <c r="F1146">
        <v>443.27</v>
      </c>
      <c r="G1146">
        <v>42485</v>
      </c>
      <c r="H1146">
        <v>4755.75</v>
      </c>
      <c r="I1146">
        <v>10.19</v>
      </c>
      <c r="J1146">
        <f>IFERROR(INDEX(Suppliar[Estimated Carbon Footprint (tons CO₂e)],MATCH('Merge operational &amp; suppliar'!A1146,Suppliar[Facility ID],0)),"")</f>
        <v>662.74</v>
      </c>
      <c r="K1146">
        <f>IFERROR(INDEX(Suppliar[Income Distribution (%)],MATCH('Merge operational &amp; suppliar'!A1146,Suppliar[Facility ID],0)),"")</f>
        <v>36.79</v>
      </c>
    </row>
    <row r="1147" spans="1:11" x14ac:dyDescent="0.3">
      <c r="A1147" t="s">
        <v>175</v>
      </c>
      <c r="B1147" t="s">
        <v>7</v>
      </c>
      <c r="C1147" t="s">
        <v>13</v>
      </c>
      <c r="D1147" t="s">
        <v>14</v>
      </c>
      <c r="E1147" t="s">
        <v>24</v>
      </c>
      <c r="F1147">
        <v>179.8</v>
      </c>
      <c r="G1147">
        <v>83923</v>
      </c>
      <c r="H1147">
        <v>8768.7999999999993</v>
      </c>
      <c r="I1147">
        <v>65.290000000000006</v>
      </c>
      <c r="J1147">
        <f>IFERROR(INDEX(Suppliar[Estimated Carbon Footprint (tons CO₂e)],MATCH('Merge operational &amp; suppliar'!A1147,Suppliar[Facility ID],0)),"")</f>
        <v>579.80999999999995</v>
      </c>
      <c r="K1147">
        <f>IFERROR(INDEX(Suppliar[Income Distribution (%)],MATCH('Merge operational &amp; suppliar'!A1147,Suppliar[Facility ID],0)),"")</f>
        <v>34.93</v>
      </c>
    </row>
    <row r="1148" spans="1:11" x14ac:dyDescent="0.3">
      <c r="A1148" t="s">
        <v>79</v>
      </c>
      <c r="B1148" t="s">
        <v>17</v>
      </c>
      <c r="C1148" t="s">
        <v>13</v>
      </c>
      <c r="D1148" t="s">
        <v>9</v>
      </c>
      <c r="E1148" t="s">
        <v>15</v>
      </c>
      <c r="F1148">
        <v>253.08</v>
      </c>
      <c r="G1148">
        <v>40503</v>
      </c>
      <c r="H1148">
        <v>7447.46</v>
      </c>
      <c r="I1148">
        <v>98.27</v>
      </c>
      <c r="J1148">
        <f>IFERROR(INDEX(Suppliar[Estimated Carbon Footprint (tons CO₂e)],MATCH('Merge operational &amp; suppliar'!A1148,Suppliar[Facility ID],0)),"")</f>
        <v>209.33</v>
      </c>
      <c r="K1148">
        <f>IFERROR(INDEX(Suppliar[Income Distribution (%)],MATCH('Merge operational &amp; suppliar'!A1148,Suppliar[Facility ID],0)),"")</f>
        <v>39.549999999999997</v>
      </c>
    </row>
    <row r="1149" spans="1:11" x14ac:dyDescent="0.3">
      <c r="A1149" t="s">
        <v>60</v>
      </c>
      <c r="B1149" t="s">
        <v>12</v>
      </c>
      <c r="C1149" t="s">
        <v>8</v>
      </c>
      <c r="D1149" t="s">
        <v>28</v>
      </c>
      <c r="E1149" t="s">
        <v>24</v>
      </c>
      <c r="F1149">
        <v>584.44000000000005</v>
      </c>
      <c r="G1149">
        <v>25148</v>
      </c>
      <c r="H1149">
        <v>9604.5499999999993</v>
      </c>
      <c r="I1149">
        <v>63.47</v>
      </c>
      <c r="J1149">
        <f>IFERROR(INDEX(Suppliar[Estimated Carbon Footprint (tons CO₂e)],MATCH('Merge operational &amp; suppliar'!A1149,Suppliar[Facility ID],0)),"")</f>
        <v>209.33</v>
      </c>
      <c r="K1149">
        <f>IFERROR(INDEX(Suppliar[Income Distribution (%)],MATCH('Merge operational &amp; suppliar'!A1149,Suppliar[Facility ID],0)),"")</f>
        <v>30.01</v>
      </c>
    </row>
    <row r="1150" spans="1:11" x14ac:dyDescent="0.3">
      <c r="A1150" t="s">
        <v>85</v>
      </c>
      <c r="B1150" t="s">
        <v>30</v>
      </c>
      <c r="C1150" t="s">
        <v>8</v>
      </c>
      <c r="D1150" t="s">
        <v>9</v>
      </c>
      <c r="E1150" t="s">
        <v>10</v>
      </c>
      <c r="F1150">
        <v>858.27</v>
      </c>
      <c r="G1150">
        <v>45519</v>
      </c>
      <c r="H1150">
        <v>7987.69</v>
      </c>
      <c r="I1150">
        <v>10.86</v>
      </c>
      <c r="J1150">
        <f>IFERROR(INDEX(Suppliar[Estimated Carbon Footprint (tons CO₂e)],MATCH('Merge operational &amp; suppliar'!A1150,Suppliar[Facility ID],0)),"")</f>
        <v>638.89</v>
      </c>
      <c r="K1150">
        <f>IFERROR(INDEX(Suppliar[Income Distribution (%)],MATCH('Merge operational &amp; suppliar'!A1150,Suppliar[Facility ID],0)),"")</f>
        <v>35.04</v>
      </c>
    </row>
    <row r="1151" spans="1:11" x14ac:dyDescent="0.3">
      <c r="A1151" t="s">
        <v>31</v>
      </c>
      <c r="B1151" t="s">
        <v>30</v>
      </c>
      <c r="C1151" t="s">
        <v>13</v>
      </c>
      <c r="D1151" t="s">
        <v>28</v>
      </c>
      <c r="E1151" t="s">
        <v>15</v>
      </c>
      <c r="F1151">
        <v>220.63</v>
      </c>
      <c r="G1151">
        <v>84851</v>
      </c>
      <c r="H1151">
        <v>560.75</v>
      </c>
      <c r="I1151">
        <v>80.23</v>
      </c>
      <c r="J1151">
        <f>IFERROR(INDEX(Suppliar[Estimated Carbon Footprint (tons CO₂e)],MATCH('Merge operational &amp; suppliar'!A1151,Suppliar[Facility ID],0)),"")</f>
        <v>610.79999999999995</v>
      </c>
      <c r="K1151">
        <f>IFERROR(INDEX(Suppliar[Income Distribution (%)],MATCH('Merge operational &amp; suppliar'!A1151,Suppliar[Facility ID],0)),"")</f>
        <v>26.58</v>
      </c>
    </row>
    <row r="1152" spans="1:11" x14ac:dyDescent="0.3">
      <c r="A1152" t="s">
        <v>71</v>
      </c>
      <c r="B1152" t="s">
        <v>7</v>
      </c>
      <c r="C1152" t="s">
        <v>13</v>
      </c>
      <c r="D1152" t="s">
        <v>14</v>
      </c>
      <c r="E1152" t="s">
        <v>24</v>
      </c>
      <c r="F1152">
        <v>4665.38</v>
      </c>
      <c r="G1152">
        <v>68018</v>
      </c>
      <c r="H1152">
        <v>3523.4</v>
      </c>
      <c r="I1152">
        <v>92.26</v>
      </c>
      <c r="J1152">
        <f>IFERROR(INDEX(Suppliar[Estimated Carbon Footprint (tons CO₂e)],MATCH('Merge operational &amp; suppliar'!A1152,Suppliar[Facility ID],0)),"")</f>
        <v>111.84</v>
      </c>
      <c r="K1152">
        <f>IFERROR(INDEX(Suppliar[Income Distribution (%)],MATCH('Merge operational &amp; suppliar'!A1152,Suppliar[Facility ID],0)),"")</f>
        <v>15.85</v>
      </c>
    </row>
    <row r="1153" spans="1:11" x14ac:dyDescent="0.3">
      <c r="A1153" t="s">
        <v>212</v>
      </c>
      <c r="B1153" t="s">
        <v>7</v>
      </c>
      <c r="C1153" t="s">
        <v>13</v>
      </c>
      <c r="D1153" t="s">
        <v>14</v>
      </c>
      <c r="E1153" t="s">
        <v>15</v>
      </c>
      <c r="F1153">
        <v>3677.45</v>
      </c>
      <c r="G1153">
        <v>67820</v>
      </c>
      <c r="H1153">
        <v>8177.95</v>
      </c>
      <c r="I1153">
        <v>40.69</v>
      </c>
      <c r="J1153">
        <f>IFERROR(INDEX(Suppliar[Estimated Carbon Footprint (tons CO₂e)],MATCH('Merge operational &amp; suppliar'!A1153,Suppliar[Facility ID],0)),"")</f>
        <v>790.74</v>
      </c>
      <c r="K1153">
        <f>IFERROR(INDEX(Suppliar[Income Distribution (%)],MATCH('Merge operational &amp; suppliar'!A1153,Suppliar[Facility ID],0)),"")</f>
        <v>15.94</v>
      </c>
    </row>
    <row r="1154" spans="1:11" x14ac:dyDescent="0.3">
      <c r="A1154" t="s">
        <v>16</v>
      </c>
      <c r="B1154" t="s">
        <v>17</v>
      </c>
      <c r="C1154" t="s">
        <v>13</v>
      </c>
      <c r="D1154" t="s">
        <v>28</v>
      </c>
      <c r="E1154" t="s">
        <v>10</v>
      </c>
      <c r="F1154">
        <v>3434.59</v>
      </c>
      <c r="G1154">
        <v>43512</v>
      </c>
      <c r="H1154">
        <v>5352.18</v>
      </c>
      <c r="I1154">
        <v>6.17</v>
      </c>
      <c r="J1154">
        <f>IFERROR(INDEX(Suppliar[Estimated Carbon Footprint (tons CO₂e)],MATCH('Merge operational &amp; suppliar'!A1154,Suppliar[Facility ID],0)),"")</f>
        <v>311.36</v>
      </c>
      <c r="K1154">
        <f>IFERROR(INDEX(Suppliar[Income Distribution (%)],MATCH('Merge operational &amp; suppliar'!A1154,Suppliar[Facility ID],0)),"")</f>
        <v>28.72</v>
      </c>
    </row>
    <row r="1155" spans="1:11" x14ac:dyDescent="0.3">
      <c r="A1155" t="s">
        <v>40</v>
      </c>
      <c r="B1155" t="s">
        <v>19</v>
      </c>
      <c r="C1155" t="s">
        <v>34</v>
      </c>
      <c r="D1155" t="s">
        <v>9</v>
      </c>
      <c r="E1155" t="s">
        <v>24</v>
      </c>
      <c r="F1155">
        <v>1175.5899999999999</v>
      </c>
      <c r="G1155">
        <v>96474</v>
      </c>
      <c r="H1155">
        <v>7574.39</v>
      </c>
      <c r="I1155">
        <v>95.54</v>
      </c>
      <c r="J1155">
        <f>IFERROR(INDEX(Suppliar[Estimated Carbon Footprint (tons CO₂e)],MATCH('Merge operational &amp; suppliar'!A1155,Suppliar[Facility ID],0)),"")</f>
        <v>886.71</v>
      </c>
      <c r="K1155">
        <f>IFERROR(INDEX(Suppliar[Income Distribution (%)],MATCH('Merge operational &amp; suppliar'!A1155,Suppliar[Facility ID],0)),"")</f>
        <v>24.84</v>
      </c>
    </row>
    <row r="1156" spans="1:11" x14ac:dyDescent="0.3">
      <c r="A1156" t="s">
        <v>208</v>
      </c>
      <c r="B1156" t="s">
        <v>19</v>
      </c>
      <c r="C1156" t="s">
        <v>34</v>
      </c>
      <c r="D1156" t="s">
        <v>9</v>
      </c>
      <c r="E1156" t="s">
        <v>15</v>
      </c>
      <c r="F1156">
        <v>5155.3999999999996</v>
      </c>
      <c r="G1156">
        <v>40553</v>
      </c>
      <c r="H1156">
        <v>4875.2299999999996</v>
      </c>
      <c r="I1156">
        <v>23.33</v>
      </c>
      <c r="J1156">
        <f>IFERROR(INDEX(Suppliar[Estimated Carbon Footprint (tons CO₂e)],MATCH('Merge operational &amp; suppliar'!A1156,Suppliar[Facility ID],0)),"")</f>
        <v>818.45</v>
      </c>
      <c r="K1156">
        <f>IFERROR(INDEX(Suppliar[Income Distribution (%)],MATCH('Merge operational &amp; suppliar'!A1156,Suppliar[Facility ID],0)),"")</f>
        <v>19.420000000000002</v>
      </c>
    </row>
    <row r="1157" spans="1:11" x14ac:dyDescent="0.3">
      <c r="A1157" t="s">
        <v>148</v>
      </c>
      <c r="B1157" t="s">
        <v>17</v>
      </c>
      <c r="C1157" t="s">
        <v>34</v>
      </c>
      <c r="D1157" t="s">
        <v>14</v>
      </c>
      <c r="E1157" t="s">
        <v>10</v>
      </c>
      <c r="F1157">
        <v>4426.07</v>
      </c>
      <c r="G1157">
        <v>44994</v>
      </c>
      <c r="H1157">
        <v>7305.59</v>
      </c>
      <c r="I1157">
        <v>91.53</v>
      </c>
      <c r="J1157">
        <f>IFERROR(INDEX(Suppliar[Estimated Carbon Footprint (tons CO₂e)],MATCH('Merge operational &amp; suppliar'!A1157,Suppliar[Facility ID],0)),"")</f>
        <v>790.74</v>
      </c>
      <c r="K1157">
        <f>IFERROR(INDEX(Suppliar[Income Distribution (%)],MATCH('Merge operational &amp; suppliar'!A1157,Suppliar[Facility ID],0)),"")</f>
        <v>27.44</v>
      </c>
    </row>
    <row r="1158" spans="1:11" x14ac:dyDescent="0.3">
      <c r="A1158" t="s">
        <v>20</v>
      </c>
      <c r="B1158" t="s">
        <v>17</v>
      </c>
      <c r="C1158" t="s">
        <v>8</v>
      </c>
      <c r="D1158" t="s">
        <v>14</v>
      </c>
      <c r="E1158" t="s">
        <v>24</v>
      </c>
      <c r="F1158">
        <v>4487.54</v>
      </c>
      <c r="G1158">
        <v>29895</v>
      </c>
      <c r="H1158">
        <v>1631.08</v>
      </c>
      <c r="I1158">
        <v>39.93</v>
      </c>
      <c r="J1158">
        <f>IFERROR(INDEX(Suppliar[Estimated Carbon Footprint (tons CO₂e)],MATCH('Merge operational &amp; suppliar'!A1158,Suppliar[Facility ID],0)),"")</f>
        <v>959.2</v>
      </c>
      <c r="K1158">
        <f>IFERROR(INDEX(Suppliar[Income Distribution (%)],MATCH('Merge operational &amp; suppliar'!A1158,Suppliar[Facility ID],0)),"")</f>
        <v>38.840000000000003</v>
      </c>
    </row>
    <row r="1159" spans="1:11" x14ac:dyDescent="0.3">
      <c r="A1159" t="s">
        <v>209</v>
      </c>
      <c r="B1159" t="s">
        <v>7</v>
      </c>
      <c r="C1159" t="s">
        <v>13</v>
      </c>
      <c r="D1159" t="s">
        <v>28</v>
      </c>
      <c r="E1159" t="s">
        <v>15</v>
      </c>
      <c r="F1159">
        <v>844.07</v>
      </c>
      <c r="G1159">
        <v>52357</v>
      </c>
      <c r="H1159">
        <v>5643.16</v>
      </c>
      <c r="I1159">
        <v>37.130000000000003</v>
      </c>
      <c r="J1159">
        <f>IFERROR(INDEX(Suppliar[Estimated Carbon Footprint (tons CO₂e)],MATCH('Merge operational &amp; suppliar'!A1159,Suppliar[Facility ID],0)),"")</f>
        <v>932.3</v>
      </c>
      <c r="K1159">
        <f>IFERROR(INDEX(Suppliar[Income Distribution (%)],MATCH('Merge operational &amp; suppliar'!A1159,Suppliar[Facility ID],0)),"")</f>
        <v>13.43</v>
      </c>
    </row>
    <row r="1160" spans="1:11" x14ac:dyDescent="0.3">
      <c r="A1160" t="s">
        <v>157</v>
      </c>
      <c r="B1160" t="s">
        <v>30</v>
      </c>
      <c r="C1160" t="s">
        <v>34</v>
      </c>
      <c r="D1160" t="s">
        <v>28</v>
      </c>
      <c r="E1160" t="s">
        <v>24</v>
      </c>
      <c r="F1160">
        <v>808.96</v>
      </c>
      <c r="G1160">
        <v>76544</v>
      </c>
      <c r="H1160">
        <v>8632.77</v>
      </c>
      <c r="I1160">
        <v>12.87</v>
      </c>
      <c r="J1160">
        <f>IFERROR(INDEX(Suppliar[Estimated Carbon Footprint (tons CO₂e)],MATCH('Merge operational &amp; suppliar'!A1160,Suppliar[Facility ID],0)),"")</f>
        <v>571.88</v>
      </c>
      <c r="K1160">
        <f>IFERROR(INDEX(Suppliar[Income Distribution (%)],MATCH('Merge operational &amp; suppliar'!A1160,Suppliar[Facility ID],0)),"")</f>
        <v>30.1</v>
      </c>
    </row>
    <row r="1161" spans="1:11" x14ac:dyDescent="0.3">
      <c r="A1161" t="s">
        <v>54</v>
      </c>
      <c r="B1161" t="s">
        <v>12</v>
      </c>
      <c r="C1161" t="s">
        <v>23</v>
      </c>
      <c r="D1161" t="s">
        <v>9</v>
      </c>
      <c r="E1161" t="s">
        <v>10</v>
      </c>
      <c r="F1161">
        <v>4896.92</v>
      </c>
      <c r="G1161">
        <v>58111</v>
      </c>
      <c r="H1161">
        <v>4610.8999999999996</v>
      </c>
      <c r="I1161">
        <v>21.53</v>
      </c>
      <c r="J1161">
        <f>IFERROR(INDEX(Suppliar[Estimated Carbon Footprint (tons CO₂e)],MATCH('Merge operational &amp; suppliar'!A1161,Suppliar[Facility ID],0)),"")</f>
        <v>268.16000000000003</v>
      </c>
      <c r="K1161">
        <f>IFERROR(INDEX(Suppliar[Income Distribution (%)],MATCH('Merge operational &amp; suppliar'!A1161,Suppliar[Facility ID],0)),"")</f>
        <v>13.78</v>
      </c>
    </row>
    <row r="1162" spans="1:11" x14ac:dyDescent="0.3">
      <c r="A1162" t="s">
        <v>151</v>
      </c>
      <c r="B1162" t="s">
        <v>12</v>
      </c>
      <c r="C1162" t="s">
        <v>8</v>
      </c>
      <c r="D1162" t="s">
        <v>9</v>
      </c>
      <c r="E1162" t="s">
        <v>10</v>
      </c>
      <c r="F1162">
        <v>191.17</v>
      </c>
      <c r="G1162">
        <v>61207</v>
      </c>
      <c r="H1162">
        <v>6922.33</v>
      </c>
      <c r="I1162">
        <v>9.1999999999999993</v>
      </c>
      <c r="J1162" t="str">
        <f>IFERROR(INDEX(Suppliar[Estimated Carbon Footprint (tons CO₂e)],MATCH('Merge operational &amp; suppliar'!A1162,Suppliar[Facility ID],0)),"")</f>
        <v/>
      </c>
      <c r="K1162" t="str">
        <f>IFERROR(INDEX(Suppliar[Income Distribution (%)],MATCH('Merge operational &amp; suppliar'!A1162,Suppliar[Facility ID],0)),"")</f>
        <v/>
      </c>
    </row>
    <row r="1163" spans="1:11" x14ac:dyDescent="0.3">
      <c r="A1163" t="s">
        <v>137</v>
      </c>
      <c r="B1163" t="s">
        <v>17</v>
      </c>
      <c r="C1163" t="s">
        <v>34</v>
      </c>
      <c r="D1163" t="s">
        <v>14</v>
      </c>
      <c r="E1163" t="s">
        <v>10</v>
      </c>
      <c r="F1163">
        <v>1697.2</v>
      </c>
      <c r="G1163">
        <v>19265</v>
      </c>
      <c r="H1163">
        <v>776.6</v>
      </c>
      <c r="I1163">
        <v>39.75</v>
      </c>
      <c r="J1163">
        <f>IFERROR(INDEX(Suppliar[Estimated Carbon Footprint (tons CO₂e)],MATCH('Merge operational &amp; suppliar'!A1163,Suppliar[Facility ID],0)),"")</f>
        <v>289.77</v>
      </c>
      <c r="K1163">
        <f>IFERROR(INDEX(Suppliar[Income Distribution (%)],MATCH('Merge operational &amp; suppliar'!A1163,Suppliar[Facility ID],0)),"")</f>
        <v>37.270000000000003</v>
      </c>
    </row>
    <row r="1164" spans="1:11" x14ac:dyDescent="0.3">
      <c r="A1164" t="s">
        <v>57</v>
      </c>
      <c r="B1164" t="s">
        <v>19</v>
      </c>
      <c r="C1164" t="s">
        <v>8</v>
      </c>
      <c r="D1164" t="s">
        <v>9</v>
      </c>
      <c r="E1164" t="s">
        <v>24</v>
      </c>
      <c r="F1164">
        <v>4105.01</v>
      </c>
      <c r="G1164">
        <v>41027</v>
      </c>
      <c r="H1164">
        <v>7285.85</v>
      </c>
      <c r="I1164">
        <v>59.87</v>
      </c>
      <c r="J1164">
        <f>IFERROR(INDEX(Suppliar[Estimated Carbon Footprint (tons CO₂e)],MATCH('Merge operational &amp; suppliar'!A1164,Suppliar[Facility ID],0)),"")</f>
        <v>763.97</v>
      </c>
      <c r="K1164">
        <f>IFERROR(INDEX(Suppliar[Income Distribution (%)],MATCH('Merge operational &amp; suppliar'!A1164,Suppliar[Facility ID],0)),"")</f>
        <v>34.14</v>
      </c>
    </row>
    <row r="1165" spans="1:11" x14ac:dyDescent="0.3">
      <c r="A1165" t="s">
        <v>80</v>
      </c>
      <c r="B1165" t="s">
        <v>17</v>
      </c>
      <c r="C1165" t="s">
        <v>13</v>
      </c>
      <c r="D1165" t="s">
        <v>28</v>
      </c>
      <c r="E1165" t="s">
        <v>10</v>
      </c>
      <c r="F1165">
        <v>4095.94</v>
      </c>
      <c r="G1165">
        <v>75508</v>
      </c>
      <c r="H1165">
        <v>6856.22</v>
      </c>
      <c r="I1165">
        <v>18.2</v>
      </c>
      <c r="J1165">
        <f>IFERROR(INDEX(Suppliar[Estimated Carbon Footprint (tons CO₂e)],MATCH('Merge operational &amp; suppliar'!A1165,Suppliar[Facility ID],0)),"")</f>
        <v>991.03</v>
      </c>
      <c r="K1165">
        <f>IFERROR(INDEX(Suppliar[Income Distribution (%)],MATCH('Merge operational &amp; suppliar'!A1165,Suppliar[Facility ID],0)),"")</f>
        <v>13.32</v>
      </c>
    </row>
    <row r="1166" spans="1:11" x14ac:dyDescent="0.3">
      <c r="A1166" t="s">
        <v>99</v>
      </c>
      <c r="B1166" t="s">
        <v>19</v>
      </c>
      <c r="C1166" t="s">
        <v>8</v>
      </c>
      <c r="D1166" t="s">
        <v>14</v>
      </c>
      <c r="E1166" t="s">
        <v>24</v>
      </c>
      <c r="F1166">
        <v>1094.42</v>
      </c>
      <c r="G1166">
        <v>77400</v>
      </c>
      <c r="H1166">
        <v>7504.8</v>
      </c>
      <c r="I1166">
        <v>68.819999999999993</v>
      </c>
      <c r="J1166" t="str">
        <f>IFERROR(INDEX(Suppliar[Estimated Carbon Footprint (tons CO₂e)],MATCH('Merge operational &amp; suppliar'!A1166,Suppliar[Facility ID],0)),"")</f>
        <v/>
      </c>
      <c r="K1166" t="str">
        <f>IFERROR(INDEX(Suppliar[Income Distribution (%)],MATCH('Merge operational &amp; suppliar'!A1166,Suppliar[Facility ID],0)),"")</f>
        <v/>
      </c>
    </row>
    <row r="1167" spans="1:11" x14ac:dyDescent="0.3">
      <c r="A1167" t="s">
        <v>178</v>
      </c>
      <c r="B1167" t="s">
        <v>30</v>
      </c>
      <c r="C1167" t="s">
        <v>34</v>
      </c>
      <c r="D1167" t="s">
        <v>9</v>
      </c>
      <c r="E1167" t="s">
        <v>15</v>
      </c>
      <c r="F1167">
        <v>2501.4699999999998</v>
      </c>
      <c r="G1167">
        <v>88188</v>
      </c>
      <c r="H1167">
        <v>815.86</v>
      </c>
      <c r="I1167">
        <v>57.53</v>
      </c>
      <c r="J1167">
        <f>IFERROR(INDEX(Suppliar[Estimated Carbon Footprint (tons CO₂e)],MATCH('Merge operational &amp; suppliar'!A1167,Suppliar[Facility ID],0)),"")</f>
        <v>557.72</v>
      </c>
      <c r="K1167">
        <f>IFERROR(INDEX(Suppliar[Income Distribution (%)],MATCH('Merge operational &amp; suppliar'!A1167,Suppliar[Facility ID],0)),"")</f>
        <v>37.25</v>
      </c>
    </row>
    <row r="1168" spans="1:11" x14ac:dyDescent="0.3">
      <c r="A1168" t="s">
        <v>138</v>
      </c>
      <c r="B1168" t="s">
        <v>12</v>
      </c>
      <c r="C1168" t="s">
        <v>34</v>
      </c>
      <c r="D1168" t="s">
        <v>14</v>
      </c>
      <c r="E1168" t="s">
        <v>24</v>
      </c>
      <c r="F1168">
        <v>1137.71</v>
      </c>
      <c r="G1168">
        <v>57353</v>
      </c>
      <c r="H1168">
        <v>2274.71</v>
      </c>
      <c r="I1168">
        <v>65.34</v>
      </c>
      <c r="J1168">
        <f>IFERROR(INDEX(Suppliar[Estimated Carbon Footprint (tons CO₂e)],MATCH('Merge operational &amp; suppliar'!A1168,Suppliar[Facility ID],0)),"")</f>
        <v>931.73</v>
      </c>
      <c r="K1168">
        <f>IFERROR(INDEX(Suppliar[Income Distribution (%)],MATCH('Merge operational &amp; suppliar'!A1168,Suppliar[Facility ID],0)),"")</f>
        <v>46.27</v>
      </c>
    </row>
    <row r="1169" spans="1:11" x14ac:dyDescent="0.3">
      <c r="A1169" t="s">
        <v>113</v>
      </c>
      <c r="B1169" t="s">
        <v>30</v>
      </c>
      <c r="C1169" t="s">
        <v>23</v>
      </c>
      <c r="D1169" t="s">
        <v>28</v>
      </c>
      <c r="E1169" t="s">
        <v>15</v>
      </c>
      <c r="F1169">
        <v>2685.34</v>
      </c>
      <c r="G1169">
        <v>90679</v>
      </c>
      <c r="H1169">
        <v>7266.82</v>
      </c>
      <c r="I1169">
        <v>23.3</v>
      </c>
      <c r="J1169">
        <f>IFERROR(INDEX(Suppliar[Estimated Carbon Footprint (tons CO₂e)],MATCH('Merge operational &amp; suppliar'!A1169,Suppliar[Facility ID],0)),"")</f>
        <v>943.59</v>
      </c>
      <c r="K1169">
        <f>IFERROR(INDEX(Suppliar[Income Distribution (%)],MATCH('Merge operational &amp; suppliar'!A1169,Suppliar[Facility ID],0)),"")</f>
        <v>15.81</v>
      </c>
    </row>
    <row r="1170" spans="1:11" x14ac:dyDescent="0.3">
      <c r="A1170" t="s">
        <v>184</v>
      </c>
      <c r="B1170" t="s">
        <v>30</v>
      </c>
      <c r="C1170" t="s">
        <v>13</v>
      </c>
      <c r="D1170" t="s">
        <v>14</v>
      </c>
      <c r="E1170" t="s">
        <v>24</v>
      </c>
      <c r="F1170">
        <v>3561.14</v>
      </c>
      <c r="G1170">
        <v>13543</v>
      </c>
      <c r="H1170">
        <v>7854.96</v>
      </c>
      <c r="I1170">
        <v>85.57</v>
      </c>
      <c r="J1170">
        <f>IFERROR(INDEX(Suppliar[Estimated Carbon Footprint (tons CO₂e)],MATCH('Merge operational &amp; suppliar'!A1170,Suppliar[Facility ID],0)),"")</f>
        <v>610.79999999999995</v>
      </c>
      <c r="K1170">
        <f>IFERROR(INDEX(Suppliar[Income Distribution (%)],MATCH('Merge operational &amp; suppliar'!A1170,Suppliar[Facility ID],0)),"")</f>
        <v>30.04</v>
      </c>
    </row>
    <row r="1171" spans="1:11" x14ac:dyDescent="0.3">
      <c r="A1171" t="s">
        <v>55</v>
      </c>
      <c r="B1171" t="s">
        <v>12</v>
      </c>
      <c r="C1171" t="s">
        <v>23</v>
      </c>
      <c r="D1171" t="s">
        <v>9</v>
      </c>
      <c r="E1171" t="s">
        <v>10</v>
      </c>
      <c r="F1171">
        <v>135.57</v>
      </c>
      <c r="G1171">
        <v>38181</v>
      </c>
      <c r="H1171">
        <v>691.84</v>
      </c>
      <c r="I1171">
        <v>33.53</v>
      </c>
      <c r="J1171">
        <f>IFERROR(INDEX(Suppliar[Estimated Carbon Footprint (tons CO₂e)],MATCH('Merge operational &amp; suppliar'!A1171,Suppliar[Facility ID],0)),"")</f>
        <v>114.57</v>
      </c>
      <c r="K1171">
        <f>IFERROR(INDEX(Suppliar[Income Distribution (%)],MATCH('Merge operational &amp; suppliar'!A1171,Suppliar[Facility ID],0)),"")</f>
        <v>9.9600000000000009</v>
      </c>
    </row>
    <row r="1172" spans="1:11" x14ac:dyDescent="0.3">
      <c r="A1172" t="s">
        <v>201</v>
      </c>
      <c r="B1172" t="s">
        <v>12</v>
      </c>
      <c r="C1172" t="s">
        <v>8</v>
      </c>
      <c r="D1172" t="s">
        <v>28</v>
      </c>
      <c r="E1172" t="s">
        <v>15</v>
      </c>
      <c r="F1172">
        <v>651.62</v>
      </c>
      <c r="G1172">
        <v>58439</v>
      </c>
      <c r="H1172">
        <v>5817.93</v>
      </c>
      <c r="I1172">
        <v>63.77</v>
      </c>
      <c r="J1172">
        <f>IFERROR(INDEX(Suppliar[Estimated Carbon Footprint (tons CO₂e)],MATCH('Merge operational &amp; suppliar'!A1172,Suppliar[Facility ID],0)),"")</f>
        <v>143.16999999999999</v>
      </c>
      <c r="K1172">
        <f>IFERROR(INDEX(Suppliar[Income Distribution (%)],MATCH('Merge operational &amp; suppliar'!A1172,Suppliar[Facility ID],0)),"")</f>
        <v>52.46</v>
      </c>
    </row>
    <row r="1173" spans="1:11" x14ac:dyDescent="0.3">
      <c r="A1173" t="s">
        <v>189</v>
      </c>
      <c r="B1173" t="s">
        <v>19</v>
      </c>
      <c r="C1173" t="s">
        <v>34</v>
      </c>
      <c r="D1173" t="s">
        <v>9</v>
      </c>
      <c r="E1173" t="s">
        <v>10</v>
      </c>
      <c r="F1173">
        <v>243.88</v>
      </c>
      <c r="G1173">
        <v>27681</v>
      </c>
      <c r="H1173">
        <v>928.26</v>
      </c>
      <c r="I1173">
        <v>44.97</v>
      </c>
      <c r="J1173" t="str">
        <f>IFERROR(INDEX(Suppliar[Estimated Carbon Footprint (tons CO₂e)],MATCH('Merge operational &amp; suppliar'!A1173,Suppliar[Facility ID],0)),"")</f>
        <v/>
      </c>
      <c r="K1173" t="str">
        <f>IFERROR(INDEX(Suppliar[Income Distribution (%)],MATCH('Merge operational &amp; suppliar'!A1173,Suppliar[Facility ID],0)),"")</f>
        <v/>
      </c>
    </row>
    <row r="1174" spans="1:11" x14ac:dyDescent="0.3">
      <c r="A1174" t="s">
        <v>215</v>
      </c>
      <c r="B1174" t="s">
        <v>17</v>
      </c>
      <c r="C1174" t="s">
        <v>34</v>
      </c>
      <c r="D1174" t="s">
        <v>28</v>
      </c>
      <c r="E1174" t="s">
        <v>24</v>
      </c>
      <c r="F1174">
        <v>2204.12</v>
      </c>
      <c r="G1174">
        <v>72813</v>
      </c>
      <c r="H1174">
        <v>8818.16</v>
      </c>
      <c r="I1174">
        <v>54.12</v>
      </c>
      <c r="J1174">
        <f>IFERROR(INDEX(Suppliar[Estimated Carbon Footprint (tons CO₂e)],MATCH('Merge operational &amp; suppliar'!A1174,Suppliar[Facility ID],0)),"")</f>
        <v>986.62</v>
      </c>
      <c r="K1174">
        <f>IFERROR(INDEX(Suppliar[Income Distribution (%)],MATCH('Merge operational &amp; suppliar'!A1174,Suppliar[Facility ID],0)),"")</f>
        <v>42.1</v>
      </c>
    </row>
    <row r="1175" spans="1:11" x14ac:dyDescent="0.3">
      <c r="A1175" t="s">
        <v>77</v>
      </c>
      <c r="B1175" t="s">
        <v>30</v>
      </c>
      <c r="C1175" t="s">
        <v>34</v>
      </c>
      <c r="D1175" t="s">
        <v>9</v>
      </c>
      <c r="E1175" t="s">
        <v>24</v>
      </c>
      <c r="F1175">
        <v>4031.31</v>
      </c>
      <c r="G1175">
        <v>61942</v>
      </c>
      <c r="H1175">
        <v>4891.32</v>
      </c>
      <c r="I1175">
        <v>91.59</v>
      </c>
      <c r="J1175">
        <f>IFERROR(INDEX(Suppliar[Estimated Carbon Footprint (tons CO₂e)],MATCH('Merge operational &amp; suppliar'!A1175,Suppliar[Facility ID],0)),"")</f>
        <v>785.8</v>
      </c>
      <c r="K1175">
        <f>IFERROR(INDEX(Suppliar[Income Distribution (%)],MATCH('Merge operational &amp; suppliar'!A1175,Suppliar[Facility ID],0)),"")</f>
        <v>8.84</v>
      </c>
    </row>
    <row r="1176" spans="1:11" x14ac:dyDescent="0.3">
      <c r="A1176" t="s">
        <v>37</v>
      </c>
      <c r="B1176" t="s">
        <v>17</v>
      </c>
      <c r="C1176" t="s">
        <v>8</v>
      </c>
      <c r="D1176" t="s">
        <v>14</v>
      </c>
      <c r="E1176" t="s">
        <v>24</v>
      </c>
      <c r="F1176">
        <v>1311.25</v>
      </c>
      <c r="G1176">
        <v>71747</v>
      </c>
      <c r="H1176">
        <v>9838.66</v>
      </c>
      <c r="I1176">
        <v>7.25</v>
      </c>
      <c r="J1176">
        <f>IFERROR(INDEX(Suppliar[Estimated Carbon Footprint (tons CO₂e)],MATCH('Merge operational &amp; suppliar'!A1176,Suppliar[Facility ID],0)),"")</f>
        <v>224.5</v>
      </c>
      <c r="K1176">
        <f>IFERROR(INDEX(Suppliar[Income Distribution (%)],MATCH('Merge operational &amp; suppliar'!A1176,Suppliar[Facility ID],0)),"")</f>
        <v>39.29</v>
      </c>
    </row>
    <row r="1177" spans="1:11" x14ac:dyDescent="0.3">
      <c r="A1177" t="s">
        <v>96</v>
      </c>
      <c r="B1177" t="s">
        <v>19</v>
      </c>
      <c r="C1177" t="s">
        <v>8</v>
      </c>
      <c r="D1177" t="s">
        <v>9</v>
      </c>
      <c r="E1177" t="s">
        <v>10</v>
      </c>
      <c r="F1177">
        <v>496</v>
      </c>
      <c r="G1177">
        <v>53942</v>
      </c>
      <c r="H1177">
        <v>5904.31</v>
      </c>
      <c r="I1177">
        <v>32.78</v>
      </c>
      <c r="J1177">
        <f>IFERROR(INDEX(Suppliar[Estimated Carbon Footprint (tons CO₂e)],MATCH('Merge operational &amp; suppliar'!A1177,Suppliar[Facility ID],0)),"")</f>
        <v>553.44000000000005</v>
      </c>
      <c r="K1177">
        <f>IFERROR(INDEX(Suppliar[Income Distribution (%)],MATCH('Merge operational &amp; suppliar'!A1177,Suppliar[Facility ID],0)),"")</f>
        <v>29.01</v>
      </c>
    </row>
    <row r="1178" spans="1:11" x14ac:dyDescent="0.3">
      <c r="A1178" t="s">
        <v>136</v>
      </c>
      <c r="B1178" t="s">
        <v>17</v>
      </c>
      <c r="C1178" t="s">
        <v>8</v>
      </c>
      <c r="D1178" t="s">
        <v>14</v>
      </c>
      <c r="E1178" t="s">
        <v>10</v>
      </c>
      <c r="F1178">
        <v>3182.6</v>
      </c>
      <c r="G1178">
        <v>15128</v>
      </c>
      <c r="H1178">
        <v>8847.09</v>
      </c>
      <c r="I1178">
        <v>5.25</v>
      </c>
      <c r="J1178">
        <f>IFERROR(INDEX(Suppliar[Estimated Carbon Footprint (tons CO₂e)],MATCH('Merge operational &amp; suppliar'!A1178,Suppliar[Facility ID],0)),"")</f>
        <v>230.57</v>
      </c>
      <c r="K1178">
        <f>IFERROR(INDEX(Suppliar[Income Distribution (%)],MATCH('Merge operational &amp; suppliar'!A1178,Suppliar[Facility ID],0)),"")</f>
        <v>60.48</v>
      </c>
    </row>
    <row r="1179" spans="1:11" x14ac:dyDescent="0.3">
      <c r="A1179" t="s">
        <v>182</v>
      </c>
      <c r="B1179" t="s">
        <v>12</v>
      </c>
      <c r="C1179" t="s">
        <v>23</v>
      </c>
      <c r="D1179" t="s">
        <v>14</v>
      </c>
      <c r="E1179" t="s">
        <v>15</v>
      </c>
      <c r="F1179">
        <v>1935.31</v>
      </c>
      <c r="G1179">
        <v>21081</v>
      </c>
      <c r="H1179">
        <v>9001.77</v>
      </c>
      <c r="I1179">
        <v>49.27</v>
      </c>
      <c r="J1179">
        <f>IFERROR(INDEX(Suppliar[Estimated Carbon Footprint (tons CO₂e)],MATCH('Merge operational &amp; suppliar'!A1179,Suppliar[Facility ID],0)),"")</f>
        <v>114.57</v>
      </c>
      <c r="K1179">
        <f>IFERROR(INDEX(Suppliar[Income Distribution (%)],MATCH('Merge operational &amp; suppliar'!A1179,Suppliar[Facility ID],0)),"")</f>
        <v>44.17</v>
      </c>
    </row>
    <row r="1180" spans="1:11" x14ac:dyDescent="0.3">
      <c r="A1180" t="s">
        <v>103</v>
      </c>
      <c r="B1180" t="s">
        <v>19</v>
      </c>
      <c r="C1180" t="s">
        <v>34</v>
      </c>
      <c r="D1180" t="s">
        <v>9</v>
      </c>
      <c r="E1180" t="s">
        <v>10</v>
      </c>
      <c r="F1180">
        <v>4354.08</v>
      </c>
      <c r="G1180">
        <v>38869</v>
      </c>
      <c r="H1180">
        <v>5109.76</v>
      </c>
      <c r="I1180">
        <v>35.270000000000003</v>
      </c>
      <c r="J1180">
        <f>IFERROR(INDEX(Suppliar[Estimated Carbon Footprint (tons CO₂e)],MATCH('Merge operational &amp; suppliar'!A1180,Suppliar[Facility ID],0)),"")</f>
        <v>986.62</v>
      </c>
      <c r="K1180">
        <f>IFERROR(INDEX(Suppliar[Income Distribution (%)],MATCH('Merge operational &amp; suppliar'!A1180,Suppliar[Facility ID],0)),"")</f>
        <v>40.86</v>
      </c>
    </row>
    <row r="1181" spans="1:11" x14ac:dyDescent="0.3">
      <c r="A1181" t="s">
        <v>144</v>
      </c>
      <c r="B1181" t="s">
        <v>30</v>
      </c>
      <c r="C1181" t="s">
        <v>13</v>
      </c>
      <c r="D1181" t="s">
        <v>28</v>
      </c>
      <c r="E1181" t="s">
        <v>15</v>
      </c>
      <c r="F1181">
        <v>4545.6899999999996</v>
      </c>
      <c r="G1181">
        <v>11426</v>
      </c>
      <c r="H1181">
        <v>4439.5600000000004</v>
      </c>
      <c r="I1181">
        <v>52.71</v>
      </c>
      <c r="J1181" t="str">
        <f>IFERROR(INDEX(Suppliar[Estimated Carbon Footprint (tons CO₂e)],MATCH('Merge operational &amp; suppliar'!A1181,Suppliar[Facility ID],0)),"")</f>
        <v/>
      </c>
      <c r="K1181" t="str">
        <f>IFERROR(INDEX(Suppliar[Income Distribution (%)],MATCH('Merge operational &amp; suppliar'!A1181,Suppliar[Facility ID],0)),"")</f>
        <v/>
      </c>
    </row>
    <row r="1182" spans="1:11" x14ac:dyDescent="0.3">
      <c r="A1182" t="s">
        <v>126</v>
      </c>
      <c r="B1182" t="s">
        <v>30</v>
      </c>
      <c r="C1182" t="s">
        <v>13</v>
      </c>
      <c r="D1182" t="s">
        <v>28</v>
      </c>
      <c r="E1182" t="s">
        <v>10</v>
      </c>
      <c r="F1182">
        <v>1019.91</v>
      </c>
      <c r="G1182">
        <v>35506</v>
      </c>
      <c r="H1182">
        <v>1892.04</v>
      </c>
      <c r="I1182">
        <v>61.53</v>
      </c>
      <c r="J1182" t="str">
        <f>IFERROR(INDEX(Suppliar[Estimated Carbon Footprint (tons CO₂e)],MATCH('Merge operational &amp; suppliar'!A1182,Suppliar[Facility ID],0)),"")</f>
        <v/>
      </c>
      <c r="K1182" t="str">
        <f>IFERROR(INDEX(Suppliar[Income Distribution (%)],MATCH('Merge operational &amp; suppliar'!A1182,Suppliar[Facility ID],0)),"")</f>
        <v/>
      </c>
    </row>
    <row r="1183" spans="1:11" x14ac:dyDescent="0.3">
      <c r="A1183" t="s">
        <v>205</v>
      </c>
      <c r="B1183" t="s">
        <v>17</v>
      </c>
      <c r="C1183" t="s">
        <v>34</v>
      </c>
      <c r="D1183" t="s">
        <v>9</v>
      </c>
      <c r="E1183" t="s">
        <v>24</v>
      </c>
      <c r="F1183">
        <v>3313.08</v>
      </c>
      <c r="G1183">
        <v>52594</v>
      </c>
      <c r="H1183">
        <v>8715.0400000000009</v>
      </c>
      <c r="I1183">
        <v>90.54</v>
      </c>
      <c r="J1183">
        <f>IFERROR(INDEX(Suppliar[Estimated Carbon Footprint (tons CO₂e)],MATCH('Merge operational &amp; suppliar'!A1183,Suppliar[Facility ID],0)),"")</f>
        <v>553.44000000000005</v>
      </c>
      <c r="K1183">
        <f>IFERROR(INDEX(Suppliar[Income Distribution (%)],MATCH('Merge operational &amp; suppliar'!A1183,Suppliar[Facility ID],0)),"")</f>
        <v>23.44</v>
      </c>
    </row>
    <row r="1184" spans="1:11" x14ac:dyDescent="0.3">
      <c r="A1184" t="s">
        <v>72</v>
      </c>
      <c r="B1184" t="s">
        <v>19</v>
      </c>
      <c r="C1184" t="s">
        <v>34</v>
      </c>
      <c r="D1184" t="s">
        <v>28</v>
      </c>
      <c r="E1184" t="s">
        <v>24</v>
      </c>
      <c r="F1184">
        <v>2988.27</v>
      </c>
      <c r="G1184">
        <v>29318</v>
      </c>
      <c r="H1184">
        <v>9860.6200000000008</v>
      </c>
      <c r="I1184">
        <v>14.58</v>
      </c>
      <c r="J1184">
        <f>IFERROR(INDEX(Suppliar[Estimated Carbon Footprint (tons CO₂e)],MATCH('Merge operational &amp; suppliar'!A1184,Suppliar[Facility ID],0)),"")</f>
        <v>571.66</v>
      </c>
      <c r="K1184">
        <f>IFERROR(INDEX(Suppliar[Income Distribution (%)],MATCH('Merge operational &amp; suppliar'!A1184,Suppliar[Facility ID],0)),"")</f>
        <v>6.78</v>
      </c>
    </row>
    <row r="1185" spans="1:11" x14ac:dyDescent="0.3">
      <c r="A1185" t="s">
        <v>146</v>
      </c>
      <c r="B1185" t="s">
        <v>7</v>
      </c>
      <c r="C1185" t="s">
        <v>34</v>
      </c>
      <c r="D1185" t="s">
        <v>9</v>
      </c>
      <c r="E1185" t="s">
        <v>24</v>
      </c>
      <c r="F1185">
        <v>4688.47</v>
      </c>
      <c r="G1185">
        <v>14170</v>
      </c>
      <c r="H1185">
        <v>5455.23</v>
      </c>
      <c r="I1185">
        <v>25.46</v>
      </c>
      <c r="J1185">
        <f>IFERROR(INDEX(Suppliar[Estimated Carbon Footprint (tons CO₂e)],MATCH('Merge operational &amp; suppliar'!A1185,Suppliar[Facility ID],0)),"")</f>
        <v>790.74</v>
      </c>
      <c r="K1185">
        <f>IFERROR(INDEX(Suppliar[Income Distribution (%)],MATCH('Merge operational &amp; suppliar'!A1185,Suppliar[Facility ID],0)),"")</f>
        <v>28.78</v>
      </c>
    </row>
    <row r="1186" spans="1:11" x14ac:dyDescent="0.3">
      <c r="A1186" t="s">
        <v>76</v>
      </c>
      <c r="B1186" t="s">
        <v>17</v>
      </c>
      <c r="C1186" t="s">
        <v>34</v>
      </c>
      <c r="D1186" t="s">
        <v>9</v>
      </c>
      <c r="E1186" t="s">
        <v>24</v>
      </c>
      <c r="F1186">
        <v>4159.3599999999997</v>
      </c>
      <c r="G1186">
        <v>59617</v>
      </c>
      <c r="H1186">
        <v>5000.95</v>
      </c>
      <c r="I1186">
        <v>80.36</v>
      </c>
      <c r="J1186">
        <f>IFERROR(INDEX(Suppliar[Estimated Carbon Footprint (tons CO₂e)],MATCH('Merge operational &amp; suppliar'!A1186,Suppliar[Facility ID],0)),"")</f>
        <v>532.27</v>
      </c>
      <c r="K1186">
        <f>IFERROR(INDEX(Suppliar[Income Distribution (%)],MATCH('Merge operational &amp; suppliar'!A1186,Suppliar[Facility ID],0)),"")</f>
        <v>25.24</v>
      </c>
    </row>
    <row r="1187" spans="1:11" x14ac:dyDescent="0.3">
      <c r="A1187" t="s">
        <v>146</v>
      </c>
      <c r="B1187" t="s">
        <v>7</v>
      </c>
      <c r="C1187" t="s">
        <v>13</v>
      </c>
      <c r="D1187" t="s">
        <v>14</v>
      </c>
      <c r="E1187" t="s">
        <v>24</v>
      </c>
      <c r="F1187">
        <v>3142.22</v>
      </c>
      <c r="G1187">
        <v>14170</v>
      </c>
      <c r="H1187">
        <v>5455.23</v>
      </c>
      <c r="I1187">
        <v>25.46</v>
      </c>
      <c r="J1187">
        <f>IFERROR(INDEX(Suppliar[Estimated Carbon Footprint (tons CO₂e)],MATCH('Merge operational &amp; suppliar'!A1187,Suppliar[Facility ID],0)),"")</f>
        <v>790.74</v>
      </c>
      <c r="K1187">
        <f>IFERROR(INDEX(Suppliar[Income Distribution (%)],MATCH('Merge operational &amp; suppliar'!A1187,Suppliar[Facility ID],0)),"")</f>
        <v>28.78</v>
      </c>
    </row>
    <row r="1188" spans="1:11" x14ac:dyDescent="0.3">
      <c r="A1188" t="s">
        <v>193</v>
      </c>
      <c r="B1188" t="s">
        <v>12</v>
      </c>
      <c r="C1188" t="s">
        <v>34</v>
      </c>
      <c r="D1188" t="s">
        <v>9</v>
      </c>
      <c r="E1188" t="s">
        <v>15</v>
      </c>
      <c r="F1188">
        <v>4654.5600000000004</v>
      </c>
      <c r="G1188">
        <v>13333</v>
      </c>
      <c r="H1188">
        <v>6102.15</v>
      </c>
      <c r="I1188">
        <v>17.670000000000002</v>
      </c>
      <c r="J1188">
        <f>IFERROR(INDEX(Suppliar[Estimated Carbon Footprint (tons CO₂e)],MATCH('Merge operational &amp; suppliar'!A1188,Suppliar[Facility ID],0)),"")</f>
        <v>959.2</v>
      </c>
      <c r="K1188">
        <f>IFERROR(INDEX(Suppliar[Income Distribution (%)],MATCH('Merge operational &amp; suppliar'!A1188,Suppliar[Facility ID],0)),"")</f>
        <v>24.24</v>
      </c>
    </row>
    <row r="1189" spans="1:11" x14ac:dyDescent="0.3">
      <c r="A1189" t="s">
        <v>76</v>
      </c>
      <c r="B1189" t="s">
        <v>17</v>
      </c>
      <c r="C1189" t="s">
        <v>13</v>
      </c>
      <c r="D1189" t="s">
        <v>9</v>
      </c>
      <c r="E1189" t="s">
        <v>15</v>
      </c>
      <c r="F1189">
        <v>348.73</v>
      </c>
      <c r="G1189">
        <v>59617</v>
      </c>
      <c r="H1189">
        <v>5000.95</v>
      </c>
      <c r="I1189">
        <v>80.36</v>
      </c>
      <c r="J1189">
        <f>IFERROR(INDEX(Suppliar[Estimated Carbon Footprint (tons CO₂e)],MATCH('Merge operational &amp; suppliar'!A1189,Suppliar[Facility ID],0)),"")</f>
        <v>532.27</v>
      </c>
      <c r="K1189">
        <f>IFERROR(INDEX(Suppliar[Income Distribution (%)],MATCH('Merge operational &amp; suppliar'!A1189,Suppliar[Facility ID],0)),"")</f>
        <v>25.24</v>
      </c>
    </row>
    <row r="1190" spans="1:11" x14ac:dyDescent="0.3">
      <c r="A1190" t="s">
        <v>109</v>
      </c>
      <c r="B1190" t="s">
        <v>12</v>
      </c>
      <c r="C1190" t="s">
        <v>23</v>
      </c>
      <c r="D1190" t="s">
        <v>14</v>
      </c>
      <c r="E1190" t="s">
        <v>15</v>
      </c>
      <c r="F1190">
        <v>4243.12</v>
      </c>
      <c r="G1190">
        <v>84721</v>
      </c>
      <c r="H1190">
        <v>2278.9699999999998</v>
      </c>
      <c r="I1190">
        <v>68.53</v>
      </c>
      <c r="J1190">
        <f>IFERROR(INDEX(Suppliar[Estimated Carbon Footprint (tons CO₂e)],MATCH('Merge operational &amp; suppliar'!A1190,Suppliar[Facility ID],0)),"")</f>
        <v>796.34</v>
      </c>
      <c r="K1190">
        <f>IFERROR(INDEX(Suppliar[Income Distribution (%)],MATCH('Merge operational &amp; suppliar'!A1190,Suppliar[Facility ID],0)),"")</f>
        <v>33.590000000000003</v>
      </c>
    </row>
    <row r="1191" spans="1:11" x14ac:dyDescent="0.3">
      <c r="A1191" t="s">
        <v>52</v>
      </c>
      <c r="B1191" t="s">
        <v>19</v>
      </c>
      <c r="C1191" t="s">
        <v>8</v>
      </c>
      <c r="D1191" t="s">
        <v>14</v>
      </c>
      <c r="E1191" t="s">
        <v>24</v>
      </c>
      <c r="F1191">
        <v>4673.26</v>
      </c>
      <c r="G1191">
        <v>94949</v>
      </c>
      <c r="H1191">
        <v>9714.76</v>
      </c>
      <c r="I1191">
        <v>64.900000000000006</v>
      </c>
      <c r="J1191">
        <f>IFERROR(INDEX(Suppliar[Estimated Carbon Footprint (tons CO₂e)],MATCH('Merge operational &amp; suppliar'!A1191,Suppliar[Facility ID],0)),"")</f>
        <v>241.41</v>
      </c>
      <c r="K1191">
        <f>IFERROR(INDEX(Suppliar[Income Distribution (%)],MATCH('Merge operational &amp; suppliar'!A1191,Suppliar[Facility ID],0)),"")</f>
        <v>20.62</v>
      </c>
    </row>
    <row r="1192" spans="1:11" x14ac:dyDescent="0.3">
      <c r="A1192" t="s">
        <v>85</v>
      </c>
      <c r="B1192" t="s">
        <v>30</v>
      </c>
      <c r="C1192" t="s">
        <v>8</v>
      </c>
      <c r="D1192" t="s">
        <v>28</v>
      </c>
      <c r="E1192" t="s">
        <v>10</v>
      </c>
      <c r="F1192">
        <v>1127.24</v>
      </c>
      <c r="G1192">
        <v>45519</v>
      </c>
      <c r="H1192">
        <v>7987.69</v>
      </c>
      <c r="I1192">
        <v>10.86</v>
      </c>
      <c r="J1192">
        <f>IFERROR(INDEX(Suppliar[Estimated Carbon Footprint (tons CO₂e)],MATCH('Merge operational &amp; suppliar'!A1192,Suppliar[Facility ID],0)),"")</f>
        <v>638.89</v>
      </c>
      <c r="K1192">
        <f>IFERROR(INDEX(Suppliar[Income Distribution (%)],MATCH('Merge operational &amp; suppliar'!A1192,Suppliar[Facility ID],0)),"")</f>
        <v>35.04</v>
      </c>
    </row>
    <row r="1193" spans="1:11" x14ac:dyDescent="0.3">
      <c r="A1193" t="s">
        <v>185</v>
      </c>
      <c r="B1193" t="s">
        <v>30</v>
      </c>
      <c r="C1193" t="s">
        <v>34</v>
      </c>
      <c r="D1193" t="s">
        <v>9</v>
      </c>
      <c r="E1193" t="s">
        <v>24</v>
      </c>
      <c r="F1193">
        <v>884.52</v>
      </c>
      <c r="G1193">
        <v>24913</v>
      </c>
      <c r="H1193">
        <v>5727.27</v>
      </c>
      <c r="I1193">
        <v>78.849999999999994</v>
      </c>
      <c r="J1193" t="str">
        <f>IFERROR(INDEX(Suppliar[Estimated Carbon Footprint (tons CO₂e)],MATCH('Merge operational &amp; suppliar'!A1193,Suppliar[Facility ID],0)),"")</f>
        <v/>
      </c>
      <c r="K1193" t="str">
        <f>IFERROR(INDEX(Suppliar[Income Distribution (%)],MATCH('Merge operational &amp; suppliar'!A1193,Suppliar[Facility ID],0)),"")</f>
        <v/>
      </c>
    </row>
    <row r="1194" spans="1:11" x14ac:dyDescent="0.3">
      <c r="A1194" t="s">
        <v>131</v>
      </c>
      <c r="B1194" t="s">
        <v>17</v>
      </c>
      <c r="C1194" t="s">
        <v>34</v>
      </c>
      <c r="D1194" t="s">
        <v>9</v>
      </c>
      <c r="E1194" t="s">
        <v>24</v>
      </c>
      <c r="F1194">
        <v>692.69</v>
      </c>
      <c r="G1194">
        <v>94128</v>
      </c>
      <c r="H1194">
        <v>8117.82</v>
      </c>
      <c r="I1194">
        <v>73.83</v>
      </c>
      <c r="J1194">
        <f>IFERROR(INDEX(Suppliar[Estimated Carbon Footprint (tons CO₂e)],MATCH('Merge operational &amp; suppliar'!A1194,Suppliar[Facility ID],0)),"")</f>
        <v>532.27</v>
      </c>
      <c r="K1194">
        <f>IFERROR(INDEX(Suppliar[Income Distribution (%)],MATCH('Merge operational &amp; suppliar'!A1194,Suppliar[Facility ID],0)),"")</f>
        <v>31.74</v>
      </c>
    </row>
    <row r="1195" spans="1:11" x14ac:dyDescent="0.3">
      <c r="A1195" t="s">
        <v>149</v>
      </c>
      <c r="B1195" t="s">
        <v>17</v>
      </c>
      <c r="C1195" t="s">
        <v>8</v>
      </c>
      <c r="D1195" t="s">
        <v>9</v>
      </c>
      <c r="E1195" t="s">
        <v>15</v>
      </c>
      <c r="F1195">
        <v>1097.77</v>
      </c>
      <c r="G1195">
        <v>49885</v>
      </c>
      <c r="H1195">
        <v>6845.46</v>
      </c>
      <c r="I1195">
        <v>58.4</v>
      </c>
      <c r="J1195">
        <f>IFERROR(INDEX(Suppliar[Estimated Carbon Footprint (tons CO₂e)],MATCH('Merge operational &amp; suppliar'!A1195,Suppliar[Facility ID],0)),"")</f>
        <v>341.24</v>
      </c>
      <c r="K1195">
        <f>IFERROR(INDEX(Suppliar[Income Distribution (%)],MATCH('Merge operational &amp; suppliar'!A1195,Suppliar[Facility ID],0)),"")</f>
        <v>19.309999999999999</v>
      </c>
    </row>
    <row r="1196" spans="1:11" x14ac:dyDescent="0.3">
      <c r="A1196" t="s">
        <v>41</v>
      </c>
      <c r="B1196" t="s">
        <v>30</v>
      </c>
      <c r="C1196" t="s">
        <v>8</v>
      </c>
      <c r="D1196" t="s">
        <v>9</v>
      </c>
      <c r="E1196" t="s">
        <v>15</v>
      </c>
      <c r="F1196">
        <v>3601.71</v>
      </c>
      <c r="G1196">
        <v>61743</v>
      </c>
      <c r="H1196">
        <v>7426.75</v>
      </c>
      <c r="I1196">
        <v>26.39</v>
      </c>
      <c r="J1196">
        <f>IFERROR(INDEX(Suppliar[Estimated Carbon Footprint (tons CO₂e)],MATCH('Merge operational &amp; suppliar'!A1196,Suppliar[Facility ID],0)),"")</f>
        <v>527.37</v>
      </c>
      <c r="K1196">
        <f>IFERROR(INDEX(Suppliar[Income Distribution (%)],MATCH('Merge operational &amp; suppliar'!A1196,Suppliar[Facility ID],0)),"")</f>
        <v>39.28</v>
      </c>
    </row>
    <row r="1197" spans="1:11" x14ac:dyDescent="0.3">
      <c r="A1197" t="s">
        <v>130</v>
      </c>
      <c r="B1197" t="s">
        <v>12</v>
      </c>
      <c r="C1197" t="s">
        <v>23</v>
      </c>
      <c r="D1197" t="s">
        <v>14</v>
      </c>
      <c r="E1197" t="s">
        <v>15</v>
      </c>
      <c r="F1197">
        <v>4661.5</v>
      </c>
      <c r="G1197">
        <v>82332</v>
      </c>
      <c r="H1197">
        <v>7134.86</v>
      </c>
      <c r="I1197">
        <v>22.44</v>
      </c>
      <c r="J1197">
        <f>IFERROR(INDEX(Suppliar[Estimated Carbon Footprint (tons CO₂e)],MATCH('Merge operational &amp; suppliar'!A1197,Suppliar[Facility ID],0)),"")</f>
        <v>553.44000000000005</v>
      </c>
      <c r="K1197">
        <f>IFERROR(INDEX(Suppliar[Income Distribution (%)],MATCH('Merge operational &amp; suppliar'!A1197,Suppliar[Facility ID],0)),"")</f>
        <v>13.24</v>
      </c>
    </row>
    <row r="1198" spans="1:11" x14ac:dyDescent="0.3">
      <c r="A1198" t="s">
        <v>25</v>
      </c>
      <c r="B1198" t="s">
        <v>19</v>
      </c>
      <c r="C1198" t="s">
        <v>23</v>
      </c>
      <c r="D1198" t="s">
        <v>14</v>
      </c>
      <c r="E1198" t="s">
        <v>10</v>
      </c>
      <c r="F1198">
        <v>4163.95</v>
      </c>
      <c r="G1198">
        <v>95306</v>
      </c>
      <c r="H1198">
        <v>9037.76</v>
      </c>
      <c r="I1198">
        <v>13.35</v>
      </c>
      <c r="J1198">
        <f>IFERROR(INDEX(Suppliar[Estimated Carbon Footprint (tons CO₂e)],MATCH('Merge operational &amp; suppliar'!A1198,Suppliar[Facility ID],0)),"")</f>
        <v>724.63</v>
      </c>
      <c r="K1198">
        <f>IFERROR(INDEX(Suppliar[Income Distribution (%)],MATCH('Merge operational &amp; suppliar'!A1198,Suppliar[Facility ID],0)),"")</f>
        <v>21.2</v>
      </c>
    </row>
    <row r="1199" spans="1:11" x14ac:dyDescent="0.3">
      <c r="A1199" t="s">
        <v>40</v>
      </c>
      <c r="B1199" t="s">
        <v>19</v>
      </c>
      <c r="C1199" t="s">
        <v>23</v>
      </c>
      <c r="D1199" t="s">
        <v>14</v>
      </c>
      <c r="E1199" t="s">
        <v>15</v>
      </c>
      <c r="F1199">
        <v>2018.59</v>
      </c>
      <c r="G1199">
        <v>96474</v>
      </c>
      <c r="H1199">
        <v>7574.39</v>
      </c>
      <c r="I1199">
        <v>95.54</v>
      </c>
      <c r="J1199">
        <f>IFERROR(INDEX(Suppliar[Estimated Carbon Footprint (tons CO₂e)],MATCH('Merge operational &amp; suppliar'!A1199,Suppliar[Facility ID],0)),"")</f>
        <v>886.71</v>
      </c>
      <c r="K1199">
        <f>IFERROR(INDEX(Suppliar[Income Distribution (%)],MATCH('Merge operational &amp; suppliar'!A1199,Suppliar[Facility ID],0)),"")</f>
        <v>24.84</v>
      </c>
    </row>
    <row r="1200" spans="1:11" x14ac:dyDescent="0.3">
      <c r="A1200" t="s">
        <v>118</v>
      </c>
      <c r="B1200" t="s">
        <v>30</v>
      </c>
      <c r="C1200" t="s">
        <v>13</v>
      </c>
      <c r="D1200" t="s">
        <v>28</v>
      </c>
      <c r="E1200" t="s">
        <v>10</v>
      </c>
      <c r="F1200">
        <v>1373.09</v>
      </c>
      <c r="G1200">
        <v>68492</v>
      </c>
      <c r="H1200">
        <v>3533.88</v>
      </c>
      <c r="I1200">
        <v>52.99</v>
      </c>
      <c r="J1200">
        <f>IFERROR(INDEX(Suppliar[Estimated Carbon Footprint (tons CO₂e)],MATCH('Merge operational &amp; suppliar'!A1200,Suppliar[Facility ID],0)),"")</f>
        <v>847.51</v>
      </c>
      <c r="K1200">
        <f>IFERROR(INDEX(Suppliar[Income Distribution (%)],MATCH('Merge operational &amp; suppliar'!A1200,Suppliar[Facility ID],0)),"")</f>
        <v>7.14</v>
      </c>
    </row>
    <row r="1201" spans="1:11" x14ac:dyDescent="0.3">
      <c r="A1201" t="s">
        <v>65</v>
      </c>
      <c r="B1201" t="s">
        <v>30</v>
      </c>
      <c r="C1201" t="s">
        <v>13</v>
      </c>
      <c r="D1201" t="s">
        <v>14</v>
      </c>
      <c r="E1201" t="s">
        <v>10</v>
      </c>
      <c r="F1201">
        <v>1419.59</v>
      </c>
      <c r="G1201">
        <v>99026</v>
      </c>
      <c r="H1201">
        <v>5453.2</v>
      </c>
      <c r="I1201">
        <v>57.49</v>
      </c>
      <c r="J1201">
        <f>IFERROR(INDEX(Suppliar[Estimated Carbon Footprint (tons CO₂e)],MATCH('Merge operational &amp; suppliar'!A1201,Suppliar[Facility ID],0)),"")</f>
        <v>231.68</v>
      </c>
      <c r="K1201">
        <f>IFERROR(INDEX(Suppliar[Income Distribution (%)],MATCH('Merge operational &amp; suppliar'!A1201,Suppliar[Facility ID],0)),"")</f>
        <v>24.26</v>
      </c>
    </row>
    <row r="1202" spans="1:11" x14ac:dyDescent="0.3">
      <c r="A1202" t="s">
        <v>47</v>
      </c>
      <c r="B1202" t="s">
        <v>30</v>
      </c>
      <c r="C1202" t="s">
        <v>34</v>
      </c>
      <c r="D1202" t="s">
        <v>14</v>
      </c>
      <c r="E1202" t="s">
        <v>24</v>
      </c>
      <c r="F1202">
        <v>3946.93</v>
      </c>
      <c r="G1202">
        <v>53661</v>
      </c>
      <c r="H1202">
        <v>6965.81</v>
      </c>
      <c r="I1202">
        <v>69.400000000000006</v>
      </c>
      <c r="J1202">
        <f>IFERROR(INDEX(Suppliar[Estimated Carbon Footprint (tons CO₂e)],MATCH('Merge operational &amp; suppliar'!A1202,Suppliar[Facility ID],0)),"")</f>
        <v>610.79999999999995</v>
      </c>
      <c r="K1202">
        <f>IFERROR(INDEX(Suppliar[Income Distribution (%)],MATCH('Merge operational &amp; suppliar'!A1202,Suppliar[Facility ID],0)),"")</f>
        <v>29.15</v>
      </c>
    </row>
    <row r="1203" spans="1:11" x14ac:dyDescent="0.3">
      <c r="A1203" t="s">
        <v>32</v>
      </c>
      <c r="B1203" t="s">
        <v>7</v>
      </c>
      <c r="C1203" t="s">
        <v>34</v>
      </c>
      <c r="D1203" t="s">
        <v>14</v>
      </c>
      <c r="E1203" t="s">
        <v>24</v>
      </c>
      <c r="F1203">
        <v>685.73</v>
      </c>
      <c r="G1203">
        <v>10933</v>
      </c>
      <c r="H1203">
        <v>9004.3700000000008</v>
      </c>
      <c r="I1203">
        <v>26.84</v>
      </c>
      <c r="J1203" t="str">
        <f>IFERROR(INDEX(Suppliar[Estimated Carbon Footprint (tons CO₂e)],MATCH('Merge operational &amp; suppliar'!A1203,Suppliar[Facility ID],0)),"")</f>
        <v/>
      </c>
      <c r="K1203" t="str">
        <f>IFERROR(INDEX(Suppliar[Income Distribution (%)],MATCH('Merge operational &amp; suppliar'!A1203,Suppliar[Facility ID],0)),"")</f>
        <v/>
      </c>
    </row>
    <row r="1204" spans="1:11" x14ac:dyDescent="0.3">
      <c r="A1204" t="s">
        <v>108</v>
      </c>
      <c r="B1204" t="s">
        <v>7</v>
      </c>
      <c r="C1204" t="s">
        <v>8</v>
      </c>
      <c r="D1204" t="s">
        <v>14</v>
      </c>
      <c r="E1204" t="s">
        <v>10</v>
      </c>
      <c r="F1204">
        <v>4879.25</v>
      </c>
      <c r="G1204">
        <v>22201</v>
      </c>
      <c r="H1204">
        <v>2853.66</v>
      </c>
      <c r="I1204">
        <v>71.94</v>
      </c>
      <c r="J1204">
        <f>IFERROR(INDEX(Suppliar[Estimated Carbon Footprint (tons CO₂e)],MATCH('Merge operational &amp; suppliar'!A1204,Suppliar[Facility ID],0)),"")</f>
        <v>991.03</v>
      </c>
      <c r="K1204">
        <f>IFERROR(INDEX(Suppliar[Income Distribution (%)],MATCH('Merge operational &amp; suppliar'!A1204,Suppliar[Facility ID],0)),"")</f>
        <v>21.4</v>
      </c>
    </row>
    <row r="1205" spans="1:11" x14ac:dyDescent="0.3">
      <c r="A1205" t="s">
        <v>64</v>
      </c>
      <c r="B1205" t="s">
        <v>30</v>
      </c>
      <c r="C1205" t="s">
        <v>8</v>
      </c>
      <c r="D1205" t="s">
        <v>9</v>
      </c>
      <c r="E1205" t="s">
        <v>10</v>
      </c>
      <c r="F1205">
        <v>3667.49</v>
      </c>
      <c r="G1205">
        <v>52836</v>
      </c>
      <c r="H1205">
        <v>9330.2999999999993</v>
      </c>
      <c r="I1205">
        <v>87.27</v>
      </c>
      <c r="J1205" t="str">
        <f>IFERROR(INDEX(Suppliar[Estimated Carbon Footprint (tons CO₂e)],MATCH('Merge operational &amp; suppliar'!A1205,Suppliar[Facility ID],0)),"")</f>
        <v/>
      </c>
      <c r="K1205" t="str">
        <f>IFERROR(INDEX(Suppliar[Income Distribution (%)],MATCH('Merge operational &amp; suppliar'!A1205,Suppliar[Facility ID],0)),"")</f>
        <v/>
      </c>
    </row>
    <row r="1206" spans="1:11" x14ac:dyDescent="0.3">
      <c r="A1206" t="s">
        <v>150</v>
      </c>
      <c r="B1206" t="s">
        <v>30</v>
      </c>
      <c r="C1206" t="s">
        <v>13</v>
      </c>
      <c r="D1206" t="s">
        <v>28</v>
      </c>
      <c r="E1206" t="s">
        <v>15</v>
      </c>
      <c r="F1206">
        <v>1085.32</v>
      </c>
      <c r="G1206">
        <v>98356</v>
      </c>
      <c r="H1206">
        <v>6968.69</v>
      </c>
      <c r="I1206">
        <v>81.72</v>
      </c>
      <c r="J1206">
        <f>IFERROR(INDEX(Suppliar[Estimated Carbon Footprint (tons CO₂e)],MATCH('Merge operational &amp; suppliar'!A1206,Suppliar[Facility ID],0)),"")</f>
        <v>795.74</v>
      </c>
      <c r="K1206">
        <f>IFERROR(INDEX(Suppliar[Income Distribution (%)],MATCH('Merge operational &amp; suppliar'!A1206,Suppliar[Facility ID],0)),"")</f>
        <v>22.41</v>
      </c>
    </row>
    <row r="1207" spans="1:11" x14ac:dyDescent="0.3">
      <c r="A1207" t="s">
        <v>175</v>
      </c>
      <c r="B1207" t="s">
        <v>7</v>
      </c>
      <c r="C1207" t="s">
        <v>23</v>
      </c>
      <c r="D1207" t="s">
        <v>14</v>
      </c>
      <c r="E1207" t="s">
        <v>10</v>
      </c>
      <c r="F1207">
        <v>4510.42</v>
      </c>
      <c r="G1207">
        <v>83923</v>
      </c>
      <c r="H1207">
        <v>8768.7999999999993</v>
      </c>
      <c r="I1207">
        <v>65.290000000000006</v>
      </c>
      <c r="J1207">
        <f>IFERROR(INDEX(Suppliar[Estimated Carbon Footprint (tons CO₂e)],MATCH('Merge operational &amp; suppliar'!A1207,Suppliar[Facility ID],0)),"")</f>
        <v>579.80999999999995</v>
      </c>
      <c r="K1207">
        <f>IFERROR(INDEX(Suppliar[Income Distribution (%)],MATCH('Merge operational &amp; suppliar'!A1207,Suppliar[Facility ID],0)),"")</f>
        <v>34.93</v>
      </c>
    </row>
    <row r="1208" spans="1:11" x14ac:dyDescent="0.3">
      <c r="A1208" t="s">
        <v>84</v>
      </c>
      <c r="B1208" t="s">
        <v>30</v>
      </c>
      <c r="C1208" t="s">
        <v>34</v>
      </c>
      <c r="D1208" t="s">
        <v>14</v>
      </c>
      <c r="E1208" t="s">
        <v>24</v>
      </c>
      <c r="F1208">
        <v>499.33</v>
      </c>
      <c r="G1208">
        <v>85444</v>
      </c>
      <c r="H1208">
        <v>852.57</v>
      </c>
      <c r="I1208">
        <v>72.650000000000006</v>
      </c>
      <c r="J1208">
        <f>IFERROR(INDEX(Suppliar[Estimated Carbon Footprint (tons CO₂e)],MATCH('Merge operational &amp; suppliar'!A1208,Suppliar[Facility ID],0)),"")</f>
        <v>319.93</v>
      </c>
      <c r="K1208">
        <f>IFERROR(INDEX(Suppliar[Income Distribution (%)],MATCH('Merge operational &amp; suppliar'!A1208,Suppliar[Facility ID],0)),"")</f>
        <v>34.35</v>
      </c>
    </row>
    <row r="1209" spans="1:11" x14ac:dyDescent="0.3">
      <c r="A1209" t="s">
        <v>153</v>
      </c>
      <c r="B1209" t="s">
        <v>7</v>
      </c>
      <c r="C1209" t="s">
        <v>8</v>
      </c>
      <c r="D1209" t="s">
        <v>9</v>
      </c>
      <c r="E1209" t="s">
        <v>15</v>
      </c>
      <c r="F1209">
        <v>1951.92</v>
      </c>
      <c r="G1209">
        <v>21388</v>
      </c>
      <c r="H1209">
        <v>5249.39</v>
      </c>
      <c r="I1209">
        <v>64.2</v>
      </c>
      <c r="J1209">
        <f>IFERROR(INDEX(Suppliar[Estimated Carbon Footprint (tons CO₂e)],MATCH('Merge operational &amp; suppliar'!A1209,Suppliar[Facility ID],0)),"")</f>
        <v>571.66</v>
      </c>
      <c r="K1209">
        <f>IFERROR(INDEX(Suppliar[Income Distribution (%)],MATCH('Merge operational &amp; suppliar'!A1209,Suppliar[Facility ID],0)),"")</f>
        <v>17.87</v>
      </c>
    </row>
    <row r="1210" spans="1:11" x14ac:dyDescent="0.3">
      <c r="A1210" t="s">
        <v>93</v>
      </c>
      <c r="B1210" t="s">
        <v>30</v>
      </c>
      <c r="C1210" t="s">
        <v>23</v>
      </c>
      <c r="D1210" t="s">
        <v>9</v>
      </c>
      <c r="E1210" t="s">
        <v>15</v>
      </c>
      <c r="F1210">
        <v>1473.59</v>
      </c>
      <c r="G1210">
        <v>26378</v>
      </c>
      <c r="H1210">
        <v>2915.44</v>
      </c>
      <c r="I1210">
        <v>29.84</v>
      </c>
      <c r="J1210">
        <f>IFERROR(INDEX(Suppliar[Estimated Carbon Footprint (tons CO₂e)],MATCH('Merge operational &amp; suppliar'!A1210,Suppliar[Facility ID],0)),"")</f>
        <v>311.36</v>
      </c>
      <c r="K1210">
        <f>IFERROR(INDEX(Suppliar[Income Distribution (%)],MATCH('Merge operational &amp; suppliar'!A1210,Suppliar[Facility ID],0)),"")</f>
        <v>26.09</v>
      </c>
    </row>
    <row r="1211" spans="1:11" x14ac:dyDescent="0.3">
      <c r="A1211" t="s">
        <v>97</v>
      </c>
      <c r="B1211" t="s">
        <v>7</v>
      </c>
      <c r="C1211" t="s">
        <v>13</v>
      </c>
      <c r="D1211" t="s">
        <v>14</v>
      </c>
      <c r="E1211" t="s">
        <v>15</v>
      </c>
      <c r="F1211">
        <v>3545.05</v>
      </c>
      <c r="G1211">
        <v>78624</v>
      </c>
      <c r="H1211">
        <v>2373.27</v>
      </c>
      <c r="I1211">
        <v>25.07</v>
      </c>
      <c r="J1211" t="str">
        <f>IFERROR(INDEX(Suppliar[Estimated Carbon Footprint (tons CO₂e)],MATCH('Merge operational &amp; suppliar'!A1211,Suppliar[Facility ID],0)),"")</f>
        <v/>
      </c>
      <c r="K1211" t="str">
        <f>IFERROR(INDEX(Suppliar[Income Distribution (%)],MATCH('Merge operational &amp; suppliar'!A1211,Suppliar[Facility ID],0)),"")</f>
        <v/>
      </c>
    </row>
    <row r="1212" spans="1:11" x14ac:dyDescent="0.3">
      <c r="A1212" t="s">
        <v>115</v>
      </c>
      <c r="B1212" t="s">
        <v>19</v>
      </c>
      <c r="C1212" t="s">
        <v>34</v>
      </c>
      <c r="D1212" t="s">
        <v>28</v>
      </c>
      <c r="E1212" t="s">
        <v>24</v>
      </c>
      <c r="F1212">
        <v>84.78</v>
      </c>
      <c r="G1212">
        <v>17162</v>
      </c>
      <c r="H1212">
        <v>5079.95</v>
      </c>
      <c r="I1212">
        <v>19.239999999999998</v>
      </c>
      <c r="J1212">
        <f>IFERROR(INDEX(Suppliar[Estimated Carbon Footprint (tons CO₂e)],MATCH('Merge operational &amp; suppliar'!A1212,Suppliar[Facility ID],0)),"")</f>
        <v>769.39</v>
      </c>
      <c r="K1212">
        <f>IFERROR(INDEX(Suppliar[Income Distribution (%)],MATCH('Merge operational &amp; suppliar'!A1212,Suppliar[Facility ID],0)),"")</f>
        <v>35.29</v>
      </c>
    </row>
    <row r="1213" spans="1:11" x14ac:dyDescent="0.3">
      <c r="A1213" t="s">
        <v>102</v>
      </c>
      <c r="B1213" t="s">
        <v>19</v>
      </c>
      <c r="C1213" t="s">
        <v>23</v>
      </c>
      <c r="D1213" t="s">
        <v>28</v>
      </c>
      <c r="E1213" t="s">
        <v>10</v>
      </c>
      <c r="F1213">
        <v>1941.65</v>
      </c>
      <c r="G1213">
        <v>86263</v>
      </c>
      <c r="H1213">
        <v>3213.71</v>
      </c>
      <c r="I1213">
        <v>98.39</v>
      </c>
      <c r="J1213">
        <f>IFERROR(INDEX(Suppliar[Estimated Carbon Footprint (tons CO₂e)],MATCH('Merge operational &amp; suppliar'!A1213,Suppliar[Facility ID],0)),"")</f>
        <v>662.74</v>
      </c>
      <c r="K1213">
        <f>IFERROR(INDEX(Suppliar[Income Distribution (%)],MATCH('Merge operational &amp; suppliar'!A1213,Suppliar[Facility ID],0)),"")</f>
        <v>20.66</v>
      </c>
    </row>
    <row r="1214" spans="1:11" x14ac:dyDescent="0.3">
      <c r="A1214" t="s">
        <v>191</v>
      </c>
      <c r="B1214" t="s">
        <v>12</v>
      </c>
      <c r="C1214" t="s">
        <v>34</v>
      </c>
      <c r="D1214" t="s">
        <v>14</v>
      </c>
      <c r="E1214" t="s">
        <v>10</v>
      </c>
      <c r="F1214">
        <v>2646.36</v>
      </c>
      <c r="G1214">
        <v>43346</v>
      </c>
      <c r="H1214">
        <v>5559.12</v>
      </c>
      <c r="I1214">
        <v>39.4</v>
      </c>
      <c r="J1214">
        <f>IFERROR(INDEX(Suppliar[Estimated Carbon Footprint (tons CO₂e)],MATCH('Merge operational &amp; suppliar'!A1214,Suppliar[Facility ID],0)),"")</f>
        <v>571.88</v>
      </c>
      <c r="K1214">
        <f>IFERROR(INDEX(Suppliar[Income Distribution (%)],MATCH('Merge operational &amp; suppliar'!A1214,Suppliar[Facility ID],0)),"")</f>
        <v>32.18</v>
      </c>
    </row>
    <row r="1215" spans="1:11" x14ac:dyDescent="0.3">
      <c r="A1215" t="s">
        <v>101</v>
      </c>
      <c r="B1215" t="s">
        <v>19</v>
      </c>
      <c r="C1215" t="s">
        <v>23</v>
      </c>
      <c r="D1215" t="s">
        <v>9</v>
      </c>
      <c r="E1215" t="s">
        <v>24</v>
      </c>
      <c r="F1215">
        <v>1257.08</v>
      </c>
      <c r="G1215">
        <v>39050</v>
      </c>
      <c r="H1215">
        <v>5885.73</v>
      </c>
      <c r="I1215">
        <v>93.04</v>
      </c>
      <c r="J1215">
        <f>IFERROR(INDEX(Suppliar[Estimated Carbon Footprint (tons CO₂e)],MATCH('Merge operational &amp; suppliar'!A1215,Suppliar[Facility ID],0)),"")</f>
        <v>318.55</v>
      </c>
      <c r="K1215">
        <f>IFERROR(INDEX(Suppliar[Income Distribution (%)],MATCH('Merge operational &amp; suppliar'!A1215,Suppliar[Facility ID],0)),"")</f>
        <v>39.81</v>
      </c>
    </row>
    <row r="1216" spans="1:11" x14ac:dyDescent="0.3">
      <c r="A1216" t="s">
        <v>49</v>
      </c>
      <c r="B1216" t="s">
        <v>19</v>
      </c>
      <c r="C1216" t="s">
        <v>13</v>
      </c>
      <c r="D1216" t="s">
        <v>14</v>
      </c>
      <c r="E1216" t="s">
        <v>10</v>
      </c>
      <c r="F1216">
        <v>4445.1499999999996</v>
      </c>
      <c r="G1216">
        <v>50306</v>
      </c>
      <c r="H1216">
        <v>7031.37</v>
      </c>
      <c r="I1216">
        <v>13.27</v>
      </c>
      <c r="J1216" t="str">
        <f>IFERROR(INDEX(Suppliar[Estimated Carbon Footprint (tons CO₂e)],MATCH('Merge operational &amp; suppliar'!A1216,Suppliar[Facility ID],0)),"")</f>
        <v/>
      </c>
      <c r="K1216" t="str">
        <f>IFERROR(INDEX(Suppliar[Income Distribution (%)],MATCH('Merge operational &amp; suppliar'!A1216,Suppliar[Facility ID],0)),"")</f>
        <v/>
      </c>
    </row>
    <row r="1217" spans="1:11" x14ac:dyDescent="0.3">
      <c r="A1217" t="s">
        <v>84</v>
      </c>
      <c r="B1217" t="s">
        <v>30</v>
      </c>
      <c r="C1217" t="s">
        <v>13</v>
      </c>
      <c r="D1217" t="s">
        <v>28</v>
      </c>
      <c r="E1217" t="s">
        <v>15</v>
      </c>
      <c r="F1217">
        <v>3717.99</v>
      </c>
      <c r="G1217">
        <v>85444</v>
      </c>
      <c r="H1217">
        <v>852.57</v>
      </c>
      <c r="I1217">
        <v>72.650000000000006</v>
      </c>
      <c r="J1217">
        <f>IFERROR(INDEX(Suppliar[Estimated Carbon Footprint (tons CO₂e)],MATCH('Merge operational &amp; suppliar'!A1217,Suppliar[Facility ID],0)),"")</f>
        <v>319.93</v>
      </c>
      <c r="K1217">
        <f>IFERROR(INDEX(Suppliar[Income Distribution (%)],MATCH('Merge operational &amp; suppliar'!A1217,Suppliar[Facility ID],0)),"")</f>
        <v>34.35</v>
      </c>
    </row>
    <row r="1218" spans="1:11" x14ac:dyDescent="0.3">
      <c r="A1218" t="s">
        <v>196</v>
      </c>
      <c r="B1218" t="s">
        <v>30</v>
      </c>
      <c r="C1218" t="s">
        <v>23</v>
      </c>
      <c r="D1218" t="s">
        <v>9</v>
      </c>
      <c r="E1218" t="s">
        <v>24</v>
      </c>
      <c r="F1218">
        <v>4588.6400000000003</v>
      </c>
      <c r="G1218">
        <v>12262</v>
      </c>
      <c r="H1218">
        <v>7106.18</v>
      </c>
      <c r="I1218">
        <v>45.69</v>
      </c>
      <c r="J1218">
        <f>IFERROR(INDEX(Suppliar[Estimated Carbon Footprint (tons CO₂e)],MATCH('Merge operational &amp; suppliar'!A1218,Suppliar[Facility ID],0)),"")</f>
        <v>459.56</v>
      </c>
      <c r="K1218">
        <f>IFERROR(INDEX(Suppliar[Income Distribution (%)],MATCH('Merge operational &amp; suppliar'!A1218,Suppliar[Facility ID],0)),"")</f>
        <v>29.71</v>
      </c>
    </row>
    <row r="1219" spans="1:11" x14ac:dyDescent="0.3">
      <c r="A1219" t="s">
        <v>161</v>
      </c>
      <c r="B1219" t="s">
        <v>7</v>
      </c>
      <c r="C1219" t="s">
        <v>8</v>
      </c>
      <c r="D1219" t="s">
        <v>9</v>
      </c>
      <c r="E1219" t="s">
        <v>10</v>
      </c>
      <c r="F1219">
        <v>1806.88</v>
      </c>
      <c r="G1219">
        <v>15788</v>
      </c>
      <c r="H1219">
        <v>1824.14</v>
      </c>
      <c r="I1219">
        <v>52.78</v>
      </c>
      <c r="J1219">
        <f>IFERROR(INDEX(Suppliar[Estimated Carbon Footprint (tons CO₂e)],MATCH('Merge operational &amp; suppliar'!A1219,Suppliar[Facility ID],0)),"")</f>
        <v>571.88</v>
      </c>
      <c r="K1219">
        <f>IFERROR(INDEX(Suppliar[Income Distribution (%)],MATCH('Merge operational &amp; suppliar'!A1219,Suppliar[Facility ID],0)),"")</f>
        <v>8.17</v>
      </c>
    </row>
    <row r="1220" spans="1:11" x14ac:dyDescent="0.3">
      <c r="A1220" t="s">
        <v>83</v>
      </c>
      <c r="B1220" t="s">
        <v>17</v>
      </c>
      <c r="C1220" t="s">
        <v>8</v>
      </c>
      <c r="D1220" t="s">
        <v>9</v>
      </c>
      <c r="E1220" t="s">
        <v>15</v>
      </c>
      <c r="F1220">
        <v>1893.45</v>
      </c>
      <c r="G1220">
        <v>30934</v>
      </c>
      <c r="H1220">
        <v>4175.6499999999996</v>
      </c>
      <c r="I1220">
        <v>77.290000000000006</v>
      </c>
      <c r="J1220">
        <f>IFERROR(INDEX(Suppliar[Estimated Carbon Footprint (tons CO₂e)],MATCH('Merge operational &amp; suppliar'!A1220,Suppliar[Facility ID],0)),"")</f>
        <v>610.79999999999995</v>
      </c>
      <c r="K1220">
        <f>IFERROR(INDEX(Suppliar[Income Distribution (%)],MATCH('Merge operational &amp; suppliar'!A1220,Suppliar[Facility ID],0)),"")</f>
        <v>14.23</v>
      </c>
    </row>
    <row r="1221" spans="1:11" x14ac:dyDescent="0.3">
      <c r="A1221" t="s">
        <v>87</v>
      </c>
      <c r="B1221" t="s">
        <v>12</v>
      </c>
      <c r="C1221" t="s">
        <v>23</v>
      </c>
      <c r="D1221" t="s">
        <v>28</v>
      </c>
      <c r="E1221" t="s">
        <v>15</v>
      </c>
      <c r="F1221">
        <v>2906.15</v>
      </c>
      <c r="G1221">
        <v>15333</v>
      </c>
      <c r="H1221">
        <v>2570.54</v>
      </c>
      <c r="I1221">
        <v>41.07</v>
      </c>
      <c r="J1221">
        <f>IFERROR(INDEX(Suppliar[Estimated Carbon Footprint (tons CO₂e)],MATCH('Merge operational &amp; suppliar'!A1221,Suppliar[Facility ID],0)),"")</f>
        <v>390.06</v>
      </c>
      <c r="K1221">
        <f>IFERROR(INDEX(Suppliar[Income Distribution (%)],MATCH('Merge operational &amp; suppliar'!A1221,Suppliar[Facility ID],0)),"")</f>
        <v>31.43</v>
      </c>
    </row>
    <row r="1222" spans="1:11" x14ac:dyDescent="0.3">
      <c r="A1222" t="s">
        <v>205</v>
      </c>
      <c r="B1222" t="s">
        <v>17</v>
      </c>
      <c r="C1222" t="s">
        <v>23</v>
      </c>
      <c r="D1222" t="s">
        <v>9</v>
      </c>
      <c r="E1222" t="s">
        <v>10</v>
      </c>
      <c r="F1222">
        <v>4352.62</v>
      </c>
      <c r="G1222">
        <v>52594</v>
      </c>
      <c r="H1222">
        <v>8715.0400000000009</v>
      </c>
      <c r="I1222">
        <v>90.54</v>
      </c>
      <c r="J1222">
        <f>IFERROR(INDEX(Suppliar[Estimated Carbon Footprint (tons CO₂e)],MATCH('Merge operational &amp; suppliar'!A1222,Suppliar[Facility ID],0)),"")</f>
        <v>553.44000000000005</v>
      </c>
      <c r="K1222">
        <f>IFERROR(INDEX(Suppliar[Income Distribution (%)],MATCH('Merge operational &amp; suppliar'!A1222,Suppliar[Facility ID],0)),"")</f>
        <v>23.44</v>
      </c>
    </row>
    <row r="1223" spans="1:11" x14ac:dyDescent="0.3">
      <c r="A1223" t="s">
        <v>40</v>
      </c>
      <c r="B1223" t="s">
        <v>19</v>
      </c>
      <c r="C1223" t="s">
        <v>8</v>
      </c>
      <c r="D1223" t="s">
        <v>14</v>
      </c>
      <c r="E1223" t="s">
        <v>10</v>
      </c>
      <c r="F1223">
        <v>750.01</v>
      </c>
      <c r="G1223">
        <v>96474</v>
      </c>
      <c r="H1223">
        <v>7574.39</v>
      </c>
      <c r="I1223">
        <v>95.54</v>
      </c>
      <c r="J1223">
        <f>IFERROR(INDEX(Suppliar[Estimated Carbon Footprint (tons CO₂e)],MATCH('Merge operational &amp; suppliar'!A1223,Suppliar[Facility ID],0)),"")</f>
        <v>886.71</v>
      </c>
      <c r="K1223">
        <f>IFERROR(INDEX(Suppliar[Income Distribution (%)],MATCH('Merge operational &amp; suppliar'!A1223,Suppliar[Facility ID],0)),"")</f>
        <v>24.84</v>
      </c>
    </row>
    <row r="1224" spans="1:11" x14ac:dyDescent="0.3">
      <c r="A1224" t="s">
        <v>78</v>
      </c>
      <c r="B1224" t="s">
        <v>7</v>
      </c>
      <c r="C1224" t="s">
        <v>13</v>
      </c>
      <c r="D1224" t="s">
        <v>28</v>
      </c>
      <c r="E1224" t="s">
        <v>15</v>
      </c>
      <c r="F1224">
        <v>1435.13</v>
      </c>
      <c r="G1224">
        <v>86557</v>
      </c>
      <c r="H1224">
        <v>8631.2800000000007</v>
      </c>
      <c r="I1224">
        <v>69.53</v>
      </c>
      <c r="J1224" t="str">
        <f>IFERROR(INDEX(Suppliar[Estimated Carbon Footprint (tons CO₂e)],MATCH('Merge operational &amp; suppliar'!A1224,Suppliar[Facility ID],0)),"")</f>
        <v/>
      </c>
      <c r="K1224" t="str">
        <f>IFERROR(INDEX(Suppliar[Income Distribution (%)],MATCH('Merge operational &amp; suppliar'!A1224,Suppliar[Facility ID],0)),"")</f>
        <v/>
      </c>
    </row>
    <row r="1225" spans="1:11" x14ac:dyDescent="0.3">
      <c r="A1225" t="s">
        <v>181</v>
      </c>
      <c r="B1225" t="s">
        <v>30</v>
      </c>
      <c r="C1225" t="s">
        <v>13</v>
      </c>
      <c r="D1225" t="s">
        <v>14</v>
      </c>
      <c r="E1225" t="s">
        <v>24</v>
      </c>
      <c r="F1225">
        <v>3346.28</v>
      </c>
      <c r="G1225">
        <v>28704</v>
      </c>
      <c r="H1225">
        <v>6009.24</v>
      </c>
      <c r="I1225">
        <v>39.31</v>
      </c>
      <c r="J1225">
        <f>IFERROR(INDEX(Suppliar[Estimated Carbon Footprint (tons CO₂e)],MATCH('Merge operational &amp; suppliar'!A1225,Suppliar[Facility ID],0)),"")</f>
        <v>479.41</v>
      </c>
      <c r="K1225">
        <f>IFERROR(INDEX(Suppliar[Income Distribution (%)],MATCH('Merge operational &amp; suppliar'!A1225,Suppliar[Facility ID],0)),"")</f>
        <v>19.7</v>
      </c>
    </row>
    <row r="1226" spans="1:11" x14ac:dyDescent="0.3">
      <c r="A1226" t="s">
        <v>74</v>
      </c>
      <c r="B1226" t="s">
        <v>19</v>
      </c>
      <c r="C1226" t="s">
        <v>8</v>
      </c>
      <c r="D1226" t="s">
        <v>9</v>
      </c>
      <c r="E1226" t="s">
        <v>15</v>
      </c>
      <c r="F1226">
        <v>3975.69</v>
      </c>
      <c r="G1226">
        <v>18175</v>
      </c>
      <c r="H1226">
        <v>8349.49</v>
      </c>
      <c r="I1226">
        <v>39.97</v>
      </c>
      <c r="J1226">
        <f>IFERROR(INDEX(Suppliar[Estimated Carbon Footprint (tons CO₂e)],MATCH('Merge operational &amp; suppliar'!A1226,Suppliar[Facility ID],0)),"")</f>
        <v>818.45</v>
      </c>
      <c r="K1226">
        <f>IFERROR(INDEX(Suppliar[Income Distribution (%)],MATCH('Merge operational &amp; suppliar'!A1226,Suppliar[Facility ID],0)),"")</f>
        <v>19.04</v>
      </c>
    </row>
    <row r="1227" spans="1:11" x14ac:dyDescent="0.3">
      <c r="A1227" t="s">
        <v>88</v>
      </c>
      <c r="B1227" t="s">
        <v>7</v>
      </c>
      <c r="C1227" t="s">
        <v>23</v>
      </c>
      <c r="D1227" t="s">
        <v>14</v>
      </c>
      <c r="E1227" t="s">
        <v>24</v>
      </c>
      <c r="F1227">
        <v>3453.13</v>
      </c>
      <c r="G1227">
        <v>44825</v>
      </c>
      <c r="H1227">
        <v>6023.03</v>
      </c>
      <c r="I1227">
        <v>27.2</v>
      </c>
      <c r="J1227">
        <f>IFERROR(INDEX(Suppliar[Estimated Carbon Footprint (tons CO₂e)],MATCH('Merge operational &amp; suppliar'!A1227,Suppliar[Facility ID],0)),"")</f>
        <v>436.04</v>
      </c>
      <c r="K1227">
        <f>IFERROR(INDEX(Suppliar[Income Distribution (%)],MATCH('Merge operational &amp; suppliar'!A1227,Suppliar[Facility ID],0)),"")</f>
        <v>19.36</v>
      </c>
    </row>
    <row r="1228" spans="1:11" x14ac:dyDescent="0.3">
      <c r="A1228" t="s">
        <v>151</v>
      </c>
      <c r="B1228" t="s">
        <v>12</v>
      </c>
      <c r="C1228" t="s">
        <v>34</v>
      </c>
      <c r="D1228" t="s">
        <v>9</v>
      </c>
      <c r="E1228" t="s">
        <v>24</v>
      </c>
      <c r="F1228">
        <v>626.03</v>
      </c>
      <c r="G1228">
        <v>61207</v>
      </c>
      <c r="H1228">
        <v>6922.33</v>
      </c>
      <c r="I1228">
        <v>9.1999999999999993</v>
      </c>
      <c r="J1228" t="str">
        <f>IFERROR(INDEX(Suppliar[Estimated Carbon Footprint (tons CO₂e)],MATCH('Merge operational &amp; suppliar'!A1228,Suppliar[Facility ID],0)),"")</f>
        <v/>
      </c>
      <c r="K1228" t="str">
        <f>IFERROR(INDEX(Suppliar[Income Distribution (%)],MATCH('Merge operational &amp; suppliar'!A1228,Suppliar[Facility ID],0)),"")</f>
        <v/>
      </c>
    </row>
    <row r="1229" spans="1:11" x14ac:dyDescent="0.3">
      <c r="A1229" t="s">
        <v>123</v>
      </c>
      <c r="B1229" t="s">
        <v>30</v>
      </c>
      <c r="C1229" t="s">
        <v>13</v>
      </c>
      <c r="D1229" t="s">
        <v>14</v>
      </c>
      <c r="E1229" t="s">
        <v>15</v>
      </c>
      <c r="F1229">
        <v>3255.93</v>
      </c>
      <c r="G1229">
        <v>73977</v>
      </c>
      <c r="H1229">
        <v>1646.75</v>
      </c>
      <c r="I1229">
        <v>43.77</v>
      </c>
      <c r="J1229" t="str">
        <f>IFERROR(INDEX(Suppliar[Estimated Carbon Footprint (tons CO₂e)],MATCH('Merge operational &amp; suppliar'!A1229,Suppliar[Facility ID],0)),"")</f>
        <v/>
      </c>
      <c r="K1229" t="str">
        <f>IFERROR(INDEX(Suppliar[Income Distribution (%)],MATCH('Merge operational &amp; suppliar'!A1229,Suppliar[Facility ID],0)),"")</f>
        <v/>
      </c>
    </row>
    <row r="1230" spans="1:11" x14ac:dyDescent="0.3">
      <c r="A1230" t="s">
        <v>219</v>
      </c>
      <c r="B1230" t="s">
        <v>12</v>
      </c>
      <c r="C1230" t="s">
        <v>8</v>
      </c>
      <c r="D1230" t="s">
        <v>28</v>
      </c>
      <c r="E1230" t="s">
        <v>24</v>
      </c>
      <c r="F1230">
        <v>4437.74</v>
      </c>
      <c r="G1230">
        <v>84524</v>
      </c>
      <c r="H1230">
        <v>9350.11</v>
      </c>
      <c r="I1230">
        <v>27.53</v>
      </c>
      <c r="J1230">
        <f>IFERROR(INDEX(Suppliar[Estimated Carbon Footprint (tons CO₂e)],MATCH('Merge operational &amp; suppliar'!A1230,Suppliar[Facility ID],0)),"")</f>
        <v>795.74</v>
      </c>
      <c r="K1230">
        <f>IFERROR(INDEX(Suppliar[Income Distribution (%)],MATCH('Merge operational &amp; suppliar'!A1230,Suppliar[Facility ID],0)),"")</f>
        <v>18.73</v>
      </c>
    </row>
    <row r="1231" spans="1:11" x14ac:dyDescent="0.3">
      <c r="A1231" t="s">
        <v>62</v>
      </c>
      <c r="B1231" t="s">
        <v>30</v>
      </c>
      <c r="C1231" t="s">
        <v>23</v>
      </c>
      <c r="D1231" t="s">
        <v>28</v>
      </c>
      <c r="E1231" t="s">
        <v>10</v>
      </c>
      <c r="F1231">
        <v>1531</v>
      </c>
      <c r="G1231">
        <v>22309</v>
      </c>
      <c r="H1231">
        <v>3656.29</v>
      </c>
      <c r="I1231">
        <v>75.25</v>
      </c>
      <c r="J1231">
        <f>IFERROR(INDEX(Suppliar[Estimated Carbon Footprint (tons CO₂e)],MATCH('Merge operational &amp; suppliar'!A1231,Suppliar[Facility ID],0)),"")</f>
        <v>795.74</v>
      </c>
      <c r="K1231">
        <f>IFERROR(INDEX(Suppliar[Income Distribution (%)],MATCH('Merge operational &amp; suppliar'!A1231,Suppliar[Facility ID],0)),"")</f>
        <v>26.99</v>
      </c>
    </row>
    <row r="1232" spans="1:11" x14ac:dyDescent="0.3">
      <c r="A1232" t="s">
        <v>142</v>
      </c>
      <c r="B1232" t="s">
        <v>17</v>
      </c>
      <c r="C1232" t="s">
        <v>8</v>
      </c>
      <c r="D1232" t="s">
        <v>28</v>
      </c>
      <c r="E1232" t="s">
        <v>24</v>
      </c>
      <c r="F1232">
        <v>3938.07</v>
      </c>
      <c r="G1232">
        <v>75736</v>
      </c>
      <c r="H1232">
        <v>6287.07</v>
      </c>
      <c r="I1232">
        <v>63.11</v>
      </c>
      <c r="J1232">
        <f>IFERROR(INDEX(Suppliar[Estimated Carbon Footprint (tons CO₂e)],MATCH('Merge operational &amp; suppliar'!A1232,Suppliar[Facility ID],0)),"")</f>
        <v>851.48</v>
      </c>
      <c r="K1232">
        <f>IFERROR(INDEX(Suppliar[Income Distribution (%)],MATCH('Merge operational &amp; suppliar'!A1232,Suppliar[Facility ID],0)),"")</f>
        <v>25.39</v>
      </c>
    </row>
    <row r="1233" spans="1:11" x14ac:dyDescent="0.3">
      <c r="A1233" t="s">
        <v>141</v>
      </c>
      <c r="B1233" t="s">
        <v>7</v>
      </c>
      <c r="C1233" t="s">
        <v>13</v>
      </c>
      <c r="D1233" t="s">
        <v>14</v>
      </c>
      <c r="E1233" t="s">
        <v>10</v>
      </c>
      <c r="F1233">
        <v>1999.93</v>
      </c>
      <c r="G1233">
        <v>45644</v>
      </c>
      <c r="H1233">
        <v>7724.73</v>
      </c>
      <c r="I1233">
        <v>31</v>
      </c>
      <c r="J1233">
        <f>IFERROR(INDEX(Suppliar[Estimated Carbon Footprint (tons CO₂e)],MATCH('Merge operational &amp; suppliar'!A1233,Suppliar[Facility ID],0)),"")</f>
        <v>685.27</v>
      </c>
      <c r="K1233">
        <f>IFERROR(INDEX(Suppliar[Income Distribution (%)],MATCH('Merge operational &amp; suppliar'!A1233,Suppliar[Facility ID],0)),"")</f>
        <v>33.94</v>
      </c>
    </row>
    <row r="1234" spans="1:11" x14ac:dyDescent="0.3">
      <c r="A1234" t="s">
        <v>214</v>
      </c>
      <c r="B1234" t="s">
        <v>30</v>
      </c>
      <c r="C1234" t="s">
        <v>13</v>
      </c>
      <c r="D1234" t="s">
        <v>9</v>
      </c>
      <c r="E1234" t="s">
        <v>15</v>
      </c>
      <c r="F1234">
        <v>379.85</v>
      </c>
      <c r="G1234">
        <v>79330</v>
      </c>
      <c r="H1234">
        <v>6075.23</v>
      </c>
      <c r="I1234">
        <v>83.97</v>
      </c>
      <c r="J1234">
        <f>IFERROR(INDEX(Suppliar[Estimated Carbon Footprint (tons CO₂e)],MATCH('Merge operational &amp; suppliar'!A1234,Suppliar[Facility ID],0)),"")</f>
        <v>209.33</v>
      </c>
      <c r="K1234">
        <f>IFERROR(INDEX(Suppliar[Income Distribution (%)],MATCH('Merge operational &amp; suppliar'!A1234,Suppliar[Facility ID],0)),"")</f>
        <v>13.62</v>
      </c>
    </row>
    <row r="1235" spans="1:11" x14ac:dyDescent="0.3">
      <c r="A1235" t="s">
        <v>55</v>
      </c>
      <c r="B1235" t="s">
        <v>12</v>
      </c>
      <c r="C1235" t="s">
        <v>13</v>
      </c>
      <c r="D1235" t="s">
        <v>9</v>
      </c>
      <c r="E1235" t="s">
        <v>24</v>
      </c>
      <c r="F1235">
        <v>4069.54</v>
      </c>
      <c r="G1235">
        <v>38181</v>
      </c>
      <c r="H1235">
        <v>691.84</v>
      </c>
      <c r="I1235">
        <v>33.53</v>
      </c>
      <c r="J1235">
        <f>IFERROR(INDEX(Suppliar[Estimated Carbon Footprint (tons CO₂e)],MATCH('Merge operational &amp; suppliar'!A1235,Suppliar[Facility ID],0)),"")</f>
        <v>114.57</v>
      </c>
      <c r="K1235">
        <f>IFERROR(INDEX(Suppliar[Income Distribution (%)],MATCH('Merge operational &amp; suppliar'!A1235,Suppliar[Facility ID],0)),"")</f>
        <v>9.9600000000000009</v>
      </c>
    </row>
    <row r="1236" spans="1:11" x14ac:dyDescent="0.3">
      <c r="A1236" t="s">
        <v>171</v>
      </c>
      <c r="B1236" t="s">
        <v>17</v>
      </c>
      <c r="C1236" t="s">
        <v>34</v>
      </c>
      <c r="D1236" t="s">
        <v>28</v>
      </c>
      <c r="E1236" t="s">
        <v>15</v>
      </c>
      <c r="F1236">
        <v>2664.95</v>
      </c>
      <c r="G1236">
        <v>24502</v>
      </c>
      <c r="H1236">
        <v>7466.86</v>
      </c>
      <c r="I1236">
        <v>88.83</v>
      </c>
      <c r="J1236">
        <f>IFERROR(INDEX(Suppliar[Estimated Carbon Footprint (tons CO₂e)],MATCH('Merge operational &amp; suppliar'!A1236,Suppliar[Facility ID],0)),"")</f>
        <v>847.51</v>
      </c>
      <c r="K1236">
        <f>IFERROR(INDEX(Suppliar[Income Distribution (%)],MATCH('Merge operational &amp; suppliar'!A1236,Suppliar[Facility ID],0)),"")</f>
        <v>26.48</v>
      </c>
    </row>
    <row r="1237" spans="1:11" x14ac:dyDescent="0.3">
      <c r="A1237" t="s">
        <v>160</v>
      </c>
      <c r="B1237" t="s">
        <v>30</v>
      </c>
      <c r="C1237" t="s">
        <v>34</v>
      </c>
      <c r="D1237" t="s">
        <v>9</v>
      </c>
      <c r="E1237" t="s">
        <v>15</v>
      </c>
      <c r="F1237">
        <v>1975.28</v>
      </c>
      <c r="G1237">
        <v>18341</v>
      </c>
      <c r="H1237">
        <v>8465.57</v>
      </c>
      <c r="I1237">
        <v>38.39</v>
      </c>
      <c r="J1237" t="str">
        <f>IFERROR(INDEX(Suppliar[Estimated Carbon Footprint (tons CO₂e)],MATCH('Merge operational &amp; suppliar'!A1237,Suppliar[Facility ID],0)),"")</f>
        <v/>
      </c>
      <c r="K1237" t="str">
        <f>IFERROR(INDEX(Suppliar[Income Distribution (%)],MATCH('Merge operational &amp; suppliar'!A1237,Suppliar[Facility ID],0)),"")</f>
        <v/>
      </c>
    </row>
    <row r="1238" spans="1:11" x14ac:dyDescent="0.3">
      <c r="A1238" t="s">
        <v>215</v>
      </c>
      <c r="B1238" t="s">
        <v>17</v>
      </c>
      <c r="C1238" t="s">
        <v>8</v>
      </c>
      <c r="D1238" t="s">
        <v>14</v>
      </c>
      <c r="E1238" t="s">
        <v>24</v>
      </c>
      <c r="F1238">
        <v>4697.13</v>
      </c>
      <c r="G1238">
        <v>72813</v>
      </c>
      <c r="H1238">
        <v>8818.16</v>
      </c>
      <c r="I1238">
        <v>54.12</v>
      </c>
      <c r="J1238">
        <f>IFERROR(INDEX(Suppliar[Estimated Carbon Footprint (tons CO₂e)],MATCH('Merge operational &amp; suppliar'!A1238,Suppliar[Facility ID],0)),"")</f>
        <v>986.62</v>
      </c>
      <c r="K1238">
        <f>IFERROR(INDEX(Suppliar[Income Distribution (%)],MATCH('Merge operational &amp; suppliar'!A1238,Suppliar[Facility ID],0)),"")</f>
        <v>42.1</v>
      </c>
    </row>
    <row r="1239" spans="1:11" x14ac:dyDescent="0.3">
      <c r="A1239" t="s">
        <v>204</v>
      </c>
      <c r="B1239" t="s">
        <v>30</v>
      </c>
      <c r="C1239" t="s">
        <v>13</v>
      </c>
      <c r="D1239" t="s">
        <v>14</v>
      </c>
      <c r="E1239" t="s">
        <v>15</v>
      </c>
      <c r="F1239">
        <v>2932.94</v>
      </c>
      <c r="G1239">
        <v>36423</v>
      </c>
      <c r="H1239">
        <v>589.96</v>
      </c>
      <c r="I1239">
        <v>30.9</v>
      </c>
      <c r="J1239">
        <f>IFERROR(INDEX(Suppliar[Estimated Carbon Footprint (tons CO₂e)],MATCH('Merge operational &amp; suppliar'!A1239,Suppliar[Facility ID],0)),"")</f>
        <v>111.84</v>
      </c>
      <c r="K1239">
        <f>IFERROR(INDEX(Suppliar[Income Distribution (%)],MATCH('Merge operational &amp; suppliar'!A1239,Suppliar[Facility ID],0)),"")</f>
        <v>23.26</v>
      </c>
    </row>
    <row r="1240" spans="1:11" x14ac:dyDescent="0.3">
      <c r="A1240" t="s">
        <v>190</v>
      </c>
      <c r="B1240" t="s">
        <v>17</v>
      </c>
      <c r="C1240" t="s">
        <v>8</v>
      </c>
      <c r="D1240" t="s">
        <v>28</v>
      </c>
      <c r="E1240" t="s">
        <v>15</v>
      </c>
      <c r="F1240">
        <v>1869.13</v>
      </c>
      <c r="G1240">
        <v>41953</v>
      </c>
      <c r="H1240">
        <v>2379.14</v>
      </c>
      <c r="I1240">
        <v>65.67</v>
      </c>
      <c r="J1240">
        <f>IFERROR(INDEX(Suppliar[Estimated Carbon Footprint (tons CO₂e)],MATCH('Merge operational &amp; suppliar'!A1240,Suppliar[Facility ID],0)),"")</f>
        <v>571.66</v>
      </c>
      <c r="K1240">
        <f>IFERROR(INDEX(Suppliar[Income Distribution (%)],MATCH('Merge operational &amp; suppliar'!A1240,Suppliar[Facility ID],0)),"")</f>
        <v>14.81</v>
      </c>
    </row>
    <row r="1241" spans="1:11" x14ac:dyDescent="0.3">
      <c r="A1241" t="s">
        <v>87</v>
      </c>
      <c r="B1241" t="s">
        <v>12</v>
      </c>
      <c r="C1241" t="s">
        <v>8</v>
      </c>
      <c r="D1241" t="s">
        <v>14</v>
      </c>
      <c r="E1241" t="s">
        <v>15</v>
      </c>
      <c r="F1241">
        <v>3433.46</v>
      </c>
      <c r="G1241">
        <v>15333</v>
      </c>
      <c r="H1241">
        <v>2570.54</v>
      </c>
      <c r="I1241">
        <v>41.07</v>
      </c>
      <c r="J1241">
        <f>IFERROR(INDEX(Suppliar[Estimated Carbon Footprint (tons CO₂e)],MATCH('Merge operational &amp; suppliar'!A1241,Suppliar[Facility ID],0)),"")</f>
        <v>390.06</v>
      </c>
      <c r="K1241">
        <f>IFERROR(INDEX(Suppliar[Income Distribution (%)],MATCH('Merge operational &amp; suppliar'!A1241,Suppliar[Facility ID],0)),"")</f>
        <v>31.43</v>
      </c>
    </row>
    <row r="1242" spans="1:11" x14ac:dyDescent="0.3">
      <c r="A1242" t="s">
        <v>218</v>
      </c>
      <c r="B1242" t="s">
        <v>17</v>
      </c>
      <c r="C1242" t="s">
        <v>23</v>
      </c>
      <c r="D1242" t="s">
        <v>14</v>
      </c>
      <c r="E1242" t="s">
        <v>10</v>
      </c>
      <c r="F1242">
        <v>3234.84</v>
      </c>
      <c r="G1242">
        <v>22525</v>
      </c>
      <c r="H1242">
        <v>9465.65</v>
      </c>
      <c r="I1242">
        <v>37.79</v>
      </c>
      <c r="J1242">
        <f>IFERROR(INDEX(Suppliar[Estimated Carbon Footprint (tons CO₂e)],MATCH('Merge operational &amp; suppliar'!A1242,Suppliar[Facility ID],0)),"")</f>
        <v>472.66</v>
      </c>
      <c r="K1242">
        <f>IFERROR(INDEX(Suppliar[Income Distribution (%)],MATCH('Merge operational &amp; suppliar'!A1242,Suppliar[Facility ID],0)),"")</f>
        <v>55.03</v>
      </c>
    </row>
    <row r="1243" spans="1:11" x14ac:dyDescent="0.3">
      <c r="A1243" t="s">
        <v>31</v>
      </c>
      <c r="B1243" t="s">
        <v>30</v>
      </c>
      <c r="C1243" t="s">
        <v>8</v>
      </c>
      <c r="D1243" t="s">
        <v>14</v>
      </c>
      <c r="E1243" t="s">
        <v>24</v>
      </c>
      <c r="F1243">
        <v>2947.36</v>
      </c>
      <c r="G1243">
        <v>84851</v>
      </c>
      <c r="H1243">
        <v>560.75</v>
      </c>
      <c r="I1243">
        <v>80.23</v>
      </c>
      <c r="J1243">
        <f>IFERROR(INDEX(Suppliar[Estimated Carbon Footprint (tons CO₂e)],MATCH('Merge operational &amp; suppliar'!A1243,Suppliar[Facility ID],0)),"")</f>
        <v>610.79999999999995</v>
      </c>
      <c r="K1243">
        <f>IFERROR(INDEX(Suppliar[Income Distribution (%)],MATCH('Merge operational &amp; suppliar'!A1243,Suppliar[Facility ID],0)),"")</f>
        <v>26.58</v>
      </c>
    </row>
    <row r="1244" spans="1:11" x14ac:dyDescent="0.3">
      <c r="A1244" t="s">
        <v>204</v>
      </c>
      <c r="B1244" t="s">
        <v>30</v>
      </c>
      <c r="C1244" t="s">
        <v>34</v>
      </c>
      <c r="D1244" t="s">
        <v>9</v>
      </c>
      <c r="E1244" t="s">
        <v>24</v>
      </c>
      <c r="F1244">
        <v>4189.46</v>
      </c>
      <c r="G1244">
        <v>36423</v>
      </c>
      <c r="H1244">
        <v>589.96</v>
      </c>
      <c r="I1244">
        <v>30.9</v>
      </c>
      <c r="J1244">
        <f>IFERROR(INDEX(Suppliar[Estimated Carbon Footprint (tons CO₂e)],MATCH('Merge operational &amp; suppliar'!A1244,Suppliar[Facility ID],0)),"")</f>
        <v>111.84</v>
      </c>
      <c r="K1244">
        <f>IFERROR(INDEX(Suppliar[Income Distribution (%)],MATCH('Merge operational &amp; suppliar'!A1244,Suppliar[Facility ID],0)),"")</f>
        <v>23.26</v>
      </c>
    </row>
    <row r="1245" spans="1:11" x14ac:dyDescent="0.3">
      <c r="A1245" t="s">
        <v>31</v>
      </c>
      <c r="B1245" t="s">
        <v>30</v>
      </c>
      <c r="C1245" t="s">
        <v>8</v>
      </c>
      <c r="D1245" t="s">
        <v>14</v>
      </c>
      <c r="E1245" t="s">
        <v>15</v>
      </c>
      <c r="F1245">
        <v>4346.51</v>
      </c>
      <c r="G1245">
        <v>84851</v>
      </c>
      <c r="H1245">
        <v>560.75</v>
      </c>
      <c r="I1245">
        <v>80.23</v>
      </c>
      <c r="J1245">
        <f>IFERROR(INDEX(Suppliar[Estimated Carbon Footprint (tons CO₂e)],MATCH('Merge operational &amp; suppliar'!A1245,Suppliar[Facility ID],0)),"")</f>
        <v>610.79999999999995</v>
      </c>
      <c r="K1245">
        <f>IFERROR(INDEX(Suppliar[Income Distribution (%)],MATCH('Merge operational &amp; suppliar'!A1245,Suppliar[Facility ID],0)),"")</f>
        <v>26.58</v>
      </c>
    </row>
    <row r="1246" spans="1:11" x14ac:dyDescent="0.3">
      <c r="A1246" t="s">
        <v>124</v>
      </c>
      <c r="B1246" t="s">
        <v>12</v>
      </c>
      <c r="C1246" t="s">
        <v>34</v>
      </c>
      <c r="D1246" t="s">
        <v>14</v>
      </c>
      <c r="E1246" t="s">
        <v>15</v>
      </c>
      <c r="F1246">
        <v>1356.94</v>
      </c>
      <c r="G1246">
        <v>47491</v>
      </c>
      <c r="H1246">
        <v>5781.05</v>
      </c>
      <c r="I1246">
        <v>92.18</v>
      </c>
      <c r="J1246">
        <f>IFERROR(INDEX(Suppliar[Estimated Carbon Footprint (tons CO₂e)],MATCH('Merge operational &amp; suppliar'!A1246,Suppliar[Facility ID],0)),"")</f>
        <v>344.93</v>
      </c>
      <c r="K1246">
        <f>IFERROR(INDEX(Suppliar[Income Distribution (%)],MATCH('Merge operational &amp; suppliar'!A1246,Suppliar[Facility ID],0)),"")</f>
        <v>36.229999999999997</v>
      </c>
    </row>
    <row r="1247" spans="1:11" x14ac:dyDescent="0.3">
      <c r="A1247" t="s">
        <v>197</v>
      </c>
      <c r="B1247" t="s">
        <v>30</v>
      </c>
      <c r="C1247" t="s">
        <v>8</v>
      </c>
      <c r="D1247" t="s">
        <v>28</v>
      </c>
      <c r="E1247" t="s">
        <v>10</v>
      </c>
      <c r="F1247">
        <v>50.06</v>
      </c>
      <c r="G1247">
        <v>56752</v>
      </c>
      <c r="H1247">
        <v>4177.68</v>
      </c>
      <c r="I1247">
        <v>10.96</v>
      </c>
      <c r="J1247">
        <f>IFERROR(INDEX(Suppliar[Estimated Carbon Footprint (tons CO₂e)],MATCH('Merge operational &amp; suppliar'!A1247,Suppliar[Facility ID],0)),"")</f>
        <v>694.92</v>
      </c>
      <c r="K1247">
        <f>IFERROR(INDEX(Suppliar[Income Distribution (%)],MATCH('Merge operational &amp; suppliar'!A1247,Suppliar[Facility ID],0)),"")</f>
        <v>9.8699999999999992</v>
      </c>
    </row>
    <row r="1248" spans="1:11" x14ac:dyDescent="0.3">
      <c r="A1248" t="s">
        <v>202</v>
      </c>
      <c r="B1248" t="s">
        <v>12</v>
      </c>
      <c r="C1248" t="s">
        <v>13</v>
      </c>
      <c r="D1248" t="s">
        <v>28</v>
      </c>
      <c r="E1248" t="s">
        <v>15</v>
      </c>
      <c r="F1248">
        <v>3795.55</v>
      </c>
      <c r="G1248">
        <v>28400</v>
      </c>
      <c r="H1248">
        <v>3056.67</v>
      </c>
      <c r="I1248">
        <v>52.68</v>
      </c>
      <c r="J1248">
        <f>IFERROR(INDEX(Suppliar[Estimated Carbon Footprint (tons CO₂e)],MATCH('Merge operational &amp; suppliar'!A1248,Suppliar[Facility ID],0)),"")</f>
        <v>571.88</v>
      </c>
      <c r="K1248">
        <f>IFERROR(INDEX(Suppliar[Income Distribution (%)],MATCH('Merge operational &amp; suppliar'!A1248,Suppliar[Facility ID],0)),"")</f>
        <v>8.6199999999999992</v>
      </c>
    </row>
    <row r="1249" spans="1:11" x14ac:dyDescent="0.3">
      <c r="A1249" t="s">
        <v>60</v>
      </c>
      <c r="B1249" t="s">
        <v>12</v>
      </c>
      <c r="C1249" t="s">
        <v>34</v>
      </c>
      <c r="D1249" t="s">
        <v>9</v>
      </c>
      <c r="E1249" t="s">
        <v>10</v>
      </c>
      <c r="F1249">
        <v>4134.21</v>
      </c>
      <c r="G1249">
        <v>25148</v>
      </c>
      <c r="H1249">
        <v>9604.5499999999993</v>
      </c>
      <c r="I1249">
        <v>63.47</v>
      </c>
      <c r="J1249">
        <f>IFERROR(INDEX(Suppliar[Estimated Carbon Footprint (tons CO₂e)],MATCH('Merge operational &amp; suppliar'!A1249,Suppliar[Facility ID],0)),"")</f>
        <v>209.33</v>
      </c>
      <c r="K1249">
        <f>IFERROR(INDEX(Suppliar[Income Distribution (%)],MATCH('Merge operational &amp; suppliar'!A1249,Suppliar[Facility ID],0)),"")</f>
        <v>30.01</v>
      </c>
    </row>
    <row r="1250" spans="1:11" x14ac:dyDescent="0.3">
      <c r="A1250" t="s">
        <v>214</v>
      </c>
      <c r="B1250" t="s">
        <v>30</v>
      </c>
      <c r="C1250" t="s">
        <v>34</v>
      </c>
      <c r="D1250" t="s">
        <v>9</v>
      </c>
      <c r="E1250" t="s">
        <v>24</v>
      </c>
      <c r="F1250">
        <v>2597.36</v>
      </c>
      <c r="G1250">
        <v>79330</v>
      </c>
      <c r="H1250">
        <v>6075.23</v>
      </c>
      <c r="I1250">
        <v>83.97</v>
      </c>
      <c r="J1250">
        <f>IFERROR(INDEX(Suppliar[Estimated Carbon Footprint (tons CO₂e)],MATCH('Merge operational &amp; suppliar'!A1250,Suppliar[Facility ID],0)),"")</f>
        <v>209.33</v>
      </c>
      <c r="K1250">
        <f>IFERROR(INDEX(Suppliar[Income Distribution (%)],MATCH('Merge operational &amp; suppliar'!A1250,Suppliar[Facility ID],0)),"")</f>
        <v>13.62</v>
      </c>
    </row>
    <row r="1251" spans="1:11" x14ac:dyDescent="0.3">
      <c r="A1251" t="s">
        <v>219</v>
      </c>
      <c r="B1251" t="s">
        <v>12</v>
      </c>
      <c r="C1251" t="s">
        <v>8</v>
      </c>
      <c r="D1251" t="s">
        <v>14</v>
      </c>
      <c r="E1251" t="s">
        <v>24</v>
      </c>
      <c r="F1251">
        <v>2151.91</v>
      </c>
      <c r="G1251">
        <v>84524</v>
      </c>
      <c r="H1251">
        <v>9350.11</v>
      </c>
      <c r="I1251">
        <v>27.53</v>
      </c>
      <c r="J1251">
        <f>IFERROR(INDEX(Suppliar[Estimated Carbon Footprint (tons CO₂e)],MATCH('Merge operational &amp; suppliar'!A1251,Suppliar[Facility ID],0)),"")</f>
        <v>795.74</v>
      </c>
      <c r="K1251">
        <f>IFERROR(INDEX(Suppliar[Income Distribution (%)],MATCH('Merge operational &amp; suppliar'!A1251,Suppliar[Facility ID],0)),"")</f>
        <v>18.73</v>
      </c>
    </row>
    <row r="1252" spans="1:11" x14ac:dyDescent="0.3">
      <c r="A1252" t="s">
        <v>164</v>
      </c>
      <c r="B1252" t="s">
        <v>19</v>
      </c>
      <c r="C1252" t="s">
        <v>34</v>
      </c>
      <c r="D1252" t="s">
        <v>14</v>
      </c>
      <c r="E1252" t="s">
        <v>10</v>
      </c>
      <c r="F1252">
        <v>3338.56</v>
      </c>
      <c r="G1252">
        <v>69636</v>
      </c>
      <c r="H1252">
        <v>4246.55</v>
      </c>
      <c r="I1252">
        <v>69.290000000000006</v>
      </c>
      <c r="J1252">
        <f>IFERROR(INDEX(Suppliar[Estimated Carbon Footprint (tons CO₂e)],MATCH('Merge operational &amp; suppliar'!A1252,Suppliar[Facility ID],0)),"")</f>
        <v>362.43</v>
      </c>
      <c r="K1252">
        <f>IFERROR(INDEX(Suppliar[Income Distribution (%)],MATCH('Merge operational &amp; suppliar'!A1252,Suppliar[Facility ID],0)),"")</f>
        <v>54.81</v>
      </c>
    </row>
    <row r="1253" spans="1:11" x14ac:dyDescent="0.3">
      <c r="A1253" t="s">
        <v>123</v>
      </c>
      <c r="B1253" t="s">
        <v>30</v>
      </c>
      <c r="C1253" t="s">
        <v>23</v>
      </c>
      <c r="D1253" t="s">
        <v>9</v>
      </c>
      <c r="E1253" t="s">
        <v>15</v>
      </c>
      <c r="F1253">
        <v>284.86</v>
      </c>
      <c r="G1253">
        <v>73977</v>
      </c>
      <c r="H1253">
        <v>1646.75</v>
      </c>
      <c r="I1253">
        <v>43.77</v>
      </c>
      <c r="J1253" t="str">
        <f>IFERROR(INDEX(Suppliar[Estimated Carbon Footprint (tons CO₂e)],MATCH('Merge operational &amp; suppliar'!A1253,Suppliar[Facility ID],0)),"")</f>
        <v/>
      </c>
      <c r="K1253" t="str">
        <f>IFERROR(INDEX(Suppliar[Income Distribution (%)],MATCH('Merge operational &amp; suppliar'!A1253,Suppliar[Facility ID],0)),"")</f>
        <v/>
      </c>
    </row>
    <row r="1254" spans="1:11" x14ac:dyDescent="0.3">
      <c r="A1254" t="s">
        <v>149</v>
      </c>
      <c r="B1254" t="s">
        <v>17</v>
      </c>
      <c r="C1254" t="s">
        <v>34</v>
      </c>
      <c r="D1254" t="s">
        <v>14</v>
      </c>
      <c r="E1254" t="s">
        <v>15</v>
      </c>
      <c r="F1254">
        <v>4418.62</v>
      </c>
      <c r="G1254">
        <v>49885</v>
      </c>
      <c r="H1254">
        <v>6845.46</v>
      </c>
      <c r="I1254">
        <v>58.4</v>
      </c>
      <c r="J1254">
        <f>IFERROR(INDEX(Suppliar[Estimated Carbon Footprint (tons CO₂e)],MATCH('Merge operational &amp; suppliar'!A1254,Suppliar[Facility ID],0)),"")</f>
        <v>341.24</v>
      </c>
      <c r="K1254">
        <f>IFERROR(INDEX(Suppliar[Income Distribution (%)],MATCH('Merge operational &amp; suppliar'!A1254,Suppliar[Facility ID],0)),"")</f>
        <v>19.309999999999999</v>
      </c>
    </row>
    <row r="1255" spans="1:11" x14ac:dyDescent="0.3">
      <c r="A1255" t="s">
        <v>194</v>
      </c>
      <c r="B1255" t="s">
        <v>17</v>
      </c>
      <c r="C1255" t="s">
        <v>23</v>
      </c>
      <c r="D1255" t="s">
        <v>14</v>
      </c>
      <c r="E1255" t="s">
        <v>24</v>
      </c>
      <c r="F1255">
        <v>1452.21</v>
      </c>
      <c r="G1255">
        <v>95165</v>
      </c>
      <c r="H1255">
        <v>8562.76</v>
      </c>
      <c r="I1255">
        <v>37.54</v>
      </c>
      <c r="J1255">
        <f>IFERROR(INDEX(Suppliar[Estimated Carbon Footprint (tons CO₂e)],MATCH('Merge operational &amp; suppliar'!A1255,Suppliar[Facility ID],0)),"")</f>
        <v>479.41</v>
      </c>
      <c r="K1255">
        <f>IFERROR(INDEX(Suppliar[Income Distribution (%)],MATCH('Merge operational &amp; suppliar'!A1255,Suppliar[Facility ID],0)),"")</f>
        <v>13.64</v>
      </c>
    </row>
    <row r="1256" spans="1:11" x14ac:dyDescent="0.3">
      <c r="A1256" t="s">
        <v>35</v>
      </c>
      <c r="B1256" t="s">
        <v>19</v>
      </c>
      <c r="C1256" t="s">
        <v>23</v>
      </c>
      <c r="D1256" t="s">
        <v>28</v>
      </c>
      <c r="E1256" t="s">
        <v>15</v>
      </c>
      <c r="F1256">
        <v>1001.43</v>
      </c>
      <c r="G1256">
        <v>42382</v>
      </c>
      <c r="H1256">
        <v>5116.6899999999996</v>
      </c>
      <c r="I1256">
        <v>80.42</v>
      </c>
      <c r="J1256">
        <f>IFERROR(INDEX(Suppliar[Estimated Carbon Footprint (tons CO₂e)],MATCH('Merge operational &amp; suppliar'!A1256,Suppliar[Facility ID],0)),"")</f>
        <v>626.54</v>
      </c>
      <c r="K1256">
        <f>IFERROR(INDEX(Suppliar[Income Distribution (%)],MATCH('Merge operational &amp; suppliar'!A1256,Suppliar[Facility ID],0)),"")</f>
        <v>70.540000000000006</v>
      </c>
    </row>
    <row r="1257" spans="1:11" x14ac:dyDescent="0.3">
      <c r="A1257" t="s">
        <v>123</v>
      </c>
      <c r="B1257" t="s">
        <v>30</v>
      </c>
      <c r="C1257" t="s">
        <v>8</v>
      </c>
      <c r="D1257" t="s">
        <v>28</v>
      </c>
      <c r="E1257" t="s">
        <v>15</v>
      </c>
      <c r="F1257">
        <v>3280.78</v>
      </c>
      <c r="G1257">
        <v>73977</v>
      </c>
      <c r="H1257">
        <v>1646.75</v>
      </c>
      <c r="I1257">
        <v>43.77</v>
      </c>
      <c r="J1257" t="str">
        <f>IFERROR(INDEX(Suppliar[Estimated Carbon Footprint (tons CO₂e)],MATCH('Merge operational &amp; suppliar'!A1257,Suppliar[Facility ID],0)),"")</f>
        <v/>
      </c>
      <c r="K1257" t="str">
        <f>IFERROR(INDEX(Suppliar[Income Distribution (%)],MATCH('Merge operational &amp; suppliar'!A1257,Suppliar[Facility ID],0)),"")</f>
        <v/>
      </c>
    </row>
    <row r="1258" spans="1:11" x14ac:dyDescent="0.3">
      <c r="A1258" t="s">
        <v>209</v>
      </c>
      <c r="B1258" t="s">
        <v>7</v>
      </c>
      <c r="C1258" t="s">
        <v>8</v>
      </c>
      <c r="D1258" t="s">
        <v>14</v>
      </c>
      <c r="E1258" t="s">
        <v>24</v>
      </c>
      <c r="F1258">
        <v>2429.6</v>
      </c>
      <c r="G1258">
        <v>52357</v>
      </c>
      <c r="H1258">
        <v>5643.16</v>
      </c>
      <c r="I1258">
        <v>37.130000000000003</v>
      </c>
      <c r="J1258">
        <f>IFERROR(INDEX(Suppliar[Estimated Carbon Footprint (tons CO₂e)],MATCH('Merge operational &amp; suppliar'!A1258,Suppliar[Facility ID],0)),"")</f>
        <v>932.3</v>
      </c>
      <c r="K1258">
        <f>IFERROR(INDEX(Suppliar[Income Distribution (%)],MATCH('Merge operational &amp; suppliar'!A1258,Suppliar[Facility ID],0)),"")</f>
        <v>13.43</v>
      </c>
    </row>
    <row r="1259" spans="1:11" x14ac:dyDescent="0.3">
      <c r="A1259" t="s">
        <v>103</v>
      </c>
      <c r="B1259" t="s">
        <v>19</v>
      </c>
      <c r="C1259" t="s">
        <v>13</v>
      </c>
      <c r="D1259" t="s">
        <v>9</v>
      </c>
      <c r="E1259" t="s">
        <v>10</v>
      </c>
      <c r="F1259">
        <v>4025.99</v>
      </c>
      <c r="G1259">
        <v>38869</v>
      </c>
      <c r="H1259">
        <v>5109.76</v>
      </c>
      <c r="I1259">
        <v>35.270000000000003</v>
      </c>
      <c r="J1259">
        <f>IFERROR(INDEX(Suppliar[Estimated Carbon Footprint (tons CO₂e)],MATCH('Merge operational &amp; suppliar'!A1259,Suppliar[Facility ID],0)),"")</f>
        <v>986.62</v>
      </c>
      <c r="K1259">
        <f>IFERROR(INDEX(Suppliar[Income Distribution (%)],MATCH('Merge operational &amp; suppliar'!A1259,Suppliar[Facility ID],0)),"")</f>
        <v>40.86</v>
      </c>
    </row>
    <row r="1260" spans="1:11" x14ac:dyDescent="0.3">
      <c r="A1260" t="s">
        <v>209</v>
      </c>
      <c r="B1260" t="s">
        <v>7</v>
      </c>
      <c r="C1260" t="s">
        <v>13</v>
      </c>
      <c r="D1260" t="s">
        <v>14</v>
      </c>
      <c r="E1260" t="s">
        <v>15</v>
      </c>
      <c r="F1260">
        <v>1880.25</v>
      </c>
      <c r="G1260">
        <v>52357</v>
      </c>
      <c r="H1260">
        <v>5643.16</v>
      </c>
      <c r="I1260">
        <v>37.130000000000003</v>
      </c>
      <c r="J1260">
        <f>IFERROR(INDEX(Suppliar[Estimated Carbon Footprint (tons CO₂e)],MATCH('Merge operational &amp; suppliar'!A1260,Suppliar[Facility ID],0)),"")</f>
        <v>932.3</v>
      </c>
      <c r="K1260">
        <f>IFERROR(INDEX(Suppliar[Income Distribution (%)],MATCH('Merge operational &amp; suppliar'!A1260,Suppliar[Facility ID],0)),"")</f>
        <v>13.43</v>
      </c>
    </row>
    <row r="1261" spans="1:11" x14ac:dyDescent="0.3">
      <c r="A1261" t="s">
        <v>132</v>
      </c>
      <c r="B1261" t="s">
        <v>19</v>
      </c>
      <c r="C1261" t="s">
        <v>23</v>
      </c>
      <c r="D1261" t="s">
        <v>28</v>
      </c>
      <c r="E1261" t="s">
        <v>15</v>
      </c>
      <c r="F1261">
        <v>3107.51</v>
      </c>
      <c r="G1261">
        <v>29860</v>
      </c>
      <c r="H1261">
        <v>3956.23</v>
      </c>
      <c r="I1261">
        <v>57.5</v>
      </c>
      <c r="J1261">
        <f>IFERROR(INDEX(Suppliar[Estimated Carbon Footprint (tons CO₂e)],MATCH('Merge operational &amp; suppliar'!A1261,Suppliar[Facility ID],0)),"")</f>
        <v>432.23</v>
      </c>
      <c r="K1261">
        <f>IFERROR(INDEX(Suppliar[Income Distribution (%)],MATCH('Merge operational &amp; suppliar'!A1261,Suppliar[Facility ID],0)),"")</f>
        <v>17.78</v>
      </c>
    </row>
    <row r="1262" spans="1:11" x14ac:dyDescent="0.3">
      <c r="A1262" t="s">
        <v>107</v>
      </c>
      <c r="B1262" t="s">
        <v>30</v>
      </c>
      <c r="C1262" t="s">
        <v>23</v>
      </c>
      <c r="D1262" t="s">
        <v>9</v>
      </c>
      <c r="E1262" t="s">
        <v>15</v>
      </c>
      <c r="F1262">
        <v>1430.94</v>
      </c>
      <c r="G1262">
        <v>69305</v>
      </c>
      <c r="H1262">
        <v>3203.67</v>
      </c>
      <c r="I1262">
        <v>83.65</v>
      </c>
      <c r="J1262">
        <f>IFERROR(INDEX(Suppliar[Estimated Carbon Footprint (tons CO₂e)],MATCH('Merge operational &amp; suppliar'!A1262,Suppliar[Facility ID],0)),"")</f>
        <v>173.67</v>
      </c>
      <c r="K1262">
        <f>IFERROR(INDEX(Suppliar[Income Distribution (%)],MATCH('Merge operational &amp; suppliar'!A1262,Suppliar[Facility ID],0)),"")</f>
        <v>67.040000000000006</v>
      </c>
    </row>
    <row r="1263" spans="1:11" x14ac:dyDescent="0.3">
      <c r="A1263" t="s">
        <v>169</v>
      </c>
      <c r="B1263" t="s">
        <v>12</v>
      </c>
      <c r="C1263" t="s">
        <v>34</v>
      </c>
      <c r="D1263" t="s">
        <v>28</v>
      </c>
      <c r="E1263" t="s">
        <v>15</v>
      </c>
      <c r="F1263">
        <v>4735.9399999999996</v>
      </c>
      <c r="G1263">
        <v>82377</v>
      </c>
      <c r="H1263">
        <v>7974.74</v>
      </c>
      <c r="I1263">
        <v>9.17</v>
      </c>
      <c r="J1263" t="str">
        <f>IFERROR(INDEX(Suppliar[Estimated Carbon Footprint (tons CO₂e)],MATCH('Merge operational &amp; suppliar'!A1263,Suppliar[Facility ID],0)),"")</f>
        <v/>
      </c>
      <c r="K1263" t="str">
        <f>IFERROR(INDEX(Suppliar[Income Distribution (%)],MATCH('Merge operational &amp; suppliar'!A1263,Suppliar[Facility ID],0)),"")</f>
        <v/>
      </c>
    </row>
    <row r="1264" spans="1:11" x14ac:dyDescent="0.3">
      <c r="A1264" t="s">
        <v>177</v>
      </c>
      <c r="B1264" t="s">
        <v>7</v>
      </c>
      <c r="C1264" t="s">
        <v>8</v>
      </c>
      <c r="D1264" t="s">
        <v>28</v>
      </c>
      <c r="E1264" t="s">
        <v>15</v>
      </c>
      <c r="F1264">
        <v>419.21</v>
      </c>
      <c r="G1264">
        <v>17097</v>
      </c>
      <c r="H1264">
        <v>9061.7800000000007</v>
      </c>
      <c r="I1264">
        <v>95.92</v>
      </c>
      <c r="J1264">
        <f>IFERROR(INDEX(Suppliar[Estimated Carbon Footprint (tons CO₂e)],MATCH('Merge operational &amp; suppliar'!A1264,Suppliar[Facility ID],0)),"")</f>
        <v>390.06</v>
      </c>
      <c r="K1264">
        <f>IFERROR(INDEX(Suppliar[Income Distribution (%)],MATCH('Merge operational &amp; suppliar'!A1264,Suppliar[Facility ID],0)),"")</f>
        <v>18.010000000000002</v>
      </c>
    </row>
    <row r="1265" spans="1:11" x14ac:dyDescent="0.3">
      <c r="A1265" t="s">
        <v>208</v>
      </c>
      <c r="B1265" t="s">
        <v>19</v>
      </c>
      <c r="C1265" t="s">
        <v>34</v>
      </c>
      <c r="D1265" t="s">
        <v>9</v>
      </c>
      <c r="E1265" t="s">
        <v>24</v>
      </c>
      <c r="F1265">
        <v>3952.79</v>
      </c>
      <c r="G1265">
        <v>40553</v>
      </c>
      <c r="H1265">
        <v>4875.2299999999996</v>
      </c>
      <c r="I1265">
        <v>23.33</v>
      </c>
      <c r="J1265">
        <f>IFERROR(INDEX(Suppliar[Estimated Carbon Footprint (tons CO₂e)],MATCH('Merge operational &amp; suppliar'!A1265,Suppliar[Facility ID],0)),"")</f>
        <v>818.45</v>
      </c>
      <c r="K1265">
        <f>IFERROR(INDEX(Suppliar[Income Distribution (%)],MATCH('Merge operational &amp; suppliar'!A1265,Suppliar[Facility ID],0)),"")</f>
        <v>19.420000000000002</v>
      </c>
    </row>
    <row r="1266" spans="1:11" x14ac:dyDescent="0.3">
      <c r="A1266" t="s">
        <v>170</v>
      </c>
      <c r="B1266" t="s">
        <v>12</v>
      </c>
      <c r="C1266" t="s">
        <v>8</v>
      </c>
      <c r="D1266" t="s">
        <v>28</v>
      </c>
      <c r="E1266" t="s">
        <v>10</v>
      </c>
      <c r="F1266">
        <v>2905.28</v>
      </c>
      <c r="G1266">
        <v>54133</v>
      </c>
      <c r="H1266">
        <v>8543.68</v>
      </c>
      <c r="I1266">
        <v>24</v>
      </c>
      <c r="J1266">
        <f>IFERROR(INDEX(Suppliar[Estimated Carbon Footprint (tons CO₂e)],MATCH('Merge operational &amp; suppliar'!A1266,Suppliar[Facility ID],0)),"")</f>
        <v>991.03</v>
      </c>
      <c r="K1266">
        <f>IFERROR(INDEX(Suppliar[Income Distribution (%)],MATCH('Merge operational &amp; suppliar'!A1266,Suppliar[Facility ID],0)),"")</f>
        <v>23.33</v>
      </c>
    </row>
    <row r="1267" spans="1:11" x14ac:dyDescent="0.3">
      <c r="A1267" t="s">
        <v>101</v>
      </c>
      <c r="B1267" t="s">
        <v>19</v>
      </c>
      <c r="C1267" t="s">
        <v>13</v>
      </c>
      <c r="D1267" t="s">
        <v>28</v>
      </c>
      <c r="E1267" t="s">
        <v>24</v>
      </c>
      <c r="F1267">
        <v>2595.02</v>
      </c>
      <c r="G1267">
        <v>39050</v>
      </c>
      <c r="H1267">
        <v>5885.73</v>
      </c>
      <c r="I1267">
        <v>93.04</v>
      </c>
      <c r="J1267">
        <f>IFERROR(INDEX(Suppliar[Estimated Carbon Footprint (tons CO₂e)],MATCH('Merge operational &amp; suppliar'!A1267,Suppliar[Facility ID],0)),"")</f>
        <v>318.55</v>
      </c>
      <c r="K1267">
        <f>IFERROR(INDEX(Suppliar[Income Distribution (%)],MATCH('Merge operational &amp; suppliar'!A1267,Suppliar[Facility ID],0)),"")</f>
        <v>39.81</v>
      </c>
    </row>
    <row r="1268" spans="1:11" x14ac:dyDescent="0.3">
      <c r="A1268" t="s">
        <v>93</v>
      </c>
      <c r="B1268" t="s">
        <v>30</v>
      </c>
      <c r="C1268" t="s">
        <v>34</v>
      </c>
      <c r="D1268" t="s">
        <v>9</v>
      </c>
      <c r="E1268" t="s">
        <v>15</v>
      </c>
      <c r="F1268">
        <v>4395.49</v>
      </c>
      <c r="G1268">
        <v>26378</v>
      </c>
      <c r="H1268">
        <v>2915.44</v>
      </c>
      <c r="I1268">
        <v>29.84</v>
      </c>
      <c r="J1268">
        <f>IFERROR(INDEX(Suppliar[Estimated Carbon Footprint (tons CO₂e)],MATCH('Merge operational &amp; suppliar'!A1268,Suppliar[Facility ID],0)),"")</f>
        <v>311.36</v>
      </c>
      <c r="K1268">
        <f>IFERROR(INDEX(Suppliar[Income Distribution (%)],MATCH('Merge operational &amp; suppliar'!A1268,Suppliar[Facility ID],0)),"")</f>
        <v>26.09</v>
      </c>
    </row>
    <row r="1269" spans="1:11" x14ac:dyDescent="0.3">
      <c r="A1269" t="s">
        <v>91</v>
      </c>
      <c r="B1269" t="s">
        <v>30</v>
      </c>
      <c r="C1269" t="s">
        <v>23</v>
      </c>
      <c r="D1269" t="s">
        <v>14</v>
      </c>
      <c r="E1269" t="s">
        <v>24</v>
      </c>
      <c r="F1269">
        <v>969.03</v>
      </c>
      <c r="G1269">
        <v>20207</v>
      </c>
      <c r="H1269">
        <v>5369.46</v>
      </c>
      <c r="I1269">
        <v>57.51</v>
      </c>
      <c r="J1269">
        <f>IFERROR(INDEX(Suppliar[Estimated Carbon Footprint (tons CO₂e)],MATCH('Merge operational &amp; suppliar'!A1269,Suppliar[Facility ID],0)),"")</f>
        <v>847.51</v>
      </c>
      <c r="K1269">
        <f>IFERROR(INDEX(Suppliar[Income Distribution (%)],MATCH('Merge operational &amp; suppliar'!A1269,Suppliar[Facility ID],0)),"")</f>
        <v>28.45</v>
      </c>
    </row>
    <row r="1270" spans="1:11" x14ac:dyDescent="0.3">
      <c r="A1270" t="s">
        <v>218</v>
      </c>
      <c r="B1270" t="s">
        <v>17</v>
      </c>
      <c r="C1270" t="s">
        <v>34</v>
      </c>
      <c r="D1270" t="s">
        <v>14</v>
      </c>
      <c r="E1270" t="s">
        <v>15</v>
      </c>
      <c r="F1270">
        <v>4736.7</v>
      </c>
      <c r="G1270">
        <v>22525</v>
      </c>
      <c r="H1270">
        <v>9465.65</v>
      </c>
      <c r="I1270">
        <v>37.79</v>
      </c>
      <c r="J1270">
        <f>IFERROR(INDEX(Suppliar[Estimated Carbon Footprint (tons CO₂e)],MATCH('Merge operational &amp; suppliar'!A1270,Suppliar[Facility ID],0)),"")</f>
        <v>472.66</v>
      </c>
      <c r="K1270">
        <f>IFERROR(INDEX(Suppliar[Income Distribution (%)],MATCH('Merge operational &amp; suppliar'!A1270,Suppliar[Facility ID],0)),"")</f>
        <v>55.03</v>
      </c>
    </row>
    <row r="1271" spans="1:11" x14ac:dyDescent="0.3">
      <c r="A1271" t="s">
        <v>67</v>
      </c>
      <c r="B1271" t="s">
        <v>7</v>
      </c>
      <c r="C1271" t="s">
        <v>8</v>
      </c>
      <c r="D1271" t="s">
        <v>9</v>
      </c>
      <c r="E1271" t="s">
        <v>15</v>
      </c>
      <c r="F1271">
        <v>3116.27</v>
      </c>
      <c r="G1271">
        <v>70582</v>
      </c>
      <c r="H1271">
        <v>7517.59</v>
      </c>
      <c r="I1271">
        <v>95.71</v>
      </c>
      <c r="J1271" t="str">
        <f>IFERROR(INDEX(Suppliar[Estimated Carbon Footprint (tons CO₂e)],MATCH('Merge operational &amp; suppliar'!A1271,Suppliar[Facility ID],0)),"")</f>
        <v/>
      </c>
      <c r="K1271" t="str">
        <f>IFERROR(INDEX(Suppliar[Income Distribution (%)],MATCH('Merge operational &amp; suppliar'!A1271,Suppliar[Facility ID],0)),"")</f>
        <v/>
      </c>
    </row>
    <row r="1272" spans="1:11" x14ac:dyDescent="0.3">
      <c r="A1272" t="s">
        <v>150</v>
      </c>
      <c r="B1272" t="s">
        <v>30</v>
      </c>
      <c r="C1272" t="s">
        <v>34</v>
      </c>
      <c r="D1272" t="s">
        <v>28</v>
      </c>
      <c r="E1272" t="s">
        <v>15</v>
      </c>
      <c r="F1272">
        <v>3048.92</v>
      </c>
      <c r="G1272">
        <v>98356</v>
      </c>
      <c r="H1272">
        <v>6968.69</v>
      </c>
      <c r="I1272">
        <v>81.72</v>
      </c>
      <c r="J1272">
        <f>IFERROR(INDEX(Suppliar[Estimated Carbon Footprint (tons CO₂e)],MATCH('Merge operational &amp; suppliar'!A1272,Suppliar[Facility ID],0)),"")</f>
        <v>795.74</v>
      </c>
      <c r="K1272">
        <f>IFERROR(INDEX(Suppliar[Income Distribution (%)],MATCH('Merge operational &amp; suppliar'!A1272,Suppliar[Facility ID],0)),"")</f>
        <v>22.41</v>
      </c>
    </row>
    <row r="1273" spans="1:11" x14ac:dyDescent="0.3">
      <c r="A1273" t="s">
        <v>75</v>
      </c>
      <c r="B1273" t="s">
        <v>19</v>
      </c>
      <c r="C1273" t="s">
        <v>34</v>
      </c>
      <c r="D1273" t="s">
        <v>9</v>
      </c>
      <c r="E1273" t="s">
        <v>15</v>
      </c>
      <c r="F1273">
        <v>4792.2</v>
      </c>
      <c r="G1273">
        <v>54136</v>
      </c>
      <c r="H1273">
        <v>2775.38</v>
      </c>
      <c r="I1273">
        <v>75.459999999999994</v>
      </c>
      <c r="J1273">
        <f>IFERROR(INDEX(Suppliar[Estimated Carbon Footprint (tons CO₂e)],MATCH('Merge operational &amp; suppliar'!A1273,Suppliar[Facility ID],0)),"")</f>
        <v>932.3</v>
      </c>
      <c r="K1273">
        <f>IFERROR(INDEX(Suppliar[Income Distribution (%)],MATCH('Merge operational &amp; suppliar'!A1273,Suppliar[Facility ID],0)),"")</f>
        <v>16.93</v>
      </c>
    </row>
    <row r="1274" spans="1:11" x14ac:dyDescent="0.3">
      <c r="A1274" t="s">
        <v>205</v>
      </c>
      <c r="B1274" t="s">
        <v>17</v>
      </c>
      <c r="C1274" t="s">
        <v>34</v>
      </c>
      <c r="D1274" t="s">
        <v>14</v>
      </c>
      <c r="E1274" t="s">
        <v>15</v>
      </c>
      <c r="F1274">
        <v>1851.08</v>
      </c>
      <c r="G1274">
        <v>52594</v>
      </c>
      <c r="H1274">
        <v>8715.0400000000009</v>
      </c>
      <c r="I1274">
        <v>90.54</v>
      </c>
      <c r="J1274">
        <f>IFERROR(INDEX(Suppliar[Estimated Carbon Footprint (tons CO₂e)],MATCH('Merge operational &amp; suppliar'!A1274,Suppliar[Facility ID],0)),"")</f>
        <v>553.44000000000005</v>
      </c>
      <c r="K1274">
        <f>IFERROR(INDEX(Suppliar[Income Distribution (%)],MATCH('Merge operational &amp; suppliar'!A1274,Suppliar[Facility ID],0)),"")</f>
        <v>23.44</v>
      </c>
    </row>
    <row r="1275" spans="1:11" x14ac:dyDescent="0.3">
      <c r="A1275" t="s">
        <v>79</v>
      </c>
      <c r="B1275" t="s">
        <v>17</v>
      </c>
      <c r="C1275" t="s">
        <v>34</v>
      </c>
      <c r="D1275" t="s">
        <v>14</v>
      </c>
      <c r="E1275" t="s">
        <v>10</v>
      </c>
      <c r="F1275">
        <v>331.53</v>
      </c>
      <c r="G1275">
        <v>40503</v>
      </c>
      <c r="H1275">
        <v>7447.46</v>
      </c>
      <c r="I1275">
        <v>98.27</v>
      </c>
      <c r="J1275">
        <f>IFERROR(INDEX(Suppliar[Estimated Carbon Footprint (tons CO₂e)],MATCH('Merge operational &amp; suppliar'!A1275,Suppliar[Facility ID],0)),"")</f>
        <v>209.33</v>
      </c>
      <c r="K1275">
        <f>IFERROR(INDEX(Suppliar[Income Distribution (%)],MATCH('Merge operational &amp; suppliar'!A1275,Suppliar[Facility ID],0)),"")</f>
        <v>39.549999999999997</v>
      </c>
    </row>
    <row r="1276" spans="1:11" x14ac:dyDescent="0.3">
      <c r="A1276" t="s">
        <v>179</v>
      </c>
      <c r="B1276" t="s">
        <v>7</v>
      </c>
      <c r="C1276" t="s">
        <v>13</v>
      </c>
      <c r="D1276" t="s">
        <v>28</v>
      </c>
      <c r="E1276" t="s">
        <v>24</v>
      </c>
      <c r="F1276">
        <v>2756.07</v>
      </c>
      <c r="G1276">
        <v>94393</v>
      </c>
      <c r="H1276">
        <v>6691.7</v>
      </c>
      <c r="I1276">
        <v>74.790000000000006</v>
      </c>
      <c r="J1276">
        <f>IFERROR(INDEX(Suppliar[Estimated Carbon Footprint (tons CO₂e)],MATCH('Merge operational &amp; suppliar'!A1276,Suppliar[Facility ID],0)),"")</f>
        <v>867.66</v>
      </c>
      <c r="K1276">
        <f>IFERROR(INDEX(Suppliar[Income Distribution (%)],MATCH('Merge operational &amp; suppliar'!A1276,Suppliar[Facility ID],0)),"")</f>
        <v>32.97</v>
      </c>
    </row>
    <row r="1277" spans="1:11" x14ac:dyDescent="0.3">
      <c r="A1277" t="s">
        <v>138</v>
      </c>
      <c r="B1277" t="s">
        <v>12</v>
      </c>
      <c r="C1277" t="s">
        <v>13</v>
      </c>
      <c r="D1277" t="s">
        <v>9</v>
      </c>
      <c r="E1277" t="s">
        <v>15</v>
      </c>
      <c r="F1277">
        <v>1185.1400000000001</v>
      </c>
      <c r="G1277">
        <v>57353</v>
      </c>
      <c r="H1277">
        <v>2274.71</v>
      </c>
      <c r="I1277">
        <v>65.34</v>
      </c>
      <c r="J1277">
        <f>IFERROR(INDEX(Suppliar[Estimated Carbon Footprint (tons CO₂e)],MATCH('Merge operational &amp; suppliar'!A1277,Suppliar[Facility ID],0)),"")</f>
        <v>931.73</v>
      </c>
      <c r="K1277">
        <f>IFERROR(INDEX(Suppliar[Income Distribution (%)],MATCH('Merge operational &amp; suppliar'!A1277,Suppliar[Facility ID],0)),"")</f>
        <v>46.27</v>
      </c>
    </row>
    <row r="1278" spans="1:11" x14ac:dyDescent="0.3">
      <c r="A1278" t="s">
        <v>31</v>
      </c>
      <c r="B1278" t="s">
        <v>30</v>
      </c>
      <c r="C1278" t="s">
        <v>13</v>
      </c>
      <c r="D1278" t="s">
        <v>14</v>
      </c>
      <c r="E1278" t="s">
        <v>15</v>
      </c>
      <c r="F1278">
        <v>770.82</v>
      </c>
      <c r="G1278">
        <v>84851</v>
      </c>
      <c r="H1278">
        <v>560.75</v>
      </c>
      <c r="I1278">
        <v>80.23</v>
      </c>
      <c r="J1278">
        <f>IFERROR(INDEX(Suppliar[Estimated Carbon Footprint (tons CO₂e)],MATCH('Merge operational &amp; suppliar'!A1278,Suppliar[Facility ID],0)),"")</f>
        <v>610.79999999999995</v>
      </c>
      <c r="K1278">
        <f>IFERROR(INDEX(Suppliar[Income Distribution (%)],MATCH('Merge operational &amp; suppliar'!A1278,Suppliar[Facility ID],0)),"")</f>
        <v>26.58</v>
      </c>
    </row>
    <row r="1279" spans="1:11" x14ac:dyDescent="0.3">
      <c r="A1279" t="s">
        <v>69</v>
      </c>
      <c r="B1279" t="s">
        <v>7</v>
      </c>
      <c r="C1279" t="s">
        <v>8</v>
      </c>
      <c r="D1279" t="s">
        <v>14</v>
      </c>
      <c r="E1279" t="s">
        <v>24</v>
      </c>
      <c r="F1279">
        <v>1735.38</v>
      </c>
      <c r="G1279">
        <v>34725</v>
      </c>
      <c r="H1279">
        <v>3269.89</v>
      </c>
      <c r="I1279">
        <v>78.86</v>
      </c>
      <c r="J1279">
        <f>IFERROR(INDEX(Suppliar[Estimated Carbon Footprint (tons CO₂e)],MATCH('Merge operational &amp; suppliar'!A1279,Suppliar[Facility ID],0)),"")</f>
        <v>436.04</v>
      </c>
      <c r="K1279">
        <f>IFERROR(INDEX(Suppliar[Income Distribution (%)],MATCH('Merge operational &amp; suppliar'!A1279,Suppliar[Facility ID],0)),"")</f>
        <v>31.8</v>
      </c>
    </row>
    <row r="1280" spans="1:11" x14ac:dyDescent="0.3">
      <c r="A1280" t="s">
        <v>211</v>
      </c>
      <c r="B1280" t="s">
        <v>7</v>
      </c>
      <c r="C1280" t="s">
        <v>8</v>
      </c>
      <c r="D1280" t="s">
        <v>9</v>
      </c>
      <c r="E1280" t="s">
        <v>15</v>
      </c>
      <c r="F1280">
        <v>2191.31</v>
      </c>
      <c r="G1280">
        <v>27028</v>
      </c>
      <c r="H1280">
        <v>4617.92</v>
      </c>
      <c r="I1280">
        <v>57.62</v>
      </c>
      <c r="J1280">
        <f>IFERROR(INDEX(Suppliar[Estimated Carbon Footprint (tons CO₂e)],MATCH('Merge operational &amp; suppliar'!A1280,Suppliar[Facility ID],0)),"")</f>
        <v>780.4</v>
      </c>
      <c r="K1280">
        <f>IFERROR(INDEX(Suppliar[Income Distribution (%)],MATCH('Merge operational &amp; suppliar'!A1280,Suppliar[Facility ID],0)),"")</f>
        <v>24.87</v>
      </c>
    </row>
    <row r="1281" spans="1:11" x14ac:dyDescent="0.3">
      <c r="A1281" t="s">
        <v>212</v>
      </c>
      <c r="B1281" t="s">
        <v>7</v>
      </c>
      <c r="C1281" t="s">
        <v>13</v>
      </c>
      <c r="D1281" t="s">
        <v>28</v>
      </c>
      <c r="E1281" t="s">
        <v>15</v>
      </c>
      <c r="F1281">
        <v>759.32</v>
      </c>
      <c r="G1281">
        <v>67820</v>
      </c>
      <c r="H1281">
        <v>8177.95</v>
      </c>
      <c r="I1281">
        <v>40.69</v>
      </c>
      <c r="J1281">
        <f>IFERROR(INDEX(Suppliar[Estimated Carbon Footprint (tons CO₂e)],MATCH('Merge operational &amp; suppliar'!A1281,Suppliar[Facility ID],0)),"")</f>
        <v>790.74</v>
      </c>
      <c r="K1281">
        <f>IFERROR(INDEX(Suppliar[Income Distribution (%)],MATCH('Merge operational &amp; suppliar'!A1281,Suppliar[Facility ID],0)),"")</f>
        <v>15.94</v>
      </c>
    </row>
    <row r="1282" spans="1:11" x14ac:dyDescent="0.3">
      <c r="A1282" t="s">
        <v>207</v>
      </c>
      <c r="B1282" t="s">
        <v>17</v>
      </c>
      <c r="C1282" t="s">
        <v>23</v>
      </c>
      <c r="D1282" t="s">
        <v>14</v>
      </c>
      <c r="E1282" t="s">
        <v>15</v>
      </c>
      <c r="F1282">
        <v>1954.05</v>
      </c>
      <c r="G1282">
        <v>99115</v>
      </c>
      <c r="H1282">
        <v>827.26</v>
      </c>
      <c r="I1282">
        <v>28.88</v>
      </c>
      <c r="J1282">
        <f>IFERROR(INDEX(Suppliar[Estimated Carbon Footprint (tons CO₂e)],MATCH('Merge operational &amp; suppliar'!A1282,Suppliar[Facility ID],0)),"")</f>
        <v>818.45</v>
      </c>
      <c r="K1282">
        <f>IFERROR(INDEX(Suppliar[Income Distribution (%)],MATCH('Merge operational &amp; suppliar'!A1282,Suppliar[Facility ID],0)),"")</f>
        <v>27.59</v>
      </c>
    </row>
    <row r="1283" spans="1:11" x14ac:dyDescent="0.3">
      <c r="A1283" t="s">
        <v>144</v>
      </c>
      <c r="B1283" t="s">
        <v>30</v>
      </c>
      <c r="C1283" t="s">
        <v>34</v>
      </c>
      <c r="D1283" t="s">
        <v>9</v>
      </c>
      <c r="E1283" t="s">
        <v>15</v>
      </c>
      <c r="F1283">
        <v>4153</v>
      </c>
      <c r="G1283">
        <v>11426</v>
      </c>
      <c r="H1283">
        <v>4439.5600000000004</v>
      </c>
      <c r="I1283">
        <v>52.71</v>
      </c>
      <c r="J1283" t="str">
        <f>IFERROR(INDEX(Suppliar[Estimated Carbon Footprint (tons CO₂e)],MATCH('Merge operational &amp; suppliar'!A1283,Suppliar[Facility ID],0)),"")</f>
        <v/>
      </c>
      <c r="K1283" t="str">
        <f>IFERROR(INDEX(Suppliar[Income Distribution (%)],MATCH('Merge operational &amp; suppliar'!A1283,Suppliar[Facility ID],0)),"")</f>
        <v/>
      </c>
    </row>
    <row r="1284" spans="1:11" x14ac:dyDescent="0.3">
      <c r="A1284" t="s">
        <v>71</v>
      </c>
      <c r="B1284" t="s">
        <v>7</v>
      </c>
      <c r="C1284" t="s">
        <v>23</v>
      </c>
      <c r="D1284" t="s">
        <v>9</v>
      </c>
      <c r="E1284" t="s">
        <v>15</v>
      </c>
      <c r="F1284">
        <v>3571.76</v>
      </c>
      <c r="G1284">
        <v>68018</v>
      </c>
      <c r="H1284">
        <v>3523.4</v>
      </c>
      <c r="I1284">
        <v>92.26</v>
      </c>
      <c r="J1284">
        <f>IFERROR(INDEX(Suppliar[Estimated Carbon Footprint (tons CO₂e)],MATCH('Merge operational &amp; suppliar'!A1284,Suppliar[Facility ID],0)),"")</f>
        <v>111.84</v>
      </c>
      <c r="K1284">
        <f>IFERROR(INDEX(Suppliar[Income Distribution (%)],MATCH('Merge operational &amp; suppliar'!A1284,Suppliar[Facility ID],0)),"")</f>
        <v>15.85</v>
      </c>
    </row>
    <row r="1285" spans="1:11" x14ac:dyDescent="0.3">
      <c r="A1285" t="s">
        <v>193</v>
      </c>
      <c r="B1285" t="s">
        <v>12</v>
      </c>
      <c r="C1285" t="s">
        <v>8</v>
      </c>
      <c r="D1285" t="s">
        <v>28</v>
      </c>
      <c r="E1285" t="s">
        <v>24</v>
      </c>
      <c r="F1285">
        <v>3705.85</v>
      </c>
      <c r="G1285">
        <v>13333</v>
      </c>
      <c r="H1285">
        <v>6102.15</v>
      </c>
      <c r="I1285">
        <v>17.670000000000002</v>
      </c>
      <c r="J1285">
        <f>IFERROR(INDEX(Suppliar[Estimated Carbon Footprint (tons CO₂e)],MATCH('Merge operational &amp; suppliar'!A1285,Suppliar[Facility ID],0)),"")</f>
        <v>959.2</v>
      </c>
      <c r="K1285">
        <f>IFERROR(INDEX(Suppliar[Income Distribution (%)],MATCH('Merge operational &amp; suppliar'!A1285,Suppliar[Facility ID],0)),"")</f>
        <v>24.24</v>
      </c>
    </row>
    <row r="1286" spans="1:11" x14ac:dyDescent="0.3">
      <c r="A1286" t="s">
        <v>158</v>
      </c>
      <c r="B1286" t="s">
        <v>30</v>
      </c>
      <c r="C1286" t="s">
        <v>13</v>
      </c>
      <c r="D1286" t="s">
        <v>14</v>
      </c>
      <c r="E1286" t="s">
        <v>15</v>
      </c>
      <c r="F1286">
        <v>4393.54</v>
      </c>
      <c r="G1286">
        <v>85488</v>
      </c>
      <c r="H1286">
        <v>9691.57</v>
      </c>
      <c r="I1286">
        <v>96.98</v>
      </c>
      <c r="J1286" t="str">
        <f>IFERROR(INDEX(Suppliar[Estimated Carbon Footprint (tons CO₂e)],MATCH('Merge operational &amp; suppliar'!A1286,Suppliar[Facility ID],0)),"")</f>
        <v/>
      </c>
      <c r="K1286" t="str">
        <f>IFERROR(INDEX(Suppliar[Income Distribution (%)],MATCH('Merge operational &amp; suppliar'!A1286,Suppliar[Facility ID],0)),"")</f>
        <v/>
      </c>
    </row>
    <row r="1287" spans="1:11" x14ac:dyDescent="0.3">
      <c r="A1287" t="s">
        <v>121</v>
      </c>
      <c r="B1287" t="s">
        <v>30</v>
      </c>
      <c r="C1287" t="s">
        <v>8</v>
      </c>
      <c r="D1287" t="s">
        <v>9</v>
      </c>
      <c r="E1287" t="s">
        <v>24</v>
      </c>
      <c r="F1287">
        <v>1303.24</v>
      </c>
      <c r="G1287">
        <v>58895</v>
      </c>
      <c r="H1287">
        <v>3039.17</v>
      </c>
      <c r="I1287">
        <v>59.82</v>
      </c>
      <c r="J1287">
        <f>IFERROR(INDEX(Suppliar[Estimated Carbon Footprint (tons CO₂e)],MATCH('Merge operational &amp; suppliar'!A1287,Suppliar[Facility ID],0)),"")</f>
        <v>785.8</v>
      </c>
      <c r="K1287">
        <f>IFERROR(INDEX(Suppliar[Income Distribution (%)],MATCH('Merge operational &amp; suppliar'!A1287,Suppliar[Facility ID],0)),"")</f>
        <v>22.92</v>
      </c>
    </row>
    <row r="1288" spans="1:11" x14ac:dyDescent="0.3">
      <c r="A1288" t="s">
        <v>42</v>
      </c>
      <c r="B1288" t="s">
        <v>30</v>
      </c>
      <c r="C1288" t="s">
        <v>8</v>
      </c>
      <c r="D1288" t="s">
        <v>28</v>
      </c>
      <c r="E1288" t="s">
        <v>15</v>
      </c>
      <c r="F1288">
        <v>1709.14</v>
      </c>
      <c r="G1288">
        <v>41539</v>
      </c>
      <c r="H1288">
        <v>982.8</v>
      </c>
      <c r="I1288">
        <v>79.7</v>
      </c>
      <c r="J1288">
        <f>IFERROR(INDEX(Suppliar[Estimated Carbon Footprint (tons CO₂e)],MATCH('Merge operational &amp; suppliar'!A1288,Suppliar[Facility ID],0)),"")</f>
        <v>851.48</v>
      </c>
      <c r="K1288">
        <f>IFERROR(INDEX(Suppliar[Income Distribution (%)],MATCH('Merge operational &amp; suppliar'!A1288,Suppliar[Facility ID],0)),"")</f>
        <v>13.07</v>
      </c>
    </row>
    <row r="1289" spans="1:11" x14ac:dyDescent="0.3">
      <c r="A1289" t="s">
        <v>144</v>
      </c>
      <c r="B1289" t="s">
        <v>30</v>
      </c>
      <c r="C1289" t="s">
        <v>34</v>
      </c>
      <c r="D1289" t="s">
        <v>9</v>
      </c>
      <c r="E1289" t="s">
        <v>15</v>
      </c>
      <c r="F1289">
        <v>4816.54</v>
      </c>
      <c r="G1289">
        <v>11426</v>
      </c>
      <c r="H1289">
        <v>4439.5600000000004</v>
      </c>
      <c r="I1289">
        <v>52.71</v>
      </c>
      <c r="J1289" t="str">
        <f>IFERROR(INDEX(Suppliar[Estimated Carbon Footprint (tons CO₂e)],MATCH('Merge operational &amp; suppliar'!A1289,Suppliar[Facility ID],0)),"")</f>
        <v/>
      </c>
      <c r="K1289" t="str">
        <f>IFERROR(INDEX(Suppliar[Income Distribution (%)],MATCH('Merge operational &amp; suppliar'!A1289,Suppliar[Facility ID],0)),"")</f>
        <v/>
      </c>
    </row>
    <row r="1290" spans="1:11" x14ac:dyDescent="0.3">
      <c r="A1290" t="s">
        <v>157</v>
      </c>
      <c r="B1290" t="s">
        <v>30</v>
      </c>
      <c r="C1290" t="s">
        <v>23</v>
      </c>
      <c r="D1290" t="s">
        <v>9</v>
      </c>
      <c r="E1290" t="s">
        <v>24</v>
      </c>
      <c r="F1290">
        <v>4237.91</v>
      </c>
      <c r="G1290">
        <v>76544</v>
      </c>
      <c r="H1290">
        <v>8632.77</v>
      </c>
      <c r="I1290">
        <v>12.87</v>
      </c>
      <c r="J1290">
        <f>IFERROR(INDEX(Suppliar[Estimated Carbon Footprint (tons CO₂e)],MATCH('Merge operational &amp; suppliar'!A1290,Suppliar[Facility ID],0)),"")</f>
        <v>571.88</v>
      </c>
      <c r="K1290">
        <f>IFERROR(INDEX(Suppliar[Income Distribution (%)],MATCH('Merge operational &amp; suppliar'!A1290,Suppliar[Facility ID],0)),"")</f>
        <v>30.1</v>
      </c>
    </row>
    <row r="1291" spans="1:11" x14ac:dyDescent="0.3">
      <c r="A1291" t="s">
        <v>215</v>
      </c>
      <c r="B1291" t="s">
        <v>17</v>
      </c>
      <c r="C1291" t="s">
        <v>34</v>
      </c>
      <c r="D1291" t="s">
        <v>14</v>
      </c>
      <c r="E1291" t="s">
        <v>24</v>
      </c>
      <c r="F1291">
        <v>2911.32</v>
      </c>
      <c r="G1291">
        <v>72813</v>
      </c>
      <c r="H1291">
        <v>8818.16</v>
      </c>
      <c r="I1291">
        <v>54.12</v>
      </c>
      <c r="J1291">
        <f>IFERROR(INDEX(Suppliar[Estimated Carbon Footprint (tons CO₂e)],MATCH('Merge operational &amp; suppliar'!A1291,Suppliar[Facility ID],0)),"")</f>
        <v>986.62</v>
      </c>
      <c r="K1291">
        <f>IFERROR(INDEX(Suppliar[Income Distribution (%)],MATCH('Merge operational &amp; suppliar'!A1291,Suppliar[Facility ID],0)),"")</f>
        <v>42.1</v>
      </c>
    </row>
    <row r="1292" spans="1:11" x14ac:dyDescent="0.3">
      <c r="A1292" t="s">
        <v>43</v>
      </c>
      <c r="B1292" t="s">
        <v>17</v>
      </c>
      <c r="C1292" t="s">
        <v>13</v>
      </c>
      <c r="D1292" t="s">
        <v>14</v>
      </c>
      <c r="E1292" t="s">
        <v>10</v>
      </c>
      <c r="F1292">
        <v>1512.18</v>
      </c>
      <c r="G1292">
        <v>41168</v>
      </c>
      <c r="H1292">
        <v>8226.77</v>
      </c>
      <c r="I1292">
        <v>42.55</v>
      </c>
      <c r="J1292">
        <f>IFERROR(INDEX(Suppliar[Estimated Carbon Footprint (tons CO₂e)],MATCH('Merge operational &amp; suppliar'!A1292,Suppliar[Facility ID],0)),"")</f>
        <v>724.63</v>
      </c>
      <c r="K1292">
        <f>IFERROR(INDEX(Suppliar[Income Distribution (%)],MATCH('Merge operational &amp; suppliar'!A1292,Suppliar[Facility ID],0)),"")</f>
        <v>12.64</v>
      </c>
    </row>
    <row r="1293" spans="1:11" x14ac:dyDescent="0.3">
      <c r="A1293" t="s">
        <v>21</v>
      </c>
      <c r="B1293" t="s">
        <v>19</v>
      </c>
      <c r="C1293" t="s">
        <v>34</v>
      </c>
      <c r="D1293" t="s">
        <v>28</v>
      </c>
      <c r="E1293" t="s">
        <v>15</v>
      </c>
      <c r="F1293">
        <v>2308.83</v>
      </c>
      <c r="G1293">
        <v>61157</v>
      </c>
      <c r="H1293">
        <v>7331.54</v>
      </c>
      <c r="I1293">
        <v>55.52</v>
      </c>
      <c r="J1293">
        <f>IFERROR(INDEX(Suppliar[Estimated Carbon Footprint (tons CO₂e)],MATCH('Merge operational &amp; suppliar'!A1293,Suppliar[Facility ID],0)),"")</f>
        <v>783.77</v>
      </c>
      <c r="K1293">
        <f>IFERROR(INDEX(Suppliar[Income Distribution (%)],MATCH('Merge operational &amp; suppliar'!A1293,Suppliar[Facility ID],0)),"")</f>
        <v>31.59</v>
      </c>
    </row>
    <row r="1294" spans="1:11" x14ac:dyDescent="0.3">
      <c r="A1294" t="s">
        <v>144</v>
      </c>
      <c r="B1294" t="s">
        <v>30</v>
      </c>
      <c r="C1294" t="s">
        <v>8</v>
      </c>
      <c r="D1294" t="s">
        <v>28</v>
      </c>
      <c r="E1294" t="s">
        <v>15</v>
      </c>
      <c r="F1294">
        <v>4743.8500000000004</v>
      </c>
      <c r="G1294">
        <v>11426</v>
      </c>
      <c r="H1294">
        <v>4439.5600000000004</v>
      </c>
      <c r="I1294">
        <v>52.71</v>
      </c>
      <c r="J1294" t="str">
        <f>IFERROR(INDEX(Suppliar[Estimated Carbon Footprint (tons CO₂e)],MATCH('Merge operational &amp; suppliar'!A1294,Suppliar[Facility ID],0)),"")</f>
        <v/>
      </c>
      <c r="K1294" t="str">
        <f>IFERROR(INDEX(Suppliar[Income Distribution (%)],MATCH('Merge operational &amp; suppliar'!A1294,Suppliar[Facility ID],0)),"")</f>
        <v/>
      </c>
    </row>
    <row r="1295" spans="1:11" x14ac:dyDescent="0.3">
      <c r="A1295" t="s">
        <v>123</v>
      </c>
      <c r="B1295" t="s">
        <v>30</v>
      </c>
      <c r="C1295" t="s">
        <v>23</v>
      </c>
      <c r="D1295" t="s">
        <v>9</v>
      </c>
      <c r="E1295" t="s">
        <v>24</v>
      </c>
      <c r="F1295">
        <v>3863.8</v>
      </c>
      <c r="G1295">
        <v>73977</v>
      </c>
      <c r="H1295">
        <v>1646.75</v>
      </c>
      <c r="I1295">
        <v>43.77</v>
      </c>
      <c r="J1295" t="str">
        <f>IFERROR(INDEX(Suppliar[Estimated Carbon Footprint (tons CO₂e)],MATCH('Merge operational &amp; suppliar'!A1295,Suppliar[Facility ID],0)),"")</f>
        <v/>
      </c>
      <c r="K1295" t="str">
        <f>IFERROR(INDEX(Suppliar[Income Distribution (%)],MATCH('Merge operational &amp; suppliar'!A1295,Suppliar[Facility ID],0)),"")</f>
        <v/>
      </c>
    </row>
    <row r="1296" spans="1:11" x14ac:dyDescent="0.3">
      <c r="A1296" t="s">
        <v>151</v>
      </c>
      <c r="B1296" t="s">
        <v>12</v>
      </c>
      <c r="C1296" t="s">
        <v>34</v>
      </c>
      <c r="D1296" t="s">
        <v>14</v>
      </c>
      <c r="E1296" t="s">
        <v>10</v>
      </c>
      <c r="F1296">
        <v>1928.39</v>
      </c>
      <c r="G1296">
        <v>61207</v>
      </c>
      <c r="H1296">
        <v>6922.33</v>
      </c>
      <c r="I1296">
        <v>9.1999999999999993</v>
      </c>
      <c r="J1296" t="str">
        <f>IFERROR(INDEX(Suppliar[Estimated Carbon Footprint (tons CO₂e)],MATCH('Merge operational &amp; suppliar'!A1296,Suppliar[Facility ID],0)),"")</f>
        <v/>
      </c>
      <c r="K1296" t="str">
        <f>IFERROR(INDEX(Suppliar[Income Distribution (%)],MATCH('Merge operational &amp; suppliar'!A1296,Suppliar[Facility ID],0)),"")</f>
        <v/>
      </c>
    </row>
    <row r="1297" spans="1:11" x14ac:dyDescent="0.3">
      <c r="A1297" t="s">
        <v>116</v>
      </c>
      <c r="B1297" t="s">
        <v>17</v>
      </c>
      <c r="C1297" t="s">
        <v>23</v>
      </c>
      <c r="D1297" t="s">
        <v>28</v>
      </c>
      <c r="E1297" t="s">
        <v>24</v>
      </c>
      <c r="F1297">
        <v>2001.66</v>
      </c>
      <c r="G1297">
        <v>68216</v>
      </c>
      <c r="H1297">
        <v>9562.33</v>
      </c>
      <c r="I1297">
        <v>63.59</v>
      </c>
      <c r="J1297">
        <f>IFERROR(INDEX(Suppliar[Estimated Carbon Footprint (tons CO₂e)],MATCH('Merge operational &amp; suppliar'!A1297,Suppliar[Facility ID],0)),"")</f>
        <v>830.73</v>
      </c>
      <c r="K1297">
        <f>IFERROR(INDEX(Suppliar[Income Distribution (%)],MATCH('Merge operational &amp; suppliar'!A1297,Suppliar[Facility ID],0)),"")</f>
        <v>46.68</v>
      </c>
    </row>
    <row r="1298" spans="1:11" x14ac:dyDescent="0.3">
      <c r="A1298" t="s">
        <v>167</v>
      </c>
      <c r="B1298" t="s">
        <v>30</v>
      </c>
      <c r="C1298" t="s">
        <v>23</v>
      </c>
      <c r="D1298" t="s">
        <v>14</v>
      </c>
      <c r="E1298" t="s">
        <v>10</v>
      </c>
      <c r="F1298">
        <v>1031.08</v>
      </c>
      <c r="G1298">
        <v>67213</v>
      </c>
      <c r="H1298">
        <v>5533.81</v>
      </c>
      <c r="I1298">
        <v>90.88</v>
      </c>
      <c r="J1298">
        <f>IFERROR(INDEX(Suppliar[Estimated Carbon Footprint (tons CO₂e)],MATCH('Merge operational &amp; suppliar'!A1298,Suppliar[Facility ID],0)),"")</f>
        <v>467.3</v>
      </c>
      <c r="K1298">
        <f>IFERROR(INDEX(Suppliar[Income Distribution (%)],MATCH('Merge operational &amp; suppliar'!A1298,Suppliar[Facility ID],0)),"")</f>
        <v>53.15</v>
      </c>
    </row>
    <row r="1299" spans="1:11" x14ac:dyDescent="0.3">
      <c r="A1299" t="s">
        <v>182</v>
      </c>
      <c r="B1299" t="s">
        <v>12</v>
      </c>
      <c r="C1299" t="s">
        <v>34</v>
      </c>
      <c r="D1299" t="s">
        <v>14</v>
      </c>
      <c r="E1299" t="s">
        <v>10</v>
      </c>
      <c r="F1299">
        <v>4637.72</v>
      </c>
      <c r="G1299">
        <v>21081</v>
      </c>
      <c r="H1299">
        <v>9001.77</v>
      </c>
      <c r="I1299">
        <v>49.27</v>
      </c>
      <c r="J1299">
        <f>IFERROR(INDEX(Suppliar[Estimated Carbon Footprint (tons CO₂e)],MATCH('Merge operational &amp; suppliar'!A1299,Suppliar[Facility ID],0)),"")</f>
        <v>114.57</v>
      </c>
      <c r="K1299">
        <f>IFERROR(INDEX(Suppliar[Income Distribution (%)],MATCH('Merge operational &amp; suppliar'!A1299,Suppliar[Facility ID],0)),"")</f>
        <v>44.17</v>
      </c>
    </row>
    <row r="1300" spans="1:11" x14ac:dyDescent="0.3">
      <c r="A1300" t="s">
        <v>25</v>
      </c>
      <c r="B1300" t="s">
        <v>19</v>
      </c>
      <c r="C1300" t="s">
        <v>34</v>
      </c>
      <c r="D1300" t="s">
        <v>14</v>
      </c>
      <c r="E1300" t="s">
        <v>15</v>
      </c>
      <c r="F1300">
        <v>2119.1</v>
      </c>
      <c r="G1300">
        <v>95306</v>
      </c>
      <c r="H1300">
        <v>9037.76</v>
      </c>
      <c r="I1300">
        <v>13.35</v>
      </c>
      <c r="J1300">
        <f>IFERROR(INDEX(Suppliar[Estimated Carbon Footprint (tons CO₂e)],MATCH('Merge operational &amp; suppliar'!A1300,Suppliar[Facility ID],0)),"")</f>
        <v>724.63</v>
      </c>
      <c r="K1300">
        <f>IFERROR(INDEX(Suppliar[Income Distribution (%)],MATCH('Merge operational &amp; suppliar'!A1300,Suppliar[Facility ID],0)),"")</f>
        <v>21.2</v>
      </c>
    </row>
    <row r="1301" spans="1:11" x14ac:dyDescent="0.3">
      <c r="A1301" t="s">
        <v>172</v>
      </c>
      <c r="B1301" t="s">
        <v>7</v>
      </c>
      <c r="C1301" t="s">
        <v>8</v>
      </c>
      <c r="D1301" t="s">
        <v>9</v>
      </c>
      <c r="E1301" t="s">
        <v>10</v>
      </c>
      <c r="F1301">
        <v>672.59</v>
      </c>
      <c r="G1301">
        <v>68820</v>
      </c>
      <c r="H1301">
        <v>9612.25</v>
      </c>
      <c r="I1301">
        <v>83.51</v>
      </c>
      <c r="J1301">
        <f>IFERROR(INDEX(Suppliar[Estimated Carbon Footprint (tons CO₂e)],MATCH('Merge operational &amp; suppliar'!A1301,Suppliar[Facility ID],0)),"")</f>
        <v>867.66</v>
      </c>
      <c r="K1301">
        <f>IFERROR(INDEX(Suppliar[Income Distribution (%)],MATCH('Merge operational &amp; suppliar'!A1301,Suppliar[Facility ID],0)),"")</f>
        <v>18.88</v>
      </c>
    </row>
    <row r="1302" spans="1:11" x14ac:dyDescent="0.3">
      <c r="A1302" t="s">
        <v>120</v>
      </c>
      <c r="B1302" t="s">
        <v>30</v>
      </c>
      <c r="C1302" t="s">
        <v>8</v>
      </c>
      <c r="D1302" t="s">
        <v>9</v>
      </c>
      <c r="E1302" t="s">
        <v>15</v>
      </c>
      <c r="F1302">
        <v>1187.17</v>
      </c>
      <c r="G1302">
        <v>79495</v>
      </c>
      <c r="H1302">
        <v>7157.48</v>
      </c>
      <c r="I1302">
        <v>26.84</v>
      </c>
      <c r="J1302">
        <f>IFERROR(INDEX(Suppliar[Estimated Carbon Footprint (tons CO₂e)],MATCH('Merge operational &amp; suppliar'!A1302,Suppliar[Facility ID],0)),"")</f>
        <v>114.57</v>
      </c>
      <c r="K1302">
        <f>IFERROR(INDEX(Suppliar[Income Distribution (%)],MATCH('Merge operational &amp; suppliar'!A1302,Suppliar[Facility ID],0)),"")</f>
        <v>9.83</v>
      </c>
    </row>
    <row r="1303" spans="1:11" x14ac:dyDescent="0.3">
      <c r="A1303" t="s">
        <v>80</v>
      </c>
      <c r="B1303" t="s">
        <v>17</v>
      </c>
      <c r="C1303" t="s">
        <v>13</v>
      </c>
      <c r="D1303" t="s">
        <v>14</v>
      </c>
      <c r="E1303" t="s">
        <v>15</v>
      </c>
      <c r="F1303">
        <v>3253.86</v>
      </c>
      <c r="G1303">
        <v>75508</v>
      </c>
      <c r="H1303">
        <v>6856.22</v>
      </c>
      <c r="I1303">
        <v>18.2</v>
      </c>
      <c r="J1303">
        <f>IFERROR(INDEX(Suppliar[Estimated Carbon Footprint (tons CO₂e)],MATCH('Merge operational &amp; suppliar'!A1303,Suppliar[Facility ID],0)),"")</f>
        <v>991.03</v>
      </c>
      <c r="K1303">
        <f>IFERROR(INDEX(Suppliar[Income Distribution (%)],MATCH('Merge operational &amp; suppliar'!A1303,Suppliar[Facility ID],0)),"")</f>
        <v>13.32</v>
      </c>
    </row>
    <row r="1304" spans="1:11" x14ac:dyDescent="0.3">
      <c r="A1304" t="s">
        <v>26</v>
      </c>
      <c r="B1304" t="s">
        <v>17</v>
      </c>
      <c r="C1304" t="s">
        <v>23</v>
      </c>
      <c r="D1304" t="s">
        <v>14</v>
      </c>
      <c r="E1304" t="s">
        <v>10</v>
      </c>
      <c r="F1304">
        <v>276.16000000000003</v>
      </c>
      <c r="G1304">
        <v>17311</v>
      </c>
      <c r="H1304">
        <v>2257.38</v>
      </c>
      <c r="I1304">
        <v>91.07</v>
      </c>
      <c r="J1304">
        <f>IFERROR(INDEX(Suppliar[Estimated Carbon Footprint (tons CO₂e)],MATCH('Merge operational &amp; suppliar'!A1304,Suppliar[Facility ID],0)),"")</f>
        <v>341.24</v>
      </c>
      <c r="K1304">
        <f>IFERROR(INDEX(Suppliar[Income Distribution (%)],MATCH('Merge operational &amp; suppliar'!A1304,Suppliar[Facility ID],0)),"")</f>
        <v>80.69</v>
      </c>
    </row>
    <row r="1305" spans="1:11" x14ac:dyDescent="0.3">
      <c r="A1305" t="s">
        <v>51</v>
      </c>
      <c r="B1305" t="s">
        <v>30</v>
      </c>
      <c r="C1305" t="s">
        <v>34</v>
      </c>
      <c r="D1305" t="s">
        <v>9</v>
      </c>
      <c r="E1305" t="s">
        <v>15</v>
      </c>
      <c r="F1305">
        <v>1988.31</v>
      </c>
      <c r="G1305">
        <v>44164</v>
      </c>
      <c r="H1305">
        <v>3869.32</v>
      </c>
      <c r="I1305">
        <v>13.81</v>
      </c>
      <c r="J1305">
        <f>IFERROR(INDEX(Suppliar[Estimated Carbon Footprint (tons CO₂e)],MATCH('Merge operational &amp; suppliar'!A1305,Suppliar[Facility ID],0)),"")</f>
        <v>943.59</v>
      </c>
      <c r="K1305">
        <f>IFERROR(INDEX(Suppliar[Income Distribution (%)],MATCH('Merge operational &amp; suppliar'!A1305,Suppliar[Facility ID],0)),"")</f>
        <v>16.02</v>
      </c>
    </row>
    <row r="1306" spans="1:11" x14ac:dyDescent="0.3">
      <c r="A1306" t="s">
        <v>67</v>
      </c>
      <c r="B1306" t="s">
        <v>7</v>
      </c>
      <c r="C1306" t="s">
        <v>13</v>
      </c>
      <c r="D1306" t="s">
        <v>28</v>
      </c>
      <c r="E1306" t="s">
        <v>10</v>
      </c>
      <c r="F1306">
        <v>1459.49</v>
      </c>
      <c r="G1306">
        <v>70582</v>
      </c>
      <c r="H1306">
        <v>7517.59</v>
      </c>
      <c r="I1306">
        <v>95.71</v>
      </c>
      <c r="J1306" t="str">
        <f>IFERROR(INDEX(Suppliar[Estimated Carbon Footprint (tons CO₂e)],MATCH('Merge operational &amp; suppliar'!A1306,Suppliar[Facility ID],0)),"")</f>
        <v/>
      </c>
      <c r="K1306" t="str">
        <f>IFERROR(INDEX(Suppliar[Income Distribution (%)],MATCH('Merge operational &amp; suppliar'!A1306,Suppliar[Facility ID],0)),"")</f>
        <v/>
      </c>
    </row>
    <row r="1307" spans="1:11" x14ac:dyDescent="0.3">
      <c r="A1307" t="s">
        <v>113</v>
      </c>
      <c r="B1307" t="s">
        <v>30</v>
      </c>
      <c r="C1307" t="s">
        <v>13</v>
      </c>
      <c r="D1307" t="s">
        <v>14</v>
      </c>
      <c r="E1307" t="s">
        <v>15</v>
      </c>
      <c r="F1307">
        <v>4054.68</v>
      </c>
      <c r="G1307">
        <v>90679</v>
      </c>
      <c r="H1307">
        <v>7266.82</v>
      </c>
      <c r="I1307">
        <v>23.3</v>
      </c>
      <c r="J1307">
        <f>IFERROR(INDEX(Suppliar[Estimated Carbon Footprint (tons CO₂e)],MATCH('Merge operational &amp; suppliar'!A1307,Suppliar[Facility ID],0)),"")</f>
        <v>943.59</v>
      </c>
      <c r="K1307">
        <f>IFERROR(INDEX(Suppliar[Income Distribution (%)],MATCH('Merge operational &amp; suppliar'!A1307,Suppliar[Facility ID],0)),"")</f>
        <v>15.81</v>
      </c>
    </row>
    <row r="1308" spans="1:11" x14ac:dyDescent="0.3">
      <c r="A1308" t="s">
        <v>47</v>
      </c>
      <c r="B1308" t="s">
        <v>30</v>
      </c>
      <c r="C1308" t="s">
        <v>13</v>
      </c>
      <c r="D1308" t="s">
        <v>14</v>
      </c>
      <c r="E1308" t="s">
        <v>24</v>
      </c>
      <c r="F1308">
        <v>270.88</v>
      </c>
      <c r="G1308">
        <v>53661</v>
      </c>
      <c r="H1308">
        <v>6965.81</v>
      </c>
      <c r="I1308">
        <v>69.400000000000006</v>
      </c>
      <c r="J1308">
        <f>IFERROR(INDEX(Suppliar[Estimated Carbon Footprint (tons CO₂e)],MATCH('Merge operational &amp; suppliar'!A1308,Suppliar[Facility ID],0)),"")</f>
        <v>610.79999999999995</v>
      </c>
      <c r="K1308">
        <f>IFERROR(INDEX(Suppliar[Income Distribution (%)],MATCH('Merge operational &amp; suppliar'!A1308,Suppliar[Facility ID],0)),"")</f>
        <v>29.15</v>
      </c>
    </row>
    <row r="1309" spans="1:11" x14ac:dyDescent="0.3">
      <c r="A1309" t="s">
        <v>33</v>
      </c>
      <c r="B1309" t="s">
        <v>19</v>
      </c>
      <c r="C1309" t="s">
        <v>8</v>
      </c>
      <c r="D1309" t="s">
        <v>14</v>
      </c>
      <c r="E1309" t="s">
        <v>10</v>
      </c>
      <c r="F1309">
        <v>1234.77</v>
      </c>
      <c r="G1309">
        <v>65719</v>
      </c>
      <c r="H1309">
        <v>9362.41</v>
      </c>
      <c r="I1309">
        <v>86.55</v>
      </c>
      <c r="J1309">
        <f>IFERROR(INDEX(Suppliar[Estimated Carbon Footprint (tons CO₂e)],MATCH('Merge operational &amp; suppliar'!A1309,Suppliar[Facility ID],0)),"")</f>
        <v>932.3</v>
      </c>
      <c r="K1309">
        <f>IFERROR(INDEX(Suppliar[Income Distribution (%)],MATCH('Merge operational &amp; suppliar'!A1309,Suppliar[Facility ID],0)),"")</f>
        <v>28.9</v>
      </c>
    </row>
    <row r="1310" spans="1:11" x14ac:dyDescent="0.3">
      <c r="A1310" t="s">
        <v>6</v>
      </c>
      <c r="B1310" t="s">
        <v>7</v>
      </c>
      <c r="C1310" t="s">
        <v>23</v>
      </c>
      <c r="D1310" t="s">
        <v>14</v>
      </c>
      <c r="E1310" t="s">
        <v>15</v>
      </c>
      <c r="F1310">
        <v>4028.89</v>
      </c>
      <c r="G1310">
        <v>77330</v>
      </c>
      <c r="H1310">
        <v>6936.58</v>
      </c>
      <c r="I1310">
        <v>82.3</v>
      </c>
      <c r="J1310">
        <f>IFERROR(INDEX(Suppliar[Estimated Carbon Footprint (tons CO₂e)],MATCH('Merge operational &amp; suppliar'!A1310,Suppliar[Facility ID],0)),"")</f>
        <v>264.23</v>
      </c>
      <c r="K1310">
        <f>IFERROR(INDEX(Suppliar[Income Distribution (%)],MATCH('Merge operational &amp; suppliar'!A1310,Suppliar[Facility ID],0)),"")</f>
        <v>28.19</v>
      </c>
    </row>
    <row r="1311" spans="1:11" x14ac:dyDescent="0.3">
      <c r="A1311" t="s">
        <v>101</v>
      </c>
      <c r="B1311" t="s">
        <v>19</v>
      </c>
      <c r="C1311" t="s">
        <v>23</v>
      </c>
      <c r="D1311" t="s">
        <v>9</v>
      </c>
      <c r="E1311" t="s">
        <v>15</v>
      </c>
      <c r="F1311">
        <v>4303.8500000000004</v>
      </c>
      <c r="G1311">
        <v>39050</v>
      </c>
      <c r="H1311">
        <v>5885.73</v>
      </c>
      <c r="I1311">
        <v>93.04</v>
      </c>
      <c r="J1311">
        <f>IFERROR(INDEX(Suppliar[Estimated Carbon Footprint (tons CO₂e)],MATCH('Merge operational &amp; suppliar'!A1311,Suppliar[Facility ID],0)),"")</f>
        <v>318.55</v>
      </c>
      <c r="K1311">
        <f>IFERROR(INDEX(Suppliar[Income Distribution (%)],MATCH('Merge operational &amp; suppliar'!A1311,Suppliar[Facility ID],0)),"")</f>
        <v>39.81</v>
      </c>
    </row>
    <row r="1312" spans="1:11" x14ac:dyDescent="0.3">
      <c r="A1312" t="s">
        <v>173</v>
      </c>
      <c r="B1312" t="s">
        <v>30</v>
      </c>
      <c r="C1312" t="s">
        <v>34</v>
      </c>
      <c r="D1312" t="s">
        <v>14</v>
      </c>
      <c r="E1312" t="s">
        <v>24</v>
      </c>
      <c r="F1312">
        <v>2941.43</v>
      </c>
      <c r="G1312">
        <v>49620</v>
      </c>
      <c r="H1312">
        <v>2424.31</v>
      </c>
      <c r="I1312">
        <v>62.09</v>
      </c>
      <c r="J1312">
        <f>IFERROR(INDEX(Suppliar[Estimated Carbon Footprint (tons CO₂e)],MATCH('Merge operational &amp; suppliar'!A1312,Suppliar[Facility ID],0)),"")</f>
        <v>184.92</v>
      </c>
      <c r="K1312">
        <f>IFERROR(INDEX(Suppliar[Income Distribution (%)],MATCH('Merge operational &amp; suppliar'!A1312,Suppliar[Facility ID],0)),"")</f>
        <v>19.55</v>
      </c>
    </row>
    <row r="1313" spans="1:11" x14ac:dyDescent="0.3">
      <c r="A1313" t="s">
        <v>192</v>
      </c>
      <c r="B1313" t="s">
        <v>19</v>
      </c>
      <c r="C1313" t="s">
        <v>8</v>
      </c>
      <c r="D1313" t="s">
        <v>14</v>
      </c>
      <c r="E1313" t="s">
        <v>24</v>
      </c>
      <c r="F1313">
        <v>125.18</v>
      </c>
      <c r="G1313">
        <v>43227</v>
      </c>
      <c r="H1313">
        <v>5199.53</v>
      </c>
      <c r="I1313">
        <v>44.09</v>
      </c>
      <c r="J1313">
        <f>IFERROR(INDEX(Suppliar[Estimated Carbon Footprint (tons CO₂e)],MATCH('Merge operational &amp; suppliar'!A1313,Suppliar[Facility ID],0)),"")</f>
        <v>724.63</v>
      </c>
      <c r="K1313">
        <f>IFERROR(INDEX(Suppliar[Income Distribution (%)],MATCH('Merge operational &amp; suppliar'!A1313,Suppliar[Facility ID],0)),"")</f>
        <v>14.96</v>
      </c>
    </row>
    <row r="1314" spans="1:11" x14ac:dyDescent="0.3">
      <c r="A1314" t="s">
        <v>150</v>
      </c>
      <c r="B1314" t="s">
        <v>30</v>
      </c>
      <c r="C1314" t="s">
        <v>34</v>
      </c>
      <c r="D1314" t="s">
        <v>14</v>
      </c>
      <c r="E1314" t="s">
        <v>15</v>
      </c>
      <c r="F1314">
        <v>2302.58</v>
      </c>
      <c r="G1314">
        <v>98356</v>
      </c>
      <c r="H1314">
        <v>6968.69</v>
      </c>
      <c r="I1314">
        <v>81.72</v>
      </c>
      <c r="J1314">
        <f>IFERROR(INDEX(Suppliar[Estimated Carbon Footprint (tons CO₂e)],MATCH('Merge operational &amp; suppliar'!A1314,Suppliar[Facility ID],0)),"")</f>
        <v>795.74</v>
      </c>
      <c r="K1314">
        <f>IFERROR(INDEX(Suppliar[Income Distribution (%)],MATCH('Merge operational &amp; suppliar'!A1314,Suppliar[Facility ID],0)),"")</f>
        <v>22.41</v>
      </c>
    </row>
    <row r="1315" spans="1:11" x14ac:dyDescent="0.3">
      <c r="A1315" t="s">
        <v>177</v>
      </c>
      <c r="B1315" t="s">
        <v>7</v>
      </c>
      <c r="C1315" t="s">
        <v>23</v>
      </c>
      <c r="D1315" t="s">
        <v>14</v>
      </c>
      <c r="E1315" t="s">
        <v>10</v>
      </c>
      <c r="F1315">
        <v>365.22</v>
      </c>
      <c r="G1315">
        <v>17097</v>
      </c>
      <c r="H1315">
        <v>9061.7800000000007</v>
      </c>
      <c r="I1315">
        <v>95.92</v>
      </c>
      <c r="J1315">
        <f>IFERROR(INDEX(Suppliar[Estimated Carbon Footprint (tons CO₂e)],MATCH('Merge operational &amp; suppliar'!A1315,Suppliar[Facility ID],0)),"")</f>
        <v>390.06</v>
      </c>
      <c r="K1315">
        <f>IFERROR(INDEX(Suppliar[Income Distribution (%)],MATCH('Merge operational &amp; suppliar'!A1315,Suppliar[Facility ID],0)),"")</f>
        <v>18.010000000000002</v>
      </c>
    </row>
    <row r="1316" spans="1:11" x14ac:dyDescent="0.3">
      <c r="A1316" t="s">
        <v>131</v>
      </c>
      <c r="B1316" t="s">
        <v>17</v>
      </c>
      <c r="C1316" t="s">
        <v>34</v>
      </c>
      <c r="D1316" t="s">
        <v>28</v>
      </c>
      <c r="E1316" t="s">
        <v>24</v>
      </c>
      <c r="F1316">
        <v>93.15</v>
      </c>
      <c r="G1316">
        <v>94128</v>
      </c>
      <c r="H1316">
        <v>8117.82</v>
      </c>
      <c r="I1316">
        <v>73.83</v>
      </c>
      <c r="J1316">
        <f>IFERROR(INDEX(Suppliar[Estimated Carbon Footprint (tons CO₂e)],MATCH('Merge operational &amp; suppliar'!A1316,Suppliar[Facility ID],0)),"")</f>
        <v>532.27</v>
      </c>
      <c r="K1316">
        <f>IFERROR(INDEX(Suppliar[Income Distribution (%)],MATCH('Merge operational &amp; suppliar'!A1316,Suppliar[Facility ID],0)),"")</f>
        <v>31.74</v>
      </c>
    </row>
    <row r="1317" spans="1:11" x14ac:dyDescent="0.3">
      <c r="A1317" t="s">
        <v>170</v>
      </c>
      <c r="B1317" t="s">
        <v>12</v>
      </c>
      <c r="C1317" t="s">
        <v>13</v>
      </c>
      <c r="D1317" t="s">
        <v>28</v>
      </c>
      <c r="E1317" t="s">
        <v>15</v>
      </c>
      <c r="F1317">
        <v>807.86</v>
      </c>
      <c r="G1317">
        <v>54133</v>
      </c>
      <c r="H1317">
        <v>8543.68</v>
      </c>
      <c r="I1317">
        <v>24</v>
      </c>
      <c r="J1317">
        <f>IFERROR(INDEX(Suppliar[Estimated Carbon Footprint (tons CO₂e)],MATCH('Merge operational &amp; suppliar'!A1317,Suppliar[Facility ID],0)),"")</f>
        <v>991.03</v>
      </c>
      <c r="K1317">
        <f>IFERROR(INDEX(Suppliar[Income Distribution (%)],MATCH('Merge operational &amp; suppliar'!A1317,Suppliar[Facility ID],0)),"")</f>
        <v>23.33</v>
      </c>
    </row>
    <row r="1318" spans="1:11" x14ac:dyDescent="0.3">
      <c r="A1318" t="s">
        <v>203</v>
      </c>
      <c r="B1318" t="s">
        <v>12</v>
      </c>
      <c r="C1318" t="s">
        <v>8</v>
      </c>
      <c r="D1318" t="s">
        <v>28</v>
      </c>
      <c r="E1318" t="s">
        <v>24</v>
      </c>
      <c r="F1318">
        <v>3779.13</v>
      </c>
      <c r="G1318">
        <v>66398</v>
      </c>
      <c r="H1318">
        <v>8713.61</v>
      </c>
      <c r="I1318">
        <v>83.44</v>
      </c>
      <c r="J1318">
        <f>IFERROR(INDEX(Suppliar[Estimated Carbon Footprint (tons CO₂e)],MATCH('Merge operational &amp; suppliar'!A1318,Suppliar[Facility ID],0)),"")</f>
        <v>763.97</v>
      </c>
      <c r="K1318">
        <f>IFERROR(INDEX(Suppliar[Income Distribution (%)],MATCH('Merge operational &amp; suppliar'!A1318,Suppliar[Facility ID],0)),"")</f>
        <v>22.42</v>
      </c>
    </row>
    <row r="1319" spans="1:11" x14ac:dyDescent="0.3">
      <c r="A1319" t="s">
        <v>206</v>
      </c>
      <c r="B1319" t="s">
        <v>19</v>
      </c>
      <c r="C1319" t="s">
        <v>13</v>
      </c>
      <c r="D1319" t="s">
        <v>9</v>
      </c>
      <c r="E1319" t="s">
        <v>10</v>
      </c>
      <c r="F1319">
        <v>4998.3900000000003</v>
      </c>
      <c r="G1319">
        <v>10250</v>
      </c>
      <c r="H1319">
        <v>4717</v>
      </c>
      <c r="I1319">
        <v>16.600000000000001</v>
      </c>
      <c r="J1319">
        <f>IFERROR(INDEX(Suppliar[Estimated Carbon Footprint (tons CO₂e)],MATCH('Merge operational &amp; suppliar'!A1319,Suppliar[Facility ID],0)),"")</f>
        <v>249.3</v>
      </c>
      <c r="K1319">
        <f>IFERROR(INDEX(Suppliar[Income Distribution (%)],MATCH('Merge operational &amp; suppliar'!A1319,Suppliar[Facility ID],0)),"")</f>
        <v>32.97</v>
      </c>
    </row>
    <row r="1320" spans="1:11" x14ac:dyDescent="0.3">
      <c r="A1320" t="s">
        <v>16</v>
      </c>
      <c r="B1320" t="s">
        <v>17</v>
      </c>
      <c r="C1320" t="s">
        <v>34</v>
      </c>
      <c r="D1320" t="s">
        <v>14</v>
      </c>
      <c r="E1320" t="s">
        <v>24</v>
      </c>
      <c r="F1320">
        <v>2268.11</v>
      </c>
      <c r="G1320">
        <v>43512</v>
      </c>
      <c r="H1320">
        <v>5352.18</v>
      </c>
      <c r="I1320">
        <v>6.17</v>
      </c>
      <c r="J1320">
        <f>IFERROR(INDEX(Suppliar[Estimated Carbon Footprint (tons CO₂e)],MATCH('Merge operational &amp; suppliar'!A1320,Suppliar[Facility ID],0)),"")</f>
        <v>311.36</v>
      </c>
      <c r="K1320">
        <f>IFERROR(INDEX(Suppliar[Income Distribution (%)],MATCH('Merge operational &amp; suppliar'!A1320,Suppliar[Facility ID],0)),"")</f>
        <v>28.72</v>
      </c>
    </row>
    <row r="1321" spans="1:11" x14ac:dyDescent="0.3">
      <c r="A1321" t="s">
        <v>189</v>
      </c>
      <c r="B1321" t="s">
        <v>19</v>
      </c>
      <c r="C1321" t="s">
        <v>8</v>
      </c>
      <c r="D1321" t="s">
        <v>14</v>
      </c>
      <c r="E1321" t="s">
        <v>24</v>
      </c>
      <c r="F1321">
        <v>1247.71</v>
      </c>
      <c r="G1321">
        <v>27681</v>
      </c>
      <c r="H1321">
        <v>928.26</v>
      </c>
      <c r="I1321">
        <v>44.97</v>
      </c>
      <c r="J1321" t="str">
        <f>IFERROR(INDEX(Suppliar[Estimated Carbon Footprint (tons CO₂e)],MATCH('Merge operational &amp; suppliar'!A1321,Suppliar[Facility ID],0)),"")</f>
        <v/>
      </c>
      <c r="K1321" t="str">
        <f>IFERROR(INDEX(Suppliar[Income Distribution (%)],MATCH('Merge operational &amp; suppliar'!A1321,Suppliar[Facility ID],0)),"")</f>
        <v/>
      </c>
    </row>
    <row r="1322" spans="1:11" x14ac:dyDescent="0.3">
      <c r="A1322" t="s">
        <v>138</v>
      </c>
      <c r="B1322" t="s">
        <v>12</v>
      </c>
      <c r="C1322" t="s">
        <v>34</v>
      </c>
      <c r="D1322" t="s">
        <v>28</v>
      </c>
      <c r="E1322" t="s">
        <v>24</v>
      </c>
      <c r="F1322">
        <v>2941.25</v>
      </c>
      <c r="G1322">
        <v>57353</v>
      </c>
      <c r="H1322">
        <v>2274.71</v>
      </c>
      <c r="I1322">
        <v>65.34</v>
      </c>
      <c r="J1322">
        <f>IFERROR(INDEX(Suppliar[Estimated Carbon Footprint (tons CO₂e)],MATCH('Merge operational &amp; suppliar'!A1322,Suppliar[Facility ID],0)),"")</f>
        <v>931.73</v>
      </c>
      <c r="K1322">
        <f>IFERROR(INDEX(Suppliar[Income Distribution (%)],MATCH('Merge operational &amp; suppliar'!A1322,Suppliar[Facility ID],0)),"")</f>
        <v>46.27</v>
      </c>
    </row>
    <row r="1323" spans="1:11" x14ac:dyDescent="0.3">
      <c r="A1323" t="s">
        <v>63</v>
      </c>
      <c r="B1323" t="s">
        <v>12</v>
      </c>
      <c r="C1323" t="s">
        <v>13</v>
      </c>
      <c r="D1323" t="s">
        <v>28</v>
      </c>
      <c r="E1323" t="s">
        <v>24</v>
      </c>
      <c r="F1323">
        <v>1210.07</v>
      </c>
      <c r="G1323">
        <v>33688</v>
      </c>
      <c r="H1323">
        <v>9495.48</v>
      </c>
      <c r="I1323">
        <v>55.55</v>
      </c>
      <c r="J1323">
        <f>IFERROR(INDEX(Suppliar[Estimated Carbon Footprint (tons CO₂e)],MATCH('Merge operational &amp; suppliar'!A1323,Suppliar[Facility ID],0)),"")</f>
        <v>780.4</v>
      </c>
      <c r="K1323">
        <f>IFERROR(INDEX(Suppliar[Income Distribution (%)],MATCH('Merge operational &amp; suppliar'!A1323,Suppliar[Facility ID],0)),"")</f>
        <v>30.98</v>
      </c>
    </row>
    <row r="1324" spans="1:11" x14ac:dyDescent="0.3">
      <c r="A1324" t="s">
        <v>25</v>
      </c>
      <c r="B1324" t="s">
        <v>19</v>
      </c>
      <c r="C1324" t="s">
        <v>34</v>
      </c>
      <c r="D1324" t="s">
        <v>28</v>
      </c>
      <c r="E1324" t="s">
        <v>15</v>
      </c>
      <c r="F1324">
        <v>4451</v>
      </c>
      <c r="G1324">
        <v>95306</v>
      </c>
      <c r="H1324">
        <v>9037.76</v>
      </c>
      <c r="I1324">
        <v>13.35</v>
      </c>
      <c r="J1324">
        <f>IFERROR(INDEX(Suppliar[Estimated Carbon Footprint (tons CO₂e)],MATCH('Merge operational &amp; suppliar'!A1324,Suppliar[Facility ID],0)),"")</f>
        <v>724.63</v>
      </c>
      <c r="K1324">
        <f>IFERROR(INDEX(Suppliar[Income Distribution (%)],MATCH('Merge operational &amp; suppliar'!A1324,Suppliar[Facility ID],0)),"")</f>
        <v>21.2</v>
      </c>
    </row>
    <row r="1325" spans="1:11" x14ac:dyDescent="0.3">
      <c r="A1325" t="s">
        <v>20</v>
      </c>
      <c r="B1325" t="s">
        <v>17</v>
      </c>
      <c r="C1325" t="s">
        <v>23</v>
      </c>
      <c r="D1325" t="s">
        <v>28</v>
      </c>
      <c r="E1325" t="s">
        <v>24</v>
      </c>
      <c r="F1325">
        <v>867.35</v>
      </c>
      <c r="G1325">
        <v>29895</v>
      </c>
      <c r="H1325">
        <v>1631.08</v>
      </c>
      <c r="I1325">
        <v>39.93</v>
      </c>
      <c r="J1325">
        <f>IFERROR(INDEX(Suppliar[Estimated Carbon Footprint (tons CO₂e)],MATCH('Merge operational &amp; suppliar'!A1325,Suppliar[Facility ID],0)),"")</f>
        <v>959.2</v>
      </c>
      <c r="K1325">
        <f>IFERROR(INDEX(Suppliar[Income Distribution (%)],MATCH('Merge operational &amp; suppliar'!A1325,Suppliar[Facility ID],0)),"")</f>
        <v>38.840000000000003</v>
      </c>
    </row>
    <row r="1326" spans="1:11" x14ac:dyDescent="0.3">
      <c r="A1326" t="s">
        <v>85</v>
      </c>
      <c r="B1326" t="s">
        <v>30</v>
      </c>
      <c r="C1326" t="s">
        <v>23</v>
      </c>
      <c r="D1326" t="s">
        <v>14</v>
      </c>
      <c r="E1326" t="s">
        <v>10</v>
      </c>
      <c r="F1326">
        <v>3856.1</v>
      </c>
      <c r="G1326">
        <v>45519</v>
      </c>
      <c r="H1326">
        <v>7987.69</v>
      </c>
      <c r="I1326">
        <v>10.86</v>
      </c>
      <c r="J1326">
        <f>IFERROR(INDEX(Suppliar[Estimated Carbon Footprint (tons CO₂e)],MATCH('Merge operational &amp; suppliar'!A1326,Suppliar[Facility ID],0)),"")</f>
        <v>638.89</v>
      </c>
      <c r="K1326">
        <f>IFERROR(INDEX(Suppliar[Income Distribution (%)],MATCH('Merge operational &amp; suppliar'!A1326,Suppliar[Facility ID],0)),"")</f>
        <v>35.04</v>
      </c>
    </row>
    <row r="1327" spans="1:11" x14ac:dyDescent="0.3">
      <c r="A1327" t="s">
        <v>29</v>
      </c>
      <c r="B1327" t="s">
        <v>30</v>
      </c>
      <c r="C1327" t="s">
        <v>34</v>
      </c>
      <c r="D1327" t="s">
        <v>28</v>
      </c>
      <c r="E1327" t="s">
        <v>10</v>
      </c>
      <c r="F1327">
        <v>1963.47</v>
      </c>
      <c r="G1327">
        <v>32131</v>
      </c>
      <c r="H1327">
        <v>1474.23</v>
      </c>
      <c r="I1327">
        <v>45.47</v>
      </c>
      <c r="J1327">
        <f>IFERROR(INDEX(Suppliar[Estimated Carbon Footprint (tons CO₂e)],MATCH('Merge operational &amp; suppliar'!A1327,Suppliar[Facility ID],0)),"")</f>
        <v>830.73</v>
      </c>
      <c r="K1327">
        <f>IFERROR(INDEX(Suppliar[Income Distribution (%)],MATCH('Merge operational &amp; suppliar'!A1327,Suppliar[Facility ID],0)),"")</f>
        <v>17.97</v>
      </c>
    </row>
    <row r="1328" spans="1:11" x14ac:dyDescent="0.3">
      <c r="A1328" t="s">
        <v>18</v>
      </c>
      <c r="B1328" t="s">
        <v>19</v>
      </c>
      <c r="C1328" t="s">
        <v>13</v>
      </c>
      <c r="D1328" t="s">
        <v>14</v>
      </c>
      <c r="E1328" t="s">
        <v>10</v>
      </c>
      <c r="F1328">
        <v>4776.8</v>
      </c>
      <c r="G1328">
        <v>98682</v>
      </c>
      <c r="H1328">
        <v>6220.56</v>
      </c>
      <c r="I1328">
        <v>70.099999999999994</v>
      </c>
      <c r="J1328">
        <f>IFERROR(INDEX(Suppliar[Estimated Carbon Footprint (tons CO₂e)],MATCH('Merge operational &amp; suppliar'!A1328,Suppliar[Facility ID],0)),"")</f>
        <v>724.63</v>
      </c>
      <c r="K1328">
        <f>IFERROR(INDEX(Suppliar[Income Distribution (%)],MATCH('Merge operational &amp; suppliar'!A1328,Suppliar[Facility ID],0)),"")</f>
        <v>27.81</v>
      </c>
    </row>
    <row r="1329" spans="1:11" x14ac:dyDescent="0.3">
      <c r="A1329" t="s">
        <v>150</v>
      </c>
      <c r="B1329" t="s">
        <v>30</v>
      </c>
      <c r="C1329" t="s">
        <v>23</v>
      </c>
      <c r="D1329" t="s">
        <v>14</v>
      </c>
      <c r="E1329" t="s">
        <v>24</v>
      </c>
      <c r="F1329">
        <v>1736.71</v>
      </c>
      <c r="G1329">
        <v>98356</v>
      </c>
      <c r="H1329">
        <v>6968.69</v>
      </c>
      <c r="I1329">
        <v>81.72</v>
      </c>
      <c r="J1329">
        <f>IFERROR(INDEX(Suppliar[Estimated Carbon Footprint (tons CO₂e)],MATCH('Merge operational &amp; suppliar'!A1329,Suppliar[Facility ID],0)),"")</f>
        <v>795.74</v>
      </c>
      <c r="K1329">
        <f>IFERROR(INDEX(Suppliar[Income Distribution (%)],MATCH('Merge operational &amp; suppliar'!A1329,Suppliar[Facility ID],0)),"")</f>
        <v>22.41</v>
      </c>
    </row>
    <row r="1330" spans="1:11" x14ac:dyDescent="0.3">
      <c r="A1330" t="s">
        <v>70</v>
      </c>
      <c r="B1330" t="s">
        <v>19</v>
      </c>
      <c r="C1330" t="s">
        <v>8</v>
      </c>
      <c r="D1330" t="s">
        <v>14</v>
      </c>
      <c r="E1330" t="s">
        <v>15</v>
      </c>
      <c r="F1330">
        <v>4367.4799999999996</v>
      </c>
      <c r="G1330">
        <v>42485</v>
      </c>
      <c r="H1330">
        <v>4755.75</v>
      </c>
      <c r="I1330">
        <v>10.19</v>
      </c>
      <c r="J1330">
        <f>IFERROR(INDEX(Suppliar[Estimated Carbon Footprint (tons CO₂e)],MATCH('Merge operational &amp; suppliar'!A1330,Suppliar[Facility ID],0)),"")</f>
        <v>662.74</v>
      </c>
      <c r="K1330">
        <f>IFERROR(INDEX(Suppliar[Income Distribution (%)],MATCH('Merge operational &amp; suppliar'!A1330,Suppliar[Facility ID],0)),"")</f>
        <v>36.79</v>
      </c>
    </row>
    <row r="1331" spans="1:11" x14ac:dyDescent="0.3">
      <c r="A1331" t="s">
        <v>143</v>
      </c>
      <c r="B1331" t="s">
        <v>17</v>
      </c>
      <c r="C1331" t="s">
        <v>23</v>
      </c>
      <c r="D1331" t="s">
        <v>28</v>
      </c>
      <c r="E1331" t="s">
        <v>15</v>
      </c>
      <c r="F1331">
        <v>700.15</v>
      </c>
      <c r="G1331">
        <v>94704</v>
      </c>
      <c r="H1331">
        <v>6632.95</v>
      </c>
      <c r="I1331">
        <v>14.76</v>
      </c>
      <c r="J1331">
        <f>IFERROR(INDEX(Suppliar[Estimated Carbon Footprint (tons CO₂e)],MATCH('Merge operational &amp; suppliar'!A1331,Suppliar[Facility ID],0)),"")</f>
        <v>459.56</v>
      </c>
      <c r="K1331">
        <f>IFERROR(INDEX(Suppliar[Income Distribution (%)],MATCH('Merge operational &amp; suppliar'!A1331,Suppliar[Facility ID],0)),"")</f>
        <v>7.54</v>
      </c>
    </row>
    <row r="1332" spans="1:11" x14ac:dyDescent="0.3">
      <c r="A1332" t="s">
        <v>151</v>
      </c>
      <c r="B1332" t="s">
        <v>12</v>
      </c>
      <c r="C1332" t="s">
        <v>34</v>
      </c>
      <c r="D1332" t="s">
        <v>28</v>
      </c>
      <c r="E1332" t="s">
        <v>15</v>
      </c>
      <c r="F1332">
        <v>4667.1400000000003</v>
      </c>
      <c r="G1332">
        <v>61207</v>
      </c>
      <c r="H1332">
        <v>6922.33</v>
      </c>
      <c r="I1332">
        <v>9.1999999999999993</v>
      </c>
      <c r="J1332" t="str">
        <f>IFERROR(INDEX(Suppliar[Estimated Carbon Footprint (tons CO₂e)],MATCH('Merge operational &amp; suppliar'!A1332,Suppliar[Facility ID],0)),"")</f>
        <v/>
      </c>
      <c r="K1332" t="str">
        <f>IFERROR(INDEX(Suppliar[Income Distribution (%)],MATCH('Merge operational &amp; suppliar'!A1332,Suppliar[Facility ID],0)),"")</f>
        <v/>
      </c>
    </row>
    <row r="1333" spans="1:11" x14ac:dyDescent="0.3">
      <c r="A1333" t="s">
        <v>146</v>
      </c>
      <c r="B1333" t="s">
        <v>7</v>
      </c>
      <c r="C1333" t="s">
        <v>34</v>
      </c>
      <c r="D1333" t="s">
        <v>9</v>
      </c>
      <c r="E1333" t="s">
        <v>24</v>
      </c>
      <c r="F1333">
        <v>2262.4299999999998</v>
      </c>
      <c r="G1333">
        <v>14170</v>
      </c>
      <c r="H1333">
        <v>5455.23</v>
      </c>
      <c r="I1333">
        <v>25.46</v>
      </c>
      <c r="J1333">
        <f>IFERROR(INDEX(Suppliar[Estimated Carbon Footprint (tons CO₂e)],MATCH('Merge operational &amp; suppliar'!A1333,Suppliar[Facility ID],0)),"")</f>
        <v>790.74</v>
      </c>
      <c r="K1333">
        <f>IFERROR(INDEX(Suppliar[Income Distribution (%)],MATCH('Merge operational &amp; suppliar'!A1333,Suppliar[Facility ID],0)),"")</f>
        <v>28.78</v>
      </c>
    </row>
    <row r="1334" spans="1:11" x14ac:dyDescent="0.3">
      <c r="A1334" t="s">
        <v>153</v>
      </c>
      <c r="B1334" t="s">
        <v>7</v>
      </c>
      <c r="C1334" t="s">
        <v>13</v>
      </c>
      <c r="D1334" t="s">
        <v>28</v>
      </c>
      <c r="E1334" t="s">
        <v>10</v>
      </c>
      <c r="F1334">
        <v>4898.1499999999996</v>
      </c>
      <c r="G1334">
        <v>21388</v>
      </c>
      <c r="H1334">
        <v>5249.39</v>
      </c>
      <c r="I1334">
        <v>64.2</v>
      </c>
      <c r="J1334">
        <f>IFERROR(INDEX(Suppliar[Estimated Carbon Footprint (tons CO₂e)],MATCH('Merge operational &amp; suppliar'!A1334,Suppliar[Facility ID],0)),"")</f>
        <v>571.66</v>
      </c>
      <c r="K1334">
        <f>IFERROR(INDEX(Suppliar[Income Distribution (%)],MATCH('Merge operational &amp; suppliar'!A1334,Suppliar[Facility ID],0)),"")</f>
        <v>17.87</v>
      </c>
    </row>
    <row r="1335" spans="1:11" x14ac:dyDescent="0.3">
      <c r="A1335" t="s">
        <v>208</v>
      </c>
      <c r="B1335" t="s">
        <v>19</v>
      </c>
      <c r="C1335" t="s">
        <v>13</v>
      </c>
      <c r="D1335" t="s">
        <v>14</v>
      </c>
      <c r="E1335" t="s">
        <v>15</v>
      </c>
      <c r="F1335">
        <v>2735.09</v>
      </c>
      <c r="G1335">
        <v>40553</v>
      </c>
      <c r="H1335">
        <v>4875.2299999999996</v>
      </c>
      <c r="I1335">
        <v>23.33</v>
      </c>
      <c r="J1335">
        <f>IFERROR(INDEX(Suppliar[Estimated Carbon Footprint (tons CO₂e)],MATCH('Merge operational &amp; suppliar'!A1335,Suppliar[Facility ID],0)),"")</f>
        <v>818.45</v>
      </c>
      <c r="K1335">
        <f>IFERROR(INDEX(Suppliar[Income Distribution (%)],MATCH('Merge operational &amp; suppliar'!A1335,Suppliar[Facility ID],0)),"")</f>
        <v>19.420000000000002</v>
      </c>
    </row>
    <row r="1336" spans="1:11" x14ac:dyDescent="0.3">
      <c r="A1336" t="s">
        <v>32</v>
      </c>
      <c r="B1336" t="s">
        <v>7</v>
      </c>
      <c r="C1336" t="s">
        <v>13</v>
      </c>
      <c r="D1336" t="s">
        <v>28</v>
      </c>
      <c r="E1336" t="s">
        <v>15</v>
      </c>
      <c r="F1336">
        <v>129.43</v>
      </c>
      <c r="G1336">
        <v>10933</v>
      </c>
      <c r="H1336">
        <v>9004.3700000000008</v>
      </c>
      <c r="I1336">
        <v>26.84</v>
      </c>
      <c r="J1336" t="str">
        <f>IFERROR(INDEX(Suppliar[Estimated Carbon Footprint (tons CO₂e)],MATCH('Merge operational &amp; suppliar'!A1336,Suppliar[Facility ID],0)),"")</f>
        <v/>
      </c>
      <c r="K1336" t="str">
        <f>IFERROR(INDEX(Suppliar[Income Distribution (%)],MATCH('Merge operational &amp; suppliar'!A1336,Suppliar[Facility ID],0)),"")</f>
        <v/>
      </c>
    </row>
    <row r="1337" spans="1:11" x14ac:dyDescent="0.3">
      <c r="A1337" t="s">
        <v>203</v>
      </c>
      <c r="B1337" t="s">
        <v>12</v>
      </c>
      <c r="C1337" t="s">
        <v>34</v>
      </c>
      <c r="D1337" t="s">
        <v>28</v>
      </c>
      <c r="E1337" t="s">
        <v>15</v>
      </c>
      <c r="F1337">
        <v>556.38</v>
      </c>
      <c r="G1337">
        <v>66398</v>
      </c>
      <c r="H1337">
        <v>8713.61</v>
      </c>
      <c r="I1337">
        <v>83.44</v>
      </c>
      <c r="J1337">
        <f>IFERROR(INDEX(Suppliar[Estimated Carbon Footprint (tons CO₂e)],MATCH('Merge operational &amp; suppliar'!A1337,Suppliar[Facility ID],0)),"")</f>
        <v>763.97</v>
      </c>
      <c r="K1337">
        <f>IFERROR(INDEX(Suppliar[Income Distribution (%)],MATCH('Merge operational &amp; suppliar'!A1337,Suppliar[Facility ID],0)),"")</f>
        <v>22.42</v>
      </c>
    </row>
    <row r="1338" spans="1:11" x14ac:dyDescent="0.3">
      <c r="A1338" t="s">
        <v>67</v>
      </c>
      <c r="B1338" t="s">
        <v>7</v>
      </c>
      <c r="C1338" t="s">
        <v>23</v>
      </c>
      <c r="D1338" t="s">
        <v>14</v>
      </c>
      <c r="E1338" t="s">
        <v>10</v>
      </c>
      <c r="F1338">
        <v>358.08</v>
      </c>
      <c r="G1338">
        <v>70582</v>
      </c>
      <c r="H1338">
        <v>7517.59</v>
      </c>
      <c r="I1338">
        <v>95.71</v>
      </c>
      <c r="J1338" t="str">
        <f>IFERROR(INDEX(Suppliar[Estimated Carbon Footprint (tons CO₂e)],MATCH('Merge operational &amp; suppliar'!A1338,Suppliar[Facility ID],0)),"")</f>
        <v/>
      </c>
      <c r="K1338" t="str">
        <f>IFERROR(INDEX(Suppliar[Income Distribution (%)],MATCH('Merge operational &amp; suppliar'!A1338,Suppliar[Facility ID],0)),"")</f>
        <v/>
      </c>
    </row>
    <row r="1339" spans="1:11" x14ac:dyDescent="0.3">
      <c r="A1339" t="s">
        <v>87</v>
      </c>
      <c r="B1339" t="s">
        <v>12</v>
      </c>
      <c r="C1339" t="s">
        <v>34</v>
      </c>
      <c r="D1339" t="s">
        <v>9</v>
      </c>
      <c r="E1339" t="s">
        <v>24</v>
      </c>
      <c r="F1339">
        <v>5236.84</v>
      </c>
      <c r="G1339">
        <v>15333</v>
      </c>
      <c r="H1339">
        <v>2570.54</v>
      </c>
      <c r="I1339">
        <v>41.07</v>
      </c>
      <c r="J1339">
        <f>IFERROR(INDEX(Suppliar[Estimated Carbon Footprint (tons CO₂e)],MATCH('Merge operational &amp; suppliar'!A1339,Suppliar[Facility ID],0)),"")</f>
        <v>390.06</v>
      </c>
      <c r="K1339">
        <f>IFERROR(INDEX(Suppliar[Income Distribution (%)],MATCH('Merge operational &amp; suppliar'!A1339,Suppliar[Facility ID],0)),"")</f>
        <v>31.43</v>
      </c>
    </row>
    <row r="1340" spans="1:11" x14ac:dyDescent="0.3">
      <c r="A1340" t="s">
        <v>210</v>
      </c>
      <c r="B1340" t="s">
        <v>7</v>
      </c>
      <c r="C1340" t="s">
        <v>34</v>
      </c>
      <c r="D1340" t="s">
        <v>28</v>
      </c>
      <c r="E1340" t="s">
        <v>24</v>
      </c>
      <c r="F1340">
        <v>2820.63</v>
      </c>
      <c r="G1340">
        <v>65666</v>
      </c>
      <c r="H1340">
        <v>7269.98</v>
      </c>
      <c r="I1340">
        <v>75.62</v>
      </c>
      <c r="J1340" t="str">
        <f>IFERROR(INDEX(Suppliar[Estimated Carbon Footprint (tons CO₂e)],MATCH('Merge operational &amp; suppliar'!A1340,Suppliar[Facility ID],0)),"")</f>
        <v/>
      </c>
      <c r="K1340" t="str">
        <f>IFERROR(INDEX(Suppliar[Income Distribution (%)],MATCH('Merge operational &amp; suppliar'!A1340,Suppliar[Facility ID],0)),"")</f>
        <v/>
      </c>
    </row>
    <row r="1341" spans="1:11" x14ac:dyDescent="0.3">
      <c r="A1341" t="s">
        <v>35</v>
      </c>
      <c r="B1341" t="s">
        <v>19</v>
      </c>
      <c r="C1341" t="s">
        <v>34</v>
      </c>
      <c r="D1341" t="s">
        <v>9</v>
      </c>
      <c r="E1341" t="s">
        <v>15</v>
      </c>
      <c r="F1341">
        <v>1652.63</v>
      </c>
      <c r="G1341">
        <v>42382</v>
      </c>
      <c r="H1341">
        <v>5116.6899999999996</v>
      </c>
      <c r="I1341">
        <v>80.42</v>
      </c>
      <c r="J1341">
        <f>IFERROR(INDEX(Suppliar[Estimated Carbon Footprint (tons CO₂e)],MATCH('Merge operational &amp; suppliar'!A1341,Suppliar[Facility ID],0)),"")</f>
        <v>626.54</v>
      </c>
      <c r="K1341">
        <f>IFERROR(INDEX(Suppliar[Income Distribution (%)],MATCH('Merge operational &amp; suppliar'!A1341,Suppliar[Facility ID],0)),"")</f>
        <v>70.540000000000006</v>
      </c>
    </row>
    <row r="1342" spans="1:11" x14ac:dyDescent="0.3">
      <c r="A1342" t="s">
        <v>206</v>
      </c>
      <c r="B1342" t="s">
        <v>19</v>
      </c>
      <c r="C1342" t="s">
        <v>34</v>
      </c>
      <c r="D1342" t="s">
        <v>9</v>
      </c>
      <c r="E1342" t="s">
        <v>15</v>
      </c>
      <c r="F1342">
        <v>4298.4799999999996</v>
      </c>
      <c r="G1342">
        <v>10250</v>
      </c>
      <c r="H1342">
        <v>4717</v>
      </c>
      <c r="I1342">
        <v>16.600000000000001</v>
      </c>
      <c r="J1342">
        <f>IFERROR(INDEX(Suppliar[Estimated Carbon Footprint (tons CO₂e)],MATCH('Merge operational &amp; suppliar'!A1342,Suppliar[Facility ID],0)),"")</f>
        <v>249.3</v>
      </c>
      <c r="K1342">
        <f>IFERROR(INDEX(Suppliar[Income Distribution (%)],MATCH('Merge operational &amp; suppliar'!A1342,Suppliar[Facility ID],0)),"")</f>
        <v>32.97</v>
      </c>
    </row>
    <row r="1343" spans="1:11" x14ac:dyDescent="0.3">
      <c r="A1343" t="s">
        <v>169</v>
      </c>
      <c r="B1343" t="s">
        <v>12</v>
      </c>
      <c r="C1343" t="s">
        <v>34</v>
      </c>
      <c r="D1343" t="s">
        <v>14</v>
      </c>
      <c r="E1343" t="s">
        <v>10</v>
      </c>
      <c r="F1343">
        <v>2188.52</v>
      </c>
      <c r="G1343">
        <v>82377</v>
      </c>
      <c r="H1343">
        <v>7974.74</v>
      </c>
      <c r="I1343">
        <v>9.17</v>
      </c>
      <c r="J1343" t="str">
        <f>IFERROR(INDEX(Suppliar[Estimated Carbon Footprint (tons CO₂e)],MATCH('Merge operational &amp; suppliar'!A1343,Suppliar[Facility ID],0)),"")</f>
        <v/>
      </c>
      <c r="K1343" t="str">
        <f>IFERROR(INDEX(Suppliar[Income Distribution (%)],MATCH('Merge operational &amp; suppliar'!A1343,Suppliar[Facility ID],0)),"")</f>
        <v/>
      </c>
    </row>
    <row r="1344" spans="1:11" x14ac:dyDescent="0.3">
      <c r="A1344" t="s">
        <v>141</v>
      </c>
      <c r="B1344" t="s">
        <v>7</v>
      </c>
      <c r="C1344" t="s">
        <v>8</v>
      </c>
      <c r="D1344" t="s">
        <v>28</v>
      </c>
      <c r="E1344" t="s">
        <v>15</v>
      </c>
      <c r="F1344">
        <v>228.37</v>
      </c>
      <c r="G1344">
        <v>45644</v>
      </c>
      <c r="H1344">
        <v>7724.73</v>
      </c>
      <c r="I1344">
        <v>31</v>
      </c>
      <c r="J1344">
        <f>IFERROR(INDEX(Suppliar[Estimated Carbon Footprint (tons CO₂e)],MATCH('Merge operational &amp; suppliar'!A1344,Suppliar[Facility ID],0)),"")</f>
        <v>685.27</v>
      </c>
      <c r="K1344">
        <f>IFERROR(INDEX(Suppliar[Income Distribution (%)],MATCH('Merge operational &amp; suppliar'!A1344,Suppliar[Facility ID],0)),"")</f>
        <v>33.94</v>
      </c>
    </row>
    <row r="1345" spans="1:11" x14ac:dyDescent="0.3">
      <c r="A1345" t="s">
        <v>169</v>
      </c>
      <c r="B1345" t="s">
        <v>12</v>
      </c>
      <c r="C1345" t="s">
        <v>34</v>
      </c>
      <c r="D1345" t="s">
        <v>9</v>
      </c>
      <c r="E1345" t="s">
        <v>10</v>
      </c>
      <c r="F1345">
        <v>3425.06</v>
      </c>
      <c r="G1345">
        <v>82377</v>
      </c>
      <c r="H1345">
        <v>7974.74</v>
      </c>
      <c r="I1345">
        <v>9.17</v>
      </c>
      <c r="J1345" t="str">
        <f>IFERROR(INDEX(Suppliar[Estimated Carbon Footprint (tons CO₂e)],MATCH('Merge operational &amp; suppliar'!A1345,Suppliar[Facility ID],0)),"")</f>
        <v/>
      </c>
      <c r="K1345" t="str">
        <f>IFERROR(INDEX(Suppliar[Income Distribution (%)],MATCH('Merge operational &amp; suppliar'!A1345,Suppliar[Facility ID],0)),"")</f>
        <v/>
      </c>
    </row>
    <row r="1346" spans="1:11" x14ac:dyDescent="0.3">
      <c r="A1346" t="s">
        <v>140</v>
      </c>
      <c r="B1346" t="s">
        <v>17</v>
      </c>
      <c r="C1346" t="s">
        <v>34</v>
      </c>
      <c r="D1346" t="s">
        <v>28</v>
      </c>
      <c r="E1346" t="s">
        <v>24</v>
      </c>
      <c r="F1346">
        <v>3780.56</v>
      </c>
      <c r="G1346">
        <v>88308</v>
      </c>
      <c r="H1346">
        <v>7802.07</v>
      </c>
      <c r="I1346">
        <v>36.130000000000003</v>
      </c>
      <c r="J1346">
        <f>IFERROR(INDEX(Suppliar[Estimated Carbon Footprint (tons CO₂e)],MATCH('Merge operational &amp; suppliar'!A1346,Suppliar[Facility ID],0)),"")</f>
        <v>557.72</v>
      </c>
      <c r="K1346">
        <f>IFERROR(INDEX(Suppliar[Income Distribution (%)],MATCH('Merge operational &amp; suppliar'!A1346,Suppliar[Facility ID],0)),"")</f>
        <v>62.75</v>
      </c>
    </row>
    <row r="1347" spans="1:11" x14ac:dyDescent="0.3">
      <c r="A1347" t="s">
        <v>113</v>
      </c>
      <c r="B1347" t="s">
        <v>30</v>
      </c>
      <c r="C1347" t="s">
        <v>13</v>
      </c>
      <c r="D1347" t="s">
        <v>28</v>
      </c>
      <c r="E1347" t="s">
        <v>24</v>
      </c>
      <c r="F1347">
        <v>1026.45</v>
      </c>
      <c r="G1347">
        <v>90679</v>
      </c>
      <c r="H1347">
        <v>7266.82</v>
      </c>
      <c r="I1347">
        <v>23.3</v>
      </c>
      <c r="J1347">
        <f>IFERROR(INDEX(Suppliar[Estimated Carbon Footprint (tons CO₂e)],MATCH('Merge operational &amp; suppliar'!A1347,Suppliar[Facility ID],0)),"")</f>
        <v>943.59</v>
      </c>
      <c r="K1347">
        <f>IFERROR(INDEX(Suppliar[Income Distribution (%)],MATCH('Merge operational &amp; suppliar'!A1347,Suppliar[Facility ID],0)),"")</f>
        <v>15.81</v>
      </c>
    </row>
    <row r="1348" spans="1:11" x14ac:dyDescent="0.3">
      <c r="A1348" t="s">
        <v>73</v>
      </c>
      <c r="B1348" t="s">
        <v>30</v>
      </c>
      <c r="C1348" t="s">
        <v>8</v>
      </c>
      <c r="D1348" t="s">
        <v>9</v>
      </c>
      <c r="E1348" t="s">
        <v>15</v>
      </c>
      <c r="F1348">
        <v>1973.14</v>
      </c>
      <c r="G1348">
        <v>55974</v>
      </c>
      <c r="H1348">
        <v>7542.28</v>
      </c>
      <c r="I1348">
        <v>72.430000000000007</v>
      </c>
      <c r="J1348">
        <f>IFERROR(INDEX(Suppliar[Estimated Carbon Footprint (tons CO₂e)],MATCH('Merge operational &amp; suppliar'!A1348,Suppliar[Facility ID],0)),"")</f>
        <v>626.54</v>
      </c>
      <c r="K1348">
        <f>IFERROR(INDEX(Suppliar[Income Distribution (%)],MATCH('Merge operational &amp; suppliar'!A1348,Suppliar[Facility ID],0)),"")</f>
        <v>29.46</v>
      </c>
    </row>
    <row r="1349" spans="1:11" x14ac:dyDescent="0.3">
      <c r="A1349" t="s">
        <v>203</v>
      </c>
      <c r="B1349" t="s">
        <v>12</v>
      </c>
      <c r="C1349" t="s">
        <v>13</v>
      </c>
      <c r="D1349" t="s">
        <v>9</v>
      </c>
      <c r="E1349" t="s">
        <v>15</v>
      </c>
      <c r="F1349">
        <v>3828.41</v>
      </c>
      <c r="G1349">
        <v>66398</v>
      </c>
      <c r="H1349">
        <v>8713.61</v>
      </c>
      <c r="I1349">
        <v>83.44</v>
      </c>
      <c r="J1349">
        <f>IFERROR(INDEX(Suppliar[Estimated Carbon Footprint (tons CO₂e)],MATCH('Merge operational &amp; suppliar'!A1349,Suppliar[Facility ID],0)),"")</f>
        <v>763.97</v>
      </c>
      <c r="K1349">
        <f>IFERROR(INDEX(Suppliar[Income Distribution (%)],MATCH('Merge operational &amp; suppliar'!A1349,Suppliar[Facility ID],0)),"")</f>
        <v>22.42</v>
      </c>
    </row>
    <row r="1350" spans="1:11" x14ac:dyDescent="0.3">
      <c r="A1350" t="s">
        <v>63</v>
      </c>
      <c r="B1350" t="s">
        <v>12</v>
      </c>
      <c r="C1350" t="s">
        <v>23</v>
      </c>
      <c r="D1350" t="s">
        <v>28</v>
      </c>
      <c r="E1350" t="s">
        <v>10</v>
      </c>
      <c r="F1350">
        <v>3883.26</v>
      </c>
      <c r="G1350">
        <v>33688</v>
      </c>
      <c r="H1350">
        <v>9495.48</v>
      </c>
      <c r="I1350">
        <v>55.55</v>
      </c>
      <c r="J1350">
        <f>IFERROR(INDEX(Suppliar[Estimated Carbon Footprint (tons CO₂e)],MATCH('Merge operational &amp; suppliar'!A1350,Suppliar[Facility ID],0)),"")</f>
        <v>780.4</v>
      </c>
      <c r="K1350">
        <f>IFERROR(INDEX(Suppliar[Income Distribution (%)],MATCH('Merge operational &amp; suppliar'!A1350,Suppliar[Facility ID],0)),"")</f>
        <v>30.98</v>
      </c>
    </row>
    <row r="1351" spans="1:11" x14ac:dyDescent="0.3">
      <c r="A1351" t="s">
        <v>77</v>
      </c>
      <c r="B1351" t="s">
        <v>30</v>
      </c>
      <c r="C1351" t="s">
        <v>8</v>
      </c>
      <c r="D1351" t="s">
        <v>9</v>
      </c>
      <c r="E1351" t="s">
        <v>15</v>
      </c>
      <c r="F1351">
        <v>4934.97</v>
      </c>
      <c r="G1351">
        <v>61942</v>
      </c>
      <c r="H1351">
        <v>4891.32</v>
      </c>
      <c r="I1351">
        <v>91.59</v>
      </c>
      <c r="J1351">
        <f>IFERROR(INDEX(Suppliar[Estimated Carbon Footprint (tons CO₂e)],MATCH('Merge operational &amp; suppliar'!A1351,Suppliar[Facility ID],0)),"")</f>
        <v>785.8</v>
      </c>
      <c r="K1351">
        <f>IFERROR(INDEX(Suppliar[Income Distribution (%)],MATCH('Merge operational &amp; suppliar'!A1351,Suppliar[Facility ID],0)),"")</f>
        <v>8.84</v>
      </c>
    </row>
    <row r="1352" spans="1:11" x14ac:dyDescent="0.3">
      <c r="A1352" t="s">
        <v>20</v>
      </c>
      <c r="B1352" t="s">
        <v>17</v>
      </c>
      <c r="C1352" t="s">
        <v>13</v>
      </c>
      <c r="D1352" t="s">
        <v>14</v>
      </c>
      <c r="E1352" t="s">
        <v>24</v>
      </c>
      <c r="F1352">
        <v>336.58</v>
      </c>
      <c r="G1352">
        <v>29895</v>
      </c>
      <c r="H1352">
        <v>1631.08</v>
      </c>
      <c r="I1352">
        <v>39.93</v>
      </c>
      <c r="J1352">
        <f>IFERROR(INDEX(Suppliar[Estimated Carbon Footprint (tons CO₂e)],MATCH('Merge operational &amp; suppliar'!A1352,Suppliar[Facility ID],0)),"")</f>
        <v>959.2</v>
      </c>
      <c r="K1352">
        <f>IFERROR(INDEX(Suppliar[Income Distribution (%)],MATCH('Merge operational &amp; suppliar'!A1352,Suppliar[Facility ID],0)),"")</f>
        <v>38.840000000000003</v>
      </c>
    </row>
    <row r="1353" spans="1:11" x14ac:dyDescent="0.3">
      <c r="A1353" t="s">
        <v>174</v>
      </c>
      <c r="B1353" t="s">
        <v>19</v>
      </c>
      <c r="C1353" t="s">
        <v>13</v>
      </c>
      <c r="D1353" t="s">
        <v>28</v>
      </c>
      <c r="E1353" t="s">
        <v>10</v>
      </c>
      <c r="F1353">
        <v>3817.85</v>
      </c>
      <c r="G1353">
        <v>66163</v>
      </c>
      <c r="H1353">
        <v>1416.57</v>
      </c>
      <c r="I1353">
        <v>68.73</v>
      </c>
      <c r="J1353">
        <f>IFERROR(INDEX(Suppliar[Estimated Carbon Footprint (tons CO₂e)],MATCH('Merge operational &amp; suppliar'!A1353,Suppliar[Facility ID],0)),"")</f>
        <v>773.96</v>
      </c>
      <c r="K1353">
        <f>IFERROR(INDEX(Suppliar[Income Distribution (%)],MATCH('Merge operational &amp; suppliar'!A1353,Suppliar[Facility ID],0)),"")</f>
        <v>29.26</v>
      </c>
    </row>
    <row r="1354" spans="1:11" x14ac:dyDescent="0.3">
      <c r="A1354" t="s">
        <v>95</v>
      </c>
      <c r="B1354" t="s">
        <v>30</v>
      </c>
      <c r="C1354" t="s">
        <v>13</v>
      </c>
      <c r="D1354" t="s">
        <v>28</v>
      </c>
      <c r="E1354" t="s">
        <v>15</v>
      </c>
      <c r="F1354">
        <v>1089.25</v>
      </c>
      <c r="G1354">
        <v>51800</v>
      </c>
      <c r="H1354">
        <v>3042.95</v>
      </c>
      <c r="I1354">
        <v>71.87</v>
      </c>
      <c r="J1354">
        <f>IFERROR(INDEX(Suppliar[Estimated Carbon Footprint (tons CO₂e)],MATCH('Merge operational &amp; suppliar'!A1354,Suppliar[Facility ID],0)),"")</f>
        <v>714.03</v>
      </c>
      <c r="K1354">
        <f>IFERROR(INDEX(Suppliar[Income Distribution (%)],MATCH('Merge operational &amp; suppliar'!A1354,Suppliar[Facility ID],0)),"")</f>
        <v>10.84</v>
      </c>
    </row>
    <row r="1355" spans="1:11" x14ac:dyDescent="0.3">
      <c r="A1355" t="s">
        <v>68</v>
      </c>
      <c r="B1355" t="s">
        <v>12</v>
      </c>
      <c r="C1355" t="s">
        <v>23</v>
      </c>
      <c r="D1355" t="s">
        <v>9</v>
      </c>
      <c r="E1355" t="s">
        <v>10</v>
      </c>
      <c r="F1355">
        <v>316.08</v>
      </c>
      <c r="G1355">
        <v>69100</v>
      </c>
      <c r="H1355">
        <v>9356.02</v>
      </c>
      <c r="I1355">
        <v>16.5</v>
      </c>
      <c r="J1355">
        <f>IFERROR(INDEX(Suppliar[Estimated Carbon Footprint (tons CO₂e)],MATCH('Merge operational &amp; suppliar'!A1355,Suppliar[Facility ID],0)),"")</f>
        <v>694.92</v>
      </c>
      <c r="K1355">
        <f>IFERROR(INDEX(Suppliar[Income Distribution (%)],MATCH('Merge operational &amp; suppliar'!A1355,Suppliar[Facility ID],0)),"")</f>
        <v>23.67</v>
      </c>
    </row>
    <row r="1356" spans="1:11" x14ac:dyDescent="0.3">
      <c r="A1356" t="s">
        <v>55</v>
      </c>
      <c r="B1356" t="s">
        <v>12</v>
      </c>
      <c r="C1356" t="s">
        <v>13</v>
      </c>
      <c r="D1356" t="s">
        <v>14</v>
      </c>
      <c r="E1356" t="s">
        <v>15</v>
      </c>
      <c r="F1356">
        <v>2112.3200000000002</v>
      </c>
      <c r="G1356">
        <v>38181</v>
      </c>
      <c r="H1356">
        <v>691.84</v>
      </c>
      <c r="I1356">
        <v>33.53</v>
      </c>
      <c r="J1356">
        <f>IFERROR(INDEX(Suppliar[Estimated Carbon Footprint (tons CO₂e)],MATCH('Merge operational &amp; suppliar'!A1356,Suppliar[Facility ID],0)),"")</f>
        <v>114.57</v>
      </c>
      <c r="K1356">
        <f>IFERROR(INDEX(Suppliar[Income Distribution (%)],MATCH('Merge operational &amp; suppliar'!A1356,Suppliar[Facility ID],0)),"")</f>
        <v>9.9600000000000009</v>
      </c>
    </row>
    <row r="1357" spans="1:11" x14ac:dyDescent="0.3">
      <c r="A1357" t="s">
        <v>59</v>
      </c>
      <c r="B1357" t="s">
        <v>17</v>
      </c>
      <c r="C1357" t="s">
        <v>23</v>
      </c>
      <c r="D1357" t="s">
        <v>9</v>
      </c>
      <c r="E1357" t="s">
        <v>10</v>
      </c>
      <c r="F1357">
        <v>892.44</v>
      </c>
      <c r="G1357">
        <v>15553</v>
      </c>
      <c r="H1357">
        <v>3909.51</v>
      </c>
      <c r="I1357">
        <v>46.44</v>
      </c>
      <c r="J1357" t="str">
        <f>IFERROR(INDEX(Suppliar[Estimated Carbon Footprint (tons CO₂e)],MATCH('Merge operational &amp; suppliar'!A1357,Suppliar[Facility ID],0)),"")</f>
        <v/>
      </c>
      <c r="K1357" t="str">
        <f>IFERROR(INDEX(Suppliar[Income Distribution (%)],MATCH('Merge operational &amp; suppliar'!A1357,Suppliar[Facility ID],0)),"")</f>
        <v/>
      </c>
    </row>
    <row r="1358" spans="1:11" x14ac:dyDescent="0.3">
      <c r="A1358" t="s">
        <v>68</v>
      </c>
      <c r="B1358" t="s">
        <v>12</v>
      </c>
      <c r="C1358" t="s">
        <v>13</v>
      </c>
      <c r="D1358" t="s">
        <v>14</v>
      </c>
      <c r="E1358" t="s">
        <v>10</v>
      </c>
      <c r="F1358">
        <v>1569.2</v>
      </c>
      <c r="G1358">
        <v>69100</v>
      </c>
      <c r="H1358">
        <v>9356.02</v>
      </c>
      <c r="I1358">
        <v>16.5</v>
      </c>
      <c r="J1358">
        <f>IFERROR(INDEX(Suppliar[Estimated Carbon Footprint (tons CO₂e)],MATCH('Merge operational &amp; suppliar'!A1358,Suppliar[Facility ID],0)),"")</f>
        <v>694.92</v>
      </c>
      <c r="K1358">
        <f>IFERROR(INDEX(Suppliar[Income Distribution (%)],MATCH('Merge operational &amp; suppliar'!A1358,Suppliar[Facility ID],0)),"")</f>
        <v>23.67</v>
      </c>
    </row>
    <row r="1359" spans="1:11" x14ac:dyDescent="0.3">
      <c r="A1359" t="s">
        <v>139</v>
      </c>
      <c r="B1359" t="s">
        <v>7</v>
      </c>
      <c r="C1359" t="s">
        <v>34</v>
      </c>
      <c r="D1359" t="s">
        <v>9</v>
      </c>
      <c r="E1359" t="s">
        <v>15</v>
      </c>
      <c r="F1359">
        <v>1407.45</v>
      </c>
      <c r="G1359">
        <v>10067</v>
      </c>
      <c r="H1359">
        <v>1953.33</v>
      </c>
      <c r="I1359">
        <v>25.15</v>
      </c>
      <c r="J1359">
        <f>IFERROR(INDEX(Suppliar[Estimated Carbon Footprint (tons CO₂e)],MATCH('Merge operational &amp; suppliar'!A1359,Suppliar[Facility ID],0)),"")</f>
        <v>785.8</v>
      </c>
      <c r="K1359">
        <f>IFERROR(INDEX(Suppliar[Income Distribution (%)],MATCH('Merge operational &amp; suppliar'!A1359,Suppliar[Facility ID],0)),"")</f>
        <v>19.649999999999999</v>
      </c>
    </row>
    <row r="1360" spans="1:11" x14ac:dyDescent="0.3">
      <c r="A1360" t="s">
        <v>84</v>
      </c>
      <c r="B1360" t="s">
        <v>30</v>
      </c>
      <c r="C1360" t="s">
        <v>13</v>
      </c>
      <c r="D1360" t="s">
        <v>9</v>
      </c>
      <c r="E1360" t="s">
        <v>24</v>
      </c>
      <c r="F1360">
        <v>4401.59</v>
      </c>
      <c r="G1360">
        <v>85444</v>
      </c>
      <c r="H1360">
        <v>852.57</v>
      </c>
      <c r="I1360">
        <v>72.650000000000006</v>
      </c>
      <c r="J1360">
        <f>IFERROR(INDEX(Suppliar[Estimated Carbon Footprint (tons CO₂e)],MATCH('Merge operational &amp; suppliar'!A1360,Suppliar[Facility ID],0)),"")</f>
        <v>319.93</v>
      </c>
      <c r="K1360">
        <f>IFERROR(INDEX(Suppliar[Income Distribution (%)],MATCH('Merge operational &amp; suppliar'!A1360,Suppliar[Facility ID],0)),"")</f>
        <v>34.35</v>
      </c>
    </row>
    <row r="1361" spans="1:11" x14ac:dyDescent="0.3">
      <c r="A1361" t="s">
        <v>124</v>
      </c>
      <c r="B1361" t="s">
        <v>12</v>
      </c>
      <c r="C1361" t="s">
        <v>34</v>
      </c>
      <c r="D1361" t="s">
        <v>28</v>
      </c>
      <c r="E1361" t="s">
        <v>10</v>
      </c>
      <c r="F1361">
        <v>4331.4399999999996</v>
      </c>
      <c r="G1361">
        <v>47491</v>
      </c>
      <c r="H1361">
        <v>5781.05</v>
      </c>
      <c r="I1361">
        <v>92.18</v>
      </c>
      <c r="J1361">
        <f>IFERROR(INDEX(Suppliar[Estimated Carbon Footprint (tons CO₂e)],MATCH('Merge operational &amp; suppliar'!A1361,Suppliar[Facility ID],0)),"")</f>
        <v>344.93</v>
      </c>
      <c r="K1361">
        <f>IFERROR(INDEX(Suppliar[Income Distribution (%)],MATCH('Merge operational &amp; suppliar'!A1361,Suppliar[Facility ID],0)),"")</f>
        <v>36.229999999999997</v>
      </c>
    </row>
    <row r="1362" spans="1:11" x14ac:dyDescent="0.3">
      <c r="A1362" t="s">
        <v>139</v>
      </c>
      <c r="B1362" t="s">
        <v>7</v>
      </c>
      <c r="C1362" t="s">
        <v>23</v>
      </c>
      <c r="D1362" t="s">
        <v>14</v>
      </c>
      <c r="E1362" t="s">
        <v>15</v>
      </c>
      <c r="F1362">
        <v>191.28</v>
      </c>
      <c r="G1362">
        <v>10067</v>
      </c>
      <c r="H1362">
        <v>1953.33</v>
      </c>
      <c r="I1362">
        <v>25.15</v>
      </c>
      <c r="J1362">
        <f>IFERROR(INDEX(Suppliar[Estimated Carbon Footprint (tons CO₂e)],MATCH('Merge operational &amp; suppliar'!A1362,Suppliar[Facility ID],0)),"")</f>
        <v>785.8</v>
      </c>
      <c r="K1362">
        <f>IFERROR(INDEX(Suppliar[Income Distribution (%)],MATCH('Merge operational &amp; suppliar'!A1362,Suppliar[Facility ID],0)),"")</f>
        <v>19.649999999999999</v>
      </c>
    </row>
    <row r="1363" spans="1:11" x14ac:dyDescent="0.3">
      <c r="A1363" t="s">
        <v>72</v>
      </c>
      <c r="B1363" t="s">
        <v>19</v>
      </c>
      <c r="C1363" t="s">
        <v>8</v>
      </c>
      <c r="D1363" t="s">
        <v>14</v>
      </c>
      <c r="E1363" t="s">
        <v>10</v>
      </c>
      <c r="F1363">
        <v>3002.77</v>
      </c>
      <c r="G1363">
        <v>29318</v>
      </c>
      <c r="H1363">
        <v>9860.6200000000008</v>
      </c>
      <c r="I1363">
        <v>14.58</v>
      </c>
      <c r="J1363">
        <f>IFERROR(INDEX(Suppliar[Estimated Carbon Footprint (tons CO₂e)],MATCH('Merge operational &amp; suppliar'!A1363,Suppliar[Facility ID],0)),"")</f>
        <v>571.66</v>
      </c>
      <c r="K1363">
        <f>IFERROR(INDEX(Suppliar[Income Distribution (%)],MATCH('Merge operational &amp; suppliar'!A1363,Suppliar[Facility ID],0)),"")</f>
        <v>6.78</v>
      </c>
    </row>
    <row r="1364" spans="1:11" x14ac:dyDescent="0.3">
      <c r="A1364" t="s">
        <v>37</v>
      </c>
      <c r="B1364" t="s">
        <v>17</v>
      </c>
      <c r="C1364" t="s">
        <v>8</v>
      </c>
      <c r="D1364" t="s">
        <v>28</v>
      </c>
      <c r="E1364" t="s">
        <v>24</v>
      </c>
      <c r="F1364">
        <v>2511.59</v>
      </c>
      <c r="G1364">
        <v>71747</v>
      </c>
      <c r="H1364">
        <v>9838.66</v>
      </c>
      <c r="I1364">
        <v>7.25</v>
      </c>
      <c r="J1364">
        <f>IFERROR(INDEX(Suppliar[Estimated Carbon Footprint (tons CO₂e)],MATCH('Merge operational &amp; suppliar'!A1364,Suppliar[Facility ID],0)),"")</f>
        <v>224.5</v>
      </c>
      <c r="K1364">
        <f>IFERROR(INDEX(Suppliar[Income Distribution (%)],MATCH('Merge operational &amp; suppliar'!A1364,Suppliar[Facility ID],0)),"")</f>
        <v>39.29</v>
      </c>
    </row>
    <row r="1365" spans="1:11" x14ac:dyDescent="0.3">
      <c r="A1365" t="s">
        <v>94</v>
      </c>
      <c r="B1365" t="s">
        <v>7</v>
      </c>
      <c r="C1365" t="s">
        <v>23</v>
      </c>
      <c r="D1365" t="s">
        <v>9</v>
      </c>
      <c r="E1365" t="s">
        <v>15</v>
      </c>
      <c r="F1365">
        <v>2282.1799999999998</v>
      </c>
      <c r="G1365">
        <v>26338</v>
      </c>
      <c r="H1365">
        <v>578.73</v>
      </c>
      <c r="I1365">
        <v>72.52</v>
      </c>
      <c r="J1365">
        <f>IFERROR(INDEX(Suppliar[Estimated Carbon Footprint (tons CO₂e)],MATCH('Merge operational &amp; suppliar'!A1365,Suppliar[Facility ID],0)),"")</f>
        <v>991.36</v>
      </c>
      <c r="K1365">
        <f>IFERROR(INDEX(Suppliar[Income Distribution (%)],MATCH('Merge operational &amp; suppliar'!A1365,Suppliar[Facility ID],0)),"")</f>
        <v>35.39</v>
      </c>
    </row>
    <row r="1366" spans="1:11" x14ac:dyDescent="0.3">
      <c r="A1366" t="s">
        <v>218</v>
      </c>
      <c r="B1366" t="s">
        <v>17</v>
      </c>
      <c r="C1366" t="s">
        <v>8</v>
      </c>
      <c r="D1366" t="s">
        <v>28</v>
      </c>
      <c r="E1366" t="s">
        <v>10</v>
      </c>
      <c r="F1366">
        <v>4726.1099999999997</v>
      </c>
      <c r="G1366">
        <v>22525</v>
      </c>
      <c r="H1366">
        <v>9465.65</v>
      </c>
      <c r="I1366">
        <v>37.79</v>
      </c>
      <c r="J1366">
        <f>IFERROR(INDEX(Suppliar[Estimated Carbon Footprint (tons CO₂e)],MATCH('Merge operational &amp; suppliar'!A1366,Suppliar[Facility ID],0)),"")</f>
        <v>472.66</v>
      </c>
      <c r="K1366">
        <f>IFERROR(INDEX(Suppliar[Income Distribution (%)],MATCH('Merge operational &amp; suppliar'!A1366,Suppliar[Facility ID],0)),"")</f>
        <v>55.03</v>
      </c>
    </row>
    <row r="1367" spans="1:11" x14ac:dyDescent="0.3">
      <c r="A1367" t="s">
        <v>103</v>
      </c>
      <c r="B1367" t="s">
        <v>19</v>
      </c>
      <c r="C1367" t="s">
        <v>13</v>
      </c>
      <c r="D1367" t="s">
        <v>14</v>
      </c>
      <c r="E1367" t="s">
        <v>24</v>
      </c>
      <c r="F1367">
        <v>252.05</v>
      </c>
      <c r="G1367">
        <v>38869</v>
      </c>
      <c r="H1367">
        <v>5109.76</v>
      </c>
      <c r="I1367">
        <v>35.270000000000003</v>
      </c>
      <c r="J1367">
        <f>IFERROR(INDEX(Suppliar[Estimated Carbon Footprint (tons CO₂e)],MATCH('Merge operational &amp; suppliar'!A1367,Suppliar[Facility ID],0)),"")</f>
        <v>986.62</v>
      </c>
      <c r="K1367">
        <f>IFERROR(INDEX(Suppliar[Income Distribution (%)],MATCH('Merge operational &amp; suppliar'!A1367,Suppliar[Facility ID],0)),"")</f>
        <v>40.86</v>
      </c>
    </row>
    <row r="1368" spans="1:11" x14ac:dyDescent="0.3">
      <c r="A1368" t="s">
        <v>95</v>
      </c>
      <c r="B1368" t="s">
        <v>30</v>
      </c>
      <c r="C1368" t="s">
        <v>23</v>
      </c>
      <c r="D1368" t="s">
        <v>28</v>
      </c>
      <c r="E1368" t="s">
        <v>24</v>
      </c>
      <c r="F1368">
        <v>3693.42</v>
      </c>
      <c r="G1368">
        <v>51800</v>
      </c>
      <c r="H1368">
        <v>3042.95</v>
      </c>
      <c r="I1368">
        <v>71.87</v>
      </c>
      <c r="J1368">
        <f>IFERROR(INDEX(Suppliar[Estimated Carbon Footprint (tons CO₂e)],MATCH('Merge operational &amp; suppliar'!A1368,Suppliar[Facility ID],0)),"")</f>
        <v>714.03</v>
      </c>
      <c r="K1368">
        <f>IFERROR(INDEX(Suppliar[Income Distribution (%)],MATCH('Merge operational &amp; suppliar'!A1368,Suppliar[Facility ID],0)),"")</f>
        <v>10.84</v>
      </c>
    </row>
    <row r="1369" spans="1:11" x14ac:dyDescent="0.3">
      <c r="A1369" t="s">
        <v>204</v>
      </c>
      <c r="B1369" t="s">
        <v>30</v>
      </c>
      <c r="C1369" t="s">
        <v>13</v>
      </c>
      <c r="D1369" t="s">
        <v>9</v>
      </c>
      <c r="E1369" t="s">
        <v>10</v>
      </c>
      <c r="F1369">
        <v>2670.53</v>
      </c>
      <c r="G1369">
        <v>36423</v>
      </c>
      <c r="H1369">
        <v>589.96</v>
      </c>
      <c r="I1369">
        <v>30.9</v>
      </c>
      <c r="J1369">
        <f>IFERROR(INDEX(Suppliar[Estimated Carbon Footprint (tons CO₂e)],MATCH('Merge operational &amp; suppliar'!A1369,Suppliar[Facility ID],0)),"")</f>
        <v>111.84</v>
      </c>
      <c r="K1369">
        <f>IFERROR(INDEX(Suppliar[Income Distribution (%)],MATCH('Merge operational &amp; suppliar'!A1369,Suppliar[Facility ID],0)),"")</f>
        <v>23.26</v>
      </c>
    </row>
    <row r="1370" spans="1:11" x14ac:dyDescent="0.3">
      <c r="A1370" t="s">
        <v>169</v>
      </c>
      <c r="B1370" t="s">
        <v>12</v>
      </c>
      <c r="C1370" t="s">
        <v>13</v>
      </c>
      <c r="D1370" t="s">
        <v>28</v>
      </c>
      <c r="E1370" t="s">
        <v>15</v>
      </c>
      <c r="F1370">
        <v>1186.4000000000001</v>
      </c>
      <c r="G1370">
        <v>82377</v>
      </c>
      <c r="H1370">
        <v>7974.74</v>
      </c>
      <c r="I1370">
        <v>9.17</v>
      </c>
      <c r="J1370" t="str">
        <f>IFERROR(INDEX(Suppliar[Estimated Carbon Footprint (tons CO₂e)],MATCH('Merge operational &amp; suppliar'!A1370,Suppliar[Facility ID],0)),"")</f>
        <v/>
      </c>
      <c r="K1370" t="str">
        <f>IFERROR(INDEX(Suppliar[Income Distribution (%)],MATCH('Merge operational &amp; suppliar'!A1370,Suppliar[Facility ID],0)),"")</f>
        <v/>
      </c>
    </row>
    <row r="1371" spans="1:11" x14ac:dyDescent="0.3">
      <c r="A1371" t="s">
        <v>52</v>
      </c>
      <c r="B1371" t="s">
        <v>19</v>
      </c>
      <c r="C1371" t="s">
        <v>23</v>
      </c>
      <c r="D1371" t="s">
        <v>9</v>
      </c>
      <c r="E1371" t="s">
        <v>10</v>
      </c>
      <c r="F1371">
        <v>1201.0999999999999</v>
      </c>
      <c r="G1371">
        <v>94949</v>
      </c>
      <c r="H1371">
        <v>9714.76</v>
      </c>
      <c r="I1371">
        <v>64.900000000000006</v>
      </c>
      <c r="J1371">
        <f>IFERROR(INDEX(Suppliar[Estimated Carbon Footprint (tons CO₂e)],MATCH('Merge operational &amp; suppliar'!A1371,Suppliar[Facility ID],0)),"")</f>
        <v>241.41</v>
      </c>
      <c r="K1371">
        <f>IFERROR(INDEX(Suppliar[Income Distribution (%)],MATCH('Merge operational &amp; suppliar'!A1371,Suppliar[Facility ID],0)),"")</f>
        <v>20.62</v>
      </c>
    </row>
    <row r="1372" spans="1:11" x14ac:dyDescent="0.3">
      <c r="A1372" t="s">
        <v>203</v>
      </c>
      <c r="B1372" t="s">
        <v>12</v>
      </c>
      <c r="C1372" t="s">
        <v>8</v>
      </c>
      <c r="D1372" t="s">
        <v>9</v>
      </c>
      <c r="E1372" t="s">
        <v>10</v>
      </c>
      <c r="F1372">
        <v>1093.3900000000001</v>
      </c>
      <c r="G1372">
        <v>66398</v>
      </c>
      <c r="H1372">
        <v>8713.61</v>
      </c>
      <c r="I1372">
        <v>83.44</v>
      </c>
      <c r="J1372">
        <f>IFERROR(INDEX(Suppliar[Estimated Carbon Footprint (tons CO₂e)],MATCH('Merge operational &amp; suppliar'!A1372,Suppliar[Facility ID],0)),"")</f>
        <v>763.97</v>
      </c>
      <c r="K1372">
        <f>IFERROR(INDEX(Suppliar[Income Distribution (%)],MATCH('Merge operational &amp; suppliar'!A1372,Suppliar[Facility ID],0)),"")</f>
        <v>22.42</v>
      </c>
    </row>
    <row r="1373" spans="1:11" x14ac:dyDescent="0.3">
      <c r="A1373" t="s">
        <v>217</v>
      </c>
      <c r="B1373" t="s">
        <v>19</v>
      </c>
      <c r="C1373" t="s">
        <v>13</v>
      </c>
      <c r="D1373" t="s">
        <v>14</v>
      </c>
      <c r="E1373" t="s">
        <v>24</v>
      </c>
      <c r="F1373">
        <v>4636.55</v>
      </c>
      <c r="G1373">
        <v>80824</v>
      </c>
      <c r="H1373">
        <v>2858.92</v>
      </c>
      <c r="I1373">
        <v>13.97</v>
      </c>
      <c r="J1373">
        <f>IFERROR(INDEX(Suppliar[Estimated Carbon Footprint (tons CO₂e)],MATCH('Merge operational &amp; suppliar'!A1373,Suppliar[Facility ID],0)),"")</f>
        <v>638.89</v>
      </c>
      <c r="K1373">
        <f>IFERROR(INDEX(Suppliar[Income Distribution (%)],MATCH('Merge operational &amp; suppliar'!A1373,Suppliar[Facility ID],0)),"")</f>
        <v>21.98</v>
      </c>
    </row>
    <row r="1374" spans="1:11" x14ac:dyDescent="0.3">
      <c r="A1374" t="s">
        <v>157</v>
      </c>
      <c r="B1374" t="s">
        <v>30</v>
      </c>
      <c r="C1374" t="s">
        <v>8</v>
      </c>
      <c r="D1374" t="s">
        <v>9</v>
      </c>
      <c r="E1374" t="s">
        <v>15</v>
      </c>
      <c r="F1374">
        <v>1840.53</v>
      </c>
      <c r="G1374">
        <v>76544</v>
      </c>
      <c r="H1374">
        <v>8632.77</v>
      </c>
      <c r="I1374">
        <v>12.87</v>
      </c>
      <c r="J1374">
        <f>IFERROR(INDEX(Suppliar[Estimated Carbon Footprint (tons CO₂e)],MATCH('Merge operational &amp; suppliar'!A1374,Suppliar[Facility ID],0)),"")</f>
        <v>571.88</v>
      </c>
      <c r="K1374">
        <f>IFERROR(INDEX(Suppliar[Income Distribution (%)],MATCH('Merge operational &amp; suppliar'!A1374,Suppliar[Facility ID],0)),"")</f>
        <v>30.1</v>
      </c>
    </row>
    <row r="1375" spans="1:11" x14ac:dyDescent="0.3">
      <c r="A1375" t="s">
        <v>217</v>
      </c>
      <c r="B1375" t="s">
        <v>19</v>
      </c>
      <c r="C1375" t="s">
        <v>23</v>
      </c>
      <c r="D1375" t="s">
        <v>14</v>
      </c>
      <c r="E1375" t="s">
        <v>15</v>
      </c>
      <c r="F1375">
        <v>1036.07</v>
      </c>
      <c r="G1375">
        <v>80824</v>
      </c>
      <c r="H1375">
        <v>2858.92</v>
      </c>
      <c r="I1375">
        <v>13.97</v>
      </c>
      <c r="J1375">
        <f>IFERROR(INDEX(Suppliar[Estimated Carbon Footprint (tons CO₂e)],MATCH('Merge operational &amp; suppliar'!A1375,Suppliar[Facility ID],0)),"")</f>
        <v>638.89</v>
      </c>
      <c r="K1375">
        <f>IFERROR(INDEX(Suppliar[Income Distribution (%)],MATCH('Merge operational &amp; suppliar'!A1375,Suppliar[Facility ID],0)),"")</f>
        <v>21.98</v>
      </c>
    </row>
    <row r="1376" spans="1:11" x14ac:dyDescent="0.3">
      <c r="A1376" t="s">
        <v>193</v>
      </c>
      <c r="B1376" t="s">
        <v>12</v>
      </c>
      <c r="C1376" t="s">
        <v>13</v>
      </c>
      <c r="D1376" t="s">
        <v>9</v>
      </c>
      <c r="E1376" t="s">
        <v>15</v>
      </c>
      <c r="F1376">
        <v>390.78</v>
      </c>
      <c r="G1376">
        <v>13333</v>
      </c>
      <c r="H1376">
        <v>6102.15</v>
      </c>
      <c r="I1376">
        <v>17.670000000000002</v>
      </c>
      <c r="J1376">
        <f>IFERROR(INDEX(Suppliar[Estimated Carbon Footprint (tons CO₂e)],MATCH('Merge operational &amp; suppliar'!A1376,Suppliar[Facility ID],0)),"")</f>
        <v>959.2</v>
      </c>
      <c r="K1376">
        <f>IFERROR(INDEX(Suppliar[Income Distribution (%)],MATCH('Merge operational &amp; suppliar'!A1376,Suppliar[Facility ID],0)),"")</f>
        <v>24.24</v>
      </c>
    </row>
    <row r="1377" spans="1:11" x14ac:dyDescent="0.3">
      <c r="A1377" t="s">
        <v>177</v>
      </c>
      <c r="B1377" t="s">
        <v>7</v>
      </c>
      <c r="C1377" t="s">
        <v>23</v>
      </c>
      <c r="D1377" t="s">
        <v>28</v>
      </c>
      <c r="E1377" t="s">
        <v>10</v>
      </c>
      <c r="F1377">
        <v>4126.71</v>
      </c>
      <c r="G1377">
        <v>17097</v>
      </c>
      <c r="H1377">
        <v>9061.7800000000007</v>
      </c>
      <c r="I1377">
        <v>95.92</v>
      </c>
      <c r="J1377">
        <f>IFERROR(INDEX(Suppliar[Estimated Carbon Footprint (tons CO₂e)],MATCH('Merge operational &amp; suppliar'!A1377,Suppliar[Facility ID],0)),"")</f>
        <v>390.06</v>
      </c>
      <c r="K1377">
        <f>IFERROR(INDEX(Suppliar[Income Distribution (%)],MATCH('Merge operational &amp; suppliar'!A1377,Suppliar[Facility ID],0)),"")</f>
        <v>18.010000000000002</v>
      </c>
    </row>
    <row r="1378" spans="1:11" x14ac:dyDescent="0.3">
      <c r="A1378" t="s">
        <v>96</v>
      </c>
      <c r="B1378" t="s">
        <v>19</v>
      </c>
      <c r="C1378" t="s">
        <v>23</v>
      </c>
      <c r="D1378" t="s">
        <v>28</v>
      </c>
      <c r="E1378" t="s">
        <v>10</v>
      </c>
      <c r="F1378">
        <v>4171.8100000000004</v>
      </c>
      <c r="G1378">
        <v>53942</v>
      </c>
      <c r="H1378">
        <v>5904.31</v>
      </c>
      <c r="I1378">
        <v>32.78</v>
      </c>
      <c r="J1378">
        <f>IFERROR(INDEX(Suppliar[Estimated Carbon Footprint (tons CO₂e)],MATCH('Merge operational &amp; suppliar'!A1378,Suppliar[Facility ID],0)),"")</f>
        <v>553.44000000000005</v>
      </c>
      <c r="K1378">
        <f>IFERROR(INDEX(Suppliar[Income Distribution (%)],MATCH('Merge operational &amp; suppliar'!A1378,Suppliar[Facility ID],0)),"")</f>
        <v>29.01</v>
      </c>
    </row>
    <row r="1379" spans="1:11" x14ac:dyDescent="0.3">
      <c r="A1379" t="s">
        <v>145</v>
      </c>
      <c r="B1379" t="s">
        <v>7</v>
      </c>
      <c r="C1379" t="s">
        <v>8</v>
      </c>
      <c r="D1379" t="s">
        <v>14</v>
      </c>
      <c r="E1379" t="s">
        <v>24</v>
      </c>
      <c r="F1379">
        <v>3571.47</v>
      </c>
      <c r="G1379">
        <v>60710</v>
      </c>
      <c r="H1379">
        <v>2726.26</v>
      </c>
      <c r="I1379">
        <v>83.02</v>
      </c>
      <c r="J1379">
        <f>IFERROR(INDEX(Suppliar[Estimated Carbon Footprint (tons CO₂e)],MATCH('Merge operational &amp; suppliar'!A1379,Suppliar[Facility ID],0)),"")</f>
        <v>714.81</v>
      </c>
      <c r="K1379">
        <f>IFERROR(INDEX(Suppliar[Income Distribution (%)],MATCH('Merge operational &amp; suppliar'!A1379,Suppliar[Facility ID],0)),"")</f>
        <v>58.54</v>
      </c>
    </row>
    <row r="1380" spans="1:11" x14ac:dyDescent="0.3">
      <c r="A1380" t="s">
        <v>154</v>
      </c>
      <c r="B1380" t="s">
        <v>12</v>
      </c>
      <c r="C1380" t="s">
        <v>34</v>
      </c>
      <c r="D1380" t="s">
        <v>28</v>
      </c>
      <c r="E1380" t="s">
        <v>10</v>
      </c>
      <c r="F1380">
        <v>1961.65</v>
      </c>
      <c r="G1380">
        <v>87012</v>
      </c>
      <c r="H1380">
        <v>7478.13</v>
      </c>
      <c r="I1380">
        <v>27.22</v>
      </c>
      <c r="J1380">
        <f>IFERROR(INDEX(Suppliar[Estimated Carbon Footprint (tons CO₂e)],MATCH('Merge operational &amp; suppliar'!A1380,Suppliar[Facility ID],0)),"")</f>
        <v>579.80999999999995</v>
      </c>
      <c r="K1380">
        <f>IFERROR(INDEX(Suppliar[Income Distribution (%)],MATCH('Merge operational &amp; suppliar'!A1380,Suppliar[Facility ID],0)),"")</f>
        <v>28.6</v>
      </c>
    </row>
    <row r="1381" spans="1:11" x14ac:dyDescent="0.3">
      <c r="A1381" t="s">
        <v>114</v>
      </c>
      <c r="B1381" t="s">
        <v>30</v>
      </c>
      <c r="C1381" t="s">
        <v>34</v>
      </c>
      <c r="D1381" t="s">
        <v>14</v>
      </c>
      <c r="E1381" t="s">
        <v>10</v>
      </c>
      <c r="F1381">
        <v>3905.64</v>
      </c>
      <c r="G1381">
        <v>29264</v>
      </c>
      <c r="H1381">
        <v>8362.7199999999993</v>
      </c>
      <c r="I1381">
        <v>61.93</v>
      </c>
      <c r="J1381" t="str">
        <f>IFERROR(INDEX(Suppliar[Estimated Carbon Footprint (tons CO₂e)],MATCH('Merge operational &amp; suppliar'!A1381,Suppliar[Facility ID],0)),"")</f>
        <v/>
      </c>
      <c r="K1381" t="str">
        <f>IFERROR(INDEX(Suppliar[Income Distribution (%)],MATCH('Merge operational &amp; suppliar'!A1381,Suppliar[Facility ID],0)),"")</f>
        <v/>
      </c>
    </row>
    <row r="1382" spans="1:11" x14ac:dyDescent="0.3">
      <c r="A1382" t="s">
        <v>173</v>
      </c>
      <c r="B1382" t="s">
        <v>30</v>
      </c>
      <c r="C1382" t="s">
        <v>13</v>
      </c>
      <c r="D1382" t="s">
        <v>9</v>
      </c>
      <c r="E1382" t="s">
        <v>15</v>
      </c>
      <c r="F1382">
        <v>2192.9699999999998</v>
      </c>
      <c r="G1382">
        <v>49620</v>
      </c>
      <c r="H1382">
        <v>2424.31</v>
      </c>
      <c r="I1382">
        <v>62.09</v>
      </c>
      <c r="J1382">
        <f>IFERROR(INDEX(Suppliar[Estimated Carbon Footprint (tons CO₂e)],MATCH('Merge operational &amp; suppliar'!A1382,Suppliar[Facility ID],0)),"")</f>
        <v>184.92</v>
      </c>
      <c r="K1382">
        <f>IFERROR(INDEX(Suppliar[Income Distribution (%)],MATCH('Merge operational &amp; suppliar'!A1382,Suppliar[Facility ID],0)),"")</f>
        <v>19.55</v>
      </c>
    </row>
    <row r="1383" spans="1:11" x14ac:dyDescent="0.3">
      <c r="A1383" t="s">
        <v>201</v>
      </c>
      <c r="B1383" t="s">
        <v>12</v>
      </c>
      <c r="C1383" t="s">
        <v>23</v>
      </c>
      <c r="D1383" t="s">
        <v>14</v>
      </c>
      <c r="E1383" t="s">
        <v>15</v>
      </c>
      <c r="F1383">
        <v>369.5</v>
      </c>
      <c r="G1383">
        <v>58439</v>
      </c>
      <c r="H1383">
        <v>5817.93</v>
      </c>
      <c r="I1383">
        <v>63.77</v>
      </c>
      <c r="J1383">
        <f>IFERROR(INDEX(Suppliar[Estimated Carbon Footprint (tons CO₂e)],MATCH('Merge operational &amp; suppliar'!A1383,Suppliar[Facility ID],0)),"")</f>
        <v>143.16999999999999</v>
      </c>
      <c r="K1383">
        <f>IFERROR(INDEX(Suppliar[Income Distribution (%)],MATCH('Merge operational &amp; suppliar'!A1383,Suppliar[Facility ID],0)),"")</f>
        <v>52.46</v>
      </c>
    </row>
    <row r="1384" spans="1:11" x14ac:dyDescent="0.3">
      <c r="A1384" t="s">
        <v>68</v>
      </c>
      <c r="B1384" t="s">
        <v>12</v>
      </c>
      <c r="C1384" t="s">
        <v>13</v>
      </c>
      <c r="D1384" t="s">
        <v>14</v>
      </c>
      <c r="E1384" t="s">
        <v>15</v>
      </c>
      <c r="F1384">
        <v>2277.1799999999998</v>
      </c>
      <c r="G1384">
        <v>69100</v>
      </c>
      <c r="H1384">
        <v>9356.02</v>
      </c>
      <c r="I1384">
        <v>16.5</v>
      </c>
      <c r="J1384">
        <f>IFERROR(INDEX(Suppliar[Estimated Carbon Footprint (tons CO₂e)],MATCH('Merge operational &amp; suppliar'!A1384,Suppliar[Facility ID],0)),"")</f>
        <v>694.92</v>
      </c>
      <c r="K1384">
        <f>IFERROR(INDEX(Suppliar[Income Distribution (%)],MATCH('Merge operational &amp; suppliar'!A1384,Suppliar[Facility ID],0)),"")</f>
        <v>23.67</v>
      </c>
    </row>
    <row r="1385" spans="1:11" x14ac:dyDescent="0.3">
      <c r="A1385" t="s">
        <v>166</v>
      </c>
      <c r="B1385" t="s">
        <v>7</v>
      </c>
      <c r="C1385" t="s">
        <v>8</v>
      </c>
      <c r="D1385" t="s">
        <v>14</v>
      </c>
      <c r="E1385" t="s">
        <v>10</v>
      </c>
      <c r="F1385">
        <v>4278.8900000000003</v>
      </c>
      <c r="G1385">
        <v>34318</v>
      </c>
      <c r="H1385">
        <v>675.67</v>
      </c>
      <c r="I1385">
        <v>41.05</v>
      </c>
      <c r="J1385">
        <f>IFERROR(INDEX(Suppliar[Estimated Carbon Footprint (tons CO₂e)],MATCH('Merge operational &amp; suppliar'!A1385,Suppliar[Facility ID],0)),"")</f>
        <v>390.06</v>
      </c>
      <c r="K1385">
        <f>IFERROR(INDEX(Suppliar[Income Distribution (%)],MATCH('Merge operational &amp; suppliar'!A1385,Suppliar[Facility ID],0)),"")</f>
        <v>27.42</v>
      </c>
    </row>
    <row r="1386" spans="1:11" x14ac:dyDescent="0.3">
      <c r="A1386" t="s">
        <v>123</v>
      </c>
      <c r="B1386" t="s">
        <v>30</v>
      </c>
      <c r="C1386" t="s">
        <v>13</v>
      </c>
      <c r="D1386" t="s">
        <v>14</v>
      </c>
      <c r="E1386" t="s">
        <v>15</v>
      </c>
      <c r="F1386">
        <v>3665.62</v>
      </c>
      <c r="G1386">
        <v>73977</v>
      </c>
      <c r="H1386">
        <v>1646.75</v>
      </c>
      <c r="I1386">
        <v>43.77</v>
      </c>
      <c r="J1386" t="str">
        <f>IFERROR(INDEX(Suppliar[Estimated Carbon Footprint (tons CO₂e)],MATCH('Merge operational &amp; suppliar'!A1386,Suppliar[Facility ID],0)),"")</f>
        <v/>
      </c>
      <c r="K1386" t="str">
        <f>IFERROR(INDEX(Suppliar[Income Distribution (%)],MATCH('Merge operational &amp; suppliar'!A1386,Suppliar[Facility ID],0)),"")</f>
        <v/>
      </c>
    </row>
    <row r="1387" spans="1:11" x14ac:dyDescent="0.3">
      <c r="A1387" t="s">
        <v>192</v>
      </c>
      <c r="B1387" t="s">
        <v>19</v>
      </c>
      <c r="C1387" t="s">
        <v>13</v>
      </c>
      <c r="D1387" t="s">
        <v>9</v>
      </c>
      <c r="E1387" t="s">
        <v>15</v>
      </c>
      <c r="F1387">
        <v>4127.2299999999996</v>
      </c>
      <c r="G1387">
        <v>43227</v>
      </c>
      <c r="H1387">
        <v>5199.53</v>
      </c>
      <c r="I1387">
        <v>44.09</v>
      </c>
      <c r="J1387">
        <f>IFERROR(INDEX(Suppliar[Estimated Carbon Footprint (tons CO₂e)],MATCH('Merge operational &amp; suppliar'!A1387,Suppliar[Facility ID],0)),"")</f>
        <v>724.63</v>
      </c>
      <c r="K1387">
        <f>IFERROR(INDEX(Suppliar[Income Distribution (%)],MATCH('Merge operational &amp; suppliar'!A1387,Suppliar[Facility ID],0)),"")</f>
        <v>14.96</v>
      </c>
    </row>
    <row r="1388" spans="1:11" x14ac:dyDescent="0.3">
      <c r="A1388" t="s">
        <v>55</v>
      </c>
      <c r="B1388" t="s">
        <v>12</v>
      </c>
      <c r="C1388" t="s">
        <v>23</v>
      </c>
      <c r="D1388" t="s">
        <v>14</v>
      </c>
      <c r="E1388" t="s">
        <v>24</v>
      </c>
      <c r="F1388">
        <v>1251.29</v>
      </c>
      <c r="G1388">
        <v>38181</v>
      </c>
      <c r="H1388">
        <v>691.84</v>
      </c>
      <c r="I1388">
        <v>33.53</v>
      </c>
      <c r="J1388">
        <f>IFERROR(INDEX(Suppliar[Estimated Carbon Footprint (tons CO₂e)],MATCH('Merge operational &amp; suppliar'!A1388,Suppliar[Facility ID],0)),"")</f>
        <v>114.57</v>
      </c>
      <c r="K1388">
        <f>IFERROR(INDEX(Suppliar[Income Distribution (%)],MATCH('Merge operational &amp; suppliar'!A1388,Suppliar[Facility ID],0)),"")</f>
        <v>9.9600000000000009</v>
      </c>
    </row>
    <row r="1389" spans="1:11" x14ac:dyDescent="0.3">
      <c r="A1389" t="s">
        <v>207</v>
      </c>
      <c r="B1389" t="s">
        <v>17</v>
      </c>
      <c r="C1389" t="s">
        <v>13</v>
      </c>
      <c r="D1389" t="s">
        <v>28</v>
      </c>
      <c r="E1389" t="s">
        <v>15</v>
      </c>
      <c r="F1389">
        <v>3935.94</v>
      </c>
      <c r="G1389">
        <v>99115</v>
      </c>
      <c r="H1389">
        <v>827.26</v>
      </c>
      <c r="I1389">
        <v>28.88</v>
      </c>
      <c r="J1389">
        <f>IFERROR(INDEX(Suppliar[Estimated Carbon Footprint (tons CO₂e)],MATCH('Merge operational &amp; suppliar'!A1389,Suppliar[Facility ID],0)),"")</f>
        <v>818.45</v>
      </c>
      <c r="K1389">
        <f>IFERROR(INDEX(Suppliar[Income Distribution (%)],MATCH('Merge operational &amp; suppliar'!A1389,Suppliar[Facility ID],0)),"")</f>
        <v>27.59</v>
      </c>
    </row>
    <row r="1390" spans="1:11" x14ac:dyDescent="0.3">
      <c r="A1390" t="s">
        <v>42</v>
      </c>
      <c r="B1390" t="s">
        <v>30</v>
      </c>
      <c r="C1390" t="s">
        <v>34</v>
      </c>
      <c r="D1390" t="s">
        <v>28</v>
      </c>
      <c r="E1390" t="s">
        <v>15</v>
      </c>
      <c r="F1390">
        <v>1012.81</v>
      </c>
      <c r="G1390">
        <v>41539</v>
      </c>
      <c r="H1390">
        <v>982.8</v>
      </c>
      <c r="I1390">
        <v>79.7</v>
      </c>
      <c r="J1390">
        <f>IFERROR(INDEX(Suppliar[Estimated Carbon Footprint (tons CO₂e)],MATCH('Merge operational &amp; suppliar'!A1390,Suppliar[Facility ID],0)),"")</f>
        <v>851.48</v>
      </c>
      <c r="K1390">
        <f>IFERROR(INDEX(Suppliar[Income Distribution (%)],MATCH('Merge operational &amp; suppliar'!A1390,Suppliar[Facility ID],0)),"")</f>
        <v>13.07</v>
      </c>
    </row>
    <row r="1391" spans="1:11" x14ac:dyDescent="0.3">
      <c r="A1391" t="s">
        <v>205</v>
      </c>
      <c r="B1391" t="s">
        <v>17</v>
      </c>
      <c r="C1391" t="s">
        <v>23</v>
      </c>
      <c r="D1391" t="s">
        <v>28</v>
      </c>
      <c r="E1391" t="s">
        <v>15</v>
      </c>
      <c r="F1391">
        <v>817.03</v>
      </c>
      <c r="G1391">
        <v>52594</v>
      </c>
      <c r="H1391">
        <v>8715.0400000000009</v>
      </c>
      <c r="I1391">
        <v>90.54</v>
      </c>
      <c r="J1391">
        <f>IFERROR(INDEX(Suppliar[Estimated Carbon Footprint (tons CO₂e)],MATCH('Merge operational &amp; suppliar'!A1391,Suppliar[Facility ID],0)),"")</f>
        <v>553.44000000000005</v>
      </c>
      <c r="K1391">
        <f>IFERROR(INDEX(Suppliar[Income Distribution (%)],MATCH('Merge operational &amp; suppliar'!A1391,Suppliar[Facility ID],0)),"")</f>
        <v>23.44</v>
      </c>
    </row>
    <row r="1392" spans="1:11" x14ac:dyDescent="0.3">
      <c r="A1392" t="s">
        <v>170</v>
      </c>
      <c r="B1392" t="s">
        <v>12</v>
      </c>
      <c r="C1392" t="s">
        <v>13</v>
      </c>
      <c r="D1392" t="s">
        <v>28</v>
      </c>
      <c r="E1392" t="s">
        <v>15</v>
      </c>
      <c r="F1392">
        <v>4733.58</v>
      </c>
      <c r="G1392">
        <v>54133</v>
      </c>
      <c r="H1392">
        <v>8543.68</v>
      </c>
      <c r="I1392">
        <v>24</v>
      </c>
      <c r="J1392">
        <f>IFERROR(INDEX(Suppliar[Estimated Carbon Footprint (tons CO₂e)],MATCH('Merge operational &amp; suppliar'!A1392,Suppliar[Facility ID],0)),"")</f>
        <v>991.03</v>
      </c>
      <c r="K1392">
        <f>IFERROR(INDEX(Suppliar[Income Distribution (%)],MATCH('Merge operational &amp; suppliar'!A1392,Suppliar[Facility ID],0)),"")</f>
        <v>23.33</v>
      </c>
    </row>
    <row r="1393" spans="1:11" x14ac:dyDescent="0.3">
      <c r="A1393" t="s">
        <v>112</v>
      </c>
      <c r="B1393" t="s">
        <v>30</v>
      </c>
      <c r="C1393" t="s">
        <v>23</v>
      </c>
      <c r="D1393" t="s">
        <v>14</v>
      </c>
      <c r="E1393" t="s">
        <v>10</v>
      </c>
      <c r="F1393">
        <v>4851.63</v>
      </c>
      <c r="G1393">
        <v>43294</v>
      </c>
      <c r="H1393">
        <v>3802.13</v>
      </c>
      <c r="I1393">
        <v>45.84</v>
      </c>
      <c r="J1393">
        <f>IFERROR(INDEX(Suppliar[Estimated Carbon Footprint (tons CO₂e)],MATCH('Merge operational &amp; suppliar'!A1393,Suppliar[Facility ID],0)),"")</f>
        <v>756.78</v>
      </c>
      <c r="K1393">
        <f>IFERROR(INDEX(Suppliar[Income Distribution (%)],MATCH('Merge operational &amp; suppliar'!A1393,Suppliar[Facility ID],0)),"")</f>
        <v>28.42</v>
      </c>
    </row>
    <row r="1394" spans="1:11" x14ac:dyDescent="0.3">
      <c r="A1394" t="s">
        <v>173</v>
      </c>
      <c r="B1394" t="s">
        <v>30</v>
      </c>
      <c r="C1394" t="s">
        <v>34</v>
      </c>
      <c r="D1394" t="s">
        <v>28</v>
      </c>
      <c r="E1394" t="s">
        <v>10</v>
      </c>
      <c r="F1394">
        <v>2889.59</v>
      </c>
      <c r="G1394">
        <v>49620</v>
      </c>
      <c r="H1394">
        <v>2424.31</v>
      </c>
      <c r="I1394">
        <v>62.09</v>
      </c>
      <c r="J1394">
        <f>IFERROR(INDEX(Suppliar[Estimated Carbon Footprint (tons CO₂e)],MATCH('Merge operational &amp; suppliar'!A1394,Suppliar[Facility ID],0)),"")</f>
        <v>184.92</v>
      </c>
      <c r="K1394">
        <f>IFERROR(INDEX(Suppliar[Income Distribution (%)],MATCH('Merge operational &amp; suppliar'!A1394,Suppliar[Facility ID],0)),"")</f>
        <v>19.55</v>
      </c>
    </row>
    <row r="1395" spans="1:11" x14ac:dyDescent="0.3">
      <c r="A1395" t="s">
        <v>126</v>
      </c>
      <c r="B1395" t="s">
        <v>30</v>
      </c>
      <c r="C1395" t="s">
        <v>34</v>
      </c>
      <c r="D1395" t="s">
        <v>14</v>
      </c>
      <c r="E1395" t="s">
        <v>10</v>
      </c>
      <c r="F1395">
        <v>2545.79</v>
      </c>
      <c r="G1395">
        <v>35506</v>
      </c>
      <c r="H1395">
        <v>1892.04</v>
      </c>
      <c r="I1395">
        <v>61.53</v>
      </c>
      <c r="J1395" t="str">
        <f>IFERROR(INDEX(Suppliar[Estimated Carbon Footprint (tons CO₂e)],MATCH('Merge operational &amp; suppliar'!A1395,Suppliar[Facility ID],0)),"")</f>
        <v/>
      </c>
      <c r="K1395" t="str">
        <f>IFERROR(INDEX(Suppliar[Income Distribution (%)],MATCH('Merge operational &amp; suppliar'!A1395,Suppliar[Facility ID],0)),"")</f>
        <v/>
      </c>
    </row>
    <row r="1396" spans="1:11" x14ac:dyDescent="0.3">
      <c r="A1396" t="s">
        <v>206</v>
      </c>
      <c r="B1396" t="s">
        <v>19</v>
      </c>
      <c r="C1396" t="s">
        <v>23</v>
      </c>
      <c r="D1396" t="s">
        <v>9</v>
      </c>
      <c r="E1396" t="s">
        <v>24</v>
      </c>
      <c r="F1396">
        <v>3857.37</v>
      </c>
      <c r="G1396">
        <v>10250</v>
      </c>
      <c r="H1396">
        <v>4717</v>
      </c>
      <c r="I1396">
        <v>16.600000000000001</v>
      </c>
      <c r="J1396">
        <f>IFERROR(INDEX(Suppliar[Estimated Carbon Footprint (tons CO₂e)],MATCH('Merge operational &amp; suppliar'!A1396,Suppliar[Facility ID],0)),"")</f>
        <v>249.3</v>
      </c>
      <c r="K1396">
        <f>IFERROR(INDEX(Suppliar[Income Distribution (%)],MATCH('Merge operational &amp; suppliar'!A1396,Suppliar[Facility ID],0)),"")</f>
        <v>32.97</v>
      </c>
    </row>
    <row r="1397" spans="1:11" x14ac:dyDescent="0.3">
      <c r="A1397" t="s">
        <v>29</v>
      </c>
      <c r="B1397" t="s">
        <v>30</v>
      </c>
      <c r="C1397" t="s">
        <v>8</v>
      </c>
      <c r="D1397" t="s">
        <v>9</v>
      </c>
      <c r="E1397" t="s">
        <v>10</v>
      </c>
      <c r="F1397">
        <v>1399.19</v>
      </c>
      <c r="G1397">
        <v>32131</v>
      </c>
      <c r="H1397">
        <v>1474.23</v>
      </c>
      <c r="I1397">
        <v>45.47</v>
      </c>
      <c r="J1397">
        <f>IFERROR(INDEX(Suppliar[Estimated Carbon Footprint (tons CO₂e)],MATCH('Merge operational &amp; suppliar'!A1397,Suppliar[Facility ID],0)),"")</f>
        <v>830.73</v>
      </c>
      <c r="K1397">
        <f>IFERROR(INDEX(Suppliar[Income Distribution (%)],MATCH('Merge operational &amp; suppliar'!A1397,Suppliar[Facility ID],0)),"")</f>
        <v>17.97</v>
      </c>
    </row>
    <row r="1398" spans="1:11" x14ac:dyDescent="0.3">
      <c r="A1398" t="s">
        <v>115</v>
      </c>
      <c r="B1398" t="s">
        <v>19</v>
      </c>
      <c r="C1398" t="s">
        <v>8</v>
      </c>
      <c r="D1398" t="s">
        <v>28</v>
      </c>
      <c r="E1398" t="s">
        <v>10</v>
      </c>
      <c r="F1398">
        <v>1563.76</v>
      </c>
      <c r="G1398">
        <v>17162</v>
      </c>
      <c r="H1398">
        <v>5079.95</v>
      </c>
      <c r="I1398">
        <v>19.239999999999998</v>
      </c>
      <c r="J1398">
        <f>IFERROR(INDEX(Suppliar[Estimated Carbon Footprint (tons CO₂e)],MATCH('Merge operational &amp; suppliar'!A1398,Suppliar[Facility ID],0)),"")</f>
        <v>769.39</v>
      </c>
      <c r="K1398">
        <f>IFERROR(INDEX(Suppliar[Income Distribution (%)],MATCH('Merge operational &amp; suppliar'!A1398,Suppliar[Facility ID],0)),"")</f>
        <v>35.29</v>
      </c>
    </row>
    <row r="1399" spans="1:11" x14ac:dyDescent="0.3">
      <c r="A1399" t="s">
        <v>218</v>
      </c>
      <c r="B1399" t="s">
        <v>17</v>
      </c>
      <c r="C1399" t="s">
        <v>13</v>
      </c>
      <c r="D1399" t="s">
        <v>14</v>
      </c>
      <c r="E1399" t="s">
        <v>10</v>
      </c>
      <c r="F1399">
        <v>2518.31</v>
      </c>
      <c r="G1399">
        <v>22525</v>
      </c>
      <c r="H1399">
        <v>9465.65</v>
      </c>
      <c r="I1399">
        <v>37.79</v>
      </c>
      <c r="J1399">
        <f>IFERROR(INDEX(Suppliar[Estimated Carbon Footprint (tons CO₂e)],MATCH('Merge operational &amp; suppliar'!A1399,Suppliar[Facility ID],0)),"")</f>
        <v>472.66</v>
      </c>
      <c r="K1399">
        <f>IFERROR(INDEX(Suppliar[Income Distribution (%)],MATCH('Merge operational &amp; suppliar'!A1399,Suppliar[Facility ID],0)),"")</f>
        <v>55.03</v>
      </c>
    </row>
    <row r="1400" spans="1:11" x14ac:dyDescent="0.3">
      <c r="A1400" t="s">
        <v>71</v>
      </c>
      <c r="B1400" t="s">
        <v>7</v>
      </c>
      <c r="C1400" t="s">
        <v>23</v>
      </c>
      <c r="D1400" t="s">
        <v>14</v>
      </c>
      <c r="E1400" t="s">
        <v>15</v>
      </c>
      <c r="F1400">
        <v>4134.78</v>
      </c>
      <c r="G1400">
        <v>68018</v>
      </c>
      <c r="H1400">
        <v>3523.4</v>
      </c>
      <c r="I1400">
        <v>92.26</v>
      </c>
      <c r="J1400">
        <f>IFERROR(INDEX(Suppliar[Estimated Carbon Footprint (tons CO₂e)],MATCH('Merge operational &amp; suppliar'!A1400,Suppliar[Facility ID],0)),"")</f>
        <v>111.84</v>
      </c>
      <c r="K1400">
        <f>IFERROR(INDEX(Suppliar[Income Distribution (%)],MATCH('Merge operational &amp; suppliar'!A1400,Suppliar[Facility ID],0)),"")</f>
        <v>15.85</v>
      </c>
    </row>
    <row r="1401" spans="1:11" x14ac:dyDescent="0.3">
      <c r="A1401" t="s">
        <v>178</v>
      </c>
      <c r="B1401" t="s">
        <v>30</v>
      </c>
      <c r="C1401" t="s">
        <v>8</v>
      </c>
      <c r="D1401" t="s">
        <v>28</v>
      </c>
      <c r="E1401" t="s">
        <v>10</v>
      </c>
      <c r="F1401">
        <v>2532.84</v>
      </c>
      <c r="G1401">
        <v>88188</v>
      </c>
      <c r="H1401">
        <v>815.86</v>
      </c>
      <c r="I1401">
        <v>57.53</v>
      </c>
      <c r="J1401">
        <f>IFERROR(INDEX(Suppliar[Estimated Carbon Footprint (tons CO₂e)],MATCH('Merge operational &amp; suppliar'!A1401,Suppliar[Facility ID],0)),"")</f>
        <v>557.72</v>
      </c>
      <c r="K1401">
        <f>IFERROR(INDEX(Suppliar[Income Distribution (%)],MATCH('Merge operational &amp; suppliar'!A1401,Suppliar[Facility ID],0)),"")</f>
        <v>37.25</v>
      </c>
    </row>
    <row r="1402" spans="1:11" x14ac:dyDescent="0.3">
      <c r="A1402" t="s">
        <v>110</v>
      </c>
      <c r="B1402" t="s">
        <v>12</v>
      </c>
      <c r="C1402" t="s">
        <v>8</v>
      </c>
      <c r="D1402" t="s">
        <v>14</v>
      </c>
      <c r="E1402" t="s">
        <v>10</v>
      </c>
      <c r="F1402">
        <v>2192.7800000000002</v>
      </c>
      <c r="G1402">
        <v>70481</v>
      </c>
      <c r="H1402">
        <v>4452.83</v>
      </c>
      <c r="I1402">
        <v>91.26</v>
      </c>
      <c r="J1402" t="str">
        <f>IFERROR(INDEX(Suppliar[Estimated Carbon Footprint (tons CO₂e)],MATCH('Merge operational &amp; suppliar'!A1402,Suppliar[Facility ID],0)),"")</f>
        <v/>
      </c>
      <c r="K1402" t="str">
        <f>IFERROR(INDEX(Suppliar[Income Distribution (%)],MATCH('Merge operational &amp; suppliar'!A1402,Suppliar[Facility ID],0)),"")</f>
        <v/>
      </c>
    </row>
    <row r="1403" spans="1:11" x14ac:dyDescent="0.3">
      <c r="A1403" t="s">
        <v>168</v>
      </c>
      <c r="B1403" t="s">
        <v>17</v>
      </c>
      <c r="C1403" t="s">
        <v>23</v>
      </c>
      <c r="D1403" t="s">
        <v>28</v>
      </c>
      <c r="E1403" t="s">
        <v>24</v>
      </c>
      <c r="F1403">
        <v>2433.0700000000002</v>
      </c>
      <c r="G1403">
        <v>41050</v>
      </c>
      <c r="H1403">
        <v>6025.84</v>
      </c>
      <c r="I1403">
        <v>53.53</v>
      </c>
      <c r="J1403">
        <f>IFERROR(INDEX(Suppliar[Estimated Carbon Footprint (tons CO₂e)],MATCH('Merge operational &amp; suppliar'!A1403,Suppliar[Facility ID],0)),"")</f>
        <v>289.77</v>
      </c>
      <c r="K1403">
        <f>IFERROR(INDEX(Suppliar[Income Distribution (%)],MATCH('Merge operational &amp; suppliar'!A1403,Suppliar[Facility ID],0)),"")</f>
        <v>19.260000000000002</v>
      </c>
    </row>
    <row r="1404" spans="1:11" x14ac:dyDescent="0.3">
      <c r="A1404" t="s">
        <v>190</v>
      </c>
      <c r="B1404" t="s">
        <v>17</v>
      </c>
      <c r="C1404" t="s">
        <v>8</v>
      </c>
      <c r="D1404" t="s">
        <v>28</v>
      </c>
      <c r="E1404" t="s">
        <v>10</v>
      </c>
      <c r="F1404">
        <v>3760.84</v>
      </c>
      <c r="G1404">
        <v>41953</v>
      </c>
      <c r="H1404">
        <v>2379.14</v>
      </c>
      <c r="I1404">
        <v>65.67</v>
      </c>
      <c r="J1404">
        <f>IFERROR(INDEX(Suppliar[Estimated Carbon Footprint (tons CO₂e)],MATCH('Merge operational &amp; suppliar'!A1404,Suppliar[Facility ID],0)),"")</f>
        <v>571.66</v>
      </c>
      <c r="K1404">
        <f>IFERROR(INDEX(Suppliar[Income Distribution (%)],MATCH('Merge operational &amp; suppliar'!A1404,Suppliar[Facility ID],0)),"")</f>
        <v>14.81</v>
      </c>
    </row>
    <row r="1405" spans="1:11" x14ac:dyDescent="0.3">
      <c r="A1405" t="s">
        <v>64</v>
      </c>
      <c r="B1405" t="s">
        <v>30</v>
      </c>
      <c r="C1405" t="s">
        <v>8</v>
      </c>
      <c r="D1405" t="s">
        <v>9</v>
      </c>
      <c r="E1405" t="s">
        <v>10</v>
      </c>
      <c r="F1405">
        <v>3726.94</v>
      </c>
      <c r="G1405">
        <v>52836</v>
      </c>
      <c r="H1405">
        <v>9330.2999999999993</v>
      </c>
      <c r="I1405">
        <v>87.27</v>
      </c>
      <c r="J1405" t="str">
        <f>IFERROR(INDEX(Suppliar[Estimated Carbon Footprint (tons CO₂e)],MATCH('Merge operational &amp; suppliar'!A1405,Suppliar[Facility ID],0)),"")</f>
        <v/>
      </c>
      <c r="K1405" t="str">
        <f>IFERROR(INDEX(Suppliar[Income Distribution (%)],MATCH('Merge operational &amp; suppliar'!A1405,Suppliar[Facility ID],0)),"")</f>
        <v/>
      </c>
    </row>
    <row r="1406" spans="1:11" x14ac:dyDescent="0.3">
      <c r="A1406" t="s">
        <v>186</v>
      </c>
      <c r="B1406" t="s">
        <v>30</v>
      </c>
      <c r="C1406" t="s">
        <v>8</v>
      </c>
      <c r="D1406" t="s">
        <v>14</v>
      </c>
      <c r="E1406" t="s">
        <v>10</v>
      </c>
      <c r="F1406">
        <v>3670.96</v>
      </c>
      <c r="G1406">
        <v>85868</v>
      </c>
      <c r="H1406">
        <v>907.72</v>
      </c>
      <c r="I1406">
        <v>90.36</v>
      </c>
      <c r="J1406">
        <f>IFERROR(INDEX(Suppliar[Estimated Carbon Footprint (tons CO₂e)],MATCH('Merge operational &amp; suppliar'!A1406,Suppliar[Facility ID],0)),"")</f>
        <v>960.4</v>
      </c>
      <c r="K1406">
        <f>IFERROR(INDEX(Suppliar[Income Distribution (%)],MATCH('Merge operational &amp; suppliar'!A1406,Suppliar[Facility ID],0)),"")</f>
        <v>10.65</v>
      </c>
    </row>
    <row r="1407" spans="1:11" x14ac:dyDescent="0.3">
      <c r="A1407" t="s">
        <v>97</v>
      </c>
      <c r="B1407" t="s">
        <v>7</v>
      </c>
      <c r="C1407" t="s">
        <v>13</v>
      </c>
      <c r="D1407" t="s">
        <v>9</v>
      </c>
      <c r="E1407" t="s">
        <v>10</v>
      </c>
      <c r="F1407">
        <v>1821.13</v>
      </c>
      <c r="G1407">
        <v>78624</v>
      </c>
      <c r="H1407">
        <v>2373.27</v>
      </c>
      <c r="I1407">
        <v>25.07</v>
      </c>
      <c r="J1407" t="str">
        <f>IFERROR(INDEX(Suppliar[Estimated Carbon Footprint (tons CO₂e)],MATCH('Merge operational &amp; suppliar'!A1407,Suppliar[Facility ID],0)),"")</f>
        <v/>
      </c>
      <c r="K1407" t="str">
        <f>IFERROR(INDEX(Suppliar[Income Distribution (%)],MATCH('Merge operational &amp; suppliar'!A1407,Suppliar[Facility ID],0)),"")</f>
        <v/>
      </c>
    </row>
    <row r="1408" spans="1:11" x14ac:dyDescent="0.3">
      <c r="A1408" t="s">
        <v>163</v>
      </c>
      <c r="B1408" t="s">
        <v>19</v>
      </c>
      <c r="C1408" t="s">
        <v>23</v>
      </c>
      <c r="D1408" t="s">
        <v>28</v>
      </c>
      <c r="E1408" t="s">
        <v>10</v>
      </c>
      <c r="F1408">
        <v>231.16</v>
      </c>
      <c r="G1408">
        <v>87482</v>
      </c>
      <c r="H1408">
        <v>2231.7399999999998</v>
      </c>
      <c r="I1408">
        <v>45.43</v>
      </c>
      <c r="J1408">
        <f>IFERROR(INDEX(Suppliar[Estimated Carbon Footprint (tons CO₂e)],MATCH('Merge operational &amp; suppliar'!A1408,Suppliar[Facility ID],0)),"")</f>
        <v>638.89</v>
      </c>
      <c r="K1408">
        <f>IFERROR(INDEX(Suppliar[Income Distribution (%)],MATCH('Merge operational &amp; suppliar'!A1408,Suppliar[Facility ID],0)),"")</f>
        <v>24.69</v>
      </c>
    </row>
    <row r="1409" spans="1:11" x14ac:dyDescent="0.3">
      <c r="A1409" t="s">
        <v>165</v>
      </c>
      <c r="B1409" t="s">
        <v>7</v>
      </c>
      <c r="C1409" t="s">
        <v>13</v>
      </c>
      <c r="D1409" t="s">
        <v>9</v>
      </c>
      <c r="E1409" t="s">
        <v>15</v>
      </c>
      <c r="F1409">
        <v>1503.89</v>
      </c>
      <c r="G1409">
        <v>32991</v>
      </c>
      <c r="H1409">
        <v>8540.14</v>
      </c>
      <c r="I1409">
        <v>37.75</v>
      </c>
      <c r="J1409">
        <f>IFERROR(INDEX(Suppliar[Estimated Carbon Footprint (tons CO₂e)],MATCH('Merge operational &amp; suppliar'!A1409,Suppliar[Facility ID],0)),"")</f>
        <v>268.16000000000003</v>
      </c>
      <c r="K1409">
        <f>IFERROR(INDEX(Suppliar[Income Distribution (%)],MATCH('Merge operational &amp; suppliar'!A1409,Suppliar[Facility ID],0)),"")</f>
        <v>9.08</v>
      </c>
    </row>
    <row r="1410" spans="1:11" x14ac:dyDescent="0.3">
      <c r="A1410" t="s">
        <v>65</v>
      </c>
      <c r="B1410" t="s">
        <v>30</v>
      </c>
      <c r="C1410" t="s">
        <v>23</v>
      </c>
      <c r="D1410" t="s">
        <v>28</v>
      </c>
      <c r="E1410" t="s">
        <v>24</v>
      </c>
      <c r="F1410">
        <v>1448.62</v>
      </c>
      <c r="G1410">
        <v>99026</v>
      </c>
      <c r="H1410">
        <v>5453.2</v>
      </c>
      <c r="I1410">
        <v>57.49</v>
      </c>
      <c r="J1410">
        <f>IFERROR(INDEX(Suppliar[Estimated Carbon Footprint (tons CO₂e)],MATCH('Merge operational &amp; suppliar'!A1410,Suppliar[Facility ID],0)),"")</f>
        <v>231.68</v>
      </c>
      <c r="K1410">
        <f>IFERROR(INDEX(Suppliar[Income Distribution (%)],MATCH('Merge operational &amp; suppliar'!A1410,Suppliar[Facility ID],0)),"")</f>
        <v>24.26</v>
      </c>
    </row>
    <row r="1411" spans="1:11" x14ac:dyDescent="0.3">
      <c r="A1411" t="s">
        <v>95</v>
      </c>
      <c r="B1411" t="s">
        <v>30</v>
      </c>
      <c r="C1411" t="s">
        <v>13</v>
      </c>
      <c r="D1411" t="s">
        <v>14</v>
      </c>
      <c r="E1411" t="s">
        <v>10</v>
      </c>
      <c r="F1411">
        <v>3712.48</v>
      </c>
      <c r="G1411">
        <v>51800</v>
      </c>
      <c r="H1411">
        <v>3042.95</v>
      </c>
      <c r="I1411">
        <v>71.87</v>
      </c>
      <c r="J1411">
        <f>IFERROR(INDEX(Suppliar[Estimated Carbon Footprint (tons CO₂e)],MATCH('Merge operational &amp; suppliar'!A1411,Suppliar[Facility ID],0)),"")</f>
        <v>714.03</v>
      </c>
      <c r="K1411">
        <f>IFERROR(INDEX(Suppliar[Income Distribution (%)],MATCH('Merge operational &amp; suppliar'!A1411,Suppliar[Facility ID],0)),"")</f>
        <v>10.84</v>
      </c>
    </row>
    <row r="1412" spans="1:11" x14ac:dyDescent="0.3">
      <c r="A1412" t="s">
        <v>98</v>
      </c>
      <c r="B1412" t="s">
        <v>19</v>
      </c>
      <c r="C1412" t="s">
        <v>23</v>
      </c>
      <c r="D1412" t="s">
        <v>28</v>
      </c>
      <c r="E1412" t="s">
        <v>10</v>
      </c>
      <c r="F1412">
        <v>4843.3</v>
      </c>
      <c r="G1412">
        <v>26170</v>
      </c>
      <c r="H1412">
        <v>8057.54</v>
      </c>
      <c r="I1412">
        <v>63.71</v>
      </c>
      <c r="J1412" t="str">
        <f>IFERROR(INDEX(Suppliar[Estimated Carbon Footprint (tons CO₂e)],MATCH('Merge operational &amp; suppliar'!A1412,Suppliar[Facility ID],0)),"")</f>
        <v/>
      </c>
      <c r="K1412" t="str">
        <f>IFERROR(INDEX(Suppliar[Income Distribution (%)],MATCH('Merge operational &amp; suppliar'!A1412,Suppliar[Facility ID],0)),"")</f>
        <v/>
      </c>
    </row>
    <row r="1413" spans="1:11" x14ac:dyDescent="0.3">
      <c r="A1413" t="s">
        <v>137</v>
      </c>
      <c r="B1413" t="s">
        <v>17</v>
      </c>
      <c r="C1413" t="s">
        <v>23</v>
      </c>
      <c r="D1413" t="s">
        <v>14</v>
      </c>
      <c r="E1413" t="s">
        <v>15</v>
      </c>
      <c r="F1413">
        <v>2038.87</v>
      </c>
      <c r="G1413">
        <v>19265</v>
      </c>
      <c r="H1413">
        <v>776.6</v>
      </c>
      <c r="I1413">
        <v>39.75</v>
      </c>
      <c r="J1413">
        <f>IFERROR(INDEX(Suppliar[Estimated Carbon Footprint (tons CO₂e)],MATCH('Merge operational &amp; suppliar'!A1413,Suppliar[Facility ID],0)),"")</f>
        <v>289.77</v>
      </c>
      <c r="K1413">
        <f>IFERROR(INDEX(Suppliar[Income Distribution (%)],MATCH('Merge operational &amp; suppliar'!A1413,Suppliar[Facility ID],0)),"")</f>
        <v>37.270000000000003</v>
      </c>
    </row>
    <row r="1414" spans="1:11" x14ac:dyDescent="0.3">
      <c r="A1414" t="s">
        <v>218</v>
      </c>
      <c r="B1414" t="s">
        <v>17</v>
      </c>
      <c r="C1414" t="s">
        <v>8</v>
      </c>
      <c r="D1414" t="s">
        <v>28</v>
      </c>
      <c r="E1414" t="s">
        <v>24</v>
      </c>
      <c r="F1414">
        <v>501.53</v>
      </c>
      <c r="G1414">
        <v>22525</v>
      </c>
      <c r="H1414">
        <v>9465.65</v>
      </c>
      <c r="I1414">
        <v>37.79</v>
      </c>
      <c r="J1414">
        <f>IFERROR(INDEX(Suppliar[Estimated Carbon Footprint (tons CO₂e)],MATCH('Merge operational &amp; suppliar'!A1414,Suppliar[Facility ID],0)),"")</f>
        <v>472.66</v>
      </c>
      <c r="K1414">
        <f>IFERROR(INDEX(Suppliar[Income Distribution (%)],MATCH('Merge operational &amp; suppliar'!A1414,Suppliar[Facility ID],0)),"")</f>
        <v>55.03</v>
      </c>
    </row>
    <row r="1415" spans="1:11" x14ac:dyDescent="0.3">
      <c r="A1415" t="s">
        <v>141</v>
      </c>
      <c r="B1415" t="s">
        <v>7</v>
      </c>
      <c r="C1415" t="s">
        <v>34</v>
      </c>
      <c r="D1415" t="s">
        <v>14</v>
      </c>
      <c r="E1415" t="s">
        <v>24</v>
      </c>
      <c r="F1415">
        <v>2494.41</v>
      </c>
      <c r="G1415">
        <v>45644</v>
      </c>
      <c r="H1415">
        <v>7724.73</v>
      </c>
      <c r="I1415">
        <v>31</v>
      </c>
      <c r="J1415">
        <f>IFERROR(INDEX(Suppliar[Estimated Carbon Footprint (tons CO₂e)],MATCH('Merge operational &amp; suppliar'!A1415,Suppliar[Facility ID],0)),"")</f>
        <v>685.27</v>
      </c>
      <c r="K1415">
        <f>IFERROR(INDEX(Suppliar[Income Distribution (%)],MATCH('Merge operational &amp; suppliar'!A1415,Suppliar[Facility ID],0)),"")</f>
        <v>33.94</v>
      </c>
    </row>
    <row r="1416" spans="1:11" x14ac:dyDescent="0.3">
      <c r="A1416" t="s">
        <v>79</v>
      </c>
      <c r="B1416" t="s">
        <v>17</v>
      </c>
      <c r="C1416" t="s">
        <v>8</v>
      </c>
      <c r="D1416" t="s">
        <v>14</v>
      </c>
      <c r="E1416" t="s">
        <v>24</v>
      </c>
      <c r="F1416">
        <v>3410.79</v>
      </c>
      <c r="G1416">
        <v>40503</v>
      </c>
      <c r="H1416">
        <v>7447.46</v>
      </c>
      <c r="I1416">
        <v>98.27</v>
      </c>
      <c r="J1416">
        <f>IFERROR(INDEX(Suppliar[Estimated Carbon Footprint (tons CO₂e)],MATCH('Merge operational &amp; suppliar'!A1416,Suppliar[Facility ID],0)),"")</f>
        <v>209.33</v>
      </c>
      <c r="K1416">
        <f>IFERROR(INDEX(Suppliar[Income Distribution (%)],MATCH('Merge operational &amp; suppliar'!A1416,Suppliar[Facility ID],0)),"")</f>
        <v>39.549999999999997</v>
      </c>
    </row>
    <row r="1417" spans="1:11" x14ac:dyDescent="0.3">
      <c r="A1417" t="s">
        <v>89</v>
      </c>
      <c r="B1417" t="s">
        <v>17</v>
      </c>
      <c r="C1417" t="s">
        <v>8</v>
      </c>
      <c r="D1417" t="s">
        <v>9</v>
      </c>
      <c r="E1417" t="s">
        <v>15</v>
      </c>
      <c r="F1417">
        <v>4596.05</v>
      </c>
      <c r="G1417">
        <v>36171</v>
      </c>
      <c r="H1417">
        <v>6864.38</v>
      </c>
      <c r="I1417">
        <v>37.03</v>
      </c>
      <c r="J1417">
        <f>IFERROR(INDEX(Suppliar[Estimated Carbon Footprint (tons CO₂e)],MATCH('Merge operational &amp; suppliar'!A1417,Suppliar[Facility ID],0)),"")</f>
        <v>181.54</v>
      </c>
      <c r="K1417">
        <f>IFERROR(INDEX(Suppliar[Income Distribution (%)],MATCH('Merge operational &amp; suppliar'!A1417,Suppliar[Facility ID],0)),"")</f>
        <v>55.69</v>
      </c>
    </row>
    <row r="1418" spans="1:11" x14ac:dyDescent="0.3">
      <c r="A1418" t="s">
        <v>160</v>
      </c>
      <c r="B1418" t="s">
        <v>30</v>
      </c>
      <c r="C1418" t="s">
        <v>8</v>
      </c>
      <c r="D1418" t="s">
        <v>28</v>
      </c>
      <c r="E1418" t="s">
        <v>24</v>
      </c>
      <c r="F1418">
        <v>2175.48</v>
      </c>
      <c r="G1418">
        <v>18341</v>
      </c>
      <c r="H1418">
        <v>8465.57</v>
      </c>
      <c r="I1418">
        <v>38.39</v>
      </c>
      <c r="J1418" t="str">
        <f>IFERROR(INDEX(Suppliar[Estimated Carbon Footprint (tons CO₂e)],MATCH('Merge operational &amp; suppliar'!A1418,Suppliar[Facility ID],0)),"")</f>
        <v/>
      </c>
      <c r="K1418" t="str">
        <f>IFERROR(INDEX(Suppliar[Income Distribution (%)],MATCH('Merge operational &amp; suppliar'!A1418,Suppliar[Facility ID],0)),"")</f>
        <v/>
      </c>
    </row>
    <row r="1419" spans="1:11" x14ac:dyDescent="0.3">
      <c r="A1419" t="s">
        <v>173</v>
      </c>
      <c r="B1419" t="s">
        <v>30</v>
      </c>
      <c r="C1419" t="s">
        <v>8</v>
      </c>
      <c r="D1419" t="s">
        <v>28</v>
      </c>
      <c r="E1419" t="s">
        <v>10</v>
      </c>
      <c r="F1419">
        <v>4410.9799999999996</v>
      </c>
      <c r="G1419">
        <v>49620</v>
      </c>
      <c r="H1419">
        <v>2424.31</v>
      </c>
      <c r="I1419">
        <v>62.09</v>
      </c>
      <c r="J1419">
        <f>IFERROR(INDEX(Suppliar[Estimated Carbon Footprint (tons CO₂e)],MATCH('Merge operational &amp; suppliar'!A1419,Suppliar[Facility ID],0)),"")</f>
        <v>184.92</v>
      </c>
      <c r="K1419">
        <f>IFERROR(INDEX(Suppliar[Income Distribution (%)],MATCH('Merge operational &amp; suppliar'!A1419,Suppliar[Facility ID],0)),"")</f>
        <v>19.55</v>
      </c>
    </row>
    <row r="1420" spans="1:11" x14ac:dyDescent="0.3">
      <c r="A1420" t="s">
        <v>67</v>
      </c>
      <c r="B1420" t="s">
        <v>7</v>
      </c>
      <c r="C1420" t="s">
        <v>8</v>
      </c>
      <c r="D1420" t="s">
        <v>9</v>
      </c>
      <c r="E1420" t="s">
        <v>15</v>
      </c>
      <c r="F1420">
        <v>4785.2299999999996</v>
      </c>
      <c r="G1420">
        <v>70582</v>
      </c>
      <c r="H1420">
        <v>7517.59</v>
      </c>
      <c r="I1420">
        <v>95.71</v>
      </c>
      <c r="J1420" t="str">
        <f>IFERROR(INDEX(Suppliar[Estimated Carbon Footprint (tons CO₂e)],MATCH('Merge operational &amp; suppliar'!A1420,Suppliar[Facility ID],0)),"")</f>
        <v/>
      </c>
      <c r="K1420" t="str">
        <f>IFERROR(INDEX(Suppliar[Income Distribution (%)],MATCH('Merge operational &amp; suppliar'!A1420,Suppliar[Facility ID],0)),"")</f>
        <v/>
      </c>
    </row>
    <row r="1421" spans="1:11" x14ac:dyDescent="0.3">
      <c r="A1421" t="s">
        <v>45</v>
      </c>
      <c r="B1421" t="s">
        <v>7</v>
      </c>
      <c r="C1421" t="s">
        <v>23</v>
      </c>
      <c r="D1421" t="s">
        <v>28</v>
      </c>
      <c r="E1421" t="s">
        <v>15</v>
      </c>
      <c r="F1421">
        <v>3604.55</v>
      </c>
      <c r="G1421">
        <v>49924</v>
      </c>
      <c r="H1421">
        <v>2199.16</v>
      </c>
      <c r="I1421">
        <v>75.48</v>
      </c>
      <c r="J1421">
        <f>IFERROR(INDEX(Suppliar[Estimated Carbon Footprint (tons CO₂e)],MATCH('Merge operational &amp; suppliar'!A1421,Suppliar[Facility ID],0)),"")</f>
        <v>432.23</v>
      </c>
      <c r="K1421">
        <f>IFERROR(INDEX(Suppliar[Income Distribution (%)],MATCH('Merge operational &amp; suppliar'!A1421,Suppliar[Facility ID],0)),"")</f>
        <v>13.54</v>
      </c>
    </row>
    <row r="1422" spans="1:11" x14ac:dyDescent="0.3">
      <c r="A1422" t="s">
        <v>109</v>
      </c>
      <c r="B1422" t="s">
        <v>12</v>
      </c>
      <c r="C1422" t="s">
        <v>13</v>
      </c>
      <c r="D1422" t="s">
        <v>28</v>
      </c>
      <c r="E1422" t="s">
        <v>15</v>
      </c>
      <c r="F1422">
        <v>3470.96</v>
      </c>
      <c r="G1422">
        <v>84721</v>
      </c>
      <c r="H1422">
        <v>2278.9699999999998</v>
      </c>
      <c r="I1422">
        <v>68.53</v>
      </c>
      <c r="J1422">
        <f>IFERROR(INDEX(Suppliar[Estimated Carbon Footprint (tons CO₂e)],MATCH('Merge operational &amp; suppliar'!A1422,Suppliar[Facility ID],0)),"")</f>
        <v>796.34</v>
      </c>
      <c r="K1422">
        <f>IFERROR(INDEX(Suppliar[Income Distribution (%)],MATCH('Merge operational &amp; suppliar'!A1422,Suppliar[Facility ID],0)),"")</f>
        <v>33.590000000000003</v>
      </c>
    </row>
    <row r="1423" spans="1:11" x14ac:dyDescent="0.3">
      <c r="A1423" t="s">
        <v>112</v>
      </c>
      <c r="B1423" t="s">
        <v>30</v>
      </c>
      <c r="C1423" t="s">
        <v>23</v>
      </c>
      <c r="D1423" t="s">
        <v>14</v>
      </c>
      <c r="E1423" t="s">
        <v>10</v>
      </c>
      <c r="F1423">
        <v>3506.46</v>
      </c>
      <c r="G1423">
        <v>43294</v>
      </c>
      <c r="H1423">
        <v>3802.13</v>
      </c>
      <c r="I1423">
        <v>45.84</v>
      </c>
      <c r="J1423">
        <f>IFERROR(INDEX(Suppliar[Estimated Carbon Footprint (tons CO₂e)],MATCH('Merge operational &amp; suppliar'!A1423,Suppliar[Facility ID],0)),"")</f>
        <v>756.78</v>
      </c>
      <c r="K1423">
        <f>IFERROR(INDEX(Suppliar[Income Distribution (%)],MATCH('Merge operational &amp; suppliar'!A1423,Suppliar[Facility ID],0)),"")</f>
        <v>28.42</v>
      </c>
    </row>
    <row r="1424" spans="1:11" x14ac:dyDescent="0.3">
      <c r="A1424" t="s">
        <v>175</v>
      </c>
      <c r="B1424" t="s">
        <v>7</v>
      </c>
      <c r="C1424" t="s">
        <v>13</v>
      </c>
      <c r="D1424" t="s">
        <v>9</v>
      </c>
      <c r="E1424" t="s">
        <v>24</v>
      </c>
      <c r="F1424">
        <v>2058.13</v>
      </c>
      <c r="G1424">
        <v>83923</v>
      </c>
      <c r="H1424">
        <v>8768.7999999999993</v>
      </c>
      <c r="I1424">
        <v>65.290000000000006</v>
      </c>
      <c r="J1424">
        <f>IFERROR(INDEX(Suppliar[Estimated Carbon Footprint (tons CO₂e)],MATCH('Merge operational &amp; suppliar'!A1424,Suppliar[Facility ID],0)),"")</f>
        <v>579.80999999999995</v>
      </c>
      <c r="K1424">
        <f>IFERROR(INDEX(Suppliar[Income Distribution (%)],MATCH('Merge operational &amp; suppliar'!A1424,Suppliar[Facility ID],0)),"")</f>
        <v>34.93</v>
      </c>
    </row>
    <row r="1425" spans="1:11" x14ac:dyDescent="0.3">
      <c r="A1425" t="s">
        <v>94</v>
      </c>
      <c r="B1425" t="s">
        <v>7</v>
      </c>
      <c r="C1425" t="s">
        <v>34</v>
      </c>
      <c r="D1425" t="s">
        <v>28</v>
      </c>
      <c r="E1425" t="s">
        <v>24</v>
      </c>
      <c r="F1425">
        <v>1643.92</v>
      </c>
      <c r="G1425">
        <v>26338</v>
      </c>
      <c r="H1425">
        <v>578.73</v>
      </c>
      <c r="I1425">
        <v>72.52</v>
      </c>
      <c r="J1425">
        <f>IFERROR(INDEX(Suppliar[Estimated Carbon Footprint (tons CO₂e)],MATCH('Merge operational &amp; suppliar'!A1425,Suppliar[Facility ID],0)),"")</f>
        <v>991.36</v>
      </c>
      <c r="K1425">
        <f>IFERROR(INDEX(Suppliar[Income Distribution (%)],MATCH('Merge operational &amp; suppliar'!A1425,Suppliar[Facility ID],0)),"")</f>
        <v>35.39</v>
      </c>
    </row>
    <row r="1426" spans="1:11" x14ac:dyDescent="0.3">
      <c r="A1426" t="s">
        <v>217</v>
      </c>
      <c r="B1426" t="s">
        <v>19</v>
      </c>
      <c r="C1426" t="s">
        <v>23</v>
      </c>
      <c r="D1426" t="s">
        <v>28</v>
      </c>
      <c r="E1426" t="s">
        <v>10</v>
      </c>
      <c r="F1426">
        <v>2080.0300000000002</v>
      </c>
      <c r="G1426">
        <v>80824</v>
      </c>
      <c r="H1426">
        <v>2858.92</v>
      </c>
      <c r="I1426">
        <v>13.97</v>
      </c>
      <c r="J1426">
        <f>IFERROR(INDEX(Suppliar[Estimated Carbon Footprint (tons CO₂e)],MATCH('Merge operational &amp; suppliar'!A1426,Suppliar[Facility ID],0)),"")</f>
        <v>638.89</v>
      </c>
      <c r="K1426">
        <f>IFERROR(INDEX(Suppliar[Income Distribution (%)],MATCH('Merge operational &amp; suppliar'!A1426,Suppliar[Facility ID],0)),"")</f>
        <v>21.98</v>
      </c>
    </row>
    <row r="1427" spans="1:11" x14ac:dyDescent="0.3">
      <c r="A1427" t="s">
        <v>211</v>
      </c>
      <c r="B1427" t="s">
        <v>7</v>
      </c>
      <c r="C1427" t="s">
        <v>8</v>
      </c>
      <c r="D1427" t="s">
        <v>14</v>
      </c>
      <c r="E1427" t="s">
        <v>24</v>
      </c>
      <c r="F1427">
        <v>2465.4499999999998</v>
      </c>
      <c r="G1427">
        <v>27028</v>
      </c>
      <c r="H1427">
        <v>4617.92</v>
      </c>
      <c r="I1427">
        <v>57.62</v>
      </c>
      <c r="J1427">
        <f>IFERROR(INDEX(Suppliar[Estimated Carbon Footprint (tons CO₂e)],MATCH('Merge operational &amp; suppliar'!A1427,Suppliar[Facility ID],0)),"")</f>
        <v>780.4</v>
      </c>
      <c r="K1427">
        <f>IFERROR(INDEX(Suppliar[Income Distribution (%)],MATCH('Merge operational &amp; suppliar'!A1427,Suppliar[Facility ID],0)),"")</f>
        <v>24.87</v>
      </c>
    </row>
    <row r="1428" spans="1:11" x14ac:dyDescent="0.3">
      <c r="A1428" t="s">
        <v>80</v>
      </c>
      <c r="B1428" t="s">
        <v>17</v>
      </c>
      <c r="C1428" t="s">
        <v>13</v>
      </c>
      <c r="D1428" t="s">
        <v>14</v>
      </c>
      <c r="E1428" t="s">
        <v>24</v>
      </c>
      <c r="F1428">
        <v>2931.16</v>
      </c>
      <c r="G1428">
        <v>75508</v>
      </c>
      <c r="H1428">
        <v>6856.22</v>
      </c>
      <c r="I1428">
        <v>18.2</v>
      </c>
      <c r="J1428">
        <f>IFERROR(INDEX(Suppliar[Estimated Carbon Footprint (tons CO₂e)],MATCH('Merge operational &amp; suppliar'!A1428,Suppliar[Facility ID],0)),"")</f>
        <v>991.03</v>
      </c>
      <c r="K1428">
        <f>IFERROR(INDEX(Suppliar[Income Distribution (%)],MATCH('Merge operational &amp; suppliar'!A1428,Suppliar[Facility ID],0)),"")</f>
        <v>13.32</v>
      </c>
    </row>
    <row r="1429" spans="1:11" x14ac:dyDescent="0.3">
      <c r="A1429" t="s">
        <v>117</v>
      </c>
      <c r="B1429" t="s">
        <v>7</v>
      </c>
      <c r="C1429" t="s">
        <v>23</v>
      </c>
      <c r="D1429" t="s">
        <v>28</v>
      </c>
      <c r="E1429" t="s">
        <v>24</v>
      </c>
      <c r="F1429">
        <v>1925.79</v>
      </c>
      <c r="G1429">
        <v>89321</v>
      </c>
      <c r="H1429">
        <v>9836.34</v>
      </c>
      <c r="I1429">
        <v>16.989999999999998</v>
      </c>
      <c r="J1429">
        <f>IFERROR(INDEX(Suppliar[Estimated Carbon Footprint (tons CO₂e)],MATCH('Merge operational &amp; suppliar'!A1429,Suppliar[Facility ID],0)),"")</f>
        <v>105.67</v>
      </c>
      <c r="K1429">
        <f>IFERROR(INDEX(Suppliar[Income Distribution (%)],MATCH('Merge operational &amp; suppliar'!A1429,Suppliar[Facility ID],0)),"")</f>
        <v>15.41</v>
      </c>
    </row>
    <row r="1430" spans="1:11" x14ac:dyDescent="0.3">
      <c r="A1430" t="s">
        <v>86</v>
      </c>
      <c r="B1430" t="s">
        <v>19</v>
      </c>
      <c r="C1430" t="s">
        <v>8</v>
      </c>
      <c r="D1430" t="s">
        <v>14</v>
      </c>
      <c r="E1430" t="s">
        <v>24</v>
      </c>
      <c r="F1430">
        <v>1331.9</v>
      </c>
      <c r="G1430">
        <v>56531</v>
      </c>
      <c r="H1430">
        <v>8958.07</v>
      </c>
      <c r="I1430">
        <v>83.44</v>
      </c>
      <c r="J1430">
        <f>IFERROR(INDEX(Suppliar[Estimated Carbon Footprint (tons CO₂e)],MATCH('Merge operational &amp; suppliar'!A1430,Suppliar[Facility ID],0)),"")</f>
        <v>943.59</v>
      </c>
      <c r="K1430">
        <f>IFERROR(INDEX(Suppliar[Income Distribution (%)],MATCH('Merge operational &amp; suppliar'!A1430,Suppliar[Facility ID],0)),"")</f>
        <v>23.54</v>
      </c>
    </row>
    <row r="1431" spans="1:11" x14ac:dyDescent="0.3">
      <c r="A1431" t="s">
        <v>18</v>
      </c>
      <c r="B1431" t="s">
        <v>19</v>
      </c>
      <c r="C1431" t="s">
        <v>8</v>
      </c>
      <c r="D1431" t="s">
        <v>9</v>
      </c>
      <c r="E1431" t="s">
        <v>15</v>
      </c>
      <c r="F1431">
        <v>3932.23</v>
      </c>
      <c r="G1431">
        <v>98682</v>
      </c>
      <c r="H1431">
        <v>6220.56</v>
      </c>
      <c r="I1431">
        <v>70.099999999999994</v>
      </c>
      <c r="J1431">
        <f>IFERROR(INDEX(Suppliar[Estimated Carbon Footprint (tons CO₂e)],MATCH('Merge operational &amp; suppliar'!A1431,Suppliar[Facility ID],0)),"")</f>
        <v>724.63</v>
      </c>
      <c r="K1431">
        <f>IFERROR(INDEX(Suppliar[Income Distribution (%)],MATCH('Merge operational &amp; suppliar'!A1431,Suppliar[Facility ID],0)),"")</f>
        <v>27.81</v>
      </c>
    </row>
    <row r="1432" spans="1:11" x14ac:dyDescent="0.3">
      <c r="A1432" t="s">
        <v>18</v>
      </c>
      <c r="B1432" t="s">
        <v>19</v>
      </c>
      <c r="C1432" t="s">
        <v>13</v>
      </c>
      <c r="D1432" t="s">
        <v>28</v>
      </c>
      <c r="E1432" t="s">
        <v>24</v>
      </c>
      <c r="F1432">
        <v>1414.52</v>
      </c>
      <c r="G1432">
        <v>98682</v>
      </c>
      <c r="H1432">
        <v>6220.56</v>
      </c>
      <c r="I1432">
        <v>70.099999999999994</v>
      </c>
      <c r="J1432">
        <f>IFERROR(INDEX(Suppliar[Estimated Carbon Footprint (tons CO₂e)],MATCH('Merge operational &amp; suppliar'!A1432,Suppliar[Facility ID],0)),"")</f>
        <v>724.63</v>
      </c>
      <c r="K1432">
        <f>IFERROR(INDEX(Suppliar[Income Distribution (%)],MATCH('Merge operational &amp; suppliar'!A1432,Suppliar[Facility ID],0)),"")</f>
        <v>27.81</v>
      </c>
    </row>
    <row r="1433" spans="1:11" x14ac:dyDescent="0.3">
      <c r="A1433" t="s">
        <v>36</v>
      </c>
      <c r="B1433" t="s">
        <v>12</v>
      </c>
      <c r="C1433" t="s">
        <v>13</v>
      </c>
      <c r="D1433" t="s">
        <v>9</v>
      </c>
      <c r="E1433" t="s">
        <v>24</v>
      </c>
      <c r="F1433">
        <v>3472.69</v>
      </c>
      <c r="G1433">
        <v>40226</v>
      </c>
      <c r="H1433">
        <v>7868.86</v>
      </c>
      <c r="I1433">
        <v>80.53</v>
      </c>
      <c r="J1433">
        <f>IFERROR(INDEX(Suppliar[Estimated Carbon Footprint (tons CO₂e)],MATCH('Merge operational &amp; suppliar'!A1433,Suppliar[Facility ID],0)),"")</f>
        <v>231.68</v>
      </c>
      <c r="K1433">
        <f>IFERROR(INDEX(Suppliar[Income Distribution (%)],MATCH('Merge operational &amp; suppliar'!A1433,Suppliar[Facility ID],0)),"")</f>
        <v>15.92</v>
      </c>
    </row>
    <row r="1434" spans="1:11" x14ac:dyDescent="0.3">
      <c r="A1434" t="s">
        <v>180</v>
      </c>
      <c r="B1434" t="s">
        <v>30</v>
      </c>
      <c r="C1434" t="s">
        <v>34</v>
      </c>
      <c r="D1434" t="s">
        <v>28</v>
      </c>
      <c r="E1434" t="s">
        <v>24</v>
      </c>
      <c r="F1434">
        <v>1357.85</v>
      </c>
      <c r="G1434">
        <v>72846</v>
      </c>
      <c r="H1434">
        <v>5169.53</v>
      </c>
      <c r="I1434">
        <v>76.709999999999994</v>
      </c>
      <c r="J1434" t="str">
        <f>IFERROR(INDEX(Suppliar[Estimated Carbon Footprint (tons CO₂e)],MATCH('Merge operational &amp; suppliar'!A1434,Suppliar[Facility ID],0)),"")</f>
        <v/>
      </c>
      <c r="K1434" t="str">
        <f>IFERROR(INDEX(Suppliar[Income Distribution (%)],MATCH('Merge operational &amp; suppliar'!A1434,Suppliar[Facility ID],0)),"")</f>
        <v/>
      </c>
    </row>
    <row r="1435" spans="1:11" x14ac:dyDescent="0.3">
      <c r="A1435" t="s">
        <v>114</v>
      </c>
      <c r="B1435" t="s">
        <v>30</v>
      </c>
      <c r="C1435" t="s">
        <v>8</v>
      </c>
      <c r="D1435" t="s">
        <v>28</v>
      </c>
      <c r="E1435" t="s">
        <v>10</v>
      </c>
      <c r="F1435">
        <v>347.5</v>
      </c>
      <c r="G1435">
        <v>29264</v>
      </c>
      <c r="H1435">
        <v>8362.7199999999993</v>
      </c>
      <c r="I1435">
        <v>61.93</v>
      </c>
      <c r="J1435" t="str">
        <f>IFERROR(INDEX(Suppliar[Estimated Carbon Footprint (tons CO₂e)],MATCH('Merge operational &amp; suppliar'!A1435,Suppliar[Facility ID],0)),"")</f>
        <v/>
      </c>
      <c r="K1435" t="str">
        <f>IFERROR(INDEX(Suppliar[Income Distribution (%)],MATCH('Merge operational &amp; suppliar'!A1435,Suppliar[Facility ID],0)),"")</f>
        <v/>
      </c>
    </row>
    <row r="1436" spans="1:11" x14ac:dyDescent="0.3">
      <c r="A1436" t="s">
        <v>214</v>
      </c>
      <c r="B1436" t="s">
        <v>30</v>
      </c>
      <c r="C1436" t="s">
        <v>13</v>
      </c>
      <c r="D1436" t="s">
        <v>9</v>
      </c>
      <c r="E1436" t="s">
        <v>24</v>
      </c>
      <c r="F1436">
        <v>4534.2299999999996</v>
      </c>
      <c r="G1436">
        <v>79330</v>
      </c>
      <c r="H1436">
        <v>6075.23</v>
      </c>
      <c r="I1436">
        <v>83.97</v>
      </c>
      <c r="J1436">
        <f>IFERROR(INDEX(Suppliar[Estimated Carbon Footprint (tons CO₂e)],MATCH('Merge operational &amp; suppliar'!A1436,Suppliar[Facility ID],0)),"")</f>
        <v>209.33</v>
      </c>
      <c r="K1436">
        <f>IFERROR(INDEX(Suppliar[Income Distribution (%)],MATCH('Merge operational &amp; suppliar'!A1436,Suppliar[Facility ID],0)),"")</f>
        <v>13.62</v>
      </c>
    </row>
    <row r="1437" spans="1:11" x14ac:dyDescent="0.3">
      <c r="A1437" t="s">
        <v>173</v>
      </c>
      <c r="B1437" t="s">
        <v>30</v>
      </c>
      <c r="C1437" t="s">
        <v>34</v>
      </c>
      <c r="D1437" t="s">
        <v>14</v>
      </c>
      <c r="E1437" t="s">
        <v>10</v>
      </c>
      <c r="F1437">
        <v>3600.52</v>
      </c>
      <c r="G1437">
        <v>49620</v>
      </c>
      <c r="H1437">
        <v>2424.31</v>
      </c>
      <c r="I1437">
        <v>62.09</v>
      </c>
      <c r="J1437">
        <f>IFERROR(INDEX(Suppliar[Estimated Carbon Footprint (tons CO₂e)],MATCH('Merge operational &amp; suppliar'!A1437,Suppliar[Facility ID],0)),"")</f>
        <v>184.92</v>
      </c>
      <c r="K1437">
        <f>IFERROR(INDEX(Suppliar[Income Distribution (%)],MATCH('Merge operational &amp; suppliar'!A1437,Suppliar[Facility ID],0)),"")</f>
        <v>19.55</v>
      </c>
    </row>
    <row r="1438" spans="1:11" x14ac:dyDescent="0.3">
      <c r="A1438" t="s">
        <v>192</v>
      </c>
      <c r="B1438" t="s">
        <v>19</v>
      </c>
      <c r="C1438" t="s">
        <v>34</v>
      </c>
      <c r="D1438" t="s">
        <v>28</v>
      </c>
      <c r="E1438" t="s">
        <v>24</v>
      </c>
      <c r="F1438">
        <v>4875.1000000000004</v>
      </c>
      <c r="G1438">
        <v>43227</v>
      </c>
      <c r="H1438">
        <v>5199.53</v>
      </c>
      <c r="I1438">
        <v>44.09</v>
      </c>
      <c r="J1438">
        <f>IFERROR(INDEX(Suppliar[Estimated Carbon Footprint (tons CO₂e)],MATCH('Merge operational &amp; suppliar'!A1438,Suppliar[Facility ID],0)),"")</f>
        <v>724.63</v>
      </c>
      <c r="K1438">
        <f>IFERROR(INDEX(Suppliar[Income Distribution (%)],MATCH('Merge operational &amp; suppliar'!A1438,Suppliar[Facility ID],0)),"")</f>
        <v>14.96</v>
      </c>
    </row>
    <row r="1439" spans="1:11" x14ac:dyDescent="0.3">
      <c r="A1439" t="s">
        <v>104</v>
      </c>
      <c r="B1439" t="s">
        <v>17</v>
      </c>
      <c r="C1439" t="s">
        <v>8</v>
      </c>
      <c r="D1439" t="s">
        <v>9</v>
      </c>
      <c r="E1439" t="s">
        <v>10</v>
      </c>
      <c r="F1439">
        <v>1708.84</v>
      </c>
      <c r="G1439">
        <v>16868</v>
      </c>
      <c r="H1439">
        <v>1378.01</v>
      </c>
      <c r="I1439">
        <v>47.52</v>
      </c>
      <c r="J1439" t="str">
        <f>IFERROR(INDEX(Suppliar[Estimated Carbon Footprint (tons CO₂e)],MATCH('Merge operational &amp; suppliar'!A1439,Suppliar[Facility ID],0)),"")</f>
        <v/>
      </c>
      <c r="K1439" t="str">
        <f>IFERROR(INDEX(Suppliar[Income Distribution (%)],MATCH('Merge operational &amp; suppliar'!A1439,Suppliar[Facility ID],0)),"")</f>
        <v/>
      </c>
    </row>
    <row r="1440" spans="1:11" x14ac:dyDescent="0.3">
      <c r="A1440" t="s">
        <v>132</v>
      </c>
      <c r="B1440" t="s">
        <v>19</v>
      </c>
      <c r="C1440" t="s">
        <v>34</v>
      </c>
      <c r="D1440" t="s">
        <v>28</v>
      </c>
      <c r="E1440" t="s">
        <v>10</v>
      </c>
      <c r="F1440">
        <v>126.6</v>
      </c>
      <c r="G1440">
        <v>29860</v>
      </c>
      <c r="H1440">
        <v>3956.23</v>
      </c>
      <c r="I1440">
        <v>57.5</v>
      </c>
      <c r="J1440">
        <f>IFERROR(INDEX(Suppliar[Estimated Carbon Footprint (tons CO₂e)],MATCH('Merge operational &amp; suppliar'!A1440,Suppliar[Facility ID],0)),"")</f>
        <v>432.23</v>
      </c>
      <c r="K1440">
        <f>IFERROR(INDEX(Suppliar[Income Distribution (%)],MATCH('Merge operational &amp; suppliar'!A1440,Suppliar[Facility ID],0)),"")</f>
        <v>17.78</v>
      </c>
    </row>
    <row r="1441" spans="1:11" x14ac:dyDescent="0.3">
      <c r="A1441" t="s">
        <v>64</v>
      </c>
      <c r="B1441" t="s">
        <v>30</v>
      </c>
      <c r="C1441" t="s">
        <v>23</v>
      </c>
      <c r="D1441" t="s">
        <v>28</v>
      </c>
      <c r="E1441" t="s">
        <v>24</v>
      </c>
      <c r="F1441">
        <v>1749.03</v>
      </c>
      <c r="G1441">
        <v>52836</v>
      </c>
      <c r="H1441">
        <v>9330.2999999999993</v>
      </c>
      <c r="I1441">
        <v>87.27</v>
      </c>
      <c r="J1441" t="str">
        <f>IFERROR(INDEX(Suppliar[Estimated Carbon Footprint (tons CO₂e)],MATCH('Merge operational &amp; suppliar'!A1441,Suppliar[Facility ID],0)),"")</f>
        <v/>
      </c>
      <c r="K1441" t="str">
        <f>IFERROR(INDEX(Suppliar[Income Distribution (%)],MATCH('Merge operational &amp; suppliar'!A1441,Suppliar[Facility ID],0)),"")</f>
        <v/>
      </c>
    </row>
    <row r="1442" spans="1:11" x14ac:dyDescent="0.3">
      <c r="A1442" t="s">
        <v>61</v>
      </c>
      <c r="B1442" t="s">
        <v>30</v>
      </c>
      <c r="C1442" t="s">
        <v>8</v>
      </c>
      <c r="D1442" t="s">
        <v>9</v>
      </c>
      <c r="E1442" t="s">
        <v>24</v>
      </c>
      <c r="F1442">
        <v>2617.52</v>
      </c>
      <c r="G1442">
        <v>95718</v>
      </c>
      <c r="H1442">
        <v>2443.12</v>
      </c>
      <c r="I1442">
        <v>35.49</v>
      </c>
      <c r="J1442">
        <f>IFERROR(INDEX(Suppliar[Estimated Carbon Footprint (tons CO₂e)],MATCH('Merge operational &amp; suppliar'!A1442,Suppliar[Facility ID],0)),"")</f>
        <v>818.45</v>
      </c>
      <c r="K1442">
        <f>IFERROR(INDEX(Suppliar[Income Distribution (%)],MATCH('Merge operational &amp; suppliar'!A1442,Suppliar[Facility ID],0)),"")</f>
        <v>9.9499999999999993</v>
      </c>
    </row>
    <row r="1443" spans="1:11" x14ac:dyDescent="0.3">
      <c r="A1443" t="s">
        <v>78</v>
      </c>
      <c r="B1443" t="s">
        <v>7</v>
      </c>
      <c r="C1443" t="s">
        <v>13</v>
      </c>
      <c r="D1443" t="s">
        <v>9</v>
      </c>
      <c r="E1443" t="s">
        <v>10</v>
      </c>
      <c r="F1443">
        <v>351.56</v>
      </c>
      <c r="G1443">
        <v>86557</v>
      </c>
      <c r="H1443">
        <v>8631.2800000000007</v>
      </c>
      <c r="I1443">
        <v>69.53</v>
      </c>
      <c r="J1443" t="str">
        <f>IFERROR(INDEX(Suppliar[Estimated Carbon Footprint (tons CO₂e)],MATCH('Merge operational &amp; suppliar'!A1443,Suppliar[Facility ID],0)),"")</f>
        <v/>
      </c>
      <c r="K1443" t="str">
        <f>IFERROR(INDEX(Suppliar[Income Distribution (%)],MATCH('Merge operational &amp; suppliar'!A1443,Suppliar[Facility ID],0)),"")</f>
        <v/>
      </c>
    </row>
    <row r="1444" spans="1:11" x14ac:dyDescent="0.3">
      <c r="A1444" t="s">
        <v>196</v>
      </c>
      <c r="B1444" t="s">
        <v>30</v>
      </c>
      <c r="C1444" t="s">
        <v>34</v>
      </c>
      <c r="D1444" t="s">
        <v>28</v>
      </c>
      <c r="E1444" t="s">
        <v>10</v>
      </c>
      <c r="F1444">
        <v>1743.41</v>
      </c>
      <c r="G1444">
        <v>12262</v>
      </c>
      <c r="H1444">
        <v>7106.18</v>
      </c>
      <c r="I1444">
        <v>45.69</v>
      </c>
      <c r="J1444">
        <f>IFERROR(INDEX(Suppliar[Estimated Carbon Footprint (tons CO₂e)],MATCH('Merge operational &amp; suppliar'!A1444,Suppliar[Facility ID],0)),"")</f>
        <v>459.56</v>
      </c>
      <c r="K1444">
        <f>IFERROR(INDEX(Suppliar[Income Distribution (%)],MATCH('Merge operational &amp; suppliar'!A1444,Suppliar[Facility ID],0)),"")</f>
        <v>29.71</v>
      </c>
    </row>
    <row r="1445" spans="1:11" x14ac:dyDescent="0.3">
      <c r="A1445" t="s">
        <v>68</v>
      </c>
      <c r="B1445" t="s">
        <v>12</v>
      </c>
      <c r="C1445" t="s">
        <v>34</v>
      </c>
      <c r="D1445" t="s">
        <v>9</v>
      </c>
      <c r="E1445" t="s">
        <v>24</v>
      </c>
      <c r="F1445">
        <v>4857.87</v>
      </c>
      <c r="G1445">
        <v>69100</v>
      </c>
      <c r="H1445">
        <v>9356.02</v>
      </c>
      <c r="I1445">
        <v>16.5</v>
      </c>
      <c r="J1445">
        <f>IFERROR(INDEX(Suppliar[Estimated Carbon Footprint (tons CO₂e)],MATCH('Merge operational &amp; suppliar'!A1445,Suppliar[Facility ID],0)),"")</f>
        <v>694.92</v>
      </c>
      <c r="K1445">
        <f>IFERROR(INDEX(Suppliar[Income Distribution (%)],MATCH('Merge operational &amp; suppliar'!A1445,Suppliar[Facility ID],0)),"")</f>
        <v>23.67</v>
      </c>
    </row>
    <row r="1446" spans="1:11" x14ac:dyDescent="0.3">
      <c r="A1446" t="s">
        <v>184</v>
      </c>
      <c r="B1446" t="s">
        <v>30</v>
      </c>
      <c r="C1446" t="s">
        <v>34</v>
      </c>
      <c r="D1446" t="s">
        <v>14</v>
      </c>
      <c r="E1446" t="s">
        <v>24</v>
      </c>
      <c r="F1446">
        <v>2816.93</v>
      </c>
      <c r="G1446">
        <v>13543</v>
      </c>
      <c r="H1446">
        <v>7854.96</v>
      </c>
      <c r="I1446">
        <v>85.57</v>
      </c>
      <c r="J1446">
        <f>IFERROR(INDEX(Suppliar[Estimated Carbon Footprint (tons CO₂e)],MATCH('Merge operational &amp; suppliar'!A1446,Suppliar[Facility ID],0)),"")</f>
        <v>610.79999999999995</v>
      </c>
      <c r="K1446">
        <f>IFERROR(INDEX(Suppliar[Income Distribution (%)],MATCH('Merge operational &amp; suppliar'!A1446,Suppliar[Facility ID],0)),"")</f>
        <v>30.04</v>
      </c>
    </row>
    <row r="1447" spans="1:11" x14ac:dyDescent="0.3">
      <c r="A1447" t="s">
        <v>48</v>
      </c>
      <c r="B1447" t="s">
        <v>19</v>
      </c>
      <c r="C1447" t="s">
        <v>13</v>
      </c>
      <c r="D1447" t="s">
        <v>14</v>
      </c>
      <c r="E1447" t="s">
        <v>15</v>
      </c>
      <c r="F1447">
        <v>2641.98</v>
      </c>
      <c r="G1447">
        <v>11952</v>
      </c>
      <c r="H1447">
        <v>4637.74</v>
      </c>
      <c r="I1447">
        <v>63.78</v>
      </c>
      <c r="J1447">
        <f>IFERROR(INDEX(Suppliar[Estimated Carbon Footprint (tons CO₂e)],MATCH('Merge operational &amp; suppliar'!A1447,Suppliar[Facility ID],0)),"")</f>
        <v>886.71</v>
      </c>
      <c r="K1447">
        <f>IFERROR(INDEX(Suppliar[Income Distribution (%)],MATCH('Merge operational &amp; suppliar'!A1447,Suppliar[Facility ID],0)),"")</f>
        <v>29.53</v>
      </c>
    </row>
    <row r="1448" spans="1:11" x14ac:dyDescent="0.3">
      <c r="A1448" t="s">
        <v>127</v>
      </c>
      <c r="B1448" t="s">
        <v>17</v>
      </c>
      <c r="C1448" t="s">
        <v>34</v>
      </c>
      <c r="D1448" t="s">
        <v>14</v>
      </c>
      <c r="E1448" t="s">
        <v>15</v>
      </c>
      <c r="F1448">
        <v>2924.31</v>
      </c>
      <c r="G1448">
        <v>17416</v>
      </c>
      <c r="H1448">
        <v>812.06</v>
      </c>
      <c r="I1448">
        <v>5.7</v>
      </c>
      <c r="J1448">
        <f>IFERROR(INDEX(Suppliar[Estimated Carbon Footprint (tons CO₂e)],MATCH('Merge operational &amp; suppliar'!A1448,Suppliar[Facility ID],0)),"")</f>
        <v>568.27</v>
      </c>
      <c r="K1448">
        <f>IFERROR(INDEX(Suppliar[Income Distribution (%)],MATCH('Merge operational &amp; suppliar'!A1448,Suppliar[Facility ID],0)),"")</f>
        <v>18.03</v>
      </c>
    </row>
    <row r="1449" spans="1:11" x14ac:dyDescent="0.3">
      <c r="A1449" t="s">
        <v>112</v>
      </c>
      <c r="B1449" t="s">
        <v>30</v>
      </c>
      <c r="C1449" t="s">
        <v>13</v>
      </c>
      <c r="D1449" t="s">
        <v>9</v>
      </c>
      <c r="E1449" t="s">
        <v>15</v>
      </c>
      <c r="F1449">
        <v>2885.09</v>
      </c>
      <c r="G1449">
        <v>43294</v>
      </c>
      <c r="H1449">
        <v>3802.13</v>
      </c>
      <c r="I1449">
        <v>45.84</v>
      </c>
      <c r="J1449">
        <f>IFERROR(INDEX(Suppliar[Estimated Carbon Footprint (tons CO₂e)],MATCH('Merge operational &amp; suppliar'!A1449,Suppliar[Facility ID],0)),"")</f>
        <v>756.78</v>
      </c>
      <c r="K1449">
        <f>IFERROR(INDEX(Suppliar[Income Distribution (%)],MATCH('Merge operational &amp; suppliar'!A1449,Suppliar[Facility ID],0)),"")</f>
        <v>28.42</v>
      </c>
    </row>
    <row r="1450" spans="1:11" x14ac:dyDescent="0.3">
      <c r="A1450" t="s">
        <v>215</v>
      </c>
      <c r="B1450" t="s">
        <v>17</v>
      </c>
      <c r="C1450" t="s">
        <v>34</v>
      </c>
      <c r="D1450" t="s">
        <v>28</v>
      </c>
      <c r="E1450" t="s">
        <v>24</v>
      </c>
      <c r="F1450">
        <v>4563.34</v>
      </c>
      <c r="G1450">
        <v>72813</v>
      </c>
      <c r="H1450">
        <v>8818.16</v>
      </c>
      <c r="I1450">
        <v>54.12</v>
      </c>
      <c r="J1450">
        <f>IFERROR(INDEX(Suppliar[Estimated Carbon Footprint (tons CO₂e)],MATCH('Merge operational &amp; suppliar'!A1450,Suppliar[Facility ID],0)),"")</f>
        <v>986.62</v>
      </c>
      <c r="K1450">
        <f>IFERROR(INDEX(Suppliar[Income Distribution (%)],MATCH('Merge operational &amp; suppliar'!A1450,Suppliar[Facility ID],0)),"")</f>
        <v>42.1</v>
      </c>
    </row>
    <row r="1451" spans="1:11" x14ac:dyDescent="0.3">
      <c r="A1451" t="s">
        <v>61</v>
      </c>
      <c r="B1451" t="s">
        <v>30</v>
      </c>
      <c r="C1451" t="s">
        <v>8</v>
      </c>
      <c r="D1451" t="s">
        <v>14</v>
      </c>
      <c r="E1451" t="s">
        <v>15</v>
      </c>
      <c r="F1451">
        <v>3703.75</v>
      </c>
      <c r="G1451">
        <v>95718</v>
      </c>
      <c r="H1451">
        <v>2443.12</v>
      </c>
      <c r="I1451">
        <v>35.49</v>
      </c>
      <c r="J1451">
        <f>IFERROR(INDEX(Suppliar[Estimated Carbon Footprint (tons CO₂e)],MATCH('Merge operational &amp; suppliar'!A1451,Suppliar[Facility ID],0)),"")</f>
        <v>818.45</v>
      </c>
      <c r="K1451">
        <f>IFERROR(INDEX(Suppliar[Income Distribution (%)],MATCH('Merge operational &amp; suppliar'!A1451,Suppliar[Facility ID],0)),"")</f>
        <v>9.9499999999999993</v>
      </c>
    </row>
    <row r="1452" spans="1:11" x14ac:dyDescent="0.3">
      <c r="A1452" t="s">
        <v>152</v>
      </c>
      <c r="B1452" t="s">
        <v>30</v>
      </c>
      <c r="C1452" t="s">
        <v>13</v>
      </c>
      <c r="D1452" t="s">
        <v>28</v>
      </c>
      <c r="E1452" t="s">
        <v>10</v>
      </c>
      <c r="F1452">
        <v>3328.72</v>
      </c>
      <c r="G1452">
        <v>21914</v>
      </c>
      <c r="H1452">
        <v>5897.27</v>
      </c>
      <c r="I1452">
        <v>49.41</v>
      </c>
      <c r="J1452">
        <f>IFERROR(INDEX(Suppliar[Estimated Carbon Footprint (tons CO₂e)],MATCH('Merge operational &amp; suppliar'!A1452,Suppliar[Facility ID],0)),"")</f>
        <v>790.74</v>
      </c>
      <c r="K1452">
        <f>IFERROR(INDEX(Suppliar[Income Distribution (%)],MATCH('Merge operational &amp; suppliar'!A1452,Suppliar[Facility ID],0)),"")</f>
        <v>15.07</v>
      </c>
    </row>
    <row r="1453" spans="1:11" x14ac:dyDescent="0.3">
      <c r="A1453" t="s">
        <v>156</v>
      </c>
      <c r="B1453" t="s">
        <v>17</v>
      </c>
      <c r="C1453" t="s">
        <v>23</v>
      </c>
      <c r="D1453" t="s">
        <v>28</v>
      </c>
      <c r="E1453" t="s">
        <v>10</v>
      </c>
      <c r="F1453">
        <v>4650.1400000000003</v>
      </c>
      <c r="G1453">
        <v>81057</v>
      </c>
      <c r="H1453">
        <v>675.41</v>
      </c>
      <c r="I1453">
        <v>55.44</v>
      </c>
      <c r="J1453">
        <f>IFERROR(INDEX(Suppliar[Estimated Carbon Footprint (tons CO₂e)],MATCH('Merge operational &amp; suppliar'!A1453,Suppliar[Facility ID],0)),"")</f>
        <v>847.51</v>
      </c>
      <c r="K1453">
        <f>IFERROR(INDEX(Suppliar[Income Distribution (%)],MATCH('Merge operational &amp; suppliar'!A1453,Suppliar[Facility ID],0)),"")</f>
        <v>28.03</v>
      </c>
    </row>
    <row r="1454" spans="1:11" x14ac:dyDescent="0.3">
      <c r="A1454" t="s">
        <v>18</v>
      </c>
      <c r="B1454" t="s">
        <v>19</v>
      </c>
      <c r="C1454" t="s">
        <v>8</v>
      </c>
      <c r="D1454" t="s">
        <v>9</v>
      </c>
      <c r="E1454" t="s">
        <v>10</v>
      </c>
      <c r="F1454">
        <v>1410.9</v>
      </c>
      <c r="G1454">
        <v>98682</v>
      </c>
      <c r="H1454">
        <v>6220.56</v>
      </c>
      <c r="I1454">
        <v>70.099999999999994</v>
      </c>
      <c r="J1454">
        <f>IFERROR(INDEX(Suppliar[Estimated Carbon Footprint (tons CO₂e)],MATCH('Merge operational &amp; suppliar'!A1454,Suppliar[Facility ID],0)),"")</f>
        <v>724.63</v>
      </c>
      <c r="K1454">
        <f>IFERROR(INDEX(Suppliar[Income Distribution (%)],MATCH('Merge operational &amp; suppliar'!A1454,Suppliar[Facility ID],0)),"")</f>
        <v>27.81</v>
      </c>
    </row>
    <row r="1455" spans="1:11" x14ac:dyDescent="0.3">
      <c r="A1455" t="s">
        <v>82</v>
      </c>
      <c r="B1455" t="s">
        <v>17</v>
      </c>
      <c r="C1455" t="s">
        <v>13</v>
      </c>
      <c r="D1455" t="s">
        <v>14</v>
      </c>
      <c r="E1455" t="s">
        <v>10</v>
      </c>
      <c r="F1455">
        <v>802.15</v>
      </c>
      <c r="G1455">
        <v>93409</v>
      </c>
      <c r="H1455">
        <v>2375.83</v>
      </c>
      <c r="I1455">
        <v>5.83</v>
      </c>
      <c r="J1455" t="str">
        <f>IFERROR(INDEX(Suppliar[Estimated Carbon Footprint (tons CO₂e)],MATCH('Merge operational &amp; suppliar'!A1455,Suppliar[Facility ID],0)),"")</f>
        <v/>
      </c>
      <c r="K1455" t="str">
        <f>IFERROR(INDEX(Suppliar[Income Distribution (%)],MATCH('Merge operational &amp; suppliar'!A1455,Suppliar[Facility ID],0)),"")</f>
        <v/>
      </c>
    </row>
    <row r="1456" spans="1:11" x14ac:dyDescent="0.3">
      <c r="A1456" t="s">
        <v>219</v>
      </c>
      <c r="B1456" t="s">
        <v>12</v>
      </c>
      <c r="C1456" t="s">
        <v>34</v>
      </c>
      <c r="D1456" t="s">
        <v>14</v>
      </c>
      <c r="E1456" t="s">
        <v>15</v>
      </c>
      <c r="F1456">
        <v>3338.5</v>
      </c>
      <c r="G1456">
        <v>84524</v>
      </c>
      <c r="H1456">
        <v>9350.11</v>
      </c>
      <c r="I1456">
        <v>27.53</v>
      </c>
      <c r="J1456">
        <f>IFERROR(INDEX(Suppliar[Estimated Carbon Footprint (tons CO₂e)],MATCH('Merge operational &amp; suppliar'!A1456,Suppliar[Facility ID],0)),"")</f>
        <v>795.74</v>
      </c>
      <c r="K1456">
        <f>IFERROR(INDEX(Suppliar[Income Distribution (%)],MATCH('Merge operational &amp; suppliar'!A1456,Suppliar[Facility ID],0)),"")</f>
        <v>18.73</v>
      </c>
    </row>
    <row r="1457" spans="1:11" x14ac:dyDescent="0.3">
      <c r="A1457" t="s">
        <v>152</v>
      </c>
      <c r="B1457" t="s">
        <v>30</v>
      </c>
      <c r="C1457" t="s">
        <v>23</v>
      </c>
      <c r="D1457" t="s">
        <v>28</v>
      </c>
      <c r="E1457" t="s">
        <v>24</v>
      </c>
      <c r="F1457">
        <v>1108.8800000000001</v>
      </c>
      <c r="G1457">
        <v>21914</v>
      </c>
      <c r="H1457">
        <v>5897.27</v>
      </c>
      <c r="I1457">
        <v>49.41</v>
      </c>
      <c r="J1457">
        <f>IFERROR(INDEX(Suppliar[Estimated Carbon Footprint (tons CO₂e)],MATCH('Merge operational &amp; suppliar'!A1457,Suppliar[Facility ID],0)),"")</f>
        <v>790.74</v>
      </c>
      <c r="K1457">
        <f>IFERROR(INDEX(Suppliar[Income Distribution (%)],MATCH('Merge operational &amp; suppliar'!A1457,Suppliar[Facility ID],0)),"")</f>
        <v>15.07</v>
      </c>
    </row>
    <row r="1458" spans="1:11" x14ac:dyDescent="0.3">
      <c r="A1458" t="s">
        <v>191</v>
      </c>
      <c r="B1458" t="s">
        <v>12</v>
      </c>
      <c r="C1458" t="s">
        <v>13</v>
      </c>
      <c r="D1458" t="s">
        <v>14</v>
      </c>
      <c r="E1458" t="s">
        <v>24</v>
      </c>
      <c r="F1458">
        <v>350.22</v>
      </c>
      <c r="G1458">
        <v>43346</v>
      </c>
      <c r="H1458">
        <v>5559.12</v>
      </c>
      <c r="I1458">
        <v>39.4</v>
      </c>
      <c r="J1458">
        <f>IFERROR(INDEX(Suppliar[Estimated Carbon Footprint (tons CO₂e)],MATCH('Merge operational &amp; suppliar'!A1458,Suppliar[Facility ID],0)),"")</f>
        <v>571.88</v>
      </c>
      <c r="K1458">
        <f>IFERROR(INDEX(Suppliar[Income Distribution (%)],MATCH('Merge operational &amp; suppliar'!A1458,Suppliar[Facility ID],0)),"")</f>
        <v>32.18</v>
      </c>
    </row>
    <row r="1459" spans="1:11" x14ac:dyDescent="0.3">
      <c r="A1459" t="s">
        <v>186</v>
      </c>
      <c r="B1459" t="s">
        <v>30</v>
      </c>
      <c r="C1459" t="s">
        <v>13</v>
      </c>
      <c r="D1459" t="s">
        <v>14</v>
      </c>
      <c r="E1459" t="s">
        <v>15</v>
      </c>
      <c r="F1459">
        <v>1884.68</v>
      </c>
      <c r="G1459">
        <v>85868</v>
      </c>
      <c r="H1459">
        <v>907.72</v>
      </c>
      <c r="I1459">
        <v>90.36</v>
      </c>
      <c r="J1459">
        <f>IFERROR(INDEX(Suppliar[Estimated Carbon Footprint (tons CO₂e)],MATCH('Merge operational &amp; suppliar'!A1459,Suppliar[Facility ID],0)),"")</f>
        <v>960.4</v>
      </c>
      <c r="K1459">
        <f>IFERROR(INDEX(Suppliar[Income Distribution (%)],MATCH('Merge operational &amp; suppliar'!A1459,Suppliar[Facility ID],0)),"")</f>
        <v>10.65</v>
      </c>
    </row>
    <row r="1460" spans="1:11" x14ac:dyDescent="0.3">
      <c r="A1460" t="s">
        <v>168</v>
      </c>
      <c r="B1460" t="s">
        <v>17</v>
      </c>
      <c r="C1460" t="s">
        <v>13</v>
      </c>
      <c r="D1460" t="s">
        <v>9</v>
      </c>
      <c r="E1460" t="s">
        <v>10</v>
      </c>
      <c r="F1460">
        <v>2634.76</v>
      </c>
      <c r="G1460">
        <v>41050</v>
      </c>
      <c r="H1460">
        <v>6025.84</v>
      </c>
      <c r="I1460">
        <v>53.53</v>
      </c>
      <c r="J1460">
        <f>IFERROR(INDEX(Suppliar[Estimated Carbon Footprint (tons CO₂e)],MATCH('Merge operational &amp; suppliar'!A1460,Suppliar[Facility ID],0)),"")</f>
        <v>289.77</v>
      </c>
      <c r="K1460">
        <f>IFERROR(INDEX(Suppliar[Income Distribution (%)],MATCH('Merge operational &amp; suppliar'!A1460,Suppliar[Facility ID],0)),"")</f>
        <v>19.260000000000002</v>
      </c>
    </row>
    <row r="1461" spans="1:11" x14ac:dyDescent="0.3">
      <c r="A1461" t="s">
        <v>175</v>
      </c>
      <c r="B1461" t="s">
        <v>7</v>
      </c>
      <c r="C1461" t="s">
        <v>13</v>
      </c>
      <c r="D1461" t="s">
        <v>14</v>
      </c>
      <c r="E1461" t="s">
        <v>10</v>
      </c>
      <c r="F1461">
        <v>1677.52</v>
      </c>
      <c r="G1461">
        <v>83923</v>
      </c>
      <c r="H1461">
        <v>8768.7999999999993</v>
      </c>
      <c r="I1461">
        <v>65.290000000000006</v>
      </c>
      <c r="J1461">
        <f>IFERROR(INDEX(Suppliar[Estimated Carbon Footprint (tons CO₂e)],MATCH('Merge operational &amp; suppliar'!A1461,Suppliar[Facility ID],0)),"")</f>
        <v>579.80999999999995</v>
      </c>
      <c r="K1461">
        <f>IFERROR(INDEX(Suppliar[Income Distribution (%)],MATCH('Merge operational &amp; suppliar'!A1461,Suppliar[Facility ID],0)),"")</f>
        <v>34.93</v>
      </c>
    </row>
    <row r="1462" spans="1:11" x14ac:dyDescent="0.3">
      <c r="A1462" t="s">
        <v>83</v>
      </c>
      <c r="B1462" t="s">
        <v>17</v>
      </c>
      <c r="C1462" t="s">
        <v>8</v>
      </c>
      <c r="D1462" t="s">
        <v>28</v>
      </c>
      <c r="E1462" t="s">
        <v>10</v>
      </c>
      <c r="F1462">
        <v>2395.0100000000002</v>
      </c>
      <c r="G1462">
        <v>30934</v>
      </c>
      <c r="H1462">
        <v>4175.6499999999996</v>
      </c>
      <c r="I1462">
        <v>77.290000000000006</v>
      </c>
      <c r="J1462">
        <f>IFERROR(INDEX(Suppliar[Estimated Carbon Footprint (tons CO₂e)],MATCH('Merge operational &amp; suppliar'!A1462,Suppliar[Facility ID],0)),"")</f>
        <v>610.79999999999995</v>
      </c>
      <c r="K1462">
        <f>IFERROR(INDEX(Suppliar[Income Distribution (%)],MATCH('Merge operational &amp; suppliar'!A1462,Suppliar[Facility ID],0)),"")</f>
        <v>14.23</v>
      </c>
    </row>
    <row r="1463" spans="1:11" x14ac:dyDescent="0.3">
      <c r="A1463" t="s">
        <v>146</v>
      </c>
      <c r="B1463" t="s">
        <v>7</v>
      </c>
      <c r="C1463" t="s">
        <v>23</v>
      </c>
      <c r="D1463" t="s">
        <v>9</v>
      </c>
      <c r="E1463" t="s">
        <v>15</v>
      </c>
      <c r="F1463">
        <v>2603.0100000000002</v>
      </c>
      <c r="G1463">
        <v>14170</v>
      </c>
      <c r="H1463">
        <v>5455.23</v>
      </c>
      <c r="I1463">
        <v>25.46</v>
      </c>
      <c r="J1463">
        <f>IFERROR(INDEX(Suppliar[Estimated Carbon Footprint (tons CO₂e)],MATCH('Merge operational &amp; suppliar'!A1463,Suppliar[Facility ID],0)),"")</f>
        <v>790.74</v>
      </c>
      <c r="K1463">
        <f>IFERROR(INDEX(Suppliar[Income Distribution (%)],MATCH('Merge operational &amp; suppliar'!A1463,Suppliar[Facility ID],0)),"")</f>
        <v>28.78</v>
      </c>
    </row>
    <row r="1464" spans="1:11" x14ac:dyDescent="0.3">
      <c r="A1464" t="s">
        <v>95</v>
      </c>
      <c r="B1464" t="s">
        <v>30</v>
      </c>
      <c r="C1464" t="s">
        <v>13</v>
      </c>
      <c r="D1464" t="s">
        <v>9</v>
      </c>
      <c r="E1464" t="s">
        <v>15</v>
      </c>
      <c r="F1464">
        <v>1656.44</v>
      </c>
      <c r="G1464">
        <v>51800</v>
      </c>
      <c r="H1464">
        <v>3042.95</v>
      </c>
      <c r="I1464">
        <v>71.87</v>
      </c>
      <c r="J1464">
        <f>IFERROR(INDEX(Suppliar[Estimated Carbon Footprint (tons CO₂e)],MATCH('Merge operational &amp; suppliar'!A1464,Suppliar[Facility ID],0)),"")</f>
        <v>714.03</v>
      </c>
      <c r="K1464">
        <f>IFERROR(INDEX(Suppliar[Income Distribution (%)],MATCH('Merge operational &amp; suppliar'!A1464,Suppliar[Facility ID],0)),"")</f>
        <v>10.84</v>
      </c>
    </row>
    <row r="1465" spans="1:11" x14ac:dyDescent="0.3">
      <c r="A1465" t="s">
        <v>106</v>
      </c>
      <c r="B1465" t="s">
        <v>12</v>
      </c>
      <c r="C1465" t="s">
        <v>23</v>
      </c>
      <c r="D1465" t="s">
        <v>9</v>
      </c>
      <c r="E1465" t="s">
        <v>10</v>
      </c>
      <c r="F1465">
        <v>274.58999999999997</v>
      </c>
      <c r="G1465">
        <v>21386</v>
      </c>
      <c r="H1465">
        <v>2271.92</v>
      </c>
      <c r="I1465">
        <v>49.67</v>
      </c>
      <c r="J1465" t="str">
        <f>IFERROR(INDEX(Suppliar[Estimated Carbon Footprint (tons CO₂e)],MATCH('Merge operational &amp; suppliar'!A1465,Suppliar[Facility ID],0)),"")</f>
        <v/>
      </c>
      <c r="K1465" t="str">
        <f>IFERROR(INDEX(Suppliar[Income Distribution (%)],MATCH('Merge operational &amp; suppliar'!A1465,Suppliar[Facility ID],0)),"")</f>
        <v/>
      </c>
    </row>
    <row r="1466" spans="1:11" x14ac:dyDescent="0.3">
      <c r="A1466" t="s">
        <v>155</v>
      </c>
      <c r="B1466" t="s">
        <v>7</v>
      </c>
      <c r="C1466" t="s">
        <v>8</v>
      </c>
      <c r="D1466" t="s">
        <v>9</v>
      </c>
      <c r="E1466" t="s">
        <v>10</v>
      </c>
      <c r="F1466">
        <v>1298.28</v>
      </c>
      <c r="G1466">
        <v>72224</v>
      </c>
      <c r="H1466">
        <v>1613.32</v>
      </c>
      <c r="I1466">
        <v>39.21</v>
      </c>
      <c r="J1466">
        <f>IFERROR(INDEX(Suppliar[Estimated Carbon Footprint (tons CO₂e)],MATCH('Merge operational &amp; suppliar'!A1466,Suppliar[Facility ID],0)),"")</f>
        <v>111.84</v>
      </c>
      <c r="K1466">
        <f>IFERROR(INDEX(Suppliar[Income Distribution (%)],MATCH('Merge operational &amp; suppliar'!A1466,Suppliar[Facility ID],0)),"")</f>
        <v>28.69</v>
      </c>
    </row>
    <row r="1467" spans="1:11" x14ac:dyDescent="0.3">
      <c r="A1467" t="s">
        <v>136</v>
      </c>
      <c r="B1467" t="s">
        <v>17</v>
      </c>
      <c r="C1467" t="s">
        <v>34</v>
      </c>
      <c r="D1467" t="s">
        <v>28</v>
      </c>
      <c r="E1467" t="s">
        <v>15</v>
      </c>
      <c r="F1467">
        <v>814.66</v>
      </c>
      <c r="G1467">
        <v>15128</v>
      </c>
      <c r="H1467">
        <v>8847.09</v>
      </c>
      <c r="I1467">
        <v>5.25</v>
      </c>
      <c r="J1467">
        <f>IFERROR(INDEX(Suppliar[Estimated Carbon Footprint (tons CO₂e)],MATCH('Merge operational &amp; suppliar'!A1467,Suppliar[Facility ID],0)),"")</f>
        <v>230.57</v>
      </c>
      <c r="K1467">
        <f>IFERROR(INDEX(Suppliar[Income Distribution (%)],MATCH('Merge operational &amp; suppliar'!A1467,Suppliar[Facility ID],0)),"")</f>
        <v>60.48</v>
      </c>
    </row>
    <row r="1468" spans="1:11" x14ac:dyDescent="0.3">
      <c r="A1468" t="s">
        <v>22</v>
      </c>
      <c r="B1468" t="s">
        <v>12</v>
      </c>
      <c r="C1468" t="s">
        <v>23</v>
      </c>
      <c r="D1468" t="s">
        <v>14</v>
      </c>
      <c r="E1468" t="s">
        <v>10</v>
      </c>
      <c r="F1468">
        <v>4037.11</v>
      </c>
      <c r="G1468">
        <v>47484</v>
      </c>
      <c r="H1468">
        <v>3396.39</v>
      </c>
      <c r="I1468">
        <v>19.510000000000002</v>
      </c>
      <c r="J1468">
        <f>IFERROR(INDEX(Suppliar[Estimated Carbon Footprint (tons CO₂e)],MATCH('Merge operational &amp; suppliar'!A1468,Suppliar[Facility ID],0)),"")</f>
        <v>790.74</v>
      </c>
      <c r="K1468">
        <f>IFERROR(INDEX(Suppliar[Income Distribution (%)],MATCH('Merge operational &amp; suppliar'!A1468,Suppliar[Facility ID],0)),"")</f>
        <v>12.77</v>
      </c>
    </row>
    <row r="1469" spans="1:11" x14ac:dyDescent="0.3">
      <c r="A1469" t="s">
        <v>130</v>
      </c>
      <c r="B1469" t="s">
        <v>12</v>
      </c>
      <c r="C1469" t="s">
        <v>23</v>
      </c>
      <c r="D1469" t="s">
        <v>9</v>
      </c>
      <c r="E1469" t="s">
        <v>15</v>
      </c>
      <c r="F1469">
        <v>1604.81</v>
      </c>
      <c r="G1469">
        <v>82332</v>
      </c>
      <c r="H1469">
        <v>7134.86</v>
      </c>
      <c r="I1469">
        <v>22.44</v>
      </c>
      <c r="J1469">
        <f>IFERROR(INDEX(Suppliar[Estimated Carbon Footprint (tons CO₂e)],MATCH('Merge operational &amp; suppliar'!A1469,Suppliar[Facility ID],0)),"")</f>
        <v>553.44000000000005</v>
      </c>
      <c r="K1469">
        <f>IFERROR(INDEX(Suppliar[Income Distribution (%)],MATCH('Merge operational &amp; suppliar'!A1469,Suppliar[Facility ID],0)),"")</f>
        <v>13.24</v>
      </c>
    </row>
    <row r="1470" spans="1:11" x14ac:dyDescent="0.3">
      <c r="A1470" t="s">
        <v>57</v>
      </c>
      <c r="B1470" t="s">
        <v>19</v>
      </c>
      <c r="C1470" t="s">
        <v>23</v>
      </c>
      <c r="D1470" t="s">
        <v>14</v>
      </c>
      <c r="E1470" t="s">
        <v>24</v>
      </c>
      <c r="F1470">
        <v>2667.56</v>
      </c>
      <c r="G1470">
        <v>41027</v>
      </c>
      <c r="H1470">
        <v>7285.85</v>
      </c>
      <c r="I1470">
        <v>59.87</v>
      </c>
      <c r="J1470">
        <f>IFERROR(INDEX(Suppliar[Estimated Carbon Footprint (tons CO₂e)],MATCH('Merge operational &amp; suppliar'!A1470,Suppliar[Facility ID],0)),"")</f>
        <v>763.97</v>
      </c>
      <c r="K1470">
        <f>IFERROR(INDEX(Suppliar[Income Distribution (%)],MATCH('Merge operational &amp; suppliar'!A1470,Suppliar[Facility ID],0)),"")</f>
        <v>34.14</v>
      </c>
    </row>
    <row r="1471" spans="1:11" x14ac:dyDescent="0.3">
      <c r="A1471" t="s">
        <v>55</v>
      </c>
      <c r="B1471" t="s">
        <v>12</v>
      </c>
      <c r="C1471" t="s">
        <v>13</v>
      </c>
      <c r="D1471" t="s">
        <v>14</v>
      </c>
      <c r="E1471" t="s">
        <v>10</v>
      </c>
      <c r="F1471">
        <v>1194.52</v>
      </c>
      <c r="G1471">
        <v>38181</v>
      </c>
      <c r="H1471">
        <v>691.84</v>
      </c>
      <c r="I1471">
        <v>33.53</v>
      </c>
      <c r="J1471">
        <f>IFERROR(INDEX(Suppliar[Estimated Carbon Footprint (tons CO₂e)],MATCH('Merge operational &amp; suppliar'!A1471,Suppliar[Facility ID],0)),"")</f>
        <v>114.57</v>
      </c>
      <c r="K1471">
        <f>IFERROR(INDEX(Suppliar[Income Distribution (%)],MATCH('Merge operational &amp; suppliar'!A1471,Suppliar[Facility ID],0)),"")</f>
        <v>9.9600000000000009</v>
      </c>
    </row>
    <row r="1472" spans="1:11" x14ac:dyDescent="0.3">
      <c r="A1472" t="s">
        <v>193</v>
      </c>
      <c r="B1472" t="s">
        <v>12</v>
      </c>
      <c r="C1472" t="s">
        <v>8</v>
      </c>
      <c r="D1472" t="s">
        <v>28</v>
      </c>
      <c r="E1472" t="s">
        <v>10</v>
      </c>
      <c r="F1472">
        <v>4059.51</v>
      </c>
      <c r="G1472">
        <v>13333</v>
      </c>
      <c r="H1472">
        <v>6102.15</v>
      </c>
      <c r="I1472">
        <v>17.670000000000002</v>
      </c>
      <c r="J1472">
        <f>IFERROR(INDEX(Suppliar[Estimated Carbon Footprint (tons CO₂e)],MATCH('Merge operational &amp; suppliar'!A1472,Suppliar[Facility ID],0)),"")</f>
        <v>959.2</v>
      </c>
      <c r="K1472">
        <f>IFERROR(INDEX(Suppliar[Income Distribution (%)],MATCH('Merge operational &amp; suppliar'!A1472,Suppliar[Facility ID],0)),"")</f>
        <v>24.24</v>
      </c>
    </row>
    <row r="1473" spans="1:11" x14ac:dyDescent="0.3">
      <c r="A1473" t="s">
        <v>186</v>
      </c>
      <c r="B1473" t="s">
        <v>30</v>
      </c>
      <c r="C1473" t="s">
        <v>23</v>
      </c>
      <c r="D1473" t="s">
        <v>14</v>
      </c>
      <c r="E1473" t="s">
        <v>15</v>
      </c>
      <c r="F1473">
        <v>1051.4000000000001</v>
      </c>
      <c r="G1473">
        <v>85868</v>
      </c>
      <c r="H1473">
        <v>907.72</v>
      </c>
      <c r="I1473">
        <v>90.36</v>
      </c>
      <c r="J1473">
        <f>IFERROR(INDEX(Suppliar[Estimated Carbon Footprint (tons CO₂e)],MATCH('Merge operational &amp; suppliar'!A1473,Suppliar[Facility ID],0)),"")</f>
        <v>960.4</v>
      </c>
      <c r="K1473">
        <f>IFERROR(INDEX(Suppliar[Income Distribution (%)],MATCH('Merge operational &amp; suppliar'!A1473,Suppliar[Facility ID],0)),"")</f>
        <v>10.65</v>
      </c>
    </row>
    <row r="1474" spans="1:11" x14ac:dyDescent="0.3">
      <c r="A1474" t="s">
        <v>68</v>
      </c>
      <c r="B1474" t="s">
        <v>12</v>
      </c>
      <c r="C1474" t="s">
        <v>13</v>
      </c>
      <c r="D1474" t="s">
        <v>9</v>
      </c>
      <c r="E1474" t="s">
        <v>24</v>
      </c>
      <c r="F1474">
        <v>1810.54</v>
      </c>
      <c r="G1474">
        <v>69100</v>
      </c>
      <c r="H1474">
        <v>9356.02</v>
      </c>
      <c r="I1474">
        <v>16.5</v>
      </c>
      <c r="J1474">
        <f>IFERROR(INDEX(Suppliar[Estimated Carbon Footprint (tons CO₂e)],MATCH('Merge operational &amp; suppliar'!A1474,Suppliar[Facility ID],0)),"")</f>
        <v>694.92</v>
      </c>
      <c r="K1474">
        <f>IFERROR(INDEX(Suppliar[Income Distribution (%)],MATCH('Merge operational &amp; suppliar'!A1474,Suppliar[Facility ID],0)),"")</f>
        <v>23.67</v>
      </c>
    </row>
    <row r="1475" spans="1:11" x14ac:dyDescent="0.3">
      <c r="A1475" t="s">
        <v>18</v>
      </c>
      <c r="B1475" t="s">
        <v>19</v>
      </c>
      <c r="C1475" t="s">
        <v>34</v>
      </c>
      <c r="D1475" t="s">
        <v>14</v>
      </c>
      <c r="E1475" t="s">
        <v>24</v>
      </c>
      <c r="F1475">
        <v>2916.42</v>
      </c>
      <c r="G1475">
        <v>98682</v>
      </c>
      <c r="H1475">
        <v>6220.56</v>
      </c>
      <c r="I1475">
        <v>70.099999999999994</v>
      </c>
      <c r="J1475">
        <f>IFERROR(INDEX(Suppliar[Estimated Carbon Footprint (tons CO₂e)],MATCH('Merge operational &amp; suppliar'!A1475,Suppliar[Facility ID],0)),"")</f>
        <v>724.63</v>
      </c>
      <c r="K1475">
        <f>IFERROR(INDEX(Suppliar[Income Distribution (%)],MATCH('Merge operational &amp; suppliar'!A1475,Suppliar[Facility ID],0)),"")</f>
        <v>27.81</v>
      </c>
    </row>
    <row r="1476" spans="1:11" x14ac:dyDescent="0.3">
      <c r="A1476" t="s">
        <v>51</v>
      </c>
      <c r="B1476" t="s">
        <v>30</v>
      </c>
      <c r="C1476" t="s">
        <v>34</v>
      </c>
      <c r="D1476" t="s">
        <v>28</v>
      </c>
      <c r="E1476" t="s">
        <v>15</v>
      </c>
      <c r="F1476">
        <v>3852.61</v>
      </c>
      <c r="G1476">
        <v>44164</v>
      </c>
      <c r="H1476">
        <v>3869.32</v>
      </c>
      <c r="I1476">
        <v>13.81</v>
      </c>
      <c r="J1476">
        <f>IFERROR(INDEX(Suppliar[Estimated Carbon Footprint (tons CO₂e)],MATCH('Merge operational &amp; suppliar'!A1476,Suppliar[Facility ID],0)),"")</f>
        <v>943.59</v>
      </c>
      <c r="K1476">
        <f>IFERROR(INDEX(Suppliar[Income Distribution (%)],MATCH('Merge operational &amp; suppliar'!A1476,Suppliar[Facility ID],0)),"")</f>
        <v>16.02</v>
      </c>
    </row>
    <row r="1477" spans="1:11" x14ac:dyDescent="0.3">
      <c r="A1477" t="s">
        <v>164</v>
      </c>
      <c r="B1477" t="s">
        <v>19</v>
      </c>
      <c r="C1477" t="s">
        <v>34</v>
      </c>
      <c r="D1477" t="s">
        <v>28</v>
      </c>
      <c r="E1477" t="s">
        <v>10</v>
      </c>
      <c r="F1477">
        <v>4795.1400000000003</v>
      </c>
      <c r="G1477">
        <v>69636</v>
      </c>
      <c r="H1477">
        <v>4246.55</v>
      </c>
      <c r="I1477">
        <v>69.290000000000006</v>
      </c>
      <c r="J1477">
        <f>IFERROR(INDEX(Suppliar[Estimated Carbon Footprint (tons CO₂e)],MATCH('Merge operational &amp; suppliar'!A1477,Suppliar[Facility ID],0)),"")</f>
        <v>362.43</v>
      </c>
      <c r="K1477">
        <f>IFERROR(INDEX(Suppliar[Income Distribution (%)],MATCH('Merge operational &amp; suppliar'!A1477,Suppliar[Facility ID],0)),"")</f>
        <v>54.81</v>
      </c>
    </row>
    <row r="1478" spans="1:11" x14ac:dyDescent="0.3">
      <c r="A1478" t="s">
        <v>193</v>
      </c>
      <c r="B1478" t="s">
        <v>12</v>
      </c>
      <c r="C1478" t="s">
        <v>23</v>
      </c>
      <c r="D1478" t="s">
        <v>28</v>
      </c>
      <c r="E1478" t="s">
        <v>15</v>
      </c>
      <c r="F1478">
        <v>1445.25</v>
      </c>
      <c r="G1478">
        <v>13333</v>
      </c>
      <c r="H1478">
        <v>6102.15</v>
      </c>
      <c r="I1478">
        <v>17.670000000000002</v>
      </c>
      <c r="J1478">
        <f>IFERROR(INDEX(Suppliar[Estimated Carbon Footprint (tons CO₂e)],MATCH('Merge operational &amp; suppliar'!A1478,Suppliar[Facility ID],0)),"")</f>
        <v>959.2</v>
      </c>
      <c r="K1478">
        <f>IFERROR(INDEX(Suppliar[Income Distribution (%)],MATCH('Merge operational &amp; suppliar'!A1478,Suppliar[Facility ID],0)),"")</f>
        <v>24.24</v>
      </c>
    </row>
    <row r="1479" spans="1:11" x14ac:dyDescent="0.3">
      <c r="A1479" t="s">
        <v>93</v>
      </c>
      <c r="B1479" t="s">
        <v>30</v>
      </c>
      <c r="C1479" t="s">
        <v>13</v>
      </c>
      <c r="D1479" t="s">
        <v>28</v>
      </c>
      <c r="E1479" t="s">
        <v>15</v>
      </c>
      <c r="F1479">
        <v>869.01</v>
      </c>
      <c r="G1479">
        <v>26378</v>
      </c>
      <c r="H1479">
        <v>2915.44</v>
      </c>
      <c r="I1479">
        <v>29.84</v>
      </c>
      <c r="J1479">
        <f>IFERROR(INDEX(Suppliar[Estimated Carbon Footprint (tons CO₂e)],MATCH('Merge operational &amp; suppliar'!A1479,Suppliar[Facility ID],0)),"")</f>
        <v>311.36</v>
      </c>
      <c r="K1479">
        <f>IFERROR(INDEX(Suppliar[Income Distribution (%)],MATCH('Merge operational &amp; suppliar'!A1479,Suppliar[Facility ID],0)),"")</f>
        <v>26.09</v>
      </c>
    </row>
    <row r="1480" spans="1:11" x14ac:dyDescent="0.3">
      <c r="A1480" t="s">
        <v>203</v>
      </c>
      <c r="B1480" t="s">
        <v>12</v>
      </c>
      <c r="C1480" t="s">
        <v>23</v>
      </c>
      <c r="D1480" t="s">
        <v>28</v>
      </c>
      <c r="E1480" t="s">
        <v>15</v>
      </c>
      <c r="F1480">
        <v>4077.29</v>
      </c>
      <c r="G1480">
        <v>66398</v>
      </c>
      <c r="H1480">
        <v>8713.61</v>
      </c>
      <c r="I1480">
        <v>83.44</v>
      </c>
      <c r="J1480">
        <f>IFERROR(INDEX(Suppliar[Estimated Carbon Footprint (tons CO₂e)],MATCH('Merge operational &amp; suppliar'!A1480,Suppliar[Facility ID],0)),"")</f>
        <v>763.97</v>
      </c>
      <c r="K1480">
        <f>IFERROR(INDEX(Suppliar[Income Distribution (%)],MATCH('Merge operational &amp; suppliar'!A1480,Suppliar[Facility ID],0)),"")</f>
        <v>22.42</v>
      </c>
    </row>
    <row r="1481" spans="1:11" x14ac:dyDescent="0.3">
      <c r="A1481" t="s">
        <v>120</v>
      </c>
      <c r="B1481" t="s">
        <v>30</v>
      </c>
      <c r="C1481" t="s">
        <v>8</v>
      </c>
      <c r="D1481" t="s">
        <v>14</v>
      </c>
      <c r="E1481" t="s">
        <v>10</v>
      </c>
      <c r="F1481">
        <v>2770.18</v>
      </c>
      <c r="G1481">
        <v>79495</v>
      </c>
      <c r="H1481">
        <v>7157.48</v>
      </c>
      <c r="I1481">
        <v>26.84</v>
      </c>
      <c r="J1481">
        <f>IFERROR(INDEX(Suppliar[Estimated Carbon Footprint (tons CO₂e)],MATCH('Merge operational &amp; suppliar'!A1481,Suppliar[Facility ID],0)),"")</f>
        <v>114.57</v>
      </c>
      <c r="K1481">
        <f>IFERROR(INDEX(Suppliar[Income Distribution (%)],MATCH('Merge operational &amp; suppliar'!A1481,Suppliar[Facility ID],0)),"")</f>
        <v>9.83</v>
      </c>
    </row>
    <row r="1482" spans="1:11" x14ac:dyDescent="0.3">
      <c r="A1482" t="s">
        <v>141</v>
      </c>
      <c r="B1482" t="s">
        <v>7</v>
      </c>
      <c r="C1482" t="s">
        <v>34</v>
      </c>
      <c r="D1482" t="s">
        <v>9</v>
      </c>
      <c r="E1482" t="s">
        <v>10</v>
      </c>
      <c r="F1482">
        <v>2004.7</v>
      </c>
      <c r="G1482">
        <v>45644</v>
      </c>
      <c r="H1482">
        <v>7724.73</v>
      </c>
      <c r="I1482">
        <v>31</v>
      </c>
      <c r="J1482">
        <f>IFERROR(INDEX(Suppliar[Estimated Carbon Footprint (tons CO₂e)],MATCH('Merge operational &amp; suppliar'!A1482,Suppliar[Facility ID],0)),"")</f>
        <v>685.27</v>
      </c>
      <c r="K1482">
        <f>IFERROR(INDEX(Suppliar[Income Distribution (%)],MATCH('Merge operational &amp; suppliar'!A1482,Suppliar[Facility ID],0)),"")</f>
        <v>33.94</v>
      </c>
    </row>
    <row r="1483" spans="1:11" x14ac:dyDescent="0.3">
      <c r="A1483" t="s">
        <v>193</v>
      </c>
      <c r="B1483" t="s">
        <v>12</v>
      </c>
      <c r="C1483" t="s">
        <v>34</v>
      </c>
      <c r="D1483" t="s">
        <v>28</v>
      </c>
      <c r="E1483" t="s">
        <v>15</v>
      </c>
      <c r="F1483">
        <v>4717.47</v>
      </c>
      <c r="G1483">
        <v>13333</v>
      </c>
      <c r="H1483">
        <v>6102.15</v>
      </c>
      <c r="I1483">
        <v>17.670000000000002</v>
      </c>
      <c r="J1483">
        <f>IFERROR(INDEX(Suppliar[Estimated Carbon Footprint (tons CO₂e)],MATCH('Merge operational &amp; suppliar'!A1483,Suppliar[Facility ID],0)),"")</f>
        <v>959.2</v>
      </c>
      <c r="K1483">
        <f>IFERROR(INDEX(Suppliar[Income Distribution (%)],MATCH('Merge operational &amp; suppliar'!A1483,Suppliar[Facility ID],0)),"")</f>
        <v>24.24</v>
      </c>
    </row>
    <row r="1484" spans="1:11" x14ac:dyDescent="0.3">
      <c r="A1484" t="s">
        <v>115</v>
      </c>
      <c r="B1484" t="s">
        <v>19</v>
      </c>
      <c r="C1484" t="s">
        <v>13</v>
      </c>
      <c r="D1484" t="s">
        <v>9</v>
      </c>
      <c r="E1484" t="s">
        <v>10</v>
      </c>
      <c r="F1484">
        <v>1392.48</v>
      </c>
      <c r="G1484">
        <v>17162</v>
      </c>
      <c r="H1484">
        <v>5079.95</v>
      </c>
      <c r="I1484">
        <v>19.239999999999998</v>
      </c>
      <c r="J1484">
        <f>IFERROR(INDEX(Suppliar[Estimated Carbon Footprint (tons CO₂e)],MATCH('Merge operational &amp; suppliar'!A1484,Suppliar[Facility ID],0)),"")</f>
        <v>769.39</v>
      </c>
      <c r="K1484">
        <f>IFERROR(INDEX(Suppliar[Income Distribution (%)],MATCH('Merge operational &amp; suppliar'!A1484,Suppliar[Facility ID],0)),"")</f>
        <v>35.29</v>
      </c>
    </row>
    <row r="1485" spans="1:11" x14ac:dyDescent="0.3">
      <c r="A1485" t="s">
        <v>148</v>
      </c>
      <c r="B1485" t="s">
        <v>17</v>
      </c>
      <c r="C1485" t="s">
        <v>23</v>
      </c>
      <c r="D1485" t="s">
        <v>9</v>
      </c>
      <c r="E1485" t="s">
        <v>15</v>
      </c>
      <c r="F1485">
        <v>2563.33</v>
      </c>
      <c r="G1485">
        <v>44994</v>
      </c>
      <c r="H1485">
        <v>7305.59</v>
      </c>
      <c r="I1485">
        <v>91.53</v>
      </c>
      <c r="J1485">
        <f>IFERROR(INDEX(Suppliar[Estimated Carbon Footprint (tons CO₂e)],MATCH('Merge operational &amp; suppliar'!A1485,Suppliar[Facility ID],0)),"")</f>
        <v>790.74</v>
      </c>
      <c r="K1485">
        <f>IFERROR(INDEX(Suppliar[Income Distribution (%)],MATCH('Merge operational &amp; suppliar'!A1485,Suppliar[Facility ID],0)),"")</f>
        <v>27.44</v>
      </c>
    </row>
    <row r="1486" spans="1:11" x14ac:dyDescent="0.3">
      <c r="A1486" t="s">
        <v>130</v>
      </c>
      <c r="B1486" t="s">
        <v>12</v>
      </c>
      <c r="C1486" t="s">
        <v>34</v>
      </c>
      <c r="D1486" t="s">
        <v>9</v>
      </c>
      <c r="E1486" t="s">
        <v>15</v>
      </c>
      <c r="F1486">
        <v>503.86</v>
      </c>
      <c r="G1486">
        <v>82332</v>
      </c>
      <c r="H1486">
        <v>7134.86</v>
      </c>
      <c r="I1486">
        <v>22.44</v>
      </c>
      <c r="J1486">
        <f>IFERROR(INDEX(Suppliar[Estimated Carbon Footprint (tons CO₂e)],MATCH('Merge operational &amp; suppliar'!A1486,Suppliar[Facility ID],0)),"")</f>
        <v>553.44000000000005</v>
      </c>
      <c r="K1486">
        <f>IFERROR(INDEX(Suppliar[Income Distribution (%)],MATCH('Merge operational &amp; suppliar'!A1486,Suppliar[Facility ID],0)),"")</f>
        <v>13.24</v>
      </c>
    </row>
    <row r="1487" spans="1:11" x14ac:dyDescent="0.3">
      <c r="A1487" t="s">
        <v>164</v>
      </c>
      <c r="B1487" t="s">
        <v>19</v>
      </c>
      <c r="C1487" t="s">
        <v>8</v>
      </c>
      <c r="D1487" t="s">
        <v>28</v>
      </c>
      <c r="E1487" t="s">
        <v>24</v>
      </c>
      <c r="F1487">
        <v>897.2</v>
      </c>
      <c r="G1487">
        <v>69636</v>
      </c>
      <c r="H1487">
        <v>4246.55</v>
      </c>
      <c r="I1487">
        <v>69.290000000000006</v>
      </c>
      <c r="J1487">
        <f>IFERROR(INDEX(Suppliar[Estimated Carbon Footprint (tons CO₂e)],MATCH('Merge operational &amp; suppliar'!A1487,Suppliar[Facility ID],0)),"")</f>
        <v>362.43</v>
      </c>
      <c r="K1487">
        <f>IFERROR(INDEX(Suppliar[Income Distribution (%)],MATCH('Merge operational &amp; suppliar'!A1487,Suppliar[Facility ID],0)),"")</f>
        <v>54.81</v>
      </c>
    </row>
    <row r="1488" spans="1:11" x14ac:dyDescent="0.3">
      <c r="A1488" t="s">
        <v>152</v>
      </c>
      <c r="B1488" t="s">
        <v>30</v>
      </c>
      <c r="C1488" t="s">
        <v>23</v>
      </c>
      <c r="D1488" t="s">
        <v>14</v>
      </c>
      <c r="E1488" t="s">
        <v>15</v>
      </c>
      <c r="F1488">
        <v>2988.56</v>
      </c>
      <c r="G1488">
        <v>21914</v>
      </c>
      <c r="H1488">
        <v>5897.27</v>
      </c>
      <c r="I1488">
        <v>49.41</v>
      </c>
      <c r="J1488">
        <f>IFERROR(INDEX(Suppliar[Estimated Carbon Footprint (tons CO₂e)],MATCH('Merge operational &amp; suppliar'!A1488,Suppliar[Facility ID],0)),"")</f>
        <v>790.74</v>
      </c>
      <c r="K1488">
        <f>IFERROR(INDEX(Suppliar[Income Distribution (%)],MATCH('Merge operational &amp; suppliar'!A1488,Suppliar[Facility ID],0)),"")</f>
        <v>15.07</v>
      </c>
    </row>
    <row r="1489" spans="1:11" x14ac:dyDescent="0.3">
      <c r="A1489" t="s">
        <v>86</v>
      </c>
      <c r="B1489" t="s">
        <v>19</v>
      </c>
      <c r="C1489" t="s">
        <v>34</v>
      </c>
      <c r="D1489" t="s">
        <v>9</v>
      </c>
      <c r="E1489" t="s">
        <v>15</v>
      </c>
      <c r="F1489">
        <v>1067.23</v>
      </c>
      <c r="G1489">
        <v>56531</v>
      </c>
      <c r="H1489">
        <v>8958.07</v>
      </c>
      <c r="I1489">
        <v>83.44</v>
      </c>
      <c r="J1489">
        <f>IFERROR(INDEX(Suppliar[Estimated Carbon Footprint (tons CO₂e)],MATCH('Merge operational &amp; suppliar'!A1489,Suppliar[Facility ID],0)),"")</f>
        <v>943.59</v>
      </c>
      <c r="K1489">
        <f>IFERROR(INDEX(Suppliar[Income Distribution (%)],MATCH('Merge operational &amp; suppliar'!A1489,Suppliar[Facility ID],0)),"")</f>
        <v>23.54</v>
      </c>
    </row>
    <row r="1490" spans="1:11" x14ac:dyDescent="0.3">
      <c r="A1490" t="s">
        <v>127</v>
      </c>
      <c r="B1490" t="s">
        <v>17</v>
      </c>
      <c r="C1490" t="s">
        <v>34</v>
      </c>
      <c r="D1490" t="s">
        <v>9</v>
      </c>
      <c r="E1490" t="s">
        <v>10</v>
      </c>
      <c r="F1490">
        <v>2128.88</v>
      </c>
      <c r="G1490">
        <v>17416</v>
      </c>
      <c r="H1490">
        <v>812.06</v>
      </c>
      <c r="I1490">
        <v>5.7</v>
      </c>
      <c r="J1490">
        <f>IFERROR(INDEX(Suppliar[Estimated Carbon Footprint (tons CO₂e)],MATCH('Merge operational &amp; suppliar'!A1490,Suppliar[Facility ID],0)),"")</f>
        <v>568.27</v>
      </c>
      <c r="K1490">
        <f>IFERROR(INDEX(Suppliar[Income Distribution (%)],MATCH('Merge operational &amp; suppliar'!A1490,Suppliar[Facility ID],0)),"")</f>
        <v>18.03</v>
      </c>
    </row>
    <row r="1491" spans="1:11" x14ac:dyDescent="0.3">
      <c r="A1491" t="s">
        <v>143</v>
      </c>
      <c r="B1491" t="s">
        <v>17</v>
      </c>
      <c r="C1491" t="s">
        <v>13</v>
      </c>
      <c r="D1491" t="s">
        <v>28</v>
      </c>
      <c r="E1491" t="s">
        <v>15</v>
      </c>
      <c r="F1491">
        <v>569.36</v>
      </c>
      <c r="G1491">
        <v>94704</v>
      </c>
      <c r="H1491">
        <v>6632.95</v>
      </c>
      <c r="I1491">
        <v>14.76</v>
      </c>
      <c r="J1491">
        <f>IFERROR(INDEX(Suppliar[Estimated Carbon Footprint (tons CO₂e)],MATCH('Merge operational &amp; suppliar'!A1491,Suppliar[Facility ID],0)),"")</f>
        <v>459.56</v>
      </c>
      <c r="K1491">
        <f>IFERROR(INDEX(Suppliar[Income Distribution (%)],MATCH('Merge operational &amp; suppliar'!A1491,Suppliar[Facility ID],0)),"")</f>
        <v>7.54</v>
      </c>
    </row>
    <row r="1492" spans="1:11" x14ac:dyDescent="0.3">
      <c r="A1492" t="s">
        <v>165</v>
      </c>
      <c r="B1492" t="s">
        <v>7</v>
      </c>
      <c r="C1492" t="s">
        <v>8</v>
      </c>
      <c r="D1492" t="s">
        <v>14</v>
      </c>
      <c r="E1492" t="s">
        <v>15</v>
      </c>
      <c r="F1492">
        <v>2763.46</v>
      </c>
      <c r="G1492">
        <v>32991</v>
      </c>
      <c r="H1492">
        <v>8540.14</v>
      </c>
      <c r="I1492">
        <v>37.75</v>
      </c>
      <c r="J1492">
        <f>IFERROR(INDEX(Suppliar[Estimated Carbon Footprint (tons CO₂e)],MATCH('Merge operational &amp; suppliar'!A1492,Suppliar[Facility ID],0)),"")</f>
        <v>268.16000000000003</v>
      </c>
      <c r="K1492">
        <f>IFERROR(INDEX(Suppliar[Income Distribution (%)],MATCH('Merge operational &amp; suppliar'!A1492,Suppliar[Facility ID],0)),"")</f>
        <v>9.08</v>
      </c>
    </row>
    <row r="1493" spans="1:11" x14ac:dyDescent="0.3">
      <c r="A1493" t="s">
        <v>58</v>
      </c>
      <c r="B1493" t="s">
        <v>17</v>
      </c>
      <c r="C1493" t="s">
        <v>13</v>
      </c>
      <c r="D1493" t="s">
        <v>9</v>
      </c>
      <c r="E1493" t="s">
        <v>10</v>
      </c>
      <c r="F1493">
        <v>889.01</v>
      </c>
      <c r="G1493">
        <v>32246</v>
      </c>
      <c r="H1493">
        <v>7903.93</v>
      </c>
      <c r="I1493">
        <v>42.12</v>
      </c>
      <c r="J1493">
        <f>IFERROR(INDEX(Suppliar[Estimated Carbon Footprint (tons CO₂e)],MATCH('Merge operational &amp; suppliar'!A1493,Suppliar[Facility ID],0)),"")</f>
        <v>459.56</v>
      </c>
      <c r="K1493">
        <f>IFERROR(INDEX(Suppliar[Income Distribution (%)],MATCH('Merge operational &amp; suppliar'!A1493,Suppliar[Facility ID],0)),"")</f>
        <v>28.62</v>
      </c>
    </row>
    <row r="1494" spans="1:11" x14ac:dyDescent="0.3">
      <c r="A1494" t="s">
        <v>138</v>
      </c>
      <c r="B1494" t="s">
        <v>12</v>
      </c>
      <c r="C1494" t="s">
        <v>34</v>
      </c>
      <c r="D1494" t="s">
        <v>9</v>
      </c>
      <c r="E1494" t="s">
        <v>24</v>
      </c>
      <c r="F1494">
        <v>565.20000000000005</v>
      </c>
      <c r="G1494">
        <v>57353</v>
      </c>
      <c r="H1494">
        <v>2274.71</v>
      </c>
      <c r="I1494">
        <v>65.34</v>
      </c>
      <c r="J1494">
        <f>IFERROR(INDEX(Suppliar[Estimated Carbon Footprint (tons CO₂e)],MATCH('Merge operational &amp; suppliar'!A1494,Suppliar[Facility ID],0)),"")</f>
        <v>931.73</v>
      </c>
      <c r="K1494">
        <f>IFERROR(INDEX(Suppliar[Income Distribution (%)],MATCH('Merge operational &amp; suppliar'!A1494,Suppliar[Facility ID],0)),"")</f>
        <v>46.27</v>
      </c>
    </row>
    <row r="1495" spans="1:11" x14ac:dyDescent="0.3">
      <c r="A1495" t="s">
        <v>155</v>
      </c>
      <c r="B1495" t="s">
        <v>7</v>
      </c>
      <c r="C1495" t="s">
        <v>34</v>
      </c>
      <c r="D1495" t="s">
        <v>28</v>
      </c>
      <c r="E1495" t="s">
        <v>15</v>
      </c>
      <c r="F1495">
        <v>4475.2700000000004</v>
      </c>
      <c r="G1495">
        <v>72224</v>
      </c>
      <c r="H1495">
        <v>1613.32</v>
      </c>
      <c r="I1495">
        <v>39.21</v>
      </c>
      <c r="J1495">
        <f>IFERROR(INDEX(Suppliar[Estimated Carbon Footprint (tons CO₂e)],MATCH('Merge operational &amp; suppliar'!A1495,Suppliar[Facility ID],0)),"")</f>
        <v>111.84</v>
      </c>
      <c r="K1495">
        <f>IFERROR(INDEX(Suppliar[Income Distribution (%)],MATCH('Merge operational &amp; suppliar'!A1495,Suppliar[Facility ID],0)),"")</f>
        <v>28.69</v>
      </c>
    </row>
    <row r="1496" spans="1:11" x14ac:dyDescent="0.3">
      <c r="A1496" t="s">
        <v>193</v>
      </c>
      <c r="B1496" t="s">
        <v>12</v>
      </c>
      <c r="C1496" t="s">
        <v>13</v>
      </c>
      <c r="D1496" t="s">
        <v>14</v>
      </c>
      <c r="E1496" t="s">
        <v>10</v>
      </c>
      <c r="F1496">
        <v>3884.64</v>
      </c>
      <c r="G1496">
        <v>13333</v>
      </c>
      <c r="H1496">
        <v>6102.15</v>
      </c>
      <c r="I1496">
        <v>17.670000000000002</v>
      </c>
      <c r="J1496">
        <f>IFERROR(INDEX(Suppliar[Estimated Carbon Footprint (tons CO₂e)],MATCH('Merge operational &amp; suppliar'!A1496,Suppliar[Facility ID],0)),"")</f>
        <v>959.2</v>
      </c>
      <c r="K1496">
        <f>IFERROR(INDEX(Suppliar[Income Distribution (%)],MATCH('Merge operational &amp; suppliar'!A1496,Suppliar[Facility ID],0)),"")</f>
        <v>24.24</v>
      </c>
    </row>
    <row r="1497" spans="1:11" x14ac:dyDescent="0.3">
      <c r="A1497" t="s">
        <v>155</v>
      </c>
      <c r="B1497" t="s">
        <v>7</v>
      </c>
      <c r="C1497" t="s">
        <v>34</v>
      </c>
      <c r="D1497" t="s">
        <v>9</v>
      </c>
      <c r="E1497" t="s">
        <v>15</v>
      </c>
      <c r="F1497">
        <v>1548.15</v>
      </c>
      <c r="G1497">
        <v>72224</v>
      </c>
      <c r="H1497">
        <v>1613.32</v>
      </c>
      <c r="I1497">
        <v>39.21</v>
      </c>
      <c r="J1497">
        <f>IFERROR(INDEX(Suppliar[Estimated Carbon Footprint (tons CO₂e)],MATCH('Merge operational &amp; suppliar'!A1497,Suppliar[Facility ID],0)),"")</f>
        <v>111.84</v>
      </c>
      <c r="K1497">
        <f>IFERROR(INDEX(Suppliar[Income Distribution (%)],MATCH('Merge operational &amp; suppliar'!A1497,Suppliar[Facility ID],0)),"")</f>
        <v>28.69</v>
      </c>
    </row>
    <row r="1498" spans="1:11" x14ac:dyDescent="0.3">
      <c r="A1498" t="s">
        <v>218</v>
      </c>
      <c r="B1498" t="s">
        <v>17</v>
      </c>
      <c r="C1498" t="s">
        <v>23</v>
      </c>
      <c r="D1498" t="s">
        <v>14</v>
      </c>
      <c r="E1498" t="s">
        <v>10</v>
      </c>
      <c r="F1498">
        <v>1310.02</v>
      </c>
      <c r="G1498">
        <v>22525</v>
      </c>
      <c r="H1498">
        <v>9465.65</v>
      </c>
      <c r="I1498">
        <v>37.79</v>
      </c>
      <c r="J1498">
        <f>IFERROR(INDEX(Suppliar[Estimated Carbon Footprint (tons CO₂e)],MATCH('Merge operational &amp; suppliar'!A1498,Suppliar[Facility ID],0)),"")</f>
        <v>472.66</v>
      </c>
      <c r="K1498">
        <f>IFERROR(INDEX(Suppliar[Income Distribution (%)],MATCH('Merge operational &amp; suppliar'!A1498,Suppliar[Facility ID],0)),"")</f>
        <v>55.03</v>
      </c>
    </row>
    <row r="1499" spans="1:11" x14ac:dyDescent="0.3">
      <c r="A1499" t="s">
        <v>206</v>
      </c>
      <c r="B1499" t="s">
        <v>19</v>
      </c>
      <c r="C1499" t="s">
        <v>13</v>
      </c>
      <c r="D1499" t="s">
        <v>14</v>
      </c>
      <c r="E1499" t="s">
        <v>24</v>
      </c>
      <c r="F1499">
        <v>1833.43</v>
      </c>
      <c r="G1499">
        <v>10250</v>
      </c>
      <c r="H1499">
        <v>4717</v>
      </c>
      <c r="I1499">
        <v>16.600000000000001</v>
      </c>
      <c r="J1499">
        <f>IFERROR(INDEX(Suppliar[Estimated Carbon Footprint (tons CO₂e)],MATCH('Merge operational &amp; suppliar'!A1499,Suppliar[Facility ID],0)),"")</f>
        <v>249.3</v>
      </c>
      <c r="K1499">
        <f>IFERROR(INDEX(Suppliar[Income Distribution (%)],MATCH('Merge operational &amp; suppliar'!A1499,Suppliar[Facility ID],0)),"")</f>
        <v>32.97</v>
      </c>
    </row>
    <row r="1500" spans="1:11" x14ac:dyDescent="0.3">
      <c r="A1500" t="s">
        <v>188</v>
      </c>
      <c r="B1500" t="s">
        <v>19</v>
      </c>
      <c r="C1500" t="s">
        <v>13</v>
      </c>
      <c r="D1500" t="s">
        <v>14</v>
      </c>
      <c r="E1500" t="s">
        <v>15</v>
      </c>
      <c r="F1500">
        <v>1039.8399999999999</v>
      </c>
      <c r="G1500">
        <v>60513</v>
      </c>
      <c r="H1500">
        <v>4578.16</v>
      </c>
      <c r="I1500">
        <v>65.53</v>
      </c>
      <c r="J1500" t="str">
        <f>IFERROR(INDEX(Suppliar[Estimated Carbon Footprint (tons CO₂e)],MATCH('Merge operational &amp; suppliar'!A1500,Suppliar[Facility ID],0)),"")</f>
        <v/>
      </c>
      <c r="K1500" t="str">
        <f>IFERROR(INDEX(Suppliar[Income Distribution (%)],MATCH('Merge operational &amp; suppliar'!A1500,Suppliar[Facility ID],0)),"")</f>
        <v/>
      </c>
    </row>
    <row r="1501" spans="1:11" x14ac:dyDescent="0.3">
      <c r="A1501" t="s">
        <v>110</v>
      </c>
      <c r="B1501" t="s">
        <v>12</v>
      </c>
      <c r="C1501" t="s">
        <v>13</v>
      </c>
      <c r="D1501" t="s">
        <v>28</v>
      </c>
      <c r="E1501" t="s">
        <v>15</v>
      </c>
      <c r="F1501">
        <v>3297.47</v>
      </c>
      <c r="G1501">
        <v>70481</v>
      </c>
      <c r="H1501">
        <v>4452.83</v>
      </c>
      <c r="I1501">
        <v>91.26</v>
      </c>
      <c r="J1501" t="str">
        <f>IFERROR(INDEX(Suppliar[Estimated Carbon Footprint (tons CO₂e)],MATCH('Merge operational &amp; suppliar'!A1501,Suppliar[Facility ID],0)),"")</f>
        <v/>
      </c>
      <c r="K1501" t="str">
        <f>IFERROR(INDEX(Suppliar[Income Distribution (%)],MATCH('Merge operational &amp; suppliar'!A1501,Suppliar[Facility ID],0)),"")</f>
        <v/>
      </c>
    </row>
    <row r="1502" spans="1:11" x14ac:dyDescent="0.3">
      <c r="A1502" t="s">
        <v>56</v>
      </c>
      <c r="B1502" t="s">
        <v>19</v>
      </c>
      <c r="C1502" t="s">
        <v>13</v>
      </c>
      <c r="D1502" t="s">
        <v>14</v>
      </c>
      <c r="E1502" t="s">
        <v>10</v>
      </c>
      <c r="F1502">
        <v>3091.2</v>
      </c>
      <c r="G1502">
        <v>43747</v>
      </c>
      <c r="H1502">
        <v>3453.48</v>
      </c>
      <c r="I1502">
        <v>98.78</v>
      </c>
      <c r="J1502">
        <f>IFERROR(INDEX(Suppliar[Estimated Carbon Footprint (tons CO₂e)],MATCH('Merge operational &amp; suppliar'!A1502,Suppliar[Facility ID],0)),"")</f>
        <v>459.56</v>
      </c>
      <c r="K1502">
        <f>IFERROR(INDEX(Suppliar[Income Distribution (%)],MATCH('Merge operational &amp; suppliar'!A1502,Suppliar[Facility ID],0)),"")</f>
        <v>23.81</v>
      </c>
    </row>
    <row r="1503" spans="1:11" x14ac:dyDescent="0.3">
      <c r="A1503" t="s">
        <v>185</v>
      </c>
      <c r="B1503" t="s">
        <v>30</v>
      </c>
      <c r="C1503" t="s">
        <v>34</v>
      </c>
      <c r="D1503" t="s">
        <v>28</v>
      </c>
      <c r="E1503" t="s">
        <v>15</v>
      </c>
      <c r="F1503">
        <v>301.86</v>
      </c>
      <c r="G1503">
        <v>24913</v>
      </c>
      <c r="H1503">
        <v>5727.27</v>
      </c>
      <c r="I1503">
        <v>78.849999999999994</v>
      </c>
      <c r="J1503" t="str">
        <f>IFERROR(INDEX(Suppliar[Estimated Carbon Footprint (tons CO₂e)],MATCH('Merge operational &amp; suppliar'!A1503,Suppliar[Facility ID],0)),"")</f>
        <v/>
      </c>
      <c r="K1503" t="str">
        <f>IFERROR(INDEX(Suppliar[Income Distribution (%)],MATCH('Merge operational &amp; suppliar'!A1503,Suppliar[Facility ID],0)),"")</f>
        <v/>
      </c>
    </row>
    <row r="1504" spans="1:11" x14ac:dyDescent="0.3">
      <c r="A1504" t="s">
        <v>178</v>
      </c>
      <c r="B1504" t="s">
        <v>30</v>
      </c>
      <c r="C1504" t="s">
        <v>23</v>
      </c>
      <c r="D1504" t="s">
        <v>14</v>
      </c>
      <c r="E1504" t="s">
        <v>24</v>
      </c>
      <c r="F1504">
        <v>4171.41</v>
      </c>
      <c r="G1504">
        <v>88188</v>
      </c>
      <c r="H1504">
        <v>815.86</v>
      </c>
      <c r="I1504">
        <v>57.53</v>
      </c>
      <c r="J1504">
        <f>IFERROR(INDEX(Suppliar[Estimated Carbon Footprint (tons CO₂e)],MATCH('Merge operational &amp; suppliar'!A1504,Suppliar[Facility ID],0)),"")</f>
        <v>557.72</v>
      </c>
      <c r="K1504">
        <f>IFERROR(INDEX(Suppliar[Income Distribution (%)],MATCH('Merge operational &amp; suppliar'!A1504,Suppliar[Facility ID],0)),"")</f>
        <v>37.25</v>
      </c>
    </row>
    <row r="1505" spans="1:11" x14ac:dyDescent="0.3">
      <c r="A1505" t="s">
        <v>219</v>
      </c>
      <c r="B1505" t="s">
        <v>12</v>
      </c>
      <c r="C1505" t="s">
        <v>34</v>
      </c>
      <c r="D1505" t="s">
        <v>14</v>
      </c>
      <c r="E1505" t="s">
        <v>10</v>
      </c>
      <c r="F1505">
        <v>4337.95</v>
      </c>
      <c r="G1505">
        <v>84524</v>
      </c>
      <c r="H1505">
        <v>9350.11</v>
      </c>
      <c r="I1505">
        <v>27.53</v>
      </c>
      <c r="J1505">
        <f>IFERROR(INDEX(Suppliar[Estimated Carbon Footprint (tons CO₂e)],MATCH('Merge operational &amp; suppliar'!A1505,Suppliar[Facility ID],0)),"")</f>
        <v>795.74</v>
      </c>
      <c r="K1505">
        <f>IFERROR(INDEX(Suppliar[Income Distribution (%)],MATCH('Merge operational &amp; suppliar'!A1505,Suppliar[Facility ID],0)),"")</f>
        <v>18.73</v>
      </c>
    </row>
    <row r="1506" spans="1:11" x14ac:dyDescent="0.3">
      <c r="A1506" t="s">
        <v>150</v>
      </c>
      <c r="B1506" t="s">
        <v>30</v>
      </c>
      <c r="C1506" t="s">
        <v>34</v>
      </c>
      <c r="D1506" t="s">
        <v>9</v>
      </c>
      <c r="E1506" t="s">
        <v>24</v>
      </c>
      <c r="F1506">
        <v>3830.1</v>
      </c>
      <c r="G1506">
        <v>98356</v>
      </c>
      <c r="H1506">
        <v>6968.69</v>
      </c>
      <c r="I1506">
        <v>81.72</v>
      </c>
      <c r="J1506">
        <f>IFERROR(INDEX(Suppliar[Estimated Carbon Footprint (tons CO₂e)],MATCH('Merge operational &amp; suppliar'!A1506,Suppliar[Facility ID],0)),"")</f>
        <v>795.74</v>
      </c>
      <c r="K1506">
        <f>IFERROR(INDEX(Suppliar[Income Distribution (%)],MATCH('Merge operational &amp; suppliar'!A1506,Suppliar[Facility ID],0)),"")</f>
        <v>22.41</v>
      </c>
    </row>
    <row r="1507" spans="1:11" x14ac:dyDescent="0.3">
      <c r="A1507" t="s">
        <v>91</v>
      </c>
      <c r="B1507" t="s">
        <v>30</v>
      </c>
      <c r="C1507" t="s">
        <v>8</v>
      </c>
      <c r="D1507" t="s">
        <v>28</v>
      </c>
      <c r="E1507" t="s">
        <v>24</v>
      </c>
      <c r="F1507">
        <v>3808.17</v>
      </c>
      <c r="G1507">
        <v>20207</v>
      </c>
      <c r="H1507">
        <v>5369.46</v>
      </c>
      <c r="I1507">
        <v>57.51</v>
      </c>
      <c r="J1507">
        <f>IFERROR(INDEX(Suppliar[Estimated Carbon Footprint (tons CO₂e)],MATCH('Merge operational &amp; suppliar'!A1507,Suppliar[Facility ID],0)),"")</f>
        <v>847.51</v>
      </c>
      <c r="K1507">
        <f>IFERROR(INDEX(Suppliar[Income Distribution (%)],MATCH('Merge operational &amp; suppliar'!A1507,Suppliar[Facility ID],0)),"")</f>
        <v>28.45</v>
      </c>
    </row>
    <row r="1508" spans="1:11" x14ac:dyDescent="0.3">
      <c r="A1508" t="s">
        <v>20</v>
      </c>
      <c r="B1508" t="s">
        <v>17</v>
      </c>
      <c r="C1508" t="s">
        <v>8</v>
      </c>
      <c r="D1508" t="s">
        <v>14</v>
      </c>
      <c r="E1508" t="s">
        <v>10</v>
      </c>
      <c r="F1508">
        <v>3167.4</v>
      </c>
      <c r="G1508">
        <v>29895</v>
      </c>
      <c r="H1508">
        <v>1631.08</v>
      </c>
      <c r="I1508">
        <v>39.93</v>
      </c>
      <c r="J1508">
        <f>IFERROR(INDEX(Suppliar[Estimated Carbon Footprint (tons CO₂e)],MATCH('Merge operational &amp; suppliar'!A1508,Suppliar[Facility ID],0)),"")</f>
        <v>959.2</v>
      </c>
      <c r="K1508">
        <f>IFERROR(INDEX(Suppliar[Income Distribution (%)],MATCH('Merge operational &amp; suppliar'!A1508,Suppliar[Facility ID],0)),"")</f>
        <v>38.840000000000003</v>
      </c>
    </row>
    <row r="1509" spans="1:11" x14ac:dyDescent="0.3">
      <c r="A1509" t="s">
        <v>39</v>
      </c>
      <c r="B1509" t="s">
        <v>7</v>
      </c>
      <c r="C1509" t="s">
        <v>13</v>
      </c>
      <c r="D1509" t="s">
        <v>9</v>
      </c>
      <c r="E1509" t="s">
        <v>15</v>
      </c>
      <c r="F1509">
        <v>742.11</v>
      </c>
      <c r="G1509">
        <v>80904</v>
      </c>
      <c r="H1509">
        <v>3263.09</v>
      </c>
      <c r="I1509">
        <v>58.37</v>
      </c>
      <c r="J1509">
        <f>IFERROR(INDEX(Suppliar[Estimated Carbon Footprint (tons CO₂e)],MATCH('Merge operational &amp; suppliar'!A1509,Suppliar[Facility ID],0)),"")</f>
        <v>756.78</v>
      </c>
      <c r="K1509">
        <f>IFERROR(INDEX(Suppliar[Income Distribution (%)],MATCH('Merge operational &amp; suppliar'!A1509,Suppliar[Facility ID],0)),"")</f>
        <v>35.950000000000003</v>
      </c>
    </row>
    <row r="1510" spans="1:11" x14ac:dyDescent="0.3">
      <c r="A1510" t="s">
        <v>183</v>
      </c>
      <c r="B1510" t="s">
        <v>7</v>
      </c>
      <c r="C1510" t="s">
        <v>34</v>
      </c>
      <c r="D1510" t="s">
        <v>14</v>
      </c>
      <c r="E1510" t="s">
        <v>15</v>
      </c>
      <c r="F1510">
        <v>4632.6400000000003</v>
      </c>
      <c r="G1510">
        <v>14009</v>
      </c>
      <c r="H1510">
        <v>7528.98</v>
      </c>
      <c r="I1510">
        <v>77.62</v>
      </c>
      <c r="J1510">
        <f>IFERROR(INDEX(Suppliar[Estimated Carbon Footprint (tons CO₂e)],MATCH('Merge operational &amp; suppliar'!A1510,Suppliar[Facility ID],0)),"")</f>
        <v>763.97</v>
      </c>
      <c r="K1510">
        <f>IFERROR(INDEX(Suppliar[Income Distribution (%)],MATCH('Merge operational &amp; suppliar'!A1510,Suppliar[Facility ID],0)),"")</f>
        <v>24.91</v>
      </c>
    </row>
    <row r="1511" spans="1:11" x14ac:dyDescent="0.3">
      <c r="A1511" t="s">
        <v>21</v>
      </c>
      <c r="B1511" t="s">
        <v>19</v>
      </c>
      <c r="C1511" t="s">
        <v>13</v>
      </c>
      <c r="D1511" t="s">
        <v>14</v>
      </c>
      <c r="E1511" t="s">
        <v>10</v>
      </c>
      <c r="F1511">
        <v>1268.8</v>
      </c>
      <c r="G1511">
        <v>61157</v>
      </c>
      <c r="H1511">
        <v>7331.54</v>
      </c>
      <c r="I1511">
        <v>55.52</v>
      </c>
      <c r="J1511">
        <f>IFERROR(INDEX(Suppliar[Estimated Carbon Footprint (tons CO₂e)],MATCH('Merge operational &amp; suppliar'!A1511,Suppliar[Facility ID],0)),"")</f>
        <v>783.77</v>
      </c>
      <c r="K1511">
        <f>IFERROR(INDEX(Suppliar[Income Distribution (%)],MATCH('Merge operational &amp; suppliar'!A1511,Suppliar[Facility ID],0)),"")</f>
        <v>31.59</v>
      </c>
    </row>
    <row r="1512" spans="1:11" x14ac:dyDescent="0.3">
      <c r="A1512" t="s">
        <v>150</v>
      </c>
      <c r="B1512" t="s">
        <v>30</v>
      </c>
      <c r="C1512" t="s">
        <v>8</v>
      </c>
      <c r="D1512" t="s">
        <v>28</v>
      </c>
      <c r="E1512" t="s">
        <v>15</v>
      </c>
      <c r="F1512">
        <v>3546.58</v>
      </c>
      <c r="G1512">
        <v>98356</v>
      </c>
      <c r="H1512">
        <v>6968.69</v>
      </c>
      <c r="I1512">
        <v>81.72</v>
      </c>
      <c r="J1512">
        <f>IFERROR(INDEX(Suppliar[Estimated Carbon Footprint (tons CO₂e)],MATCH('Merge operational &amp; suppliar'!A1512,Suppliar[Facility ID],0)),"")</f>
        <v>795.74</v>
      </c>
      <c r="K1512">
        <f>IFERROR(INDEX(Suppliar[Income Distribution (%)],MATCH('Merge operational &amp; suppliar'!A1512,Suppliar[Facility ID],0)),"")</f>
        <v>22.41</v>
      </c>
    </row>
    <row r="1513" spans="1:11" x14ac:dyDescent="0.3">
      <c r="A1513" t="s">
        <v>25</v>
      </c>
      <c r="B1513" t="s">
        <v>19</v>
      </c>
      <c r="C1513" t="s">
        <v>23</v>
      </c>
      <c r="D1513" t="s">
        <v>28</v>
      </c>
      <c r="E1513" t="s">
        <v>10</v>
      </c>
      <c r="F1513">
        <v>1609.6</v>
      </c>
      <c r="G1513">
        <v>95306</v>
      </c>
      <c r="H1513">
        <v>9037.76</v>
      </c>
      <c r="I1513">
        <v>13.35</v>
      </c>
      <c r="J1513">
        <f>IFERROR(INDEX(Suppliar[Estimated Carbon Footprint (tons CO₂e)],MATCH('Merge operational &amp; suppliar'!A1513,Suppliar[Facility ID],0)),"")</f>
        <v>724.63</v>
      </c>
      <c r="K1513">
        <f>IFERROR(INDEX(Suppliar[Income Distribution (%)],MATCH('Merge operational &amp; suppliar'!A1513,Suppliar[Facility ID],0)),"")</f>
        <v>21.2</v>
      </c>
    </row>
    <row r="1514" spans="1:11" x14ac:dyDescent="0.3">
      <c r="A1514" t="s">
        <v>209</v>
      </c>
      <c r="B1514" t="s">
        <v>7</v>
      </c>
      <c r="C1514" t="s">
        <v>34</v>
      </c>
      <c r="D1514" t="s">
        <v>9</v>
      </c>
      <c r="E1514" t="s">
        <v>15</v>
      </c>
      <c r="F1514">
        <v>3630.71</v>
      </c>
      <c r="G1514">
        <v>52357</v>
      </c>
      <c r="H1514">
        <v>5643.16</v>
      </c>
      <c r="I1514">
        <v>37.130000000000003</v>
      </c>
      <c r="J1514">
        <f>IFERROR(INDEX(Suppliar[Estimated Carbon Footprint (tons CO₂e)],MATCH('Merge operational &amp; suppliar'!A1514,Suppliar[Facility ID],0)),"")</f>
        <v>932.3</v>
      </c>
      <c r="K1514">
        <f>IFERROR(INDEX(Suppliar[Income Distribution (%)],MATCH('Merge operational &amp; suppliar'!A1514,Suppliar[Facility ID],0)),"")</f>
        <v>13.43</v>
      </c>
    </row>
    <row r="1515" spans="1:11" x14ac:dyDescent="0.3">
      <c r="A1515" t="s">
        <v>181</v>
      </c>
      <c r="B1515" t="s">
        <v>30</v>
      </c>
      <c r="C1515" t="s">
        <v>34</v>
      </c>
      <c r="D1515" t="s">
        <v>14</v>
      </c>
      <c r="E1515" t="s">
        <v>10</v>
      </c>
      <c r="F1515">
        <v>999.48</v>
      </c>
      <c r="G1515">
        <v>28704</v>
      </c>
      <c r="H1515">
        <v>6009.24</v>
      </c>
      <c r="I1515">
        <v>39.31</v>
      </c>
      <c r="J1515">
        <f>IFERROR(INDEX(Suppliar[Estimated Carbon Footprint (tons CO₂e)],MATCH('Merge operational &amp; suppliar'!A1515,Suppliar[Facility ID],0)),"")</f>
        <v>479.41</v>
      </c>
      <c r="K1515">
        <f>IFERROR(INDEX(Suppliar[Income Distribution (%)],MATCH('Merge operational &amp; suppliar'!A1515,Suppliar[Facility ID],0)),"")</f>
        <v>19.7</v>
      </c>
    </row>
    <row r="1516" spans="1:11" x14ac:dyDescent="0.3">
      <c r="A1516" t="s">
        <v>127</v>
      </c>
      <c r="B1516" t="s">
        <v>17</v>
      </c>
      <c r="C1516" t="s">
        <v>13</v>
      </c>
      <c r="D1516" t="s">
        <v>14</v>
      </c>
      <c r="E1516" t="s">
        <v>15</v>
      </c>
      <c r="F1516">
        <v>4553.04</v>
      </c>
      <c r="G1516">
        <v>17416</v>
      </c>
      <c r="H1516">
        <v>812.06</v>
      </c>
      <c r="I1516">
        <v>5.7</v>
      </c>
      <c r="J1516">
        <f>IFERROR(INDEX(Suppliar[Estimated Carbon Footprint (tons CO₂e)],MATCH('Merge operational &amp; suppliar'!A1516,Suppliar[Facility ID],0)),"")</f>
        <v>568.27</v>
      </c>
      <c r="K1516">
        <f>IFERROR(INDEX(Suppliar[Income Distribution (%)],MATCH('Merge operational &amp; suppliar'!A1516,Suppliar[Facility ID],0)),"")</f>
        <v>18.03</v>
      </c>
    </row>
    <row r="1517" spans="1:11" x14ac:dyDescent="0.3">
      <c r="A1517" t="s">
        <v>123</v>
      </c>
      <c r="B1517" t="s">
        <v>30</v>
      </c>
      <c r="C1517" t="s">
        <v>8</v>
      </c>
      <c r="D1517" t="s">
        <v>9</v>
      </c>
      <c r="E1517" t="s">
        <v>24</v>
      </c>
      <c r="F1517">
        <v>1345.95</v>
      </c>
      <c r="G1517">
        <v>73977</v>
      </c>
      <c r="H1517">
        <v>1646.75</v>
      </c>
      <c r="I1517">
        <v>43.77</v>
      </c>
      <c r="J1517" t="str">
        <f>IFERROR(INDEX(Suppliar[Estimated Carbon Footprint (tons CO₂e)],MATCH('Merge operational &amp; suppliar'!A1517,Suppliar[Facility ID],0)),"")</f>
        <v/>
      </c>
      <c r="K1517" t="str">
        <f>IFERROR(INDEX(Suppliar[Income Distribution (%)],MATCH('Merge operational &amp; suppliar'!A1517,Suppliar[Facility ID],0)),"")</f>
        <v/>
      </c>
    </row>
    <row r="1518" spans="1:11" x14ac:dyDescent="0.3">
      <c r="A1518" t="s">
        <v>89</v>
      </c>
      <c r="B1518" t="s">
        <v>17</v>
      </c>
      <c r="C1518" t="s">
        <v>34</v>
      </c>
      <c r="D1518" t="s">
        <v>28</v>
      </c>
      <c r="E1518" t="s">
        <v>10</v>
      </c>
      <c r="F1518">
        <v>1432.5</v>
      </c>
      <c r="G1518">
        <v>36171</v>
      </c>
      <c r="H1518">
        <v>6864.38</v>
      </c>
      <c r="I1518">
        <v>37.03</v>
      </c>
      <c r="J1518">
        <f>IFERROR(INDEX(Suppliar[Estimated Carbon Footprint (tons CO₂e)],MATCH('Merge operational &amp; suppliar'!A1518,Suppliar[Facility ID],0)),"")</f>
        <v>181.54</v>
      </c>
      <c r="K1518">
        <f>IFERROR(INDEX(Suppliar[Income Distribution (%)],MATCH('Merge operational &amp; suppliar'!A1518,Suppliar[Facility ID],0)),"")</f>
        <v>55.69</v>
      </c>
    </row>
    <row r="1519" spans="1:11" x14ac:dyDescent="0.3">
      <c r="A1519" t="s">
        <v>67</v>
      </c>
      <c r="B1519" t="s">
        <v>7</v>
      </c>
      <c r="C1519" t="s">
        <v>34</v>
      </c>
      <c r="D1519" t="s">
        <v>28</v>
      </c>
      <c r="E1519" t="s">
        <v>10</v>
      </c>
      <c r="F1519">
        <v>2537.5</v>
      </c>
      <c r="G1519">
        <v>70582</v>
      </c>
      <c r="H1519">
        <v>7517.59</v>
      </c>
      <c r="I1519">
        <v>95.71</v>
      </c>
      <c r="J1519" t="str">
        <f>IFERROR(INDEX(Suppliar[Estimated Carbon Footprint (tons CO₂e)],MATCH('Merge operational &amp; suppliar'!A1519,Suppliar[Facility ID],0)),"")</f>
        <v/>
      </c>
      <c r="K1519" t="str">
        <f>IFERROR(INDEX(Suppliar[Income Distribution (%)],MATCH('Merge operational &amp; suppliar'!A1519,Suppliar[Facility ID],0)),"")</f>
        <v/>
      </c>
    </row>
    <row r="1520" spans="1:11" x14ac:dyDescent="0.3">
      <c r="A1520" t="s">
        <v>194</v>
      </c>
      <c r="B1520" t="s">
        <v>17</v>
      </c>
      <c r="C1520" t="s">
        <v>13</v>
      </c>
      <c r="D1520" t="s">
        <v>14</v>
      </c>
      <c r="E1520" t="s">
        <v>10</v>
      </c>
      <c r="F1520">
        <v>4832.05</v>
      </c>
      <c r="G1520">
        <v>95165</v>
      </c>
      <c r="H1520">
        <v>8562.76</v>
      </c>
      <c r="I1520">
        <v>37.54</v>
      </c>
      <c r="J1520">
        <f>IFERROR(INDEX(Suppliar[Estimated Carbon Footprint (tons CO₂e)],MATCH('Merge operational &amp; suppliar'!A1520,Suppliar[Facility ID],0)),"")</f>
        <v>479.41</v>
      </c>
      <c r="K1520">
        <f>IFERROR(INDEX(Suppliar[Income Distribution (%)],MATCH('Merge operational &amp; suppliar'!A1520,Suppliar[Facility ID],0)),"")</f>
        <v>13.64</v>
      </c>
    </row>
    <row r="1521" spans="1:11" x14ac:dyDescent="0.3">
      <c r="A1521" t="s">
        <v>180</v>
      </c>
      <c r="B1521" t="s">
        <v>30</v>
      </c>
      <c r="C1521" t="s">
        <v>13</v>
      </c>
      <c r="D1521" t="s">
        <v>14</v>
      </c>
      <c r="E1521" t="s">
        <v>10</v>
      </c>
      <c r="F1521">
        <v>3935.58</v>
      </c>
      <c r="G1521">
        <v>72846</v>
      </c>
      <c r="H1521">
        <v>5169.53</v>
      </c>
      <c r="I1521">
        <v>76.709999999999994</v>
      </c>
      <c r="J1521" t="str">
        <f>IFERROR(INDEX(Suppliar[Estimated Carbon Footprint (tons CO₂e)],MATCH('Merge operational &amp; suppliar'!A1521,Suppliar[Facility ID],0)),"")</f>
        <v/>
      </c>
      <c r="K1521" t="str">
        <f>IFERROR(INDEX(Suppliar[Income Distribution (%)],MATCH('Merge operational &amp; suppliar'!A1521,Suppliar[Facility ID],0)),"")</f>
        <v/>
      </c>
    </row>
    <row r="1522" spans="1:11" x14ac:dyDescent="0.3">
      <c r="A1522" t="s">
        <v>209</v>
      </c>
      <c r="B1522" t="s">
        <v>7</v>
      </c>
      <c r="C1522" t="s">
        <v>13</v>
      </c>
      <c r="D1522" t="s">
        <v>9</v>
      </c>
      <c r="E1522" t="s">
        <v>24</v>
      </c>
      <c r="F1522">
        <v>3258.29</v>
      </c>
      <c r="G1522">
        <v>52357</v>
      </c>
      <c r="H1522">
        <v>5643.16</v>
      </c>
      <c r="I1522">
        <v>37.130000000000003</v>
      </c>
      <c r="J1522">
        <f>IFERROR(INDEX(Suppliar[Estimated Carbon Footprint (tons CO₂e)],MATCH('Merge operational &amp; suppliar'!A1522,Suppliar[Facility ID],0)),"")</f>
        <v>932.3</v>
      </c>
      <c r="K1522">
        <f>IFERROR(INDEX(Suppliar[Income Distribution (%)],MATCH('Merge operational &amp; suppliar'!A1522,Suppliar[Facility ID],0)),"")</f>
        <v>13.43</v>
      </c>
    </row>
    <row r="1523" spans="1:11" x14ac:dyDescent="0.3">
      <c r="A1523" t="s">
        <v>174</v>
      </c>
      <c r="B1523" t="s">
        <v>19</v>
      </c>
      <c r="C1523" t="s">
        <v>34</v>
      </c>
      <c r="D1523" t="s">
        <v>14</v>
      </c>
      <c r="E1523" t="s">
        <v>15</v>
      </c>
      <c r="F1523">
        <v>1512.13</v>
      </c>
      <c r="G1523">
        <v>66163</v>
      </c>
      <c r="H1523">
        <v>1416.57</v>
      </c>
      <c r="I1523">
        <v>68.73</v>
      </c>
      <c r="J1523">
        <f>IFERROR(INDEX(Suppliar[Estimated Carbon Footprint (tons CO₂e)],MATCH('Merge operational &amp; suppliar'!A1523,Suppliar[Facility ID],0)),"")</f>
        <v>773.96</v>
      </c>
      <c r="K1523">
        <f>IFERROR(INDEX(Suppliar[Income Distribution (%)],MATCH('Merge operational &amp; suppliar'!A1523,Suppliar[Facility ID],0)),"")</f>
        <v>29.26</v>
      </c>
    </row>
    <row r="1524" spans="1:11" x14ac:dyDescent="0.3">
      <c r="A1524" t="s">
        <v>42</v>
      </c>
      <c r="B1524" t="s">
        <v>30</v>
      </c>
      <c r="C1524" t="s">
        <v>13</v>
      </c>
      <c r="D1524" t="s">
        <v>14</v>
      </c>
      <c r="E1524" t="s">
        <v>10</v>
      </c>
      <c r="F1524">
        <v>245.71</v>
      </c>
      <c r="G1524">
        <v>41539</v>
      </c>
      <c r="H1524">
        <v>982.8</v>
      </c>
      <c r="I1524">
        <v>79.7</v>
      </c>
      <c r="J1524">
        <f>IFERROR(INDEX(Suppliar[Estimated Carbon Footprint (tons CO₂e)],MATCH('Merge operational &amp; suppliar'!A1524,Suppliar[Facility ID],0)),"")</f>
        <v>851.48</v>
      </c>
      <c r="K1524">
        <f>IFERROR(INDEX(Suppliar[Income Distribution (%)],MATCH('Merge operational &amp; suppliar'!A1524,Suppliar[Facility ID],0)),"")</f>
        <v>13.07</v>
      </c>
    </row>
    <row r="1525" spans="1:11" x14ac:dyDescent="0.3">
      <c r="A1525" t="s">
        <v>31</v>
      </c>
      <c r="B1525" t="s">
        <v>30</v>
      </c>
      <c r="C1525" t="s">
        <v>8</v>
      </c>
      <c r="D1525" t="s">
        <v>14</v>
      </c>
      <c r="E1525" t="s">
        <v>24</v>
      </c>
      <c r="F1525">
        <v>3387.13</v>
      </c>
      <c r="G1525">
        <v>84851</v>
      </c>
      <c r="H1525">
        <v>560.75</v>
      </c>
      <c r="I1525">
        <v>80.23</v>
      </c>
      <c r="J1525">
        <f>IFERROR(INDEX(Suppliar[Estimated Carbon Footprint (tons CO₂e)],MATCH('Merge operational &amp; suppliar'!A1525,Suppliar[Facility ID],0)),"")</f>
        <v>610.79999999999995</v>
      </c>
      <c r="K1525">
        <f>IFERROR(INDEX(Suppliar[Income Distribution (%)],MATCH('Merge operational &amp; suppliar'!A1525,Suppliar[Facility ID],0)),"")</f>
        <v>26.58</v>
      </c>
    </row>
    <row r="1526" spans="1:11" x14ac:dyDescent="0.3">
      <c r="A1526" t="s">
        <v>77</v>
      </c>
      <c r="B1526" t="s">
        <v>30</v>
      </c>
      <c r="C1526" t="s">
        <v>8</v>
      </c>
      <c r="D1526" t="s">
        <v>28</v>
      </c>
      <c r="E1526" t="s">
        <v>15</v>
      </c>
      <c r="F1526">
        <v>1014.2</v>
      </c>
      <c r="G1526">
        <v>61942</v>
      </c>
      <c r="H1526">
        <v>4891.32</v>
      </c>
      <c r="I1526">
        <v>91.59</v>
      </c>
      <c r="J1526">
        <f>IFERROR(INDEX(Suppliar[Estimated Carbon Footprint (tons CO₂e)],MATCH('Merge operational &amp; suppliar'!A1526,Suppliar[Facility ID],0)),"")</f>
        <v>785.8</v>
      </c>
      <c r="K1526">
        <f>IFERROR(INDEX(Suppliar[Income Distribution (%)],MATCH('Merge operational &amp; suppliar'!A1526,Suppliar[Facility ID],0)),"")</f>
        <v>8.84</v>
      </c>
    </row>
    <row r="1527" spans="1:11" x14ac:dyDescent="0.3">
      <c r="A1527" t="s">
        <v>89</v>
      </c>
      <c r="B1527" t="s">
        <v>17</v>
      </c>
      <c r="C1527" t="s">
        <v>13</v>
      </c>
      <c r="D1527" t="s">
        <v>28</v>
      </c>
      <c r="E1527" t="s">
        <v>10</v>
      </c>
      <c r="F1527">
        <v>269.87</v>
      </c>
      <c r="G1527">
        <v>36171</v>
      </c>
      <c r="H1527">
        <v>6864.38</v>
      </c>
      <c r="I1527">
        <v>37.03</v>
      </c>
      <c r="J1527">
        <f>IFERROR(INDEX(Suppliar[Estimated Carbon Footprint (tons CO₂e)],MATCH('Merge operational &amp; suppliar'!A1527,Suppliar[Facility ID],0)),"")</f>
        <v>181.54</v>
      </c>
      <c r="K1527">
        <f>IFERROR(INDEX(Suppliar[Income Distribution (%)],MATCH('Merge operational &amp; suppliar'!A1527,Suppliar[Facility ID],0)),"")</f>
        <v>55.69</v>
      </c>
    </row>
    <row r="1528" spans="1:11" x14ac:dyDescent="0.3">
      <c r="A1528" t="s">
        <v>161</v>
      </c>
      <c r="B1528" t="s">
        <v>7</v>
      </c>
      <c r="C1528" t="s">
        <v>13</v>
      </c>
      <c r="D1528" t="s">
        <v>14</v>
      </c>
      <c r="E1528" t="s">
        <v>10</v>
      </c>
      <c r="F1528">
        <v>2444.67</v>
      </c>
      <c r="G1528">
        <v>15788</v>
      </c>
      <c r="H1528">
        <v>1824.14</v>
      </c>
      <c r="I1528">
        <v>52.78</v>
      </c>
      <c r="J1528">
        <f>IFERROR(INDEX(Suppliar[Estimated Carbon Footprint (tons CO₂e)],MATCH('Merge operational &amp; suppliar'!A1528,Suppliar[Facility ID],0)),"")</f>
        <v>571.88</v>
      </c>
      <c r="K1528">
        <f>IFERROR(INDEX(Suppliar[Income Distribution (%)],MATCH('Merge operational &amp; suppliar'!A1528,Suppliar[Facility ID],0)),"")</f>
        <v>8.17</v>
      </c>
    </row>
    <row r="1529" spans="1:11" x14ac:dyDescent="0.3">
      <c r="A1529" t="s">
        <v>51</v>
      </c>
      <c r="B1529" t="s">
        <v>30</v>
      </c>
      <c r="C1529" t="s">
        <v>23</v>
      </c>
      <c r="D1529" t="s">
        <v>14</v>
      </c>
      <c r="E1529" t="s">
        <v>10</v>
      </c>
      <c r="F1529">
        <v>1734.64</v>
      </c>
      <c r="G1529">
        <v>44164</v>
      </c>
      <c r="H1529">
        <v>3869.32</v>
      </c>
      <c r="I1529">
        <v>13.81</v>
      </c>
      <c r="J1529">
        <f>IFERROR(INDEX(Suppliar[Estimated Carbon Footprint (tons CO₂e)],MATCH('Merge operational &amp; suppliar'!A1529,Suppliar[Facility ID],0)),"")</f>
        <v>943.59</v>
      </c>
      <c r="K1529">
        <f>IFERROR(INDEX(Suppliar[Income Distribution (%)],MATCH('Merge operational &amp; suppliar'!A1529,Suppliar[Facility ID],0)),"")</f>
        <v>16.02</v>
      </c>
    </row>
    <row r="1530" spans="1:11" x14ac:dyDescent="0.3">
      <c r="A1530" t="s">
        <v>73</v>
      </c>
      <c r="B1530" t="s">
        <v>30</v>
      </c>
      <c r="C1530" t="s">
        <v>34</v>
      </c>
      <c r="D1530" t="s">
        <v>14</v>
      </c>
      <c r="E1530" t="s">
        <v>10</v>
      </c>
      <c r="F1530">
        <v>4948.8500000000004</v>
      </c>
      <c r="G1530">
        <v>55974</v>
      </c>
      <c r="H1530">
        <v>7542.28</v>
      </c>
      <c r="I1530">
        <v>72.430000000000007</v>
      </c>
      <c r="J1530">
        <f>IFERROR(INDEX(Suppliar[Estimated Carbon Footprint (tons CO₂e)],MATCH('Merge operational &amp; suppliar'!A1530,Suppliar[Facility ID],0)),"")</f>
        <v>626.54</v>
      </c>
      <c r="K1530">
        <f>IFERROR(INDEX(Suppliar[Income Distribution (%)],MATCH('Merge operational &amp; suppliar'!A1530,Suppliar[Facility ID],0)),"")</f>
        <v>29.46</v>
      </c>
    </row>
    <row r="1531" spans="1:11" x14ac:dyDescent="0.3">
      <c r="A1531" t="s">
        <v>207</v>
      </c>
      <c r="B1531" t="s">
        <v>17</v>
      </c>
      <c r="C1531" t="s">
        <v>8</v>
      </c>
      <c r="D1531" t="s">
        <v>9</v>
      </c>
      <c r="E1531" t="s">
        <v>15</v>
      </c>
      <c r="F1531">
        <v>2924.78</v>
      </c>
      <c r="G1531">
        <v>99115</v>
      </c>
      <c r="H1531">
        <v>827.26</v>
      </c>
      <c r="I1531">
        <v>28.88</v>
      </c>
      <c r="J1531">
        <f>IFERROR(INDEX(Suppliar[Estimated Carbon Footprint (tons CO₂e)],MATCH('Merge operational &amp; suppliar'!A1531,Suppliar[Facility ID],0)),"")</f>
        <v>818.45</v>
      </c>
      <c r="K1531">
        <f>IFERROR(INDEX(Suppliar[Income Distribution (%)],MATCH('Merge operational &amp; suppliar'!A1531,Suppliar[Facility ID],0)),"")</f>
        <v>27.59</v>
      </c>
    </row>
    <row r="1532" spans="1:11" x14ac:dyDescent="0.3">
      <c r="A1532" t="s">
        <v>147</v>
      </c>
      <c r="B1532" t="s">
        <v>17</v>
      </c>
      <c r="C1532" t="s">
        <v>8</v>
      </c>
      <c r="D1532" t="s">
        <v>14</v>
      </c>
      <c r="E1532" t="s">
        <v>10</v>
      </c>
      <c r="F1532">
        <v>1898.32</v>
      </c>
      <c r="G1532">
        <v>24095</v>
      </c>
      <c r="H1532">
        <v>3167.52</v>
      </c>
      <c r="I1532">
        <v>31.02</v>
      </c>
      <c r="J1532">
        <f>IFERROR(INDEX(Suppliar[Estimated Carbon Footprint (tons CO₂e)],MATCH('Merge operational &amp; suppliar'!A1532,Suppliar[Facility ID],0)),"")</f>
        <v>608.07000000000005</v>
      </c>
      <c r="K1532">
        <f>IFERROR(INDEX(Suppliar[Income Distribution (%)],MATCH('Merge operational &amp; suppliar'!A1532,Suppliar[Facility ID],0)),"")</f>
        <v>13.98</v>
      </c>
    </row>
    <row r="1533" spans="1:11" x14ac:dyDescent="0.3">
      <c r="A1533" t="s">
        <v>32</v>
      </c>
      <c r="B1533" t="s">
        <v>7</v>
      </c>
      <c r="C1533" t="s">
        <v>13</v>
      </c>
      <c r="D1533" t="s">
        <v>28</v>
      </c>
      <c r="E1533" t="s">
        <v>15</v>
      </c>
      <c r="F1533">
        <v>1296.76</v>
      </c>
      <c r="G1533">
        <v>10933</v>
      </c>
      <c r="H1533">
        <v>9004.3700000000008</v>
      </c>
      <c r="I1533">
        <v>26.84</v>
      </c>
      <c r="J1533" t="str">
        <f>IFERROR(INDEX(Suppliar[Estimated Carbon Footprint (tons CO₂e)],MATCH('Merge operational &amp; suppliar'!A1533,Suppliar[Facility ID],0)),"")</f>
        <v/>
      </c>
      <c r="K1533" t="str">
        <f>IFERROR(INDEX(Suppliar[Income Distribution (%)],MATCH('Merge operational &amp; suppliar'!A1533,Suppliar[Facility ID],0)),"")</f>
        <v/>
      </c>
    </row>
    <row r="1534" spans="1:11" x14ac:dyDescent="0.3">
      <c r="A1534" t="s">
        <v>75</v>
      </c>
      <c r="B1534" t="s">
        <v>19</v>
      </c>
      <c r="C1534" t="s">
        <v>23</v>
      </c>
      <c r="D1534" t="s">
        <v>14</v>
      </c>
      <c r="E1534" t="s">
        <v>24</v>
      </c>
      <c r="F1534">
        <v>1414.37</v>
      </c>
      <c r="G1534">
        <v>54136</v>
      </c>
      <c r="H1534">
        <v>2775.38</v>
      </c>
      <c r="I1534">
        <v>75.459999999999994</v>
      </c>
      <c r="J1534">
        <f>IFERROR(INDEX(Suppliar[Estimated Carbon Footprint (tons CO₂e)],MATCH('Merge operational &amp; suppliar'!A1534,Suppliar[Facility ID],0)),"")</f>
        <v>932.3</v>
      </c>
      <c r="K1534">
        <f>IFERROR(INDEX(Suppliar[Income Distribution (%)],MATCH('Merge operational &amp; suppliar'!A1534,Suppliar[Facility ID],0)),"")</f>
        <v>16.93</v>
      </c>
    </row>
    <row r="1535" spans="1:11" x14ac:dyDescent="0.3">
      <c r="A1535" t="s">
        <v>117</v>
      </c>
      <c r="B1535" t="s">
        <v>7</v>
      </c>
      <c r="C1535" t="s">
        <v>34</v>
      </c>
      <c r="D1535" t="s">
        <v>9</v>
      </c>
      <c r="E1535" t="s">
        <v>15</v>
      </c>
      <c r="F1535">
        <v>4136.07</v>
      </c>
      <c r="G1535">
        <v>89321</v>
      </c>
      <c r="H1535">
        <v>9836.34</v>
      </c>
      <c r="I1535">
        <v>16.989999999999998</v>
      </c>
      <c r="J1535">
        <f>IFERROR(INDEX(Suppliar[Estimated Carbon Footprint (tons CO₂e)],MATCH('Merge operational &amp; suppliar'!A1535,Suppliar[Facility ID],0)),"")</f>
        <v>105.67</v>
      </c>
      <c r="K1535">
        <f>IFERROR(INDEX(Suppliar[Income Distribution (%)],MATCH('Merge operational &amp; suppliar'!A1535,Suppliar[Facility ID],0)),"")</f>
        <v>15.41</v>
      </c>
    </row>
    <row r="1536" spans="1:11" x14ac:dyDescent="0.3">
      <c r="A1536" t="s">
        <v>88</v>
      </c>
      <c r="B1536" t="s">
        <v>7</v>
      </c>
      <c r="C1536" t="s">
        <v>23</v>
      </c>
      <c r="D1536" t="s">
        <v>28</v>
      </c>
      <c r="E1536" t="s">
        <v>24</v>
      </c>
      <c r="F1536">
        <v>3952.36</v>
      </c>
      <c r="G1536">
        <v>44825</v>
      </c>
      <c r="H1536">
        <v>6023.03</v>
      </c>
      <c r="I1536">
        <v>27.2</v>
      </c>
      <c r="J1536">
        <f>IFERROR(INDEX(Suppliar[Estimated Carbon Footprint (tons CO₂e)],MATCH('Merge operational &amp; suppliar'!A1536,Suppliar[Facility ID],0)),"")</f>
        <v>436.04</v>
      </c>
      <c r="K1536">
        <f>IFERROR(INDEX(Suppliar[Income Distribution (%)],MATCH('Merge operational &amp; suppliar'!A1536,Suppliar[Facility ID],0)),"")</f>
        <v>19.36</v>
      </c>
    </row>
    <row r="1537" spans="1:11" x14ac:dyDescent="0.3">
      <c r="A1537" t="s">
        <v>193</v>
      </c>
      <c r="B1537" t="s">
        <v>12</v>
      </c>
      <c r="C1537" t="s">
        <v>34</v>
      </c>
      <c r="D1537" t="s">
        <v>14</v>
      </c>
      <c r="E1537" t="s">
        <v>10</v>
      </c>
      <c r="F1537">
        <v>4563.3599999999997</v>
      </c>
      <c r="G1537">
        <v>13333</v>
      </c>
      <c r="H1537">
        <v>6102.15</v>
      </c>
      <c r="I1537">
        <v>17.670000000000002</v>
      </c>
      <c r="J1537">
        <f>IFERROR(INDEX(Suppliar[Estimated Carbon Footprint (tons CO₂e)],MATCH('Merge operational &amp; suppliar'!A1537,Suppliar[Facility ID],0)),"")</f>
        <v>959.2</v>
      </c>
      <c r="K1537">
        <f>IFERROR(INDEX(Suppliar[Income Distribution (%)],MATCH('Merge operational &amp; suppliar'!A1537,Suppliar[Facility ID],0)),"")</f>
        <v>24.24</v>
      </c>
    </row>
    <row r="1538" spans="1:11" x14ac:dyDescent="0.3">
      <c r="A1538" t="s">
        <v>37</v>
      </c>
      <c r="B1538" t="s">
        <v>17</v>
      </c>
      <c r="C1538" t="s">
        <v>23</v>
      </c>
      <c r="D1538" t="s">
        <v>9</v>
      </c>
      <c r="E1538" t="s">
        <v>15</v>
      </c>
      <c r="F1538">
        <v>2084.5700000000002</v>
      </c>
      <c r="G1538">
        <v>71747</v>
      </c>
      <c r="H1538">
        <v>9838.66</v>
      </c>
      <c r="I1538">
        <v>7.25</v>
      </c>
      <c r="J1538">
        <f>IFERROR(INDEX(Suppliar[Estimated Carbon Footprint (tons CO₂e)],MATCH('Merge operational &amp; suppliar'!A1538,Suppliar[Facility ID],0)),"")</f>
        <v>224.5</v>
      </c>
      <c r="K1538">
        <f>IFERROR(INDEX(Suppliar[Income Distribution (%)],MATCH('Merge operational &amp; suppliar'!A1538,Suppliar[Facility ID],0)),"")</f>
        <v>39.29</v>
      </c>
    </row>
    <row r="1539" spans="1:11" x14ac:dyDescent="0.3">
      <c r="A1539" t="s">
        <v>214</v>
      </c>
      <c r="B1539" t="s">
        <v>30</v>
      </c>
      <c r="C1539" t="s">
        <v>34</v>
      </c>
      <c r="D1539" t="s">
        <v>14</v>
      </c>
      <c r="E1539" t="s">
        <v>10</v>
      </c>
      <c r="F1539">
        <v>4081.51</v>
      </c>
      <c r="G1539">
        <v>79330</v>
      </c>
      <c r="H1539">
        <v>6075.23</v>
      </c>
      <c r="I1539">
        <v>83.97</v>
      </c>
      <c r="J1539">
        <f>IFERROR(INDEX(Suppliar[Estimated Carbon Footprint (tons CO₂e)],MATCH('Merge operational &amp; suppliar'!A1539,Suppliar[Facility ID],0)),"")</f>
        <v>209.33</v>
      </c>
      <c r="K1539">
        <f>IFERROR(INDEX(Suppliar[Income Distribution (%)],MATCH('Merge operational &amp; suppliar'!A1539,Suppliar[Facility ID],0)),"")</f>
        <v>13.62</v>
      </c>
    </row>
    <row r="1540" spans="1:11" x14ac:dyDescent="0.3">
      <c r="A1540" t="s">
        <v>196</v>
      </c>
      <c r="B1540" t="s">
        <v>30</v>
      </c>
      <c r="C1540" t="s">
        <v>13</v>
      </c>
      <c r="D1540" t="s">
        <v>28</v>
      </c>
      <c r="E1540" t="s">
        <v>15</v>
      </c>
      <c r="F1540">
        <v>4483.63</v>
      </c>
      <c r="G1540">
        <v>12262</v>
      </c>
      <c r="H1540">
        <v>7106.18</v>
      </c>
      <c r="I1540">
        <v>45.69</v>
      </c>
      <c r="J1540">
        <f>IFERROR(INDEX(Suppliar[Estimated Carbon Footprint (tons CO₂e)],MATCH('Merge operational &amp; suppliar'!A1540,Suppliar[Facility ID],0)),"")</f>
        <v>459.56</v>
      </c>
      <c r="K1540">
        <f>IFERROR(INDEX(Suppliar[Income Distribution (%)],MATCH('Merge operational &amp; suppliar'!A1540,Suppliar[Facility ID],0)),"")</f>
        <v>29.71</v>
      </c>
    </row>
    <row r="1541" spans="1:11" x14ac:dyDescent="0.3">
      <c r="A1541" t="s">
        <v>86</v>
      </c>
      <c r="B1541" t="s">
        <v>19</v>
      </c>
      <c r="C1541" t="s">
        <v>34</v>
      </c>
      <c r="D1541" t="s">
        <v>14</v>
      </c>
      <c r="E1541" t="s">
        <v>24</v>
      </c>
      <c r="F1541">
        <v>3368.54</v>
      </c>
      <c r="G1541">
        <v>56531</v>
      </c>
      <c r="H1541">
        <v>8958.07</v>
      </c>
      <c r="I1541">
        <v>83.44</v>
      </c>
      <c r="J1541">
        <f>IFERROR(INDEX(Suppliar[Estimated Carbon Footprint (tons CO₂e)],MATCH('Merge operational &amp; suppliar'!A1541,Suppliar[Facility ID],0)),"")</f>
        <v>943.59</v>
      </c>
      <c r="K1541">
        <f>IFERROR(INDEX(Suppliar[Income Distribution (%)],MATCH('Merge operational &amp; suppliar'!A1541,Suppliar[Facility ID],0)),"")</f>
        <v>23.54</v>
      </c>
    </row>
    <row r="1542" spans="1:11" x14ac:dyDescent="0.3">
      <c r="A1542" t="s">
        <v>202</v>
      </c>
      <c r="B1542" t="s">
        <v>12</v>
      </c>
      <c r="C1542" t="s">
        <v>13</v>
      </c>
      <c r="D1542" t="s">
        <v>14</v>
      </c>
      <c r="E1542" t="s">
        <v>24</v>
      </c>
      <c r="F1542">
        <v>82.35</v>
      </c>
      <c r="G1542">
        <v>28400</v>
      </c>
      <c r="H1542">
        <v>3056.67</v>
      </c>
      <c r="I1542">
        <v>52.68</v>
      </c>
      <c r="J1542">
        <f>IFERROR(INDEX(Suppliar[Estimated Carbon Footprint (tons CO₂e)],MATCH('Merge operational &amp; suppliar'!A1542,Suppliar[Facility ID],0)),"")</f>
        <v>571.88</v>
      </c>
      <c r="K1542">
        <f>IFERROR(INDEX(Suppliar[Income Distribution (%)],MATCH('Merge operational &amp; suppliar'!A1542,Suppliar[Facility ID],0)),"")</f>
        <v>8.6199999999999992</v>
      </c>
    </row>
    <row r="1543" spans="1:11" x14ac:dyDescent="0.3">
      <c r="A1543" t="s">
        <v>171</v>
      </c>
      <c r="B1543" t="s">
        <v>17</v>
      </c>
      <c r="C1543" t="s">
        <v>34</v>
      </c>
      <c r="D1543" t="s">
        <v>28</v>
      </c>
      <c r="E1543" t="s">
        <v>15</v>
      </c>
      <c r="F1543">
        <v>4175.62</v>
      </c>
      <c r="G1543">
        <v>24502</v>
      </c>
      <c r="H1543">
        <v>7466.86</v>
      </c>
      <c r="I1543">
        <v>88.83</v>
      </c>
      <c r="J1543">
        <f>IFERROR(INDEX(Suppliar[Estimated Carbon Footprint (tons CO₂e)],MATCH('Merge operational &amp; suppliar'!A1543,Suppliar[Facility ID],0)),"")</f>
        <v>847.51</v>
      </c>
      <c r="K1543">
        <f>IFERROR(INDEX(Suppliar[Income Distribution (%)],MATCH('Merge operational &amp; suppliar'!A1543,Suppliar[Facility ID],0)),"")</f>
        <v>26.48</v>
      </c>
    </row>
    <row r="1544" spans="1:11" x14ac:dyDescent="0.3">
      <c r="A1544" t="s">
        <v>122</v>
      </c>
      <c r="B1544" t="s">
        <v>19</v>
      </c>
      <c r="C1544" t="s">
        <v>34</v>
      </c>
      <c r="D1544" t="s">
        <v>14</v>
      </c>
      <c r="E1544" t="s">
        <v>10</v>
      </c>
      <c r="F1544">
        <v>1796.14</v>
      </c>
      <c r="G1544">
        <v>95962</v>
      </c>
      <c r="H1544">
        <v>524.72</v>
      </c>
      <c r="I1544">
        <v>49.55</v>
      </c>
      <c r="J1544">
        <f>IFERROR(INDEX(Suppliar[Estimated Carbon Footprint (tons CO₂e)],MATCH('Merge operational &amp; suppliar'!A1544,Suppliar[Facility ID],0)),"")</f>
        <v>991.36</v>
      </c>
      <c r="K1544">
        <f>IFERROR(INDEX(Suppliar[Income Distribution (%)],MATCH('Merge operational &amp; suppliar'!A1544,Suppliar[Facility ID],0)),"")</f>
        <v>18.28</v>
      </c>
    </row>
    <row r="1545" spans="1:11" x14ac:dyDescent="0.3">
      <c r="A1545" t="s">
        <v>80</v>
      </c>
      <c r="B1545" t="s">
        <v>17</v>
      </c>
      <c r="C1545" t="s">
        <v>34</v>
      </c>
      <c r="D1545" t="s">
        <v>28</v>
      </c>
      <c r="E1545" t="s">
        <v>15</v>
      </c>
      <c r="F1545">
        <v>3373.26</v>
      </c>
      <c r="G1545">
        <v>75508</v>
      </c>
      <c r="H1545">
        <v>6856.22</v>
      </c>
      <c r="I1545">
        <v>18.2</v>
      </c>
      <c r="J1545">
        <f>IFERROR(INDEX(Suppliar[Estimated Carbon Footprint (tons CO₂e)],MATCH('Merge operational &amp; suppliar'!A1545,Suppliar[Facility ID],0)),"")</f>
        <v>991.03</v>
      </c>
      <c r="K1545">
        <f>IFERROR(INDEX(Suppliar[Income Distribution (%)],MATCH('Merge operational &amp; suppliar'!A1545,Suppliar[Facility ID],0)),"")</f>
        <v>13.32</v>
      </c>
    </row>
    <row r="1546" spans="1:11" x14ac:dyDescent="0.3">
      <c r="A1546" t="s">
        <v>88</v>
      </c>
      <c r="B1546" t="s">
        <v>7</v>
      </c>
      <c r="C1546" t="s">
        <v>13</v>
      </c>
      <c r="D1546" t="s">
        <v>14</v>
      </c>
      <c r="E1546" t="s">
        <v>24</v>
      </c>
      <c r="F1546">
        <v>3051.55</v>
      </c>
      <c r="G1546">
        <v>44825</v>
      </c>
      <c r="H1546">
        <v>6023.03</v>
      </c>
      <c r="I1546">
        <v>27.2</v>
      </c>
      <c r="J1546">
        <f>IFERROR(INDEX(Suppliar[Estimated Carbon Footprint (tons CO₂e)],MATCH('Merge operational &amp; suppliar'!A1546,Suppliar[Facility ID],0)),"")</f>
        <v>436.04</v>
      </c>
      <c r="K1546">
        <f>IFERROR(INDEX(Suppliar[Income Distribution (%)],MATCH('Merge operational &amp; suppliar'!A1546,Suppliar[Facility ID],0)),"")</f>
        <v>19.36</v>
      </c>
    </row>
    <row r="1547" spans="1:11" x14ac:dyDescent="0.3">
      <c r="A1547" t="s">
        <v>115</v>
      </c>
      <c r="B1547" t="s">
        <v>19</v>
      </c>
      <c r="C1547" t="s">
        <v>8</v>
      </c>
      <c r="D1547" t="s">
        <v>28</v>
      </c>
      <c r="E1547" t="s">
        <v>15</v>
      </c>
      <c r="F1547">
        <v>3770.37</v>
      </c>
      <c r="G1547">
        <v>17162</v>
      </c>
      <c r="H1547">
        <v>5079.95</v>
      </c>
      <c r="I1547">
        <v>19.239999999999998</v>
      </c>
      <c r="J1547">
        <f>IFERROR(INDEX(Suppliar[Estimated Carbon Footprint (tons CO₂e)],MATCH('Merge operational &amp; suppliar'!A1547,Suppliar[Facility ID],0)),"")</f>
        <v>769.39</v>
      </c>
      <c r="K1547">
        <f>IFERROR(INDEX(Suppliar[Income Distribution (%)],MATCH('Merge operational &amp; suppliar'!A1547,Suppliar[Facility ID],0)),"")</f>
        <v>35.29</v>
      </c>
    </row>
    <row r="1548" spans="1:11" x14ac:dyDescent="0.3">
      <c r="A1548" t="s">
        <v>150</v>
      </c>
      <c r="B1548" t="s">
        <v>30</v>
      </c>
      <c r="C1548" t="s">
        <v>34</v>
      </c>
      <c r="D1548" t="s">
        <v>28</v>
      </c>
      <c r="E1548" t="s">
        <v>15</v>
      </c>
      <c r="F1548">
        <v>3887.64</v>
      </c>
      <c r="G1548">
        <v>98356</v>
      </c>
      <c r="H1548">
        <v>6968.69</v>
      </c>
      <c r="I1548">
        <v>81.72</v>
      </c>
      <c r="J1548">
        <f>IFERROR(INDEX(Suppliar[Estimated Carbon Footprint (tons CO₂e)],MATCH('Merge operational &amp; suppliar'!A1548,Suppliar[Facility ID],0)),"")</f>
        <v>795.74</v>
      </c>
      <c r="K1548">
        <f>IFERROR(INDEX(Suppliar[Income Distribution (%)],MATCH('Merge operational &amp; suppliar'!A1548,Suppliar[Facility ID],0)),"")</f>
        <v>22.41</v>
      </c>
    </row>
    <row r="1549" spans="1:11" x14ac:dyDescent="0.3">
      <c r="A1549" t="s">
        <v>182</v>
      </c>
      <c r="B1549" t="s">
        <v>12</v>
      </c>
      <c r="C1549" t="s">
        <v>8</v>
      </c>
      <c r="D1549" t="s">
        <v>14</v>
      </c>
      <c r="E1549" t="s">
        <v>10</v>
      </c>
      <c r="F1549">
        <v>4523.25</v>
      </c>
      <c r="G1549">
        <v>21081</v>
      </c>
      <c r="H1549">
        <v>9001.77</v>
      </c>
      <c r="I1549">
        <v>49.27</v>
      </c>
      <c r="J1549">
        <f>IFERROR(INDEX(Suppliar[Estimated Carbon Footprint (tons CO₂e)],MATCH('Merge operational &amp; suppliar'!A1549,Suppliar[Facility ID],0)),"")</f>
        <v>114.57</v>
      </c>
      <c r="K1549">
        <f>IFERROR(INDEX(Suppliar[Income Distribution (%)],MATCH('Merge operational &amp; suppliar'!A1549,Suppliar[Facility ID],0)),"")</f>
        <v>44.17</v>
      </c>
    </row>
    <row r="1550" spans="1:11" x14ac:dyDescent="0.3">
      <c r="A1550" t="s">
        <v>61</v>
      </c>
      <c r="B1550" t="s">
        <v>30</v>
      </c>
      <c r="C1550" t="s">
        <v>23</v>
      </c>
      <c r="D1550" t="s">
        <v>28</v>
      </c>
      <c r="E1550" t="s">
        <v>15</v>
      </c>
      <c r="F1550">
        <v>4229.33</v>
      </c>
      <c r="G1550">
        <v>95718</v>
      </c>
      <c r="H1550">
        <v>2443.12</v>
      </c>
      <c r="I1550">
        <v>35.49</v>
      </c>
      <c r="J1550">
        <f>IFERROR(INDEX(Suppliar[Estimated Carbon Footprint (tons CO₂e)],MATCH('Merge operational &amp; suppliar'!A1550,Suppliar[Facility ID],0)),"")</f>
        <v>818.45</v>
      </c>
      <c r="K1550">
        <f>IFERROR(INDEX(Suppliar[Income Distribution (%)],MATCH('Merge operational &amp; suppliar'!A1550,Suppliar[Facility ID],0)),"")</f>
        <v>9.9499999999999993</v>
      </c>
    </row>
    <row r="1551" spans="1:11" x14ac:dyDescent="0.3">
      <c r="A1551" t="s">
        <v>211</v>
      </c>
      <c r="B1551" t="s">
        <v>7</v>
      </c>
      <c r="C1551" t="s">
        <v>23</v>
      </c>
      <c r="D1551" t="s">
        <v>14</v>
      </c>
      <c r="E1551" t="s">
        <v>24</v>
      </c>
      <c r="F1551">
        <v>1909.18</v>
      </c>
      <c r="G1551">
        <v>27028</v>
      </c>
      <c r="H1551">
        <v>4617.92</v>
      </c>
      <c r="I1551">
        <v>57.62</v>
      </c>
      <c r="J1551">
        <f>IFERROR(INDEX(Suppliar[Estimated Carbon Footprint (tons CO₂e)],MATCH('Merge operational &amp; suppliar'!A1551,Suppliar[Facility ID],0)),"")</f>
        <v>780.4</v>
      </c>
      <c r="K1551">
        <f>IFERROR(INDEX(Suppliar[Income Distribution (%)],MATCH('Merge operational &amp; suppliar'!A1551,Suppliar[Facility ID],0)),"")</f>
        <v>24.87</v>
      </c>
    </row>
    <row r="1552" spans="1:11" x14ac:dyDescent="0.3">
      <c r="A1552" t="s">
        <v>195</v>
      </c>
      <c r="B1552" t="s">
        <v>7</v>
      </c>
      <c r="C1552" t="s">
        <v>13</v>
      </c>
      <c r="D1552" t="s">
        <v>14</v>
      </c>
      <c r="E1552" t="s">
        <v>24</v>
      </c>
      <c r="F1552">
        <v>1689.24</v>
      </c>
      <c r="G1552">
        <v>68278</v>
      </c>
      <c r="H1552">
        <v>3272.65</v>
      </c>
      <c r="I1552">
        <v>30.47</v>
      </c>
      <c r="J1552">
        <f>IFERROR(INDEX(Suppliar[Estimated Carbon Footprint (tons CO₂e)],MATCH('Merge operational &amp; suppliar'!A1552,Suppliar[Facility ID],0)),"")</f>
        <v>526.54999999999995</v>
      </c>
      <c r="K1552">
        <f>IFERROR(INDEX(Suppliar[Income Distribution (%)],MATCH('Merge operational &amp; suppliar'!A1552,Suppliar[Facility ID],0)),"")</f>
        <v>30.4</v>
      </c>
    </row>
    <row r="1553" spans="1:11" x14ac:dyDescent="0.3">
      <c r="A1553" t="s">
        <v>90</v>
      </c>
      <c r="B1553" t="s">
        <v>19</v>
      </c>
      <c r="C1553" t="s">
        <v>13</v>
      </c>
      <c r="D1553" t="s">
        <v>14</v>
      </c>
      <c r="E1553" t="s">
        <v>24</v>
      </c>
      <c r="F1553">
        <v>1270.1199999999999</v>
      </c>
      <c r="G1553">
        <v>97337</v>
      </c>
      <c r="H1553">
        <v>3362.06</v>
      </c>
      <c r="I1553">
        <v>55.46</v>
      </c>
      <c r="J1553">
        <f>IFERROR(INDEX(Suppliar[Estimated Carbon Footprint (tons CO₂e)],MATCH('Merge operational &amp; suppliar'!A1553,Suppliar[Facility ID],0)),"")</f>
        <v>459.56</v>
      </c>
      <c r="K1553">
        <f>IFERROR(INDEX(Suppliar[Income Distribution (%)],MATCH('Merge operational &amp; suppliar'!A1553,Suppliar[Facility ID],0)),"")</f>
        <v>10.31</v>
      </c>
    </row>
    <row r="1554" spans="1:11" x14ac:dyDescent="0.3">
      <c r="A1554" t="s">
        <v>64</v>
      </c>
      <c r="B1554" t="s">
        <v>30</v>
      </c>
      <c r="C1554" t="s">
        <v>8</v>
      </c>
      <c r="D1554" t="s">
        <v>9</v>
      </c>
      <c r="E1554" t="s">
        <v>15</v>
      </c>
      <c r="F1554">
        <v>1816.03</v>
      </c>
      <c r="G1554">
        <v>52836</v>
      </c>
      <c r="H1554">
        <v>9330.2999999999993</v>
      </c>
      <c r="I1554">
        <v>87.27</v>
      </c>
      <c r="J1554" t="str">
        <f>IFERROR(INDEX(Suppliar[Estimated Carbon Footprint (tons CO₂e)],MATCH('Merge operational &amp; suppliar'!A1554,Suppliar[Facility ID],0)),"")</f>
        <v/>
      </c>
      <c r="K1554" t="str">
        <f>IFERROR(INDEX(Suppliar[Income Distribution (%)],MATCH('Merge operational &amp; suppliar'!A1554,Suppliar[Facility ID],0)),"")</f>
        <v/>
      </c>
    </row>
    <row r="1555" spans="1:11" x14ac:dyDescent="0.3">
      <c r="A1555" t="s">
        <v>148</v>
      </c>
      <c r="B1555" t="s">
        <v>17</v>
      </c>
      <c r="C1555" t="s">
        <v>34</v>
      </c>
      <c r="D1555" t="s">
        <v>14</v>
      </c>
      <c r="E1555" t="s">
        <v>15</v>
      </c>
      <c r="F1555">
        <v>1943.87</v>
      </c>
      <c r="G1555">
        <v>44994</v>
      </c>
      <c r="H1555">
        <v>7305.59</v>
      </c>
      <c r="I1555">
        <v>91.53</v>
      </c>
      <c r="J1555">
        <f>IFERROR(INDEX(Suppliar[Estimated Carbon Footprint (tons CO₂e)],MATCH('Merge operational &amp; suppliar'!A1555,Suppliar[Facility ID],0)),"")</f>
        <v>790.74</v>
      </c>
      <c r="K1555">
        <f>IFERROR(INDEX(Suppliar[Income Distribution (%)],MATCH('Merge operational &amp; suppliar'!A1555,Suppliar[Facility ID],0)),"")</f>
        <v>27.44</v>
      </c>
    </row>
    <row r="1556" spans="1:11" x14ac:dyDescent="0.3">
      <c r="A1556" t="s">
        <v>154</v>
      </c>
      <c r="B1556" t="s">
        <v>12</v>
      </c>
      <c r="C1556" t="s">
        <v>8</v>
      </c>
      <c r="D1556" t="s">
        <v>28</v>
      </c>
      <c r="E1556" t="s">
        <v>15</v>
      </c>
      <c r="F1556">
        <v>2832.16</v>
      </c>
      <c r="G1556">
        <v>87012</v>
      </c>
      <c r="H1556">
        <v>7478.13</v>
      </c>
      <c r="I1556">
        <v>27.22</v>
      </c>
      <c r="J1556">
        <f>IFERROR(INDEX(Suppliar[Estimated Carbon Footprint (tons CO₂e)],MATCH('Merge operational &amp; suppliar'!A1556,Suppliar[Facility ID],0)),"")</f>
        <v>579.80999999999995</v>
      </c>
      <c r="K1556">
        <f>IFERROR(INDEX(Suppliar[Income Distribution (%)],MATCH('Merge operational &amp; suppliar'!A1556,Suppliar[Facility ID],0)),"")</f>
        <v>28.6</v>
      </c>
    </row>
    <row r="1557" spans="1:11" x14ac:dyDescent="0.3">
      <c r="A1557" t="s">
        <v>219</v>
      </c>
      <c r="B1557" t="s">
        <v>12</v>
      </c>
      <c r="C1557" t="s">
        <v>13</v>
      </c>
      <c r="D1557" t="s">
        <v>28</v>
      </c>
      <c r="E1557" t="s">
        <v>10</v>
      </c>
      <c r="F1557">
        <v>4684.57</v>
      </c>
      <c r="G1557">
        <v>84524</v>
      </c>
      <c r="H1557">
        <v>9350.11</v>
      </c>
      <c r="I1557">
        <v>27.53</v>
      </c>
      <c r="J1557">
        <f>IFERROR(INDEX(Suppliar[Estimated Carbon Footprint (tons CO₂e)],MATCH('Merge operational &amp; suppliar'!A1557,Suppliar[Facility ID],0)),"")</f>
        <v>795.74</v>
      </c>
      <c r="K1557">
        <f>IFERROR(INDEX(Suppliar[Income Distribution (%)],MATCH('Merge operational &amp; suppliar'!A1557,Suppliar[Facility ID],0)),"")</f>
        <v>18.73</v>
      </c>
    </row>
    <row r="1558" spans="1:11" x14ac:dyDescent="0.3">
      <c r="A1558" t="s">
        <v>25</v>
      </c>
      <c r="B1558" t="s">
        <v>19</v>
      </c>
      <c r="C1558" t="s">
        <v>8</v>
      </c>
      <c r="D1558" t="s">
        <v>9</v>
      </c>
      <c r="E1558" t="s">
        <v>10</v>
      </c>
      <c r="F1558">
        <v>785.42</v>
      </c>
      <c r="G1558">
        <v>95306</v>
      </c>
      <c r="H1558">
        <v>9037.76</v>
      </c>
      <c r="I1558">
        <v>13.35</v>
      </c>
      <c r="J1558">
        <f>IFERROR(INDEX(Suppliar[Estimated Carbon Footprint (tons CO₂e)],MATCH('Merge operational &amp; suppliar'!A1558,Suppliar[Facility ID],0)),"")</f>
        <v>724.63</v>
      </c>
      <c r="K1558">
        <f>IFERROR(INDEX(Suppliar[Income Distribution (%)],MATCH('Merge operational &amp; suppliar'!A1558,Suppliar[Facility ID],0)),"")</f>
        <v>21.2</v>
      </c>
    </row>
    <row r="1559" spans="1:11" x14ac:dyDescent="0.3">
      <c r="A1559" t="s">
        <v>139</v>
      </c>
      <c r="B1559" t="s">
        <v>7</v>
      </c>
      <c r="C1559" t="s">
        <v>8</v>
      </c>
      <c r="D1559" t="s">
        <v>9</v>
      </c>
      <c r="E1559" t="s">
        <v>24</v>
      </c>
      <c r="F1559">
        <v>828.31</v>
      </c>
      <c r="G1559">
        <v>10067</v>
      </c>
      <c r="H1559">
        <v>1953.33</v>
      </c>
      <c r="I1559">
        <v>25.15</v>
      </c>
      <c r="J1559">
        <f>IFERROR(INDEX(Suppliar[Estimated Carbon Footprint (tons CO₂e)],MATCH('Merge operational &amp; suppliar'!A1559,Suppliar[Facility ID],0)),"")</f>
        <v>785.8</v>
      </c>
      <c r="K1559">
        <f>IFERROR(INDEX(Suppliar[Income Distribution (%)],MATCH('Merge operational &amp; suppliar'!A1559,Suppliar[Facility ID],0)),"")</f>
        <v>19.649999999999999</v>
      </c>
    </row>
    <row r="1560" spans="1:11" x14ac:dyDescent="0.3">
      <c r="A1560" t="s">
        <v>219</v>
      </c>
      <c r="B1560" t="s">
        <v>12</v>
      </c>
      <c r="C1560" t="s">
        <v>8</v>
      </c>
      <c r="D1560" t="s">
        <v>14</v>
      </c>
      <c r="E1560" t="s">
        <v>10</v>
      </c>
      <c r="F1560">
        <v>4960.6099999999997</v>
      </c>
      <c r="G1560">
        <v>84524</v>
      </c>
      <c r="H1560">
        <v>9350.11</v>
      </c>
      <c r="I1560">
        <v>27.53</v>
      </c>
      <c r="J1560">
        <f>IFERROR(INDEX(Suppliar[Estimated Carbon Footprint (tons CO₂e)],MATCH('Merge operational &amp; suppliar'!A1560,Suppliar[Facility ID],0)),"")</f>
        <v>795.74</v>
      </c>
      <c r="K1560">
        <f>IFERROR(INDEX(Suppliar[Income Distribution (%)],MATCH('Merge operational &amp; suppliar'!A1560,Suppliar[Facility ID],0)),"")</f>
        <v>18.73</v>
      </c>
    </row>
    <row r="1561" spans="1:11" x14ac:dyDescent="0.3">
      <c r="A1561" t="s">
        <v>190</v>
      </c>
      <c r="B1561" t="s">
        <v>17</v>
      </c>
      <c r="C1561" t="s">
        <v>13</v>
      </c>
      <c r="D1561" t="s">
        <v>28</v>
      </c>
      <c r="E1561" t="s">
        <v>10</v>
      </c>
      <c r="F1561">
        <v>4377.79</v>
      </c>
      <c r="G1561">
        <v>41953</v>
      </c>
      <c r="H1561">
        <v>2379.14</v>
      </c>
      <c r="I1561">
        <v>65.67</v>
      </c>
      <c r="J1561">
        <f>IFERROR(INDEX(Suppliar[Estimated Carbon Footprint (tons CO₂e)],MATCH('Merge operational &amp; suppliar'!A1561,Suppliar[Facility ID],0)),"")</f>
        <v>571.66</v>
      </c>
      <c r="K1561">
        <f>IFERROR(INDEX(Suppliar[Income Distribution (%)],MATCH('Merge operational &amp; suppliar'!A1561,Suppliar[Facility ID],0)),"")</f>
        <v>14.81</v>
      </c>
    </row>
    <row r="1562" spans="1:11" x14ac:dyDescent="0.3">
      <c r="A1562" t="s">
        <v>91</v>
      </c>
      <c r="B1562" t="s">
        <v>30</v>
      </c>
      <c r="C1562" t="s">
        <v>13</v>
      </c>
      <c r="D1562" t="s">
        <v>9</v>
      </c>
      <c r="E1562" t="s">
        <v>15</v>
      </c>
      <c r="F1562">
        <v>2535.3000000000002</v>
      </c>
      <c r="G1562">
        <v>20207</v>
      </c>
      <c r="H1562">
        <v>5369.46</v>
      </c>
      <c r="I1562">
        <v>57.51</v>
      </c>
      <c r="J1562">
        <f>IFERROR(INDEX(Suppliar[Estimated Carbon Footprint (tons CO₂e)],MATCH('Merge operational &amp; suppliar'!A1562,Suppliar[Facility ID],0)),"")</f>
        <v>847.51</v>
      </c>
      <c r="K1562">
        <f>IFERROR(INDEX(Suppliar[Income Distribution (%)],MATCH('Merge operational &amp; suppliar'!A1562,Suppliar[Facility ID],0)),"")</f>
        <v>28.45</v>
      </c>
    </row>
    <row r="1563" spans="1:11" x14ac:dyDescent="0.3">
      <c r="A1563" t="s">
        <v>85</v>
      </c>
      <c r="B1563" t="s">
        <v>30</v>
      </c>
      <c r="C1563" t="s">
        <v>23</v>
      </c>
      <c r="D1563" t="s">
        <v>14</v>
      </c>
      <c r="E1563" t="s">
        <v>10</v>
      </c>
      <c r="F1563">
        <v>2251.6</v>
      </c>
      <c r="G1563">
        <v>45519</v>
      </c>
      <c r="H1563">
        <v>7987.69</v>
      </c>
      <c r="I1563">
        <v>10.86</v>
      </c>
      <c r="J1563">
        <f>IFERROR(INDEX(Suppliar[Estimated Carbon Footprint (tons CO₂e)],MATCH('Merge operational &amp; suppliar'!A1563,Suppliar[Facility ID],0)),"")</f>
        <v>638.89</v>
      </c>
      <c r="K1563">
        <f>IFERROR(INDEX(Suppliar[Income Distribution (%)],MATCH('Merge operational &amp; suppliar'!A1563,Suppliar[Facility ID],0)),"")</f>
        <v>35.04</v>
      </c>
    </row>
    <row r="1564" spans="1:11" x14ac:dyDescent="0.3">
      <c r="A1564" t="s">
        <v>175</v>
      </c>
      <c r="B1564" t="s">
        <v>7</v>
      </c>
      <c r="C1564" t="s">
        <v>8</v>
      </c>
      <c r="D1564" t="s">
        <v>9</v>
      </c>
      <c r="E1564" t="s">
        <v>24</v>
      </c>
      <c r="F1564">
        <v>733.13</v>
      </c>
      <c r="G1564">
        <v>83923</v>
      </c>
      <c r="H1564">
        <v>8768.7999999999993</v>
      </c>
      <c r="I1564">
        <v>65.290000000000006</v>
      </c>
      <c r="J1564">
        <f>IFERROR(INDEX(Suppliar[Estimated Carbon Footprint (tons CO₂e)],MATCH('Merge operational &amp; suppliar'!A1564,Suppliar[Facility ID],0)),"")</f>
        <v>579.80999999999995</v>
      </c>
      <c r="K1564">
        <f>IFERROR(INDEX(Suppliar[Income Distribution (%)],MATCH('Merge operational &amp; suppliar'!A1564,Suppliar[Facility ID],0)),"")</f>
        <v>34.93</v>
      </c>
    </row>
    <row r="1565" spans="1:11" x14ac:dyDescent="0.3">
      <c r="A1565" t="s">
        <v>212</v>
      </c>
      <c r="B1565" t="s">
        <v>7</v>
      </c>
      <c r="C1565" t="s">
        <v>8</v>
      </c>
      <c r="D1565" t="s">
        <v>28</v>
      </c>
      <c r="E1565" t="s">
        <v>15</v>
      </c>
      <c r="F1565">
        <v>1054.48</v>
      </c>
      <c r="G1565">
        <v>67820</v>
      </c>
      <c r="H1565">
        <v>8177.95</v>
      </c>
      <c r="I1565">
        <v>40.69</v>
      </c>
      <c r="J1565">
        <f>IFERROR(INDEX(Suppliar[Estimated Carbon Footprint (tons CO₂e)],MATCH('Merge operational &amp; suppliar'!A1565,Suppliar[Facility ID],0)),"")</f>
        <v>790.74</v>
      </c>
      <c r="K1565">
        <f>IFERROR(INDEX(Suppliar[Income Distribution (%)],MATCH('Merge operational &amp; suppliar'!A1565,Suppliar[Facility ID],0)),"")</f>
        <v>15.94</v>
      </c>
    </row>
    <row r="1566" spans="1:11" x14ac:dyDescent="0.3">
      <c r="A1566" t="s">
        <v>52</v>
      </c>
      <c r="B1566" t="s">
        <v>19</v>
      </c>
      <c r="C1566" t="s">
        <v>13</v>
      </c>
      <c r="D1566" t="s">
        <v>14</v>
      </c>
      <c r="E1566" t="s">
        <v>15</v>
      </c>
      <c r="F1566">
        <v>4429.91</v>
      </c>
      <c r="G1566">
        <v>94949</v>
      </c>
      <c r="H1566">
        <v>9714.76</v>
      </c>
      <c r="I1566">
        <v>64.900000000000006</v>
      </c>
      <c r="J1566">
        <f>IFERROR(INDEX(Suppliar[Estimated Carbon Footprint (tons CO₂e)],MATCH('Merge operational &amp; suppliar'!A1566,Suppliar[Facility ID],0)),"")</f>
        <v>241.41</v>
      </c>
      <c r="K1566">
        <f>IFERROR(INDEX(Suppliar[Income Distribution (%)],MATCH('Merge operational &amp; suppliar'!A1566,Suppliar[Facility ID],0)),"")</f>
        <v>20.62</v>
      </c>
    </row>
    <row r="1567" spans="1:11" x14ac:dyDescent="0.3">
      <c r="A1567" t="s">
        <v>31</v>
      </c>
      <c r="B1567" t="s">
        <v>30</v>
      </c>
      <c r="C1567" t="s">
        <v>23</v>
      </c>
      <c r="D1567" t="s">
        <v>9</v>
      </c>
      <c r="E1567" t="s">
        <v>24</v>
      </c>
      <c r="F1567">
        <v>3923.15</v>
      </c>
      <c r="G1567">
        <v>84851</v>
      </c>
      <c r="H1567">
        <v>560.75</v>
      </c>
      <c r="I1567">
        <v>80.23</v>
      </c>
      <c r="J1567">
        <f>IFERROR(INDEX(Suppliar[Estimated Carbon Footprint (tons CO₂e)],MATCH('Merge operational &amp; suppliar'!A1567,Suppliar[Facility ID],0)),"")</f>
        <v>610.79999999999995</v>
      </c>
      <c r="K1567">
        <f>IFERROR(INDEX(Suppliar[Income Distribution (%)],MATCH('Merge operational &amp; suppliar'!A1567,Suppliar[Facility ID],0)),"")</f>
        <v>26.58</v>
      </c>
    </row>
    <row r="1568" spans="1:11" x14ac:dyDescent="0.3">
      <c r="A1568" t="s">
        <v>137</v>
      </c>
      <c r="B1568" t="s">
        <v>17</v>
      </c>
      <c r="C1568" t="s">
        <v>13</v>
      </c>
      <c r="D1568" t="s">
        <v>9</v>
      </c>
      <c r="E1568" t="s">
        <v>10</v>
      </c>
      <c r="F1568">
        <v>767.46</v>
      </c>
      <c r="G1568">
        <v>19265</v>
      </c>
      <c r="H1568">
        <v>776.6</v>
      </c>
      <c r="I1568">
        <v>39.75</v>
      </c>
      <c r="J1568">
        <f>IFERROR(INDEX(Suppliar[Estimated Carbon Footprint (tons CO₂e)],MATCH('Merge operational &amp; suppliar'!A1568,Suppliar[Facility ID],0)),"")</f>
        <v>289.77</v>
      </c>
      <c r="K1568">
        <f>IFERROR(INDEX(Suppliar[Income Distribution (%)],MATCH('Merge operational &amp; suppliar'!A1568,Suppliar[Facility ID],0)),"")</f>
        <v>37.270000000000003</v>
      </c>
    </row>
    <row r="1569" spans="1:11" x14ac:dyDescent="0.3">
      <c r="A1569" t="s">
        <v>55</v>
      </c>
      <c r="B1569" t="s">
        <v>12</v>
      </c>
      <c r="C1569" t="s">
        <v>34</v>
      </c>
      <c r="D1569" t="s">
        <v>9</v>
      </c>
      <c r="E1569" t="s">
        <v>24</v>
      </c>
      <c r="F1569">
        <v>592.72</v>
      </c>
      <c r="G1569">
        <v>38181</v>
      </c>
      <c r="H1569">
        <v>691.84</v>
      </c>
      <c r="I1569">
        <v>33.53</v>
      </c>
      <c r="J1569">
        <f>IFERROR(INDEX(Suppliar[Estimated Carbon Footprint (tons CO₂e)],MATCH('Merge operational &amp; suppliar'!A1569,Suppliar[Facility ID],0)),"")</f>
        <v>114.57</v>
      </c>
      <c r="K1569">
        <f>IFERROR(INDEX(Suppliar[Income Distribution (%)],MATCH('Merge operational &amp; suppliar'!A1569,Suppliar[Facility ID],0)),"")</f>
        <v>9.9600000000000009</v>
      </c>
    </row>
    <row r="1570" spans="1:11" x14ac:dyDescent="0.3">
      <c r="A1570" t="s">
        <v>37</v>
      </c>
      <c r="B1570" t="s">
        <v>17</v>
      </c>
      <c r="C1570" t="s">
        <v>8</v>
      </c>
      <c r="D1570" t="s">
        <v>14</v>
      </c>
      <c r="E1570" t="s">
        <v>10</v>
      </c>
      <c r="F1570">
        <v>3539.99</v>
      </c>
      <c r="G1570">
        <v>71747</v>
      </c>
      <c r="H1570">
        <v>9838.66</v>
      </c>
      <c r="I1570">
        <v>7.25</v>
      </c>
      <c r="J1570">
        <f>IFERROR(INDEX(Suppliar[Estimated Carbon Footprint (tons CO₂e)],MATCH('Merge operational &amp; suppliar'!A1570,Suppliar[Facility ID],0)),"")</f>
        <v>224.5</v>
      </c>
      <c r="K1570">
        <f>IFERROR(INDEX(Suppliar[Income Distribution (%)],MATCH('Merge operational &amp; suppliar'!A1570,Suppliar[Facility ID],0)),"")</f>
        <v>39.29</v>
      </c>
    </row>
    <row r="1571" spans="1:11" x14ac:dyDescent="0.3">
      <c r="A1571" t="s">
        <v>61</v>
      </c>
      <c r="B1571" t="s">
        <v>30</v>
      </c>
      <c r="C1571" t="s">
        <v>8</v>
      </c>
      <c r="D1571" t="s">
        <v>9</v>
      </c>
      <c r="E1571" t="s">
        <v>24</v>
      </c>
      <c r="F1571">
        <v>2579.19</v>
      </c>
      <c r="G1571">
        <v>95718</v>
      </c>
      <c r="H1571">
        <v>2443.12</v>
      </c>
      <c r="I1571">
        <v>35.49</v>
      </c>
      <c r="J1571">
        <f>IFERROR(INDEX(Suppliar[Estimated Carbon Footprint (tons CO₂e)],MATCH('Merge operational &amp; suppliar'!A1571,Suppliar[Facility ID],0)),"")</f>
        <v>818.45</v>
      </c>
      <c r="K1571">
        <f>IFERROR(INDEX(Suppliar[Income Distribution (%)],MATCH('Merge operational &amp; suppliar'!A1571,Suppliar[Facility ID],0)),"")</f>
        <v>9.9499999999999993</v>
      </c>
    </row>
    <row r="1572" spans="1:11" x14ac:dyDescent="0.3">
      <c r="A1572" t="s">
        <v>204</v>
      </c>
      <c r="B1572" t="s">
        <v>30</v>
      </c>
      <c r="C1572" t="s">
        <v>34</v>
      </c>
      <c r="D1572" t="s">
        <v>28</v>
      </c>
      <c r="E1572" t="s">
        <v>24</v>
      </c>
      <c r="F1572">
        <v>4158.7700000000004</v>
      </c>
      <c r="G1572">
        <v>36423</v>
      </c>
      <c r="H1572">
        <v>589.96</v>
      </c>
      <c r="I1572">
        <v>30.9</v>
      </c>
      <c r="J1572">
        <f>IFERROR(INDEX(Suppliar[Estimated Carbon Footprint (tons CO₂e)],MATCH('Merge operational &amp; suppliar'!A1572,Suppliar[Facility ID],0)),"")</f>
        <v>111.84</v>
      </c>
      <c r="K1572">
        <f>IFERROR(INDEX(Suppliar[Income Distribution (%)],MATCH('Merge operational &amp; suppliar'!A1572,Suppliar[Facility ID],0)),"")</f>
        <v>23.26</v>
      </c>
    </row>
    <row r="1573" spans="1:11" x14ac:dyDescent="0.3">
      <c r="A1573" t="s">
        <v>214</v>
      </c>
      <c r="B1573" t="s">
        <v>30</v>
      </c>
      <c r="C1573" t="s">
        <v>13</v>
      </c>
      <c r="D1573" t="s">
        <v>9</v>
      </c>
      <c r="E1573" t="s">
        <v>15</v>
      </c>
      <c r="F1573">
        <v>687.46</v>
      </c>
      <c r="G1573">
        <v>79330</v>
      </c>
      <c r="H1573">
        <v>6075.23</v>
      </c>
      <c r="I1573">
        <v>83.97</v>
      </c>
      <c r="J1573">
        <f>IFERROR(INDEX(Suppliar[Estimated Carbon Footprint (tons CO₂e)],MATCH('Merge operational &amp; suppliar'!A1573,Suppliar[Facility ID],0)),"")</f>
        <v>209.33</v>
      </c>
      <c r="K1573">
        <f>IFERROR(INDEX(Suppliar[Income Distribution (%)],MATCH('Merge operational &amp; suppliar'!A1573,Suppliar[Facility ID],0)),"")</f>
        <v>13.62</v>
      </c>
    </row>
    <row r="1574" spans="1:11" x14ac:dyDescent="0.3">
      <c r="A1574" t="s">
        <v>86</v>
      </c>
      <c r="B1574" t="s">
        <v>19</v>
      </c>
      <c r="C1574" t="s">
        <v>23</v>
      </c>
      <c r="D1574" t="s">
        <v>14</v>
      </c>
      <c r="E1574" t="s">
        <v>24</v>
      </c>
      <c r="F1574">
        <v>2922.31</v>
      </c>
      <c r="G1574">
        <v>56531</v>
      </c>
      <c r="H1574">
        <v>8958.07</v>
      </c>
      <c r="I1574">
        <v>83.44</v>
      </c>
      <c r="J1574">
        <f>IFERROR(INDEX(Suppliar[Estimated Carbon Footprint (tons CO₂e)],MATCH('Merge operational &amp; suppliar'!A1574,Suppliar[Facility ID],0)),"")</f>
        <v>943.59</v>
      </c>
      <c r="K1574">
        <f>IFERROR(INDEX(Suppliar[Income Distribution (%)],MATCH('Merge operational &amp; suppliar'!A1574,Suppliar[Facility ID],0)),"")</f>
        <v>23.54</v>
      </c>
    </row>
    <row r="1575" spans="1:11" x14ac:dyDescent="0.3">
      <c r="A1575" t="s">
        <v>32</v>
      </c>
      <c r="B1575" t="s">
        <v>7</v>
      </c>
      <c r="C1575" t="s">
        <v>34</v>
      </c>
      <c r="D1575" t="s">
        <v>14</v>
      </c>
      <c r="E1575" t="s">
        <v>15</v>
      </c>
      <c r="F1575">
        <v>584.58000000000004</v>
      </c>
      <c r="G1575">
        <v>10933</v>
      </c>
      <c r="H1575">
        <v>9004.3700000000008</v>
      </c>
      <c r="I1575">
        <v>26.84</v>
      </c>
      <c r="J1575" t="str">
        <f>IFERROR(INDEX(Suppliar[Estimated Carbon Footprint (tons CO₂e)],MATCH('Merge operational &amp; suppliar'!A1575,Suppliar[Facility ID],0)),"")</f>
        <v/>
      </c>
      <c r="K1575" t="str">
        <f>IFERROR(INDEX(Suppliar[Income Distribution (%)],MATCH('Merge operational &amp; suppliar'!A1575,Suppliar[Facility ID],0)),"")</f>
        <v/>
      </c>
    </row>
    <row r="1576" spans="1:11" x14ac:dyDescent="0.3">
      <c r="A1576" t="s">
        <v>170</v>
      </c>
      <c r="B1576" t="s">
        <v>12</v>
      </c>
      <c r="C1576" t="s">
        <v>13</v>
      </c>
      <c r="D1576" t="s">
        <v>14</v>
      </c>
      <c r="E1576" t="s">
        <v>15</v>
      </c>
      <c r="F1576">
        <v>87.51</v>
      </c>
      <c r="G1576">
        <v>54133</v>
      </c>
      <c r="H1576">
        <v>8543.68</v>
      </c>
      <c r="I1576">
        <v>24</v>
      </c>
      <c r="J1576">
        <f>IFERROR(INDEX(Suppliar[Estimated Carbon Footprint (tons CO₂e)],MATCH('Merge operational &amp; suppliar'!A1576,Suppliar[Facility ID],0)),"")</f>
        <v>991.03</v>
      </c>
      <c r="K1576">
        <f>IFERROR(INDEX(Suppliar[Income Distribution (%)],MATCH('Merge operational &amp; suppliar'!A1576,Suppliar[Facility ID],0)),"")</f>
        <v>23.33</v>
      </c>
    </row>
    <row r="1577" spans="1:11" x14ac:dyDescent="0.3">
      <c r="A1577" t="s">
        <v>132</v>
      </c>
      <c r="B1577" t="s">
        <v>19</v>
      </c>
      <c r="C1577" t="s">
        <v>23</v>
      </c>
      <c r="D1577" t="s">
        <v>14</v>
      </c>
      <c r="E1577" t="s">
        <v>24</v>
      </c>
      <c r="F1577">
        <v>3948.45</v>
      </c>
      <c r="G1577">
        <v>29860</v>
      </c>
      <c r="H1577">
        <v>3956.23</v>
      </c>
      <c r="I1577">
        <v>57.5</v>
      </c>
      <c r="J1577">
        <f>IFERROR(INDEX(Suppliar[Estimated Carbon Footprint (tons CO₂e)],MATCH('Merge operational &amp; suppliar'!A1577,Suppliar[Facility ID],0)),"")</f>
        <v>432.23</v>
      </c>
      <c r="K1577">
        <f>IFERROR(INDEX(Suppliar[Income Distribution (%)],MATCH('Merge operational &amp; suppliar'!A1577,Suppliar[Facility ID],0)),"")</f>
        <v>17.78</v>
      </c>
    </row>
    <row r="1578" spans="1:11" x14ac:dyDescent="0.3">
      <c r="A1578" t="s">
        <v>66</v>
      </c>
      <c r="B1578" t="s">
        <v>30</v>
      </c>
      <c r="C1578" t="s">
        <v>34</v>
      </c>
      <c r="D1578" t="s">
        <v>9</v>
      </c>
      <c r="E1578" t="s">
        <v>15</v>
      </c>
      <c r="F1578">
        <v>3846.63</v>
      </c>
      <c r="G1578">
        <v>98396</v>
      </c>
      <c r="H1578">
        <v>5174.07</v>
      </c>
      <c r="I1578">
        <v>63.38</v>
      </c>
      <c r="J1578">
        <f>IFERROR(INDEX(Suppliar[Estimated Carbon Footprint (tons CO₂e)],MATCH('Merge operational &amp; suppliar'!A1578,Suppliar[Facility ID],0)),"")</f>
        <v>714.03</v>
      </c>
      <c r="K1578">
        <f>IFERROR(INDEX(Suppliar[Income Distribution (%)],MATCH('Merge operational &amp; suppliar'!A1578,Suppliar[Facility ID],0)),"")</f>
        <v>36.89</v>
      </c>
    </row>
    <row r="1579" spans="1:11" x14ac:dyDescent="0.3">
      <c r="A1579" t="s">
        <v>213</v>
      </c>
      <c r="B1579" t="s">
        <v>12</v>
      </c>
      <c r="C1579" t="s">
        <v>8</v>
      </c>
      <c r="D1579" t="s">
        <v>9</v>
      </c>
      <c r="E1579" t="s">
        <v>24</v>
      </c>
      <c r="F1579">
        <v>4673.8</v>
      </c>
      <c r="G1579">
        <v>58622</v>
      </c>
      <c r="H1579">
        <v>7795.36</v>
      </c>
      <c r="I1579">
        <v>59.81</v>
      </c>
      <c r="J1579">
        <f>IFERROR(INDEX(Suppliar[Estimated Carbon Footprint (tons CO₂e)],MATCH('Merge operational &amp; suppliar'!A1579,Suppliar[Facility ID],0)),"")</f>
        <v>807.86</v>
      </c>
      <c r="K1579">
        <f>IFERROR(INDEX(Suppliar[Income Distribution (%)],MATCH('Merge operational &amp; suppliar'!A1579,Suppliar[Facility ID],0)),"")</f>
        <v>32.130000000000003</v>
      </c>
    </row>
    <row r="1580" spans="1:11" x14ac:dyDescent="0.3">
      <c r="A1580" t="s">
        <v>171</v>
      </c>
      <c r="B1580" t="s">
        <v>17</v>
      </c>
      <c r="C1580" t="s">
        <v>34</v>
      </c>
      <c r="D1580" t="s">
        <v>28</v>
      </c>
      <c r="E1580" t="s">
        <v>24</v>
      </c>
      <c r="F1580">
        <v>4711.6899999999996</v>
      </c>
      <c r="G1580">
        <v>24502</v>
      </c>
      <c r="H1580">
        <v>7466.86</v>
      </c>
      <c r="I1580">
        <v>88.83</v>
      </c>
      <c r="J1580">
        <f>IFERROR(INDEX(Suppliar[Estimated Carbon Footprint (tons CO₂e)],MATCH('Merge operational &amp; suppliar'!A1580,Suppliar[Facility ID],0)),"")</f>
        <v>847.51</v>
      </c>
      <c r="K1580">
        <f>IFERROR(INDEX(Suppliar[Income Distribution (%)],MATCH('Merge operational &amp; suppliar'!A1580,Suppliar[Facility ID],0)),"")</f>
        <v>26.48</v>
      </c>
    </row>
    <row r="1581" spans="1:11" x14ac:dyDescent="0.3">
      <c r="A1581" t="s">
        <v>37</v>
      </c>
      <c r="B1581" t="s">
        <v>17</v>
      </c>
      <c r="C1581" t="s">
        <v>13</v>
      </c>
      <c r="D1581" t="s">
        <v>9</v>
      </c>
      <c r="E1581" t="s">
        <v>15</v>
      </c>
      <c r="F1581">
        <v>2670.52</v>
      </c>
      <c r="G1581">
        <v>71747</v>
      </c>
      <c r="H1581">
        <v>9838.66</v>
      </c>
      <c r="I1581">
        <v>7.25</v>
      </c>
      <c r="J1581">
        <f>IFERROR(INDEX(Suppliar[Estimated Carbon Footprint (tons CO₂e)],MATCH('Merge operational &amp; suppliar'!A1581,Suppliar[Facility ID],0)),"")</f>
        <v>224.5</v>
      </c>
      <c r="K1581">
        <f>IFERROR(INDEX(Suppliar[Income Distribution (%)],MATCH('Merge operational &amp; suppliar'!A1581,Suppliar[Facility ID],0)),"")</f>
        <v>39.29</v>
      </c>
    </row>
    <row r="1582" spans="1:11" x14ac:dyDescent="0.3">
      <c r="A1582" t="s">
        <v>40</v>
      </c>
      <c r="B1582" t="s">
        <v>19</v>
      </c>
      <c r="C1582" t="s">
        <v>34</v>
      </c>
      <c r="D1582" t="s">
        <v>9</v>
      </c>
      <c r="E1582" t="s">
        <v>15</v>
      </c>
      <c r="F1582">
        <v>919.4</v>
      </c>
      <c r="G1582">
        <v>96474</v>
      </c>
      <c r="H1582">
        <v>7574.39</v>
      </c>
      <c r="I1582">
        <v>95.54</v>
      </c>
      <c r="J1582">
        <f>IFERROR(INDEX(Suppliar[Estimated Carbon Footprint (tons CO₂e)],MATCH('Merge operational &amp; suppliar'!A1582,Suppliar[Facility ID],0)),"")</f>
        <v>886.71</v>
      </c>
      <c r="K1582">
        <f>IFERROR(INDEX(Suppliar[Income Distribution (%)],MATCH('Merge operational &amp; suppliar'!A1582,Suppliar[Facility ID],0)),"")</f>
        <v>24.84</v>
      </c>
    </row>
    <row r="1583" spans="1:11" x14ac:dyDescent="0.3">
      <c r="A1583" t="s">
        <v>25</v>
      </c>
      <c r="B1583" t="s">
        <v>19</v>
      </c>
      <c r="C1583" t="s">
        <v>23</v>
      </c>
      <c r="D1583" t="s">
        <v>14</v>
      </c>
      <c r="E1583" t="s">
        <v>24</v>
      </c>
      <c r="F1583">
        <v>4514.75</v>
      </c>
      <c r="G1583">
        <v>95306</v>
      </c>
      <c r="H1583">
        <v>9037.76</v>
      </c>
      <c r="I1583">
        <v>13.35</v>
      </c>
      <c r="J1583">
        <f>IFERROR(INDEX(Suppliar[Estimated Carbon Footprint (tons CO₂e)],MATCH('Merge operational &amp; suppliar'!A1583,Suppliar[Facility ID],0)),"")</f>
        <v>724.63</v>
      </c>
      <c r="K1583">
        <f>IFERROR(INDEX(Suppliar[Income Distribution (%)],MATCH('Merge operational &amp; suppliar'!A1583,Suppliar[Facility ID],0)),"")</f>
        <v>21.2</v>
      </c>
    </row>
    <row r="1584" spans="1:11" x14ac:dyDescent="0.3">
      <c r="A1584" t="s">
        <v>89</v>
      </c>
      <c r="B1584" t="s">
        <v>17</v>
      </c>
      <c r="C1584" t="s">
        <v>34</v>
      </c>
      <c r="D1584" t="s">
        <v>9</v>
      </c>
      <c r="E1584" t="s">
        <v>15</v>
      </c>
      <c r="F1584">
        <v>3766.6</v>
      </c>
      <c r="G1584">
        <v>36171</v>
      </c>
      <c r="H1584">
        <v>6864.38</v>
      </c>
      <c r="I1584">
        <v>37.03</v>
      </c>
      <c r="J1584">
        <f>IFERROR(INDEX(Suppliar[Estimated Carbon Footprint (tons CO₂e)],MATCH('Merge operational &amp; suppliar'!A1584,Suppliar[Facility ID],0)),"")</f>
        <v>181.54</v>
      </c>
      <c r="K1584">
        <f>IFERROR(INDEX(Suppliar[Income Distribution (%)],MATCH('Merge operational &amp; suppliar'!A1584,Suppliar[Facility ID],0)),"")</f>
        <v>55.69</v>
      </c>
    </row>
    <row r="1585" spans="1:11" x14ac:dyDescent="0.3">
      <c r="A1585" t="s">
        <v>192</v>
      </c>
      <c r="B1585" t="s">
        <v>19</v>
      </c>
      <c r="C1585" t="s">
        <v>23</v>
      </c>
      <c r="D1585" t="s">
        <v>28</v>
      </c>
      <c r="E1585" t="s">
        <v>10</v>
      </c>
      <c r="F1585">
        <v>730.13</v>
      </c>
      <c r="G1585">
        <v>43227</v>
      </c>
      <c r="H1585">
        <v>5199.53</v>
      </c>
      <c r="I1585">
        <v>44.09</v>
      </c>
      <c r="J1585">
        <f>IFERROR(INDEX(Suppliar[Estimated Carbon Footprint (tons CO₂e)],MATCH('Merge operational &amp; suppliar'!A1585,Suppliar[Facility ID],0)),"")</f>
        <v>724.63</v>
      </c>
      <c r="K1585">
        <f>IFERROR(INDEX(Suppliar[Income Distribution (%)],MATCH('Merge operational &amp; suppliar'!A1585,Suppliar[Facility ID],0)),"")</f>
        <v>14.96</v>
      </c>
    </row>
    <row r="1586" spans="1:11" x14ac:dyDescent="0.3">
      <c r="A1586" t="s">
        <v>213</v>
      </c>
      <c r="B1586" t="s">
        <v>12</v>
      </c>
      <c r="C1586" t="s">
        <v>13</v>
      </c>
      <c r="D1586" t="s">
        <v>14</v>
      </c>
      <c r="E1586" t="s">
        <v>24</v>
      </c>
      <c r="F1586">
        <v>2811.95</v>
      </c>
      <c r="G1586">
        <v>58622</v>
      </c>
      <c r="H1586">
        <v>7795.36</v>
      </c>
      <c r="I1586">
        <v>59.81</v>
      </c>
      <c r="J1586">
        <f>IFERROR(INDEX(Suppliar[Estimated Carbon Footprint (tons CO₂e)],MATCH('Merge operational &amp; suppliar'!A1586,Suppliar[Facility ID],0)),"")</f>
        <v>807.86</v>
      </c>
      <c r="K1586">
        <f>IFERROR(INDEX(Suppliar[Income Distribution (%)],MATCH('Merge operational &amp; suppliar'!A1586,Suppliar[Facility ID],0)),"")</f>
        <v>32.130000000000003</v>
      </c>
    </row>
    <row r="1587" spans="1:11" x14ac:dyDescent="0.3">
      <c r="A1587" t="s">
        <v>37</v>
      </c>
      <c r="B1587" t="s">
        <v>17</v>
      </c>
      <c r="C1587" t="s">
        <v>13</v>
      </c>
      <c r="D1587" t="s">
        <v>9</v>
      </c>
      <c r="E1587" t="s">
        <v>15</v>
      </c>
      <c r="F1587">
        <v>5044.2</v>
      </c>
      <c r="G1587">
        <v>71747</v>
      </c>
      <c r="H1587">
        <v>9838.66</v>
      </c>
      <c r="I1587">
        <v>7.25</v>
      </c>
      <c r="J1587">
        <f>IFERROR(INDEX(Suppliar[Estimated Carbon Footprint (tons CO₂e)],MATCH('Merge operational &amp; suppliar'!A1587,Suppliar[Facility ID],0)),"")</f>
        <v>224.5</v>
      </c>
      <c r="K1587">
        <f>IFERROR(INDEX(Suppliar[Income Distribution (%)],MATCH('Merge operational &amp; suppliar'!A1587,Suppliar[Facility ID],0)),"")</f>
        <v>39.29</v>
      </c>
    </row>
    <row r="1588" spans="1:11" x14ac:dyDescent="0.3">
      <c r="A1588" t="s">
        <v>67</v>
      </c>
      <c r="B1588" t="s">
        <v>7</v>
      </c>
      <c r="C1588" t="s">
        <v>8</v>
      </c>
      <c r="D1588" t="s">
        <v>28</v>
      </c>
      <c r="E1588" t="s">
        <v>15</v>
      </c>
      <c r="F1588">
        <v>4074.33</v>
      </c>
      <c r="G1588">
        <v>70582</v>
      </c>
      <c r="H1588">
        <v>7517.59</v>
      </c>
      <c r="I1588">
        <v>95.71</v>
      </c>
      <c r="J1588" t="str">
        <f>IFERROR(INDEX(Suppliar[Estimated Carbon Footprint (tons CO₂e)],MATCH('Merge operational &amp; suppliar'!A1588,Suppliar[Facility ID],0)),"")</f>
        <v/>
      </c>
      <c r="K1588" t="str">
        <f>IFERROR(INDEX(Suppliar[Income Distribution (%)],MATCH('Merge operational &amp; suppliar'!A1588,Suppliar[Facility ID],0)),"")</f>
        <v/>
      </c>
    </row>
    <row r="1589" spans="1:11" x14ac:dyDescent="0.3">
      <c r="A1589" t="s">
        <v>205</v>
      </c>
      <c r="B1589" t="s">
        <v>17</v>
      </c>
      <c r="C1589" t="s">
        <v>8</v>
      </c>
      <c r="D1589" t="s">
        <v>28</v>
      </c>
      <c r="E1589" t="s">
        <v>15</v>
      </c>
      <c r="F1589">
        <v>1048.08</v>
      </c>
      <c r="G1589">
        <v>52594</v>
      </c>
      <c r="H1589">
        <v>8715.0400000000009</v>
      </c>
      <c r="I1589">
        <v>90.54</v>
      </c>
      <c r="J1589">
        <f>IFERROR(INDEX(Suppliar[Estimated Carbon Footprint (tons CO₂e)],MATCH('Merge operational &amp; suppliar'!A1589,Suppliar[Facility ID],0)),"")</f>
        <v>553.44000000000005</v>
      </c>
      <c r="K1589">
        <f>IFERROR(INDEX(Suppliar[Income Distribution (%)],MATCH('Merge operational &amp; suppliar'!A1589,Suppliar[Facility ID],0)),"")</f>
        <v>23.44</v>
      </c>
    </row>
    <row r="1590" spans="1:11" x14ac:dyDescent="0.3">
      <c r="A1590" t="s">
        <v>160</v>
      </c>
      <c r="B1590" t="s">
        <v>30</v>
      </c>
      <c r="C1590" t="s">
        <v>34</v>
      </c>
      <c r="D1590" t="s">
        <v>9</v>
      </c>
      <c r="E1590" t="s">
        <v>15</v>
      </c>
      <c r="F1590">
        <v>3290.44</v>
      </c>
      <c r="G1590">
        <v>18341</v>
      </c>
      <c r="H1590">
        <v>8465.57</v>
      </c>
      <c r="I1590">
        <v>38.39</v>
      </c>
      <c r="J1590" t="str">
        <f>IFERROR(INDEX(Suppliar[Estimated Carbon Footprint (tons CO₂e)],MATCH('Merge operational &amp; suppliar'!A1590,Suppliar[Facility ID],0)),"")</f>
        <v/>
      </c>
      <c r="K1590" t="str">
        <f>IFERROR(INDEX(Suppliar[Income Distribution (%)],MATCH('Merge operational &amp; suppliar'!A1590,Suppliar[Facility ID],0)),"")</f>
        <v/>
      </c>
    </row>
    <row r="1591" spans="1:11" x14ac:dyDescent="0.3">
      <c r="A1591" t="s">
        <v>144</v>
      </c>
      <c r="B1591" t="s">
        <v>30</v>
      </c>
      <c r="C1591" t="s">
        <v>13</v>
      </c>
      <c r="D1591" t="s">
        <v>9</v>
      </c>
      <c r="E1591" t="s">
        <v>10</v>
      </c>
      <c r="F1591">
        <v>1966.43</v>
      </c>
      <c r="G1591">
        <v>11426</v>
      </c>
      <c r="H1591">
        <v>4439.5600000000004</v>
      </c>
      <c r="I1591">
        <v>52.71</v>
      </c>
      <c r="J1591" t="str">
        <f>IFERROR(INDEX(Suppliar[Estimated Carbon Footprint (tons CO₂e)],MATCH('Merge operational &amp; suppliar'!A1591,Suppliar[Facility ID],0)),"")</f>
        <v/>
      </c>
      <c r="K1591" t="str">
        <f>IFERROR(INDEX(Suppliar[Income Distribution (%)],MATCH('Merge operational &amp; suppliar'!A1591,Suppliar[Facility ID],0)),"")</f>
        <v/>
      </c>
    </row>
    <row r="1592" spans="1:11" x14ac:dyDescent="0.3">
      <c r="A1592" t="s">
        <v>97</v>
      </c>
      <c r="B1592" t="s">
        <v>7</v>
      </c>
      <c r="C1592" t="s">
        <v>8</v>
      </c>
      <c r="D1592" t="s">
        <v>28</v>
      </c>
      <c r="E1592" t="s">
        <v>15</v>
      </c>
      <c r="F1592">
        <v>2842.86</v>
      </c>
      <c r="G1592">
        <v>78624</v>
      </c>
      <c r="H1592">
        <v>2373.27</v>
      </c>
      <c r="I1592">
        <v>25.07</v>
      </c>
      <c r="J1592" t="str">
        <f>IFERROR(INDEX(Suppliar[Estimated Carbon Footprint (tons CO₂e)],MATCH('Merge operational &amp; suppliar'!A1592,Suppliar[Facility ID],0)),"")</f>
        <v/>
      </c>
      <c r="K1592" t="str">
        <f>IFERROR(INDEX(Suppliar[Income Distribution (%)],MATCH('Merge operational &amp; suppliar'!A1592,Suppliar[Facility ID],0)),"")</f>
        <v/>
      </c>
    </row>
    <row r="1593" spans="1:11" x14ac:dyDescent="0.3">
      <c r="A1593" t="s">
        <v>189</v>
      </c>
      <c r="B1593" t="s">
        <v>19</v>
      </c>
      <c r="C1593" t="s">
        <v>13</v>
      </c>
      <c r="D1593" t="s">
        <v>14</v>
      </c>
      <c r="E1593" t="s">
        <v>15</v>
      </c>
      <c r="F1593">
        <v>2556.0500000000002</v>
      </c>
      <c r="G1593">
        <v>27681</v>
      </c>
      <c r="H1593">
        <v>928.26</v>
      </c>
      <c r="I1593">
        <v>44.97</v>
      </c>
      <c r="J1593" t="str">
        <f>IFERROR(INDEX(Suppliar[Estimated Carbon Footprint (tons CO₂e)],MATCH('Merge operational &amp; suppliar'!A1593,Suppliar[Facility ID],0)),"")</f>
        <v/>
      </c>
      <c r="K1593" t="str">
        <f>IFERROR(INDEX(Suppliar[Income Distribution (%)],MATCH('Merge operational &amp; suppliar'!A1593,Suppliar[Facility ID],0)),"")</f>
        <v/>
      </c>
    </row>
    <row r="1594" spans="1:11" x14ac:dyDescent="0.3">
      <c r="A1594" t="s">
        <v>146</v>
      </c>
      <c r="B1594" t="s">
        <v>7</v>
      </c>
      <c r="C1594" t="s">
        <v>23</v>
      </c>
      <c r="D1594" t="s">
        <v>28</v>
      </c>
      <c r="E1594" t="s">
        <v>15</v>
      </c>
      <c r="F1594">
        <v>3688.09</v>
      </c>
      <c r="G1594">
        <v>14170</v>
      </c>
      <c r="H1594">
        <v>5455.23</v>
      </c>
      <c r="I1594">
        <v>25.46</v>
      </c>
      <c r="J1594">
        <f>IFERROR(INDEX(Suppliar[Estimated Carbon Footprint (tons CO₂e)],MATCH('Merge operational &amp; suppliar'!A1594,Suppliar[Facility ID],0)),"")</f>
        <v>790.74</v>
      </c>
      <c r="K1594">
        <f>IFERROR(INDEX(Suppliar[Income Distribution (%)],MATCH('Merge operational &amp; suppliar'!A1594,Suppliar[Facility ID],0)),"")</f>
        <v>28.78</v>
      </c>
    </row>
    <row r="1595" spans="1:11" x14ac:dyDescent="0.3">
      <c r="A1595" t="s">
        <v>56</v>
      </c>
      <c r="B1595" t="s">
        <v>19</v>
      </c>
      <c r="C1595" t="s">
        <v>8</v>
      </c>
      <c r="D1595" t="s">
        <v>9</v>
      </c>
      <c r="E1595" t="s">
        <v>10</v>
      </c>
      <c r="F1595">
        <v>3222.35</v>
      </c>
      <c r="G1595">
        <v>43747</v>
      </c>
      <c r="H1595">
        <v>3453.48</v>
      </c>
      <c r="I1595">
        <v>98.78</v>
      </c>
      <c r="J1595">
        <f>IFERROR(INDEX(Suppliar[Estimated Carbon Footprint (tons CO₂e)],MATCH('Merge operational &amp; suppliar'!A1595,Suppliar[Facility ID],0)),"")</f>
        <v>459.56</v>
      </c>
      <c r="K1595">
        <f>IFERROR(INDEX(Suppliar[Income Distribution (%)],MATCH('Merge operational &amp; suppliar'!A1595,Suppliar[Facility ID],0)),"")</f>
        <v>23.81</v>
      </c>
    </row>
    <row r="1596" spans="1:11" x14ac:dyDescent="0.3">
      <c r="A1596" t="s">
        <v>85</v>
      </c>
      <c r="B1596" t="s">
        <v>30</v>
      </c>
      <c r="C1596" t="s">
        <v>23</v>
      </c>
      <c r="D1596" t="s">
        <v>14</v>
      </c>
      <c r="E1596" t="s">
        <v>24</v>
      </c>
      <c r="F1596">
        <v>475.84</v>
      </c>
      <c r="G1596">
        <v>45519</v>
      </c>
      <c r="H1596">
        <v>7987.69</v>
      </c>
      <c r="I1596">
        <v>10.86</v>
      </c>
      <c r="J1596">
        <f>IFERROR(INDEX(Suppliar[Estimated Carbon Footprint (tons CO₂e)],MATCH('Merge operational &amp; suppliar'!A1596,Suppliar[Facility ID],0)),"")</f>
        <v>638.89</v>
      </c>
      <c r="K1596">
        <f>IFERROR(INDEX(Suppliar[Income Distribution (%)],MATCH('Merge operational &amp; suppliar'!A1596,Suppliar[Facility ID],0)),"")</f>
        <v>35.04</v>
      </c>
    </row>
    <row r="1597" spans="1:11" x14ac:dyDescent="0.3">
      <c r="A1597" t="s">
        <v>200</v>
      </c>
      <c r="B1597" t="s">
        <v>30</v>
      </c>
      <c r="C1597" t="s">
        <v>8</v>
      </c>
      <c r="D1597" t="s">
        <v>14</v>
      </c>
      <c r="E1597" t="s">
        <v>15</v>
      </c>
      <c r="F1597">
        <v>258.93</v>
      </c>
      <c r="G1597">
        <v>46863</v>
      </c>
      <c r="H1597">
        <v>6762.98</v>
      </c>
      <c r="I1597">
        <v>23.45</v>
      </c>
      <c r="J1597">
        <f>IFERROR(INDEX(Suppliar[Estimated Carbon Footprint (tons CO₂e)],MATCH('Merge operational &amp; suppliar'!A1597,Suppliar[Facility ID],0)),"")</f>
        <v>231.68</v>
      </c>
      <c r="K1597">
        <f>IFERROR(INDEX(Suppliar[Income Distribution (%)],MATCH('Merge operational &amp; suppliar'!A1597,Suppliar[Facility ID],0)),"")</f>
        <v>35.92</v>
      </c>
    </row>
    <row r="1598" spans="1:11" x14ac:dyDescent="0.3">
      <c r="A1598" t="s">
        <v>123</v>
      </c>
      <c r="B1598" t="s">
        <v>30</v>
      </c>
      <c r="C1598" t="s">
        <v>8</v>
      </c>
      <c r="D1598" t="s">
        <v>9</v>
      </c>
      <c r="E1598" t="s">
        <v>24</v>
      </c>
      <c r="F1598">
        <v>850.45</v>
      </c>
      <c r="G1598">
        <v>73977</v>
      </c>
      <c r="H1598">
        <v>1646.75</v>
      </c>
      <c r="I1598">
        <v>43.77</v>
      </c>
      <c r="J1598" t="str">
        <f>IFERROR(INDEX(Suppliar[Estimated Carbon Footprint (tons CO₂e)],MATCH('Merge operational &amp; suppliar'!A1598,Suppliar[Facility ID],0)),"")</f>
        <v/>
      </c>
      <c r="K1598" t="str">
        <f>IFERROR(INDEX(Suppliar[Income Distribution (%)],MATCH('Merge operational &amp; suppliar'!A1598,Suppliar[Facility ID],0)),"")</f>
        <v/>
      </c>
    </row>
    <row r="1599" spans="1:11" x14ac:dyDescent="0.3">
      <c r="A1599" t="s">
        <v>150</v>
      </c>
      <c r="B1599" t="s">
        <v>30</v>
      </c>
      <c r="C1599" t="s">
        <v>34</v>
      </c>
      <c r="D1599" t="s">
        <v>14</v>
      </c>
      <c r="E1599" t="s">
        <v>24</v>
      </c>
      <c r="F1599">
        <v>1887.87</v>
      </c>
      <c r="G1599">
        <v>98356</v>
      </c>
      <c r="H1599">
        <v>6968.69</v>
      </c>
      <c r="I1599">
        <v>81.72</v>
      </c>
      <c r="J1599">
        <f>IFERROR(INDEX(Suppliar[Estimated Carbon Footprint (tons CO₂e)],MATCH('Merge operational &amp; suppliar'!A1599,Suppliar[Facility ID],0)),"")</f>
        <v>795.74</v>
      </c>
      <c r="K1599">
        <f>IFERROR(INDEX(Suppliar[Income Distribution (%)],MATCH('Merge operational &amp; suppliar'!A1599,Suppliar[Facility ID],0)),"")</f>
        <v>22.41</v>
      </c>
    </row>
    <row r="1600" spans="1:11" x14ac:dyDescent="0.3">
      <c r="A1600" t="s">
        <v>100</v>
      </c>
      <c r="B1600" t="s">
        <v>7</v>
      </c>
      <c r="C1600" t="s">
        <v>34</v>
      </c>
      <c r="D1600" t="s">
        <v>28</v>
      </c>
      <c r="E1600" t="s">
        <v>24</v>
      </c>
      <c r="F1600">
        <v>533.01</v>
      </c>
      <c r="G1600">
        <v>17468</v>
      </c>
      <c r="H1600">
        <v>6359.73</v>
      </c>
      <c r="I1600">
        <v>5.22</v>
      </c>
      <c r="J1600">
        <f>IFERROR(INDEX(Suppliar[Estimated Carbon Footprint (tons CO₂e)],MATCH('Merge operational &amp; suppliar'!A1600,Suppliar[Facility ID],0)),"")</f>
        <v>959.2</v>
      </c>
      <c r="K1600">
        <f>IFERROR(INDEX(Suppliar[Income Distribution (%)],MATCH('Merge operational &amp; suppliar'!A1600,Suppliar[Facility ID],0)),"")</f>
        <v>36.92</v>
      </c>
    </row>
    <row r="1601" spans="1:11" x14ac:dyDescent="0.3">
      <c r="A1601" t="s">
        <v>132</v>
      </c>
      <c r="B1601" t="s">
        <v>19</v>
      </c>
      <c r="C1601" t="s">
        <v>8</v>
      </c>
      <c r="D1601" t="s">
        <v>28</v>
      </c>
      <c r="E1601" t="s">
        <v>10</v>
      </c>
      <c r="F1601">
        <v>572.46</v>
      </c>
      <c r="G1601">
        <v>29860</v>
      </c>
      <c r="H1601">
        <v>3956.23</v>
      </c>
      <c r="I1601">
        <v>57.5</v>
      </c>
      <c r="J1601">
        <f>IFERROR(INDEX(Suppliar[Estimated Carbon Footprint (tons CO₂e)],MATCH('Merge operational &amp; suppliar'!A1601,Suppliar[Facility ID],0)),"")</f>
        <v>432.23</v>
      </c>
      <c r="K1601">
        <f>IFERROR(INDEX(Suppliar[Income Distribution (%)],MATCH('Merge operational &amp; suppliar'!A1601,Suppliar[Facility ID],0)),"")</f>
        <v>17.78</v>
      </c>
    </row>
    <row r="1602" spans="1:11" x14ac:dyDescent="0.3">
      <c r="A1602" t="s">
        <v>20</v>
      </c>
      <c r="B1602" t="s">
        <v>17</v>
      </c>
      <c r="C1602" t="s">
        <v>13</v>
      </c>
      <c r="D1602" t="s">
        <v>28</v>
      </c>
      <c r="E1602" t="s">
        <v>24</v>
      </c>
      <c r="F1602">
        <v>4635.99</v>
      </c>
      <c r="G1602">
        <v>29895</v>
      </c>
      <c r="H1602">
        <v>1631.08</v>
      </c>
      <c r="I1602">
        <v>39.93</v>
      </c>
      <c r="J1602">
        <f>IFERROR(INDEX(Suppliar[Estimated Carbon Footprint (tons CO₂e)],MATCH('Merge operational &amp; suppliar'!A1602,Suppliar[Facility ID],0)),"")</f>
        <v>959.2</v>
      </c>
      <c r="K1602">
        <f>IFERROR(INDEX(Suppliar[Income Distribution (%)],MATCH('Merge operational &amp; suppliar'!A1602,Suppliar[Facility ID],0)),"")</f>
        <v>38.840000000000003</v>
      </c>
    </row>
    <row r="1603" spans="1:11" x14ac:dyDescent="0.3">
      <c r="A1603" t="s">
        <v>112</v>
      </c>
      <c r="B1603" t="s">
        <v>30</v>
      </c>
      <c r="C1603" t="s">
        <v>34</v>
      </c>
      <c r="D1603" t="s">
        <v>14</v>
      </c>
      <c r="E1603" t="s">
        <v>24</v>
      </c>
      <c r="F1603">
        <v>4891.97</v>
      </c>
      <c r="G1603">
        <v>43294</v>
      </c>
      <c r="H1603">
        <v>3802.13</v>
      </c>
      <c r="I1603">
        <v>45.84</v>
      </c>
      <c r="J1603">
        <f>IFERROR(INDEX(Suppliar[Estimated Carbon Footprint (tons CO₂e)],MATCH('Merge operational &amp; suppliar'!A1603,Suppliar[Facility ID],0)),"")</f>
        <v>756.78</v>
      </c>
      <c r="K1603">
        <f>IFERROR(INDEX(Suppliar[Income Distribution (%)],MATCH('Merge operational &amp; suppliar'!A1603,Suppliar[Facility ID],0)),"")</f>
        <v>28.42</v>
      </c>
    </row>
    <row r="1604" spans="1:11" x14ac:dyDescent="0.3">
      <c r="A1604" t="s">
        <v>182</v>
      </c>
      <c r="B1604" t="s">
        <v>12</v>
      </c>
      <c r="C1604" t="s">
        <v>23</v>
      </c>
      <c r="D1604" t="s">
        <v>28</v>
      </c>
      <c r="E1604" t="s">
        <v>10</v>
      </c>
      <c r="F1604">
        <v>1184.1400000000001</v>
      </c>
      <c r="G1604">
        <v>21081</v>
      </c>
      <c r="H1604">
        <v>9001.77</v>
      </c>
      <c r="I1604">
        <v>49.27</v>
      </c>
      <c r="J1604">
        <f>IFERROR(INDEX(Suppliar[Estimated Carbon Footprint (tons CO₂e)],MATCH('Merge operational &amp; suppliar'!A1604,Suppliar[Facility ID],0)),"")</f>
        <v>114.57</v>
      </c>
      <c r="K1604">
        <f>IFERROR(INDEX(Suppliar[Income Distribution (%)],MATCH('Merge operational &amp; suppliar'!A1604,Suppliar[Facility ID],0)),"")</f>
        <v>44.17</v>
      </c>
    </row>
    <row r="1605" spans="1:11" x14ac:dyDescent="0.3">
      <c r="A1605" t="s">
        <v>123</v>
      </c>
      <c r="B1605" t="s">
        <v>30</v>
      </c>
      <c r="C1605" t="s">
        <v>13</v>
      </c>
      <c r="D1605" t="s">
        <v>14</v>
      </c>
      <c r="E1605" t="s">
        <v>15</v>
      </c>
      <c r="F1605">
        <v>802.03</v>
      </c>
      <c r="G1605">
        <v>73977</v>
      </c>
      <c r="H1605">
        <v>1646.75</v>
      </c>
      <c r="I1605">
        <v>43.77</v>
      </c>
      <c r="J1605" t="str">
        <f>IFERROR(INDEX(Suppliar[Estimated Carbon Footprint (tons CO₂e)],MATCH('Merge operational &amp; suppliar'!A1605,Suppliar[Facility ID],0)),"")</f>
        <v/>
      </c>
      <c r="K1605" t="str">
        <f>IFERROR(INDEX(Suppliar[Income Distribution (%)],MATCH('Merge operational &amp; suppliar'!A1605,Suppliar[Facility ID],0)),"")</f>
        <v/>
      </c>
    </row>
    <row r="1606" spans="1:11" x14ac:dyDescent="0.3">
      <c r="A1606" t="s">
        <v>54</v>
      </c>
      <c r="B1606" t="s">
        <v>12</v>
      </c>
      <c r="C1606" t="s">
        <v>13</v>
      </c>
      <c r="D1606" t="s">
        <v>9</v>
      </c>
      <c r="E1606" t="s">
        <v>10</v>
      </c>
      <c r="F1606">
        <v>2408.48</v>
      </c>
      <c r="G1606">
        <v>58111</v>
      </c>
      <c r="H1606">
        <v>4610.8999999999996</v>
      </c>
      <c r="I1606">
        <v>21.53</v>
      </c>
      <c r="J1606">
        <f>IFERROR(INDEX(Suppliar[Estimated Carbon Footprint (tons CO₂e)],MATCH('Merge operational &amp; suppliar'!A1606,Suppliar[Facility ID],0)),"")</f>
        <v>268.16000000000003</v>
      </c>
      <c r="K1606">
        <f>IFERROR(INDEX(Suppliar[Income Distribution (%)],MATCH('Merge operational &amp; suppliar'!A1606,Suppliar[Facility ID],0)),"")</f>
        <v>13.78</v>
      </c>
    </row>
    <row r="1607" spans="1:11" x14ac:dyDescent="0.3">
      <c r="A1607" t="s">
        <v>161</v>
      </c>
      <c r="B1607" t="s">
        <v>7</v>
      </c>
      <c r="C1607" t="s">
        <v>13</v>
      </c>
      <c r="D1607" t="s">
        <v>9</v>
      </c>
      <c r="E1607" t="s">
        <v>15</v>
      </c>
      <c r="F1607">
        <v>3733.16</v>
      </c>
      <c r="G1607">
        <v>15788</v>
      </c>
      <c r="H1607">
        <v>1824.14</v>
      </c>
      <c r="I1607">
        <v>52.78</v>
      </c>
      <c r="J1607">
        <f>IFERROR(INDEX(Suppliar[Estimated Carbon Footprint (tons CO₂e)],MATCH('Merge operational &amp; suppliar'!A1607,Suppliar[Facility ID],0)),"")</f>
        <v>571.88</v>
      </c>
      <c r="K1607">
        <f>IFERROR(INDEX(Suppliar[Income Distribution (%)],MATCH('Merge operational &amp; suppliar'!A1607,Suppliar[Facility ID],0)),"")</f>
        <v>8.17</v>
      </c>
    </row>
    <row r="1608" spans="1:11" x14ac:dyDescent="0.3">
      <c r="A1608" t="s">
        <v>165</v>
      </c>
      <c r="B1608" t="s">
        <v>7</v>
      </c>
      <c r="C1608" t="s">
        <v>23</v>
      </c>
      <c r="D1608" t="s">
        <v>9</v>
      </c>
      <c r="E1608" t="s">
        <v>24</v>
      </c>
      <c r="F1608">
        <v>163.44999999999999</v>
      </c>
      <c r="G1608">
        <v>32991</v>
      </c>
      <c r="H1608">
        <v>8540.14</v>
      </c>
      <c r="I1608">
        <v>37.75</v>
      </c>
      <c r="J1608">
        <f>IFERROR(INDEX(Suppliar[Estimated Carbon Footprint (tons CO₂e)],MATCH('Merge operational &amp; suppliar'!A1608,Suppliar[Facility ID],0)),"")</f>
        <v>268.16000000000003</v>
      </c>
      <c r="K1608">
        <f>IFERROR(INDEX(Suppliar[Income Distribution (%)],MATCH('Merge operational &amp; suppliar'!A1608,Suppliar[Facility ID],0)),"")</f>
        <v>9.08</v>
      </c>
    </row>
    <row r="1609" spans="1:11" x14ac:dyDescent="0.3">
      <c r="A1609" t="s">
        <v>125</v>
      </c>
      <c r="B1609" t="s">
        <v>7</v>
      </c>
      <c r="C1609" t="s">
        <v>23</v>
      </c>
      <c r="D1609" t="s">
        <v>14</v>
      </c>
      <c r="E1609" t="s">
        <v>15</v>
      </c>
      <c r="F1609">
        <v>106.8</v>
      </c>
      <c r="G1609">
        <v>56392</v>
      </c>
      <c r="H1609">
        <v>5703.76</v>
      </c>
      <c r="I1609">
        <v>23.04</v>
      </c>
      <c r="J1609">
        <f>IFERROR(INDEX(Suppliar[Estimated Carbon Footprint (tons CO₂e)],MATCH('Merge operational &amp; suppliar'!A1609,Suppliar[Facility ID],0)),"")</f>
        <v>991.03</v>
      </c>
      <c r="K1609">
        <f>IFERROR(INDEX(Suppliar[Income Distribution (%)],MATCH('Merge operational &amp; suppliar'!A1609,Suppliar[Facility ID],0)),"")</f>
        <v>27.62</v>
      </c>
    </row>
    <row r="1610" spans="1:11" x14ac:dyDescent="0.3">
      <c r="A1610" t="s">
        <v>122</v>
      </c>
      <c r="B1610" t="s">
        <v>19</v>
      </c>
      <c r="C1610" t="s">
        <v>34</v>
      </c>
      <c r="D1610" t="s">
        <v>14</v>
      </c>
      <c r="E1610" t="s">
        <v>15</v>
      </c>
      <c r="F1610">
        <v>2626.92</v>
      </c>
      <c r="G1610">
        <v>95962</v>
      </c>
      <c r="H1610">
        <v>524.72</v>
      </c>
      <c r="I1610">
        <v>49.55</v>
      </c>
      <c r="J1610">
        <f>IFERROR(INDEX(Suppliar[Estimated Carbon Footprint (tons CO₂e)],MATCH('Merge operational &amp; suppliar'!A1610,Suppliar[Facility ID],0)),"")</f>
        <v>991.36</v>
      </c>
      <c r="K1610">
        <f>IFERROR(INDEX(Suppliar[Income Distribution (%)],MATCH('Merge operational &amp; suppliar'!A1610,Suppliar[Facility ID],0)),"")</f>
        <v>18.28</v>
      </c>
    </row>
    <row r="1611" spans="1:11" x14ac:dyDescent="0.3">
      <c r="A1611" t="s">
        <v>39</v>
      </c>
      <c r="B1611" t="s">
        <v>7</v>
      </c>
      <c r="C1611" t="s">
        <v>8</v>
      </c>
      <c r="D1611" t="s">
        <v>14</v>
      </c>
      <c r="E1611" t="s">
        <v>15</v>
      </c>
      <c r="F1611">
        <v>4932.7299999999996</v>
      </c>
      <c r="G1611">
        <v>80904</v>
      </c>
      <c r="H1611">
        <v>3263.09</v>
      </c>
      <c r="I1611">
        <v>58.37</v>
      </c>
      <c r="J1611">
        <f>IFERROR(INDEX(Suppliar[Estimated Carbon Footprint (tons CO₂e)],MATCH('Merge operational &amp; suppliar'!A1611,Suppliar[Facility ID],0)),"")</f>
        <v>756.78</v>
      </c>
      <c r="K1611">
        <f>IFERROR(INDEX(Suppliar[Income Distribution (%)],MATCH('Merge operational &amp; suppliar'!A1611,Suppliar[Facility ID],0)),"")</f>
        <v>35.950000000000003</v>
      </c>
    </row>
    <row r="1612" spans="1:11" x14ac:dyDescent="0.3">
      <c r="A1612" t="s">
        <v>198</v>
      </c>
      <c r="B1612" t="s">
        <v>12</v>
      </c>
      <c r="C1612" t="s">
        <v>8</v>
      </c>
      <c r="D1612" t="s">
        <v>28</v>
      </c>
      <c r="E1612" t="s">
        <v>24</v>
      </c>
      <c r="F1612">
        <v>2097.4</v>
      </c>
      <c r="G1612">
        <v>58113</v>
      </c>
      <c r="H1612">
        <v>6382.12</v>
      </c>
      <c r="I1612">
        <v>56.66</v>
      </c>
      <c r="J1612">
        <f>IFERROR(INDEX(Suppliar[Estimated Carbon Footprint (tons CO₂e)],MATCH('Merge operational &amp; suppliar'!A1612,Suppliar[Facility ID],0)),"")</f>
        <v>431.16</v>
      </c>
      <c r="K1612">
        <f>IFERROR(INDEX(Suppliar[Income Distribution (%)],MATCH('Merge operational &amp; suppliar'!A1612,Suppliar[Facility ID],0)),"")</f>
        <v>48.25</v>
      </c>
    </row>
    <row r="1613" spans="1:11" x14ac:dyDescent="0.3">
      <c r="A1613" t="s">
        <v>189</v>
      </c>
      <c r="B1613" t="s">
        <v>19</v>
      </c>
      <c r="C1613" t="s">
        <v>13</v>
      </c>
      <c r="D1613" t="s">
        <v>9</v>
      </c>
      <c r="E1613" t="s">
        <v>15</v>
      </c>
      <c r="F1613">
        <v>3185.28</v>
      </c>
      <c r="G1613">
        <v>27681</v>
      </c>
      <c r="H1613">
        <v>928.26</v>
      </c>
      <c r="I1613">
        <v>44.97</v>
      </c>
      <c r="J1613" t="str">
        <f>IFERROR(INDEX(Suppliar[Estimated Carbon Footprint (tons CO₂e)],MATCH('Merge operational &amp; suppliar'!A1613,Suppliar[Facility ID],0)),"")</f>
        <v/>
      </c>
      <c r="K1613" t="str">
        <f>IFERROR(INDEX(Suppliar[Income Distribution (%)],MATCH('Merge operational &amp; suppliar'!A1613,Suppliar[Facility ID],0)),"")</f>
        <v/>
      </c>
    </row>
    <row r="1614" spans="1:11" x14ac:dyDescent="0.3">
      <c r="A1614" t="s">
        <v>124</v>
      </c>
      <c r="B1614" t="s">
        <v>12</v>
      </c>
      <c r="C1614" t="s">
        <v>34</v>
      </c>
      <c r="D1614" t="s">
        <v>14</v>
      </c>
      <c r="E1614" t="s">
        <v>10</v>
      </c>
      <c r="F1614">
        <v>3081.68</v>
      </c>
      <c r="G1614">
        <v>47491</v>
      </c>
      <c r="H1614">
        <v>5781.05</v>
      </c>
      <c r="I1614">
        <v>92.18</v>
      </c>
      <c r="J1614">
        <f>IFERROR(INDEX(Suppliar[Estimated Carbon Footprint (tons CO₂e)],MATCH('Merge operational &amp; suppliar'!A1614,Suppliar[Facility ID],0)),"")</f>
        <v>344.93</v>
      </c>
      <c r="K1614">
        <f>IFERROR(INDEX(Suppliar[Income Distribution (%)],MATCH('Merge operational &amp; suppliar'!A1614,Suppliar[Facility ID],0)),"")</f>
        <v>36.229999999999997</v>
      </c>
    </row>
    <row r="1615" spans="1:11" x14ac:dyDescent="0.3">
      <c r="A1615" t="s">
        <v>209</v>
      </c>
      <c r="B1615" t="s">
        <v>7</v>
      </c>
      <c r="C1615" t="s">
        <v>13</v>
      </c>
      <c r="D1615" t="s">
        <v>28</v>
      </c>
      <c r="E1615" t="s">
        <v>15</v>
      </c>
      <c r="F1615">
        <v>1531.36</v>
      </c>
      <c r="G1615">
        <v>52357</v>
      </c>
      <c r="H1615">
        <v>5643.16</v>
      </c>
      <c r="I1615">
        <v>37.130000000000003</v>
      </c>
      <c r="J1615">
        <f>IFERROR(INDEX(Suppliar[Estimated Carbon Footprint (tons CO₂e)],MATCH('Merge operational &amp; suppliar'!A1615,Suppliar[Facility ID],0)),"")</f>
        <v>932.3</v>
      </c>
      <c r="K1615">
        <f>IFERROR(INDEX(Suppliar[Income Distribution (%)],MATCH('Merge operational &amp; suppliar'!A1615,Suppliar[Facility ID],0)),"")</f>
        <v>13.43</v>
      </c>
    </row>
    <row r="1616" spans="1:11" x14ac:dyDescent="0.3">
      <c r="A1616" t="s">
        <v>202</v>
      </c>
      <c r="B1616" t="s">
        <v>12</v>
      </c>
      <c r="C1616" t="s">
        <v>34</v>
      </c>
      <c r="D1616" t="s">
        <v>14</v>
      </c>
      <c r="E1616" t="s">
        <v>10</v>
      </c>
      <c r="F1616">
        <v>1564.12</v>
      </c>
      <c r="G1616">
        <v>28400</v>
      </c>
      <c r="H1616">
        <v>3056.67</v>
      </c>
      <c r="I1616">
        <v>52.68</v>
      </c>
      <c r="J1616">
        <f>IFERROR(INDEX(Suppliar[Estimated Carbon Footprint (tons CO₂e)],MATCH('Merge operational &amp; suppliar'!A1616,Suppliar[Facility ID],0)),"")</f>
        <v>571.88</v>
      </c>
      <c r="K1616">
        <f>IFERROR(INDEX(Suppliar[Income Distribution (%)],MATCH('Merge operational &amp; suppliar'!A1616,Suppliar[Facility ID],0)),"")</f>
        <v>8.6199999999999992</v>
      </c>
    </row>
    <row r="1617" spans="1:11" x14ac:dyDescent="0.3">
      <c r="A1617" t="s">
        <v>101</v>
      </c>
      <c r="B1617" t="s">
        <v>19</v>
      </c>
      <c r="C1617" t="s">
        <v>23</v>
      </c>
      <c r="D1617" t="s">
        <v>28</v>
      </c>
      <c r="E1617" t="s">
        <v>10</v>
      </c>
      <c r="F1617">
        <v>3016.94</v>
      </c>
      <c r="G1617">
        <v>39050</v>
      </c>
      <c r="H1617">
        <v>5885.73</v>
      </c>
      <c r="I1617">
        <v>93.04</v>
      </c>
      <c r="J1617">
        <f>IFERROR(INDEX(Suppliar[Estimated Carbon Footprint (tons CO₂e)],MATCH('Merge operational &amp; suppliar'!A1617,Suppliar[Facility ID],0)),"")</f>
        <v>318.55</v>
      </c>
      <c r="K1617">
        <f>IFERROR(INDEX(Suppliar[Income Distribution (%)],MATCH('Merge operational &amp; suppliar'!A1617,Suppliar[Facility ID],0)),"")</f>
        <v>39.81</v>
      </c>
    </row>
    <row r="1618" spans="1:11" x14ac:dyDescent="0.3">
      <c r="A1618" t="s">
        <v>56</v>
      </c>
      <c r="B1618" t="s">
        <v>19</v>
      </c>
      <c r="C1618" t="s">
        <v>34</v>
      </c>
      <c r="D1618" t="s">
        <v>9</v>
      </c>
      <c r="E1618" t="s">
        <v>15</v>
      </c>
      <c r="F1618">
        <v>3853.19</v>
      </c>
      <c r="G1618">
        <v>43747</v>
      </c>
      <c r="H1618">
        <v>3453.48</v>
      </c>
      <c r="I1618">
        <v>98.78</v>
      </c>
      <c r="J1618">
        <f>IFERROR(INDEX(Suppliar[Estimated Carbon Footprint (tons CO₂e)],MATCH('Merge operational &amp; suppliar'!A1618,Suppliar[Facility ID],0)),"")</f>
        <v>459.56</v>
      </c>
      <c r="K1618">
        <f>IFERROR(INDEX(Suppliar[Income Distribution (%)],MATCH('Merge operational &amp; suppliar'!A1618,Suppliar[Facility ID],0)),"")</f>
        <v>23.81</v>
      </c>
    </row>
    <row r="1619" spans="1:11" x14ac:dyDescent="0.3">
      <c r="A1619" t="s">
        <v>171</v>
      </c>
      <c r="B1619" t="s">
        <v>17</v>
      </c>
      <c r="C1619" t="s">
        <v>23</v>
      </c>
      <c r="D1619" t="s">
        <v>28</v>
      </c>
      <c r="E1619" t="s">
        <v>10</v>
      </c>
      <c r="F1619">
        <v>459.36</v>
      </c>
      <c r="G1619">
        <v>24502</v>
      </c>
      <c r="H1619">
        <v>7466.86</v>
      </c>
      <c r="I1619">
        <v>88.83</v>
      </c>
      <c r="J1619">
        <f>IFERROR(INDEX(Suppliar[Estimated Carbon Footprint (tons CO₂e)],MATCH('Merge operational &amp; suppliar'!A1619,Suppliar[Facility ID],0)),"")</f>
        <v>847.51</v>
      </c>
      <c r="K1619">
        <f>IFERROR(INDEX(Suppliar[Income Distribution (%)],MATCH('Merge operational &amp; suppliar'!A1619,Suppliar[Facility ID],0)),"")</f>
        <v>26.48</v>
      </c>
    </row>
    <row r="1620" spans="1:11" x14ac:dyDescent="0.3">
      <c r="A1620" t="s">
        <v>216</v>
      </c>
      <c r="B1620" t="s">
        <v>17</v>
      </c>
      <c r="C1620" t="s">
        <v>23</v>
      </c>
      <c r="D1620" t="s">
        <v>14</v>
      </c>
      <c r="E1620" t="s">
        <v>15</v>
      </c>
      <c r="F1620">
        <v>2792.22</v>
      </c>
      <c r="G1620">
        <v>13302</v>
      </c>
      <c r="H1620">
        <v>821.51</v>
      </c>
      <c r="I1620">
        <v>69.599999999999994</v>
      </c>
      <c r="J1620">
        <f>IFERROR(INDEX(Suppliar[Estimated Carbon Footprint (tons CO₂e)],MATCH('Merge operational &amp; suppliar'!A1620,Suppliar[Facility ID],0)),"")</f>
        <v>795.74</v>
      </c>
      <c r="K1620">
        <f>IFERROR(INDEX(Suppliar[Income Distribution (%)],MATCH('Merge operational &amp; suppliar'!A1620,Suppliar[Facility ID],0)),"")</f>
        <v>9.39</v>
      </c>
    </row>
    <row r="1621" spans="1:11" x14ac:dyDescent="0.3">
      <c r="A1621" t="s">
        <v>53</v>
      </c>
      <c r="B1621" t="s">
        <v>7</v>
      </c>
      <c r="C1621" t="s">
        <v>34</v>
      </c>
      <c r="D1621" t="s">
        <v>28</v>
      </c>
      <c r="E1621" t="s">
        <v>15</v>
      </c>
      <c r="F1621">
        <v>4129.93</v>
      </c>
      <c r="G1621">
        <v>90632</v>
      </c>
      <c r="H1621">
        <v>5292.17</v>
      </c>
      <c r="I1621">
        <v>78.45</v>
      </c>
      <c r="J1621">
        <f>IFERROR(INDEX(Suppliar[Estimated Carbon Footprint (tons CO₂e)],MATCH('Merge operational &amp; suppliar'!A1621,Suppliar[Facility ID],0)),"")</f>
        <v>571.88</v>
      </c>
      <c r="K1621">
        <f>IFERROR(INDEX(Suppliar[Income Distribution (%)],MATCH('Merge operational &amp; suppliar'!A1621,Suppliar[Facility ID],0)),"")</f>
        <v>20.93</v>
      </c>
    </row>
    <row r="1622" spans="1:11" x14ac:dyDescent="0.3">
      <c r="A1622" t="s">
        <v>192</v>
      </c>
      <c r="B1622" t="s">
        <v>19</v>
      </c>
      <c r="C1622" t="s">
        <v>34</v>
      </c>
      <c r="D1622" t="s">
        <v>28</v>
      </c>
      <c r="E1622" t="s">
        <v>15</v>
      </c>
      <c r="F1622">
        <v>2515.67</v>
      </c>
      <c r="G1622">
        <v>43227</v>
      </c>
      <c r="H1622">
        <v>5199.53</v>
      </c>
      <c r="I1622">
        <v>44.09</v>
      </c>
      <c r="J1622">
        <f>IFERROR(INDEX(Suppliar[Estimated Carbon Footprint (tons CO₂e)],MATCH('Merge operational &amp; suppliar'!A1622,Suppliar[Facility ID],0)),"")</f>
        <v>724.63</v>
      </c>
      <c r="K1622">
        <f>IFERROR(INDEX(Suppliar[Income Distribution (%)],MATCH('Merge operational &amp; suppliar'!A1622,Suppliar[Facility ID],0)),"")</f>
        <v>14.96</v>
      </c>
    </row>
    <row r="1623" spans="1:11" x14ac:dyDescent="0.3">
      <c r="A1623" t="s">
        <v>37</v>
      </c>
      <c r="B1623" t="s">
        <v>17</v>
      </c>
      <c r="C1623" t="s">
        <v>13</v>
      </c>
      <c r="D1623" t="s">
        <v>9</v>
      </c>
      <c r="E1623" t="s">
        <v>10</v>
      </c>
      <c r="F1623">
        <v>1577.95</v>
      </c>
      <c r="G1623">
        <v>71747</v>
      </c>
      <c r="H1623">
        <v>9838.66</v>
      </c>
      <c r="I1623">
        <v>7.25</v>
      </c>
      <c r="J1623">
        <f>IFERROR(INDEX(Suppliar[Estimated Carbon Footprint (tons CO₂e)],MATCH('Merge operational &amp; suppliar'!A1623,Suppliar[Facility ID],0)),"")</f>
        <v>224.5</v>
      </c>
      <c r="K1623">
        <f>IFERROR(INDEX(Suppliar[Income Distribution (%)],MATCH('Merge operational &amp; suppliar'!A1623,Suppliar[Facility ID],0)),"")</f>
        <v>39.29</v>
      </c>
    </row>
    <row r="1624" spans="1:11" x14ac:dyDescent="0.3">
      <c r="A1624" t="s">
        <v>102</v>
      </c>
      <c r="B1624" t="s">
        <v>19</v>
      </c>
      <c r="C1624" t="s">
        <v>13</v>
      </c>
      <c r="D1624" t="s">
        <v>9</v>
      </c>
      <c r="E1624" t="s">
        <v>24</v>
      </c>
      <c r="F1624">
        <v>4224.2</v>
      </c>
      <c r="G1624">
        <v>86263</v>
      </c>
      <c r="H1624">
        <v>3213.71</v>
      </c>
      <c r="I1624">
        <v>98.39</v>
      </c>
      <c r="J1624">
        <f>IFERROR(INDEX(Suppliar[Estimated Carbon Footprint (tons CO₂e)],MATCH('Merge operational &amp; suppliar'!A1624,Suppliar[Facility ID],0)),"")</f>
        <v>662.74</v>
      </c>
      <c r="K1624">
        <f>IFERROR(INDEX(Suppliar[Income Distribution (%)],MATCH('Merge operational &amp; suppliar'!A1624,Suppliar[Facility ID],0)),"")</f>
        <v>20.66</v>
      </c>
    </row>
    <row r="1625" spans="1:11" x14ac:dyDescent="0.3">
      <c r="A1625" t="s">
        <v>101</v>
      </c>
      <c r="B1625" t="s">
        <v>19</v>
      </c>
      <c r="C1625" t="s">
        <v>23</v>
      </c>
      <c r="D1625" t="s">
        <v>9</v>
      </c>
      <c r="E1625" t="s">
        <v>24</v>
      </c>
      <c r="F1625">
        <v>4932.3999999999996</v>
      </c>
      <c r="G1625">
        <v>39050</v>
      </c>
      <c r="H1625">
        <v>5885.73</v>
      </c>
      <c r="I1625">
        <v>93.04</v>
      </c>
      <c r="J1625">
        <f>IFERROR(INDEX(Suppliar[Estimated Carbon Footprint (tons CO₂e)],MATCH('Merge operational &amp; suppliar'!A1625,Suppliar[Facility ID],0)),"")</f>
        <v>318.55</v>
      </c>
      <c r="K1625">
        <f>IFERROR(INDEX(Suppliar[Income Distribution (%)],MATCH('Merge operational &amp; suppliar'!A1625,Suppliar[Facility ID],0)),"")</f>
        <v>39.81</v>
      </c>
    </row>
    <row r="1626" spans="1:11" x14ac:dyDescent="0.3">
      <c r="A1626" t="s">
        <v>212</v>
      </c>
      <c r="B1626" t="s">
        <v>7</v>
      </c>
      <c r="C1626" t="s">
        <v>13</v>
      </c>
      <c r="D1626" t="s">
        <v>28</v>
      </c>
      <c r="E1626" t="s">
        <v>10</v>
      </c>
      <c r="F1626">
        <v>1505.22</v>
      </c>
      <c r="G1626">
        <v>67820</v>
      </c>
      <c r="H1626">
        <v>8177.95</v>
      </c>
      <c r="I1626">
        <v>40.69</v>
      </c>
      <c r="J1626">
        <f>IFERROR(INDEX(Suppliar[Estimated Carbon Footprint (tons CO₂e)],MATCH('Merge operational &amp; suppliar'!A1626,Suppliar[Facility ID],0)),"")</f>
        <v>790.74</v>
      </c>
      <c r="K1626">
        <f>IFERROR(INDEX(Suppliar[Income Distribution (%)],MATCH('Merge operational &amp; suppliar'!A1626,Suppliar[Facility ID],0)),"")</f>
        <v>15.94</v>
      </c>
    </row>
    <row r="1627" spans="1:11" x14ac:dyDescent="0.3">
      <c r="A1627" t="s">
        <v>141</v>
      </c>
      <c r="B1627" t="s">
        <v>7</v>
      </c>
      <c r="C1627" t="s">
        <v>23</v>
      </c>
      <c r="D1627" t="s">
        <v>9</v>
      </c>
      <c r="E1627" t="s">
        <v>15</v>
      </c>
      <c r="F1627">
        <v>2186.84</v>
      </c>
      <c r="G1627">
        <v>45644</v>
      </c>
      <c r="H1627">
        <v>7724.73</v>
      </c>
      <c r="I1627">
        <v>31</v>
      </c>
      <c r="J1627">
        <f>IFERROR(INDEX(Suppliar[Estimated Carbon Footprint (tons CO₂e)],MATCH('Merge operational &amp; suppliar'!A1627,Suppliar[Facility ID],0)),"")</f>
        <v>685.27</v>
      </c>
      <c r="K1627">
        <f>IFERROR(INDEX(Suppliar[Income Distribution (%)],MATCH('Merge operational &amp; suppliar'!A1627,Suppliar[Facility ID],0)),"")</f>
        <v>33.94</v>
      </c>
    </row>
    <row r="1628" spans="1:11" x14ac:dyDescent="0.3">
      <c r="A1628" t="s">
        <v>165</v>
      </c>
      <c r="B1628" t="s">
        <v>7</v>
      </c>
      <c r="C1628" t="s">
        <v>13</v>
      </c>
      <c r="D1628" t="s">
        <v>14</v>
      </c>
      <c r="E1628" t="s">
        <v>10</v>
      </c>
      <c r="F1628">
        <v>1236.5999999999999</v>
      </c>
      <c r="G1628">
        <v>32991</v>
      </c>
      <c r="H1628">
        <v>8540.14</v>
      </c>
      <c r="I1628">
        <v>37.75</v>
      </c>
      <c r="J1628">
        <f>IFERROR(INDEX(Suppliar[Estimated Carbon Footprint (tons CO₂e)],MATCH('Merge operational &amp; suppliar'!A1628,Suppliar[Facility ID],0)),"")</f>
        <v>268.16000000000003</v>
      </c>
      <c r="K1628">
        <f>IFERROR(INDEX(Suppliar[Income Distribution (%)],MATCH('Merge operational &amp; suppliar'!A1628,Suppliar[Facility ID],0)),"")</f>
        <v>9.08</v>
      </c>
    </row>
    <row r="1629" spans="1:11" x14ac:dyDescent="0.3">
      <c r="A1629" t="s">
        <v>169</v>
      </c>
      <c r="B1629" t="s">
        <v>12</v>
      </c>
      <c r="C1629" t="s">
        <v>34</v>
      </c>
      <c r="D1629" t="s">
        <v>14</v>
      </c>
      <c r="E1629" t="s">
        <v>10</v>
      </c>
      <c r="F1629">
        <v>950.62</v>
      </c>
      <c r="G1629">
        <v>82377</v>
      </c>
      <c r="H1629">
        <v>7974.74</v>
      </c>
      <c r="I1629">
        <v>9.17</v>
      </c>
      <c r="J1629" t="str">
        <f>IFERROR(INDEX(Suppliar[Estimated Carbon Footprint (tons CO₂e)],MATCH('Merge operational &amp; suppliar'!A1629,Suppliar[Facility ID],0)),"")</f>
        <v/>
      </c>
      <c r="K1629" t="str">
        <f>IFERROR(INDEX(Suppliar[Income Distribution (%)],MATCH('Merge operational &amp; suppliar'!A1629,Suppliar[Facility ID],0)),"")</f>
        <v/>
      </c>
    </row>
    <row r="1630" spans="1:11" x14ac:dyDescent="0.3">
      <c r="A1630" t="s">
        <v>212</v>
      </c>
      <c r="B1630" t="s">
        <v>7</v>
      </c>
      <c r="C1630" t="s">
        <v>34</v>
      </c>
      <c r="D1630" t="s">
        <v>9</v>
      </c>
      <c r="E1630" t="s">
        <v>10</v>
      </c>
      <c r="F1630">
        <v>1417.73</v>
      </c>
      <c r="G1630">
        <v>67820</v>
      </c>
      <c r="H1630">
        <v>8177.95</v>
      </c>
      <c r="I1630">
        <v>40.69</v>
      </c>
      <c r="J1630">
        <f>IFERROR(INDEX(Suppliar[Estimated Carbon Footprint (tons CO₂e)],MATCH('Merge operational &amp; suppliar'!A1630,Suppliar[Facility ID],0)),"")</f>
        <v>790.74</v>
      </c>
      <c r="K1630">
        <f>IFERROR(INDEX(Suppliar[Income Distribution (%)],MATCH('Merge operational &amp; suppliar'!A1630,Suppliar[Facility ID],0)),"")</f>
        <v>15.94</v>
      </c>
    </row>
    <row r="1631" spans="1:11" x14ac:dyDescent="0.3">
      <c r="A1631" t="s">
        <v>153</v>
      </c>
      <c r="B1631" t="s">
        <v>7</v>
      </c>
      <c r="C1631" t="s">
        <v>8</v>
      </c>
      <c r="D1631" t="s">
        <v>14</v>
      </c>
      <c r="E1631" t="s">
        <v>10</v>
      </c>
      <c r="F1631">
        <v>1840.6</v>
      </c>
      <c r="G1631">
        <v>21388</v>
      </c>
      <c r="H1631">
        <v>5249.39</v>
      </c>
      <c r="I1631">
        <v>64.2</v>
      </c>
      <c r="J1631">
        <f>IFERROR(INDEX(Suppliar[Estimated Carbon Footprint (tons CO₂e)],MATCH('Merge operational &amp; suppliar'!A1631,Suppliar[Facility ID],0)),"")</f>
        <v>571.66</v>
      </c>
      <c r="K1631">
        <f>IFERROR(INDEX(Suppliar[Income Distribution (%)],MATCH('Merge operational &amp; suppliar'!A1631,Suppliar[Facility ID],0)),"")</f>
        <v>17.87</v>
      </c>
    </row>
    <row r="1632" spans="1:11" x14ac:dyDescent="0.3">
      <c r="A1632" t="s">
        <v>91</v>
      </c>
      <c r="B1632" t="s">
        <v>30</v>
      </c>
      <c r="C1632" t="s">
        <v>34</v>
      </c>
      <c r="D1632" t="s">
        <v>28</v>
      </c>
      <c r="E1632" t="s">
        <v>15</v>
      </c>
      <c r="F1632">
        <v>136.41</v>
      </c>
      <c r="G1632">
        <v>20207</v>
      </c>
      <c r="H1632">
        <v>5369.46</v>
      </c>
      <c r="I1632">
        <v>57.51</v>
      </c>
      <c r="J1632">
        <f>IFERROR(INDEX(Suppliar[Estimated Carbon Footprint (tons CO₂e)],MATCH('Merge operational &amp; suppliar'!A1632,Suppliar[Facility ID],0)),"")</f>
        <v>847.51</v>
      </c>
      <c r="K1632">
        <f>IFERROR(INDEX(Suppliar[Income Distribution (%)],MATCH('Merge operational &amp; suppliar'!A1632,Suppliar[Facility ID],0)),"")</f>
        <v>28.45</v>
      </c>
    </row>
    <row r="1633" spans="1:11" x14ac:dyDescent="0.3">
      <c r="A1633" t="s">
        <v>39</v>
      </c>
      <c r="B1633" t="s">
        <v>7</v>
      </c>
      <c r="C1633" t="s">
        <v>23</v>
      </c>
      <c r="D1633" t="s">
        <v>14</v>
      </c>
      <c r="E1633" t="s">
        <v>24</v>
      </c>
      <c r="F1633">
        <v>2167.6999999999998</v>
      </c>
      <c r="G1633">
        <v>80904</v>
      </c>
      <c r="H1633">
        <v>3263.09</v>
      </c>
      <c r="I1633">
        <v>58.37</v>
      </c>
      <c r="J1633">
        <f>IFERROR(INDEX(Suppliar[Estimated Carbon Footprint (tons CO₂e)],MATCH('Merge operational &amp; suppliar'!A1633,Suppliar[Facility ID],0)),"")</f>
        <v>756.78</v>
      </c>
      <c r="K1633">
        <f>IFERROR(INDEX(Suppliar[Income Distribution (%)],MATCH('Merge operational &amp; suppliar'!A1633,Suppliar[Facility ID],0)),"")</f>
        <v>35.950000000000003</v>
      </c>
    </row>
    <row r="1634" spans="1:11" x14ac:dyDescent="0.3">
      <c r="A1634" t="s">
        <v>68</v>
      </c>
      <c r="B1634" t="s">
        <v>12</v>
      </c>
      <c r="C1634" t="s">
        <v>13</v>
      </c>
      <c r="D1634" t="s">
        <v>28</v>
      </c>
      <c r="E1634" t="s">
        <v>24</v>
      </c>
      <c r="F1634">
        <v>3755.45</v>
      </c>
      <c r="G1634">
        <v>69100</v>
      </c>
      <c r="H1634">
        <v>9356.02</v>
      </c>
      <c r="I1634">
        <v>16.5</v>
      </c>
      <c r="J1634">
        <f>IFERROR(INDEX(Suppliar[Estimated Carbon Footprint (tons CO₂e)],MATCH('Merge operational &amp; suppliar'!A1634,Suppliar[Facility ID],0)),"")</f>
        <v>694.92</v>
      </c>
      <c r="K1634">
        <f>IFERROR(INDEX(Suppliar[Income Distribution (%)],MATCH('Merge operational &amp; suppliar'!A1634,Suppliar[Facility ID],0)),"")</f>
        <v>23.67</v>
      </c>
    </row>
    <row r="1635" spans="1:11" x14ac:dyDescent="0.3">
      <c r="A1635" t="s">
        <v>110</v>
      </c>
      <c r="B1635" t="s">
        <v>12</v>
      </c>
      <c r="C1635" t="s">
        <v>13</v>
      </c>
      <c r="D1635" t="s">
        <v>28</v>
      </c>
      <c r="E1635" t="s">
        <v>10</v>
      </c>
      <c r="F1635">
        <v>1313.84</v>
      </c>
      <c r="G1635">
        <v>70481</v>
      </c>
      <c r="H1635">
        <v>4452.83</v>
      </c>
      <c r="I1635">
        <v>91.26</v>
      </c>
      <c r="J1635" t="str">
        <f>IFERROR(INDEX(Suppliar[Estimated Carbon Footprint (tons CO₂e)],MATCH('Merge operational &amp; suppliar'!A1635,Suppliar[Facility ID],0)),"")</f>
        <v/>
      </c>
      <c r="K1635" t="str">
        <f>IFERROR(INDEX(Suppliar[Income Distribution (%)],MATCH('Merge operational &amp; suppliar'!A1635,Suppliar[Facility ID],0)),"")</f>
        <v/>
      </c>
    </row>
    <row r="1636" spans="1:11" x14ac:dyDescent="0.3">
      <c r="A1636" t="s">
        <v>142</v>
      </c>
      <c r="B1636" t="s">
        <v>17</v>
      </c>
      <c r="C1636" t="s">
        <v>13</v>
      </c>
      <c r="D1636" t="s">
        <v>9</v>
      </c>
      <c r="E1636" t="s">
        <v>10</v>
      </c>
      <c r="F1636">
        <v>460.08</v>
      </c>
      <c r="G1636">
        <v>75736</v>
      </c>
      <c r="H1636">
        <v>6287.07</v>
      </c>
      <c r="I1636">
        <v>63.11</v>
      </c>
      <c r="J1636">
        <f>IFERROR(INDEX(Suppliar[Estimated Carbon Footprint (tons CO₂e)],MATCH('Merge operational &amp; suppliar'!A1636,Suppliar[Facility ID],0)),"")</f>
        <v>851.48</v>
      </c>
      <c r="K1636">
        <f>IFERROR(INDEX(Suppliar[Income Distribution (%)],MATCH('Merge operational &amp; suppliar'!A1636,Suppliar[Facility ID],0)),"")</f>
        <v>25.39</v>
      </c>
    </row>
    <row r="1637" spans="1:11" x14ac:dyDescent="0.3">
      <c r="A1637" t="s">
        <v>181</v>
      </c>
      <c r="B1637" t="s">
        <v>30</v>
      </c>
      <c r="C1637" t="s">
        <v>13</v>
      </c>
      <c r="D1637" t="s">
        <v>9</v>
      </c>
      <c r="E1637" t="s">
        <v>24</v>
      </c>
      <c r="F1637">
        <v>2230.08</v>
      </c>
      <c r="G1637">
        <v>28704</v>
      </c>
      <c r="H1637">
        <v>6009.24</v>
      </c>
      <c r="I1637">
        <v>39.31</v>
      </c>
      <c r="J1637">
        <f>IFERROR(INDEX(Suppliar[Estimated Carbon Footprint (tons CO₂e)],MATCH('Merge operational &amp; suppliar'!A1637,Suppliar[Facility ID],0)),"")</f>
        <v>479.41</v>
      </c>
      <c r="K1637">
        <f>IFERROR(INDEX(Suppliar[Income Distribution (%)],MATCH('Merge operational &amp; suppliar'!A1637,Suppliar[Facility ID],0)),"")</f>
        <v>19.7</v>
      </c>
    </row>
    <row r="1638" spans="1:11" x14ac:dyDescent="0.3">
      <c r="A1638" t="s">
        <v>21</v>
      </c>
      <c r="B1638" t="s">
        <v>19</v>
      </c>
      <c r="C1638" t="s">
        <v>8</v>
      </c>
      <c r="D1638" t="s">
        <v>14</v>
      </c>
      <c r="E1638" t="s">
        <v>24</v>
      </c>
      <c r="F1638">
        <v>324.83</v>
      </c>
      <c r="G1638">
        <v>61157</v>
      </c>
      <c r="H1638">
        <v>7331.54</v>
      </c>
      <c r="I1638">
        <v>55.52</v>
      </c>
      <c r="J1638">
        <f>IFERROR(INDEX(Suppliar[Estimated Carbon Footprint (tons CO₂e)],MATCH('Merge operational &amp; suppliar'!A1638,Suppliar[Facility ID],0)),"")</f>
        <v>783.77</v>
      </c>
      <c r="K1638">
        <f>IFERROR(INDEX(Suppliar[Income Distribution (%)],MATCH('Merge operational &amp; suppliar'!A1638,Suppliar[Facility ID],0)),"")</f>
        <v>31.59</v>
      </c>
    </row>
    <row r="1639" spans="1:11" x14ac:dyDescent="0.3">
      <c r="A1639" t="s">
        <v>218</v>
      </c>
      <c r="B1639" t="s">
        <v>17</v>
      </c>
      <c r="C1639" t="s">
        <v>23</v>
      </c>
      <c r="D1639" t="s">
        <v>9</v>
      </c>
      <c r="E1639" t="s">
        <v>10</v>
      </c>
      <c r="F1639">
        <v>621.27</v>
      </c>
      <c r="G1639">
        <v>22525</v>
      </c>
      <c r="H1639">
        <v>9465.65</v>
      </c>
      <c r="I1639">
        <v>37.79</v>
      </c>
      <c r="J1639">
        <f>IFERROR(INDEX(Suppliar[Estimated Carbon Footprint (tons CO₂e)],MATCH('Merge operational &amp; suppliar'!A1639,Suppliar[Facility ID],0)),"")</f>
        <v>472.66</v>
      </c>
      <c r="K1639">
        <f>IFERROR(INDEX(Suppliar[Income Distribution (%)],MATCH('Merge operational &amp; suppliar'!A1639,Suppliar[Facility ID],0)),"")</f>
        <v>55.03</v>
      </c>
    </row>
    <row r="1640" spans="1:11" x14ac:dyDescent="0.3">
      <c r="A1640" t="s">
        <v>187</v>
      </c>
      <c r="B1640" t="s">
        <v>19</v>
      </c>
      <c r="C1640" t="s">
        <v>23</v>
      </c>
      <c r="D1640" t="s">
        <v>28</v>
      </c>
      <c r="E1640" t="s">
        <v>10</v>
      </c>
      <c r="F1640">
        <v>1054.75</v>
      </c>
      <c r="G1640">
        <v>94861</v>
      </c>
      <c r="H1640">
        <v>8363.57</v>
      </c>
      <c r="I1640">
        <v>90.29</v>
      </c>
      <c r="J1640">
        <f>IFERROR(INDEX(Suppliar[Estimated Carbon Footprint (tons CO₂e)],MATCH('Merge operational &amp; suppliar'!A1640,Suppliar[Facility ID],0)),"")</f>
        <v>289.77</v>
      </c>
      <c r="K1640">
        <f>IFERROR(INDEX(Suppliar[Income Distribution (%)],MATCH('Merge operational &amp; suppliar'!A1640,Suppliar[Facility ID],0)),"")</f>
        <v>11.3</v>
      </c>
    </row>
    <row r="1641" spans="1:11" x14ac:dyDescent="0.3">
      <c r="A1641" t="s">
        <v>100</v>
      </c>
      <c r="B1641" t="s">
        <v>7</v>
      </c>
      <c r="C1641" t="s">
        <v>13</v>
      </c>
      <c r="D1641" t="s">
        <v>9</v>
      </c>
      <c r="E1641" t="s">
        <v>15</v>
      </c>
      <c r="F1641">
        <v>5086.7299999999996</v>
      </c>
      <c r="G1641">
        <v>17468</v>
      </c>
      <c r="H1641">
        <v>6359.73</v>
      </c>
      <c r="I1641">
        <v>5.22</v>
      </c>
      <c r="J1641">
        <f>IFERROR(INDEX(Suppliar[Estimated Carbon Footprint (tons CO₂e)],MATCH('Merge operational &amp; suppliar'!A1641,Suppliar[Facility ID],0)),"")</f>
        <v>959.2</v>
      </c>
      <c r="K1641">
        <f>IFERROR(INDEX(Suppliar[Income Distribution (%)],MATCH('Merge operational &amp; suppliar'!A1641,Suppliar[Facility ID],0)),"")</f>
        <v>36.92</v>
      </c>
    </row>
    <row r="1642" spans="1:11" x14ac:dyDescent="0.3">
      <c r="A1642" t="s">
        <v>206</v>
      </c>
      <c r="B1642" t="s">
        <v>19</v>
      </c>
      <c r="C1642" t="s">
        <v>23</v>
      </c>
      <c r="D1642" t="s">
        <v>28</v>
      </c>
      <c r="E1642" t="s">
        <v>24</v>
      </c>
      <c r="F1642">
        <v>733.07</v>
      </c>
      <c r="G1642">
        <v>10250</v>
      </c>
      <c r="H1642">
        <v>4717</v>
      </c>
      <c r="I1642">
        <v>16.600000000000001</v>
      </c>
      <c r="J1642">
        <f>IFERROR(INDEX(Suppliar[Estimated Carbon Footprint (tons CO₂e)],MATCH('Merge operational &amp; suppliar'!A1642,Suppliar[Facility ID],0)),"")</f>
        <v>249.3</v>
      </c>
      <c r="K1642">
        <f>IFERROR(INDEX(Suppliar[Income Distribution (%)],MATCH('Merge operational &amp; suppliar'!A1642,Suppliar[Facility ID],0)),"")</f>
        <v>32.97</v>
      </c>
    </row>
    <row r="1643" spans="1:11" x14ac:dyDescent="0.3">
      <c r="A1643" t="s">
        <v>108</v>
      </c>
      <c r="B1643" t="s">
        <v>7</v>
      </c>
      <c r="C1643" t="s">
        <v>13</v>
      </c>
      <c r="D1643" t="s">
        <v>14</v>
      </c>
      <c r="E1643" t="s">
        <v>24</v>
      </c>
      <c r="F1643">
        <v>4608.12</v>
      </c>
      <c r="G1643">
        <v>22201</v>
      </c>
      <c r="H1643">
        <v>2853.66</v>
      </c>
      <c r="I1643">
        <v>71.94</v>
      </c>
      <c r="J1643">
        <f>IFERROR(INDEX(Suppliar[Estimated Carbon Footprint (tons CO₂e)],MATCH('Merge operational &amp; suppliar'!A1643,Suppliar[Facility ID],0)),"")</f>
        <v>991.03</v>
      </c>
      <c r="K1643">
        <f>IFERROR(INDEX(Suppliar[Income Distribution (%)],MATCH('Merge operational &amp; suppliar'!A1643,Suppliar[Facility ID],0)),"")</f>
        <v>21.4</v>
      </c>
    </row>
    <row r="1644" spans="1:11" x14ac:dyDescent="0.3">
      <c r="A1644" t="s">
        <v>44</v>
      </c>
      <c r="B1644" t="s">
        <v>19</v>
      </c>
      <c r="C1644" t="s">
        <v>23</v>
      </c>
      <c r="D1644" t="s">
        <v>28</v>
      </c>
      <c r="E1644" t="s">
        <v>10</v>
      </c>
      <c r="F1644">
        <v>3092.45</v>
      </c>
      <c r="G1644">
        <v>16256</v>
      </c>
      <c r="H1644">
        <v>2127.1799999999998</v>
      </c>
      <c r="I1644">
        <v>38.94</v>
      </c>
      <c r="J1644">
        <f>IFERROR(INDEX(Suppliar[Estimated Carbon Footprint (tons CO₂e)],MATCH('Merge operational &amp; suppliar'!A1644,Suppliar[Facility ID],0)),"")</f>
        <v>796.34</v>
      </c>
      <c r="K1644">
        <f>IFERROR(INDEX(Suppliar[Income Distribution (%)],MATCH('Merge operational &amp; suppliar'!A1644,Suppliar[Facility ID],0)),"")</f>
        <v>66.41</v>
      </c>
    </row>
    <row r="1645" spans="1:11" x14ac:dyDescent="0.3">
      <c r="A1645" t="s">
        <v>61</v>
      </c>
      <c r="B1645" t="s">
        <v>30</v>
      </c>
      <c r="C1645" t="s">
        <v>34</v>
      </c>
      <c r="D1645" t="s">
        <v>14</v>
      </c>
      <c r="E1645" t="s">
        <v>15</v>
      </c>
      <c r="F1645">
        <v>824.2</v>
      </c>
      <c r="G1645">
        <v>95718</v>
      </c>
      <c r="H1645">
        <v>2443.12</v>
      </c>
      <c r="I1645">
        <v>35.49</v>
      </c>
      <c r="J1645">
        <f>IFERROR(INDEX(Suppliar[Estimated Carbon Footprint (tons CO₂e)],MATCH('Merge operational &amp; suppliar'!A1645,Suppliar[Facility ID],0)),"")</f>
        <v>818.45</v>
      </c>
      <c r="K1645">
        <f>IFERROR(INDEX(Suppliar[Income Distribution (%)],MATCH('Merge operational &amp; suppliar'!A1645,Suppliar[Facility ID],0)),"")</f>
        <v>9.9499999999999993</v>
      </c>
    </row>
    <row r="1646" spans="1:11" x14ac:dyDescent="0.3">
      <c r="A1646" t="s">
        <v>58</v>
      </c>
      <c r="B1646" t="s">
        <v>17</v>
      </c>
      <c r="C1646" t="s">
        <v>8</v>
      </c>
      <c r="D1646" t="s">
        <v>28</v>
      </c>
      <c r="E1646" t="s">
        <v>10</v>
      </c>
      <c r="F1646">
        <v>1816.62</v>
      </c>
      <c r="G1646">
        <v>32246</v>
      </c>
      <c r="H1646">
        <v>7903.93</v>
      </c>
      <c r="I1646">
        <v>42.12</v>
      </c>
      <c r="J1646">
        <f>IFERROR(INDEX(Suppliar[Estimated Carbon Footprint (tons CO₂e)],MATCH('Merge operational &amp; suppliar'!A1646,Suppliar[Facility ID],0)),"")</f>
        <v>459.56</v>
      </c>
      <c r="K1646">
        <f>IFERROR(INDEX(Suppliar[Income Distribution (%)],MATCH('Merge operational &amp; suppliar'!A1646,Suppliar[Facility ID],0)),"")</f>
        <v>28.62</v>
      </c>
    </row>
    <row r="1647" spans="1:11" x14ac:dyDescent="0.3">
      <c r="A1647" t="s">
        <v>142</v>
      </c>
      <c r="B1647" t="s">
        <v>17</v>
      </c>
      <c r="C1647" t="s">
        <v>13</v>
      </c>
      <c r="D1647" t="s">
        <v>9</v>
      </c>
      <c r="E1647" t="s">
        <v>15</v>
      </c>
      <c r="F1647">
        <v>1750.32</v>
      </c>
      <c r="G1647">
        <v>75736</v>
      </c>
      <c r="H1647">
        <v>6287.07</v>
      </c>
      <c r="I1647">
        <v>63.11</v>
      </c>
      <c r="J1647">
        <f>IFERROR(INDEX(Suppliar[Estimated Carbon Footprint (tons CO₂e)],MATCH('Merge operational &amp; suppliar'!A1647,Suppliar[Facility ID],0)),"")</f>
        <v>851.48</v>
      </c>
      <c r="K1647">
        <f>IFERROR(INDEX(Suppliar[Income Distribution (%)],MATCH('Merge operational &amp; suppliar'!A1647,Suppliar[Facility ID],0)),"")</f>
        <v>25.39</v>
      </c>
    </row>
    <row r="1648" spans="1:11" x14ac:dyDescent="0.3">
      <c r="A1648" t="s">
        <v>183</v>
      </c>
      <c r="B1648" t="s">
        <v>7</v>
      </c>
      <c r="C1648" t="s">
        <v>13</v>
      </c>
      <c r="D1648" t="s">
        <v>9</v>
      </c>
      <c r="E1648" t="s">
        <v>10</v>
      </c>
      <c r="F1648">
        <v>4387.17</v>
      </c>
      <c r="G1648">
        <v>14009</v>
      </c>
      <c r="H1648">
        <v>7528.98</v>
      </c>
      <c r="I1648">
        <v>77.62</v>
      </c>
      <c r="J1648">
        <f>IFERROR(INDEX(Suppliar[Estimated Carbon Footprint (tons CO₂e)],MATCH('Merge operational &amp; suppliar'!A1648,Suppliar[Facility ID],0)),"")</f>
        <v>763.97</v>
      </c>
      <c r="K1648">
        <f>IFERROR(INDEX(Suppliar[Income Distribution (%)],MATCH('Merge operational &amp; suppliar'!A1648,Suppliar[Facility ID],0)),"")</f>
        <v>24.91</v>
      </c>
    </row>
    <row r="1649" spans="1:11" x14ac:dyDescent="0.3">
      <c r="A1649" t="s">
        <v>219</v>
      </c>
      <c r="B1649" t="s">
        <v>12</v>
      </c>
      <c r="C1649" t="s">
        <v>23</v>
      </c>
      <c r="D1649" t="s">
        <v>28</v>
      </c>
      <c r="E1649" t="s">
        <v>24</v>
      </c>
      <c r="F1649">
        <v>3959.46</v>
      </c>
      <c r="G1649">
        <v>84524</v>
      </c>
      <c r="H1649">
        <v>9350.11</v>
      </c>
      <c r="I1649">
        <v>27.53</v>
      </c>
      <c r="J1649">
        <f>IFERROR(INDEX(Suppliar[Estimated Carbon Footprint (tons CO₂e)],MATCH('Merge operational &amp; suppliar'!A1649,Suppliar[Facility ID],0)),"")</f>
        <v>795.74</v>
      </c>
      <c r="K1649">
        <f>IFERROR(INDEX(Suppliar[Income Distribution (%)],MATCH('Merge operational &amp; suppliar'!A1649,Suppliar[Facility ID],0)),"")</f>
        <v>18.73</v>
      </c>
    </row>
    <row r="1650" spans="1:11" x14ac:dyDescent="0.3">
      <c r="A1650" t="s">
        <v>38</v>
      </c>
      <c r="B1650" t="s">
        <v>30</v>
      </c>
      <c r="C1650" t="s">
        <v>23</v>
      </c>
      <c r="D1650" t="s">
        <v>28</v>
      </c>
      <c r="E1650" t="s">
        <v>24</v>
      </c>
      <c r="F1650">
        <v>976.87</v>
      </c>
      <c r="G1650">
        <v>57215</v>
      </c>
      <c r="H1650">
        <v>3227.1</v>
      </c>
      <c r="I1650">
        <v>32.909999999999997</v>
      </c>
      <c r="J1650">
        <f>IFERROR(INDEX(Suppliar[Estimated Carbon Footprint (tons CO₂e)],MATCH('Merge operational &amp; suppliar'!A1650,Suppliar[Facility ID],0)),"")</f>
        <v>951.35</v>
      </c>
      <c r="K1650">
        <f>IFERROR(INDEX(Suppliar[Income Distribution (%)],MATCH('Merge operational &amp; suppliar'!A1650,Suppliar[Facility ID],0)),"")</f>
        <v>33.299999999999997</v>
      </c>
    </row>
    <row r="1651" spans="1:11" x14ac:dyDescent="0.3">
      <c r="A1651" t="s">
        <v>90</v>
      </c>
      <c r="B1651" t="s">
        <v>19</v>
      </c>
      <c r="C1651" t="s">
        <v>8</v>
      </c>
      <c r="D1651" t="s">
        <v>14</v>
      </c>
      <c r="E1651" t="s">
        <v>24</v>
      </c>
      <c r="F1651">
        <v>836.5</v>
      </c>
      <c r="G1651">
        <v>97337</v>
      </c>
      <c r="H1651">
        <v>3362.06</v>
      </c>
      <c r="I1651">
        <v>55.46</v>
      </c>
      <c r="J1651">
        <f>IFERROR(INDEX(Suppliar[Estimated Carbon Footprint (tons CO₂e)],MATCH('Merge operational &amp; suppliar'!A1651,Suppliar[Facility ID],0)),"")</f>
        <v>459.56</v>
      </c>
      <c r="K1651">
        <f>IFERROR(INDEX(Suppliar[Income Distribution (%)],MATCH('Merge operational &amp; suppliar'!A1651,Suppliar[Facility ID],0)),"")</f>
        <v>10.31</v>
      </c>
    </row>
    <row r="1652" spans="1:11" x14ac:dyDescent="0.3">
      <c r="A1652" t="s">
        <v>184</v>
      </c>
      <c r="B1652" t="s">
        <v>30</v>
      </c>
      <c r="C1652" t="s">
        <v>34</v>
      </c>
      <c r="D1652" t="s">
        <v>14</v>
      </c>
      <c r="E1652" t="s">
        <v>15</v>
      </c>
      <c r="F1652">
        <v>4095.46</v>
      </c>
      <c r="G1652">
        <v>13543</v>
      </c>
      <c r="H1652">
        <v>7854.96</v>
      </c>
      <c r="I1652">
        <v>85.57</v>
      </c>
      <c r="J1652">
        <f>IFERROR(INDEX(Suppliar[Estimated Carbon Footprint (tons CO₂e)],MATCH('Merge operational &amp; suppliar'!A1652,Suppliar[Facility ID],0)),"")</f>
        <v>610.79999999999995</v>
      </c>
      <c r="K1652">
        <f>IFERROR(INDEX(Suppliar[Income Distribution (%)],MATCH('Merge operational &amp; suppliar'!A1652,Suppliar[Facility ID],0)),"")</f>
        <v>30.04</v>
      </c>
    </row>
    <row r="1653" spans="1:11" x14ac:dyDescent="0.3">
      <c r="A1653" t="s">
        <v>109</v>
      </c>
      <c r="B1653" t="s">
        <v>12</v>
      </c>
      <c r="C1653" t="s">
        <v>23</v>
      </c>
      <c r="D1653" t="s">
        <v>28</v>
      </c>
      <c r="E1653" t="s">
        <v>15</v>
      </c>
      <c r="F1653">
        <v>3574.84</v>
      </c>
      <c r="G1653">
        <v>84721</v>
      </c>
      <c r="H1653">
        <v>2278.9699999999998</v>
      </c>
      <c r="I1653">
        <v>68.53</v>
      </c>
      <c r="J1653">
        <f>IFERROR(INDEX(Suppliar[Estimated Carbon Footprint (tons CO₂e)],MATCH('Merge operational &amp; suppliar'!A1653,Suppliar[Facility ID],0)),"")</f>
        <v>796.34</v>
      </c>
      <c r="K1653">
        <f>IFERROR(INDEX(Suppliar[Income Distribution (%)],MATCH('Merge operational &amp; suppliar'!A1653,Suppliar[Facility ID],0)),"")</f>
        <v>33.590000000000003</v>
      </c>
    </row>
    <row r="1654" spans="1:11" x14ac:dyDescent="0.3">
      <c r="A1654" t="s">
        <v>186</v>
      </c>
      <c r="B1654" t="s">
        <v>30</v>
      </c>
      <c r="C1654" t="s">
        <v>34</v>
      </c>
      <c r="D1654" t="s">
        <v>28</v>
      </c>
      <c r="E1654" t="s">
        <v>24</v>
      </c>
      <c r="F1654">
        <v>4705.34</v>
      </c>
      <c r="G1654">
        <v>85868</v>
      </c>
      <c r="H1654">
        <v>907.72</v>
      </c>
      <c r="I1654">
        <v>90.36</v>
      </c>
      <c r="J1654">
        <f>IFERROR(INDEX(Suppliar[Estimated Carbon Footprint (tons CO₂e)],MATCH('Merge operational &amp; suppliar'!A1654,Suppliar[Facility ID],0)),"")</f>
        <v>960.4</v>
      </c>
      <c r="K1654">
        <f>IFERROR(INDEX(Suppliar[Income Distribution (%)],MATCH('Merge operational &amp; suppliar'!A1654,Suppliar[Facility ID],0)),"")</f>
        <v>10.65</v>
      </c>
    </row>
    <row r="1655" spans="1:11" x14ac:dyDescent="0.3">
      <c r="A1655" t="s">
        <v>177</v>
      </c>
      <c r="B1655" t="s">
        <v>7</v>
      </c>
      <c r="C1655" t="s">
        <v>13</v>
      </c>
      <c r="D1655" t="s">
        <v>14</v>
      </c>
      <c r="E1655" t="s">
        <v>24</v>
      </c>
      <c r="F1655">
        <v>4617.59</v>
      </c>
      <c r="G1655">
        <v>17097</v>
      </c>
      <c r="H1655">
        <v>9061.7800000000007</v>
      </c>
      <c r="I1655">
        <v>95.92</v>
      </c>
      <c r="J1655">
        <f>IFERROR(INDEX(Suppliar[Estimated Carbon Footprint (tons CO₂e)],MATCH('Merge operational &amp; suppliar'!A1655,Suppliar[Facility ID],0)),"")</f>
        <v>390.06</v>
      </c>
      <c r="K1655">
        <f>IFERROR(INDEX(Suppliar[Income Distribution (%)],MATCH('Merge operational &amp; suppliar'!A1655,Suppliar[Facility ID],0)),"")</f>
        <v>18.010000000000002</v>
      </c>
    </row>
    <row r="1656" spans="1:11" x14ac:dyDescent="0.3">
      <c r="A1656" t="s">
        <v>205</v>
      </c>
      <c r="B1656" t="s">
        <v>17</v>
      </c>
      <c r="C1656" t="s">
        <v>8</v>
      </c>
      <c r="D1656" t="s">
        <v>14</v>
      </c>
      <c r="E1656" t="s">
        <v>10</v>
      </c>
      <c r="F1656">
        <v>3378.57</v>
      </c>
      <c r="G1656">
        <v>52594</v>
      </c>
      <c r="H1656">
        <v>8715.0400000000009</v>
      </c>
      <c r="I1656">
        <v>90.54</v>
      </c>
      <c r="J1656">
        <f>IFERROR(INDEX(Suppliar[Estimated Carbon Footprint (tons CO₂e)],MATCH('Merge operational &amp; suppliar'!A1656,Suppliar[Facility ID],0)),"")</f>
        <v>553.44000000000005</v>
      </c>
      <c r="K1656">
        <f>IFERROR(INDEX(Suppliar[Income Distribution (%)],MATCH('Merge operational &amp; suppliar'!A1656,Suppliar[Facility ID],0)),"")</f>
        <v>23.44</v>
      </c>
    </row>
    <row r="1657" spans="1:11" x14ac:dyDescent="0.3">
      <c r="A1657" t="s">
        <v>18</v>
      </c>
      <c r="B1657" t="s">
        <v>19</v>
      </c>
      <c r="C1657" t="s">
        <v>23</v>
      </c>
      <c r="D1657" t="s">
        <v>28</v>
      </c>
      <c r="E1657" t="s">
        <v>10</v>
      </c>
      <c r="F1657">
        <v>1071.83</v>
      </c>
      <c r="G1657">
        <v>98682</v>
      </c>
      <c r="H1657">
        <v>6220.56</v>
      </c>
      <c r="I1657">
        <v>70.099999999999994</v>
      </c>
      <c r="J1657">
        <f>IFERROR(INDEX(Suppliar[Estimated Carbon Footprint (tons CO₂e)],MATCH('Merge operational &amp; suppliar'!A1657,Suppliar[Facility ID],0)),"")</f>
        <v>724.63</v>
      </c>
      <c r="K1657">
        <f>IFERROR(INDEX(Suppliar[Income Distribution (%)],MATCH('Merge operational &amp; suppliar'!A1657,Suppliar[Facility ID],0)),"")</f>
        <v>27.81</v>
      </c>
    </row>
    <row r="1658" spans="1:11" x14ac:dyDescent="0.3">
      <c r="A1658" t="s">
        <v>162</v>
      </c>
      <c r="B1658" t="s">
        <v>30</v>
      </c>
      <c r="C1658" t="s">
        <v>13</v>
      </c>
      <c r="D1658" t="s">
        <v>9</v>
      </c>
      <c r="E1658" t="s">
        <v>24</v>
      </c>
      <c r="F1658">
        <v>958.65</v>
      </c>
      <c r="G1658">
        <v>94347</v>
      </c>
      <c r="H1658">
        <v>2272.58</v>
      </c>
      <c r="I1658">
        <v>34.75</v>
      </c>
      <c r="J1658">
        <f>IFERROR(INDEX(Suppliar[Estimated Carbon Footprint (tons CO₂e)],MATCH('Merge operational &amp; suppliar'!A1658,Suppliar[Facility ID],0)),"")</f>
        <v>472.66</v>
      </c>
      <c r="K1658">
        <f>IFERROR(INDEX(Suppliar[Income Distribution (%)],MATCH('Merge operational &amp; suppliar'!A1658,Suppliar[Facility ID],0)),"")</f>
        <v>44.97</v>
      </c>
    </row>
    <row r="1659" spans="1:11" x14ac:dyDescent="0.3">
      <c r="A1659" t="s">
        <v>37</v>
      </c>
      <c r="B1659" t="s">
        <v>17</v>
      </c>
      <c r="C1659" t="s">
        <v>23</v>
      </c>
      <c r="D1659" t="s">
        <v>9</v>
      </c>
      <c r="E1659" t="s">
        <v>24</v>
      </c>
      <c r="F1659">
        <v>1194.6400000000001</v>
      </c>
      <c r="G1659">
        <v>71747</v>
      </c>
      <c r="H1659">
        <v>9838.66</v>
      </c>
      <c r="I1659">
        <v>7.25</v>
      </c>
      <c r="J1659">
        <f>IFERROR(INDEX(Suppliar[Estimated Carbon Footprint (tons CO₂e)],MATCH('Merge operational &amp; suppliar'!A1659,Suppliar[Facility ID],0)),"")</f>
        <v>224.5</v>
      </c>
      <c r="K1659">
        <f>IFERROR(INDEX(Suppliar[Income Distribution (%)],MATCH('Merge operational &amp; suppliar'!A1659,Suppliar[Facility ID],0)),"")</f>
        <v>39.29</v>
      </c>
    </row>
    <row r="1660" spans="1:11" x14ac:dyDescent="0.3">
      <c r="A1660" t="s">
        <v>156</v>
      </c>
      <c r="B1660" t="s">
        <v>17</v>
      </c>
      <c r="C1660" t="s">
        <v>34</v>
      </c>
      <c r="D1660" t="s">
        <v>9</v>
      </c>
      <c r="E1660" t="s">
        <v>24</v>
      </c>
      <c r="F1660">
        <v>1366.75</v>
      </c>
      <c r="G1660">
        <v>81057</v>
      </c>
      <c r="H1660">
        <v>675.41</v>
      </c>
      <c r="I1660">
        <v>55.44</v>
      </c>
      <c r="J1660">
        <f>IFERROR(INDEX(Suppliar[Estimated Carbon Footprint (tons CO₂e)],MATCH('Merge operational &amp; suppliar'!A1660,Suppliar[Facility ID],0)),"")</f>
        <v>847.51</v>
      </c>
      <c r="K1660">
        <f>IFERROR(INDEX(Suppliar[Income Distribution (%)],MATCH('Merge operational &amp; suppliar'!A1660,Suppliar[Facility ID],0)),"")</f>
        <v>28.03</v>
      </c>
    </row>
    <row r="1661" spans="1:11" x14ac:dyDescent="0.3">
      <c r="A1661" t="s">
        <v>65</v>
      </c>
      <c r="B1661" t="s">
        <v>30</v>
      </c>
      <c r="C1661" t="s">
        <v>23</v>
      </c>
      <c r="D1661" t="s">
        <v>14</v>
      </c>
      <c r="E1661" t="s">
        <v>15</v>
      </c>
      <c r="F1661">
        <v>1936.56</v>
      </c>
      <c r="G1661">
        <v>99026</v>
      </c>
      <c r="H1661">
        <v>5453.2</v>
      </c>
      <c r="I1661">
        <v>57.49</v>
      </c>
      <c r="J1661">
        <f>IFERROR(INDEX(Suppliar[Estimated Carbon Footprint (tons CO₂e)],MATCH('Merge operational &amp; suppliar'!A1661,Suppliar[Facility ID],0)),"")</f>
        <v>231.68</v>
      </c>
      <c r="K1661">
        <f>IFERROR(INDEX(Suppliar[Income Distribution (%)],MATCH('Merge operational &amp; suppliar'!A1661,Suppliar[Facility ID],0)),"")</f>
        <v>24.26</v>
      </c>
    </row>
    <row r="1662" spans="1:11" x14ac:dyDescent="0.3">
      <c r="A1662" t="s">
        <v>27</v>
      </c>
      <c r="B1662" t="s">
        <v>12</v>
      </c>
      <c r="C1662" t="s">
        <v>13</v>
      </c>
      <c r="D1662" t="s">
        <v>9</v>
      </c>
      <c r="E1662" t="s">
        <v>10</v>
      </c>
      <c r="F1662">
        <v>872.02</v>
      </c>
      <c r="G1662">
        <v>91031</v>
      </c>
      <c r="H1662">
        <v>1783.57</v>
      </c>
      <c r="I1662">
        <v>32.049999999999997</v>
      </c>
      <c r="J1662">
        <f>IFERROR(INDEX(Suppliar[Estimated Carbon Footprint (tons CO₂e)],MATCH('Merge operational &amp; suppliar'!A1662,Suppliar[Facility ID],0)),"")</f>
        <v>532.27</v>
      </c>
      <c r="K1662">
        <f>IFERROR(INDEX(Suppliar[Income Distribution (%)],MATCH('Merge operational &amp; suppliar'!A1662,Suppliar[Facility ID],0)),"")</f>
        <v>15.2</v>
      </c>
    </row>
    <row r="1663" spans="1:11" x14ac:dyDescent="0.3">
      <c r="A1663" t="s">
        <v>58</v>
      </c>
      <c r="B1663" t="s">
        <v>17</v>
      </c>
      <c r="C1663" t="s">
        <v>34</v>
      </c>
      <c r="D1663" t="s">
        <v>28</v>
      </c>
      <c r="E1663" t="s">
        <v>15</v>
      </c>
      <c r="F1663">
        <v>4730.6899999999996</v>
      </c>
      <c r="G1663">
        <v>32246</v>
      </c>
      <c r="H1663">
        <v>7903.93</v>
      </c>
      <c r="I1663">
        <v>42.12</v>
      </c>
      <c r="J1663">
        <f>IFERROR(INDEX(Suppliar[Estimated Carbon Footprint (tons CO₂e)],MATCH('Merge operational &amp; suppliar'!A1663,Suppliar[Facility ID],0)),"")</f>
        <v>459.56</v>
      </c>
      <c r="K1663">
        <f>IFERROR(INDEX(Suppliar[Income Distribution (%)],MATCH('Merge operational &amp; suppliar'!A1663,Suppliar[Facility ID],0)),"")</f>
        <v>28.62</v>
      </c>
    </row>
    <row r="1664" spans="1:11" x14ac:dyDescent="0.3">
      <c r="A1664" t="s">
        <v>96</v>
      </c>
      <c r="B1664" t="s">
        <v>19</v>
      </c>
      <c r="C1664" t="s">
        <v>13</v>
      </c>
      <c r="D1664" t="s">
        <v>9</v>
      </c>
      <c r="E1664" t="s">
        <v>10</v>
      </c>
      <c r="F1664">
        <v>3135.12</v>
      </c>
      <c r="G1664">
        <v>53942</v>
      </c>
      <c r="H1664">
        <v>5904.31</v>
      </c>
      <c r="I1664">
        <v>32.78</v>
      </c>
      <c r="J1664">
        <f>IFERROR(INDEX(Suppliar[Estimated Carbon Footprint (tons CO₂e)],MATCH('Merge operational &amp; suppliar'!A1664,Suppliar[Facility ID],0)),"")</f>
        <v>553.44000000000005</v>
      </c>
      <c r="K1664">
        <f>IFERROR(INDEX(Suppliar[Income Distribution (%)],MATCH('Merge operational &amp; suppliar'!A1664,Suppliar[Facility ID],0)),"")</f>
        <v>29.01</v>
      </c>
    </row>
    <row r="1665" spans="1:11" x14ac:dyDescent="0.3">
      <c r="A1665" t="s">
        <v>190</v>
      </c>
      <c r="B1665" t="s">
        <v>17</v>
      </c>
      <c r="C1665" t="s">
        <v>23</v>
      </c>
      <c r="D1665" t="s">
        <v>9</v>
      </c>
      <c r="E1665" t="s">
        <v>15</v>
      </c>
      <c r="F1665">
        <v>1288.69</v>
      </c>
      <c r="G1665">
        <v>41953</v>
      </c>
      <c r="H1665">
        <v>2379.14</v>
      </c>
      <c r="I1665">
        <v>65.67</v>
      </c>
      <c r="J1665">
        <f>IFERROR(INDEX(Suppliar[Estimated Carbon Footprint (tons CO₂e)],MATCH('Merge operational &amp; suppliar'!A1665,Suppliar[Facility ID],0)),"")</f>
        <v>571.66</v>
      </c>
      <c r="K1665">
        <f>IFERROR(INDEX(Suppliar[Income Distribution (%)],MATCH('Merge operational &amp; suppliar'!A1665,Suppliar[Facility ID],0)),"")</f>
        <v>14.81</v>
      </c>
    </row>
    <row r="1666" spans="1:11" x14ac:dyDescent="0.3">
      <c r="A1666" t="s">
        <v>66</v>
      </c>
      <c r="B1666" t="s">
        <v>30</v>
      </c>
      <c r="C1666" t="s">
        <v>8</v>
      </c>
      <c r="D1666" t="s">
        <v>14</v>
      </c>
      <c r="E1666" t="s">
        <v>10</v>
      </c>
      <c r="F1666">
        <v>3302.89</v>
      </c>
      <c r="G1666">
        <v>98396</v>
      </c>
      <c r="H1666">
        <v>5174.07</v>
      </c>
      <c r="I1666">
        <v>63.38</v>
      </c>
      <c r="J1666">
        <f>IFERROR(INDEX(Suppliar[Estimated Carbon Footprint (tons CO₂e)],MATCH('Merge operational &amp; suppliar'!A1666,Suppliar[Facility ID],0)),"")</f>
        <v>714.03</v>
      </c>
      <c r="K1666">
        <f>IFERROR(INDEX(Suppliar[Income Distribution (%)],MATCH('Merge operational &amp; suppliar'!A1666,Suppliar[Facility ID],0)),"")</f>
        <v>36.89</v>
      </c>
    </row>
    <row r="1667" spans="1:11" x14ac:dyDescent="0.3">
      <c r="A1667" t="s">
        <v>191</v>
      </c>
      <c r="B1667" t="s">
        <v>12</v>
      </c>
      <c r="C1667" t="s">
        <v>13</v>
      </c>
      <c r="D1667" t="s">
        <v>28</v>
      </c>
      <c r="E1667" t="s">
        <v>15</v>
      </c>
      <c r="F1667">
        <v>1167.23</v>
      </c>
      <c r="G1667">
        <v>43346</v>
      </c>
      <c r="H1667">
        <v>5559.12</v>
      </c>
      <c r="I1667">
        <v>39.4</v>
      </c>
      <c r="J1667">
        <f>IFERROR(INDEX(Suppliar[Estimated Carbon Footprint (tons CO₂e)],MATCH('Merge operational &amp; suppliar'!A1667,Suppliar[Facility ID],0)),"")</f>
        <v>571.88</v>
      </c>
      <c r="K1667">
        <f>IFERROR(INDEX(Suppliar[Income Distribution (%)],MATCH('Merge operational &amp; suppliar'!A1667,Suppliar[Facility ID],0)),"")</f>
        <v>32.18</v>
      </c>
    </row>
    <row r="1668" spans="1:11" x14ac:dyDescent="0.3">
      <c r="A1668" t="s">
        <v>33</v>
      </c>
      <c r="B1668" t="s">
        <v>19</v>
      </c>
      <c r="C1668" t="s">
        <v>34</v>
      </c>
      <c r="D1668" t="s">
        <v>9</v>
      </c>
      <c r="E1668" t="s">
        <v>10</v>
      </c>
      <c r="F1668">
        <v>1716.99</v>
      </c>
      <c r="G1668">
        <v>65719</v>
      </c>
      <c r="H1668">
        <v>9362.41</v>
      </c>
      <c r="I1668">
        <v>86.55</v>
      </c>
      <c r="J1668">
        <f>IFERROR(INDEX(Suppliar[Estimated Carbon Footprint (tons CO₂e)],MATCH('Merge operational &amp; suppliar'!A1668,Suppliar[Facility ID],0)),"")</f>
        <v>932.3</v>
      </c>
      <c r="K1668">
        <f>IFERROR(INDEX(Suppliar[Income Distribution (%)],MATCH('Merge operational &amp; suppliar'!A1668,Suppliar[Facility ID],0)),"")</f>
        <v>28.9</v>
      </c>
    </row>
    <row r="1669" spans="1:11" x14ac:dyDescent="0.3">
      <c r="A1669" t="s">
        <v>43</v>
      </c>
      <c r="B1669" t="s">
        <v>17</v>
      </c>
      <c r="C1669" t="s">
        <v>13</v>
      </c>
      <c r="D1669" t="s">
        <v>28</v>
      </c>
      <c r="E1669" t="s">
        <v>24</v>
      </c>
      <c r="F1669">
        <v>2018.44</v>
      </c>
      <c r="G1669">
        <v>41168</v>
      </c>
      <c r="H1669">
        <v>8226.77</v>
      </c>
      <c r="I1669">
        <v>42.55</v>
      </c>
      <c r="J1669">
        <f>IFERROR(INDEX(Suppliar[Estimated Carbon Footprint (tons CO₂e)],MATCH('Merge operational &amp; suppliar'!A1669,Suppliar[Facility ID],0)),"")</f>
        <v>724.63</v>
      </c>
      <c r="K1669">
        <f>IFERROR(INDEX(Suppliar[Income Distribution (%)],MATCH('Merge operational &amp; suppliar'!A1669,Suppliar[Facility ID],0)),"")</f>
        <v>12.64</v>
      </c>
    </row>
    <row r="1670" spans="1:11" x14ac:dyDescent="0.3">
      <c r="A1670" t="s">
        <v>122</v>
      </c>
      <c r="B1670" t="s">
        <v>19</v>
      </c>
      <c r="C1670" t="s">
        <v>23</v>
      </c>
      <c r="D1670" t="s">
        <v>9</v>
      </c>
      <c r="E1670" t="s">
        <v>10</v>
      </c>
      <c r="F1670">
        <v>5025.54</v>
      </c>
      <c r="G1670">
        <v>95962</v>
      </c>
      <c r="H1670">
        <v>524.72</v>
      </c>
      <c r="I1670">
        <v>49.55</v>
      </c>
      <c r="J1670">
        <f>IFERROR(INDEX(Suppliar[Estimated Carbon Footprint (tons CO₂e)],MATCH('Merge operational &amp; suppliar'!A1670,Suppliar[Facility ID],0)),"")</f>
        <v>991.36</v>
      </c>
      <c r="K1670">
        <f>IFERROR(INDEX(Suppliar[Income Distribution (%)],MATCH('Merge operational &amp; suppliar'!A1670,Suppliar[Facility ID],0)),"")</f>
        <v>18.28</v>
      </c>
    </row>
    <row r="1671" spans="1:11" x14ac:dyDescent="0.3">
      <c r="A1671" t="s">
        <v>137</v>
      </c>
      <c r="B1671" t="s">
        <v>17</v>
      </c>
      <c r="C1671" t="s">
        <v>34</v>
      </c>
      <c r="D1671" t="s">
        <v>9</v>
      </c>
      <c r="E1671" t="s">
        <v>15</v>
      </c>
      <c r="F1671">
        <v>2513.3000000000002</v>
      </c>
      <c r="G1671">
        <v>19265</v>
      </c>
      <c r="H1671">
        <v>776.6</v>
      </c>
      <c r="I1671">
        <v>39.75</v>
      </c>
      <c r="J1671">
        <f>IFERROR(INDEX(Suppliar[Estimated Carbon Footprint (tons CO₂e)],MATCH('Merge operational &amp; suppliar'!A1671,Suppliar[Facility ID],0)),"")</f>
        <v>289.77</v>
      </c>
      <c r="K1671">
        <f>IFERROR(INDEX(Suppliar[Income Distribution (%)],MATCH('Merge operational &amp; suppliar'!A1671,Suppliar[Facility ID],0)),"")</f>
        <v>37.270000000000003</v>
      </c>
    </row>
    <row r="1672" spans="1:11" x14ac:dyDescent="0.3">
      <c r="A1672" t="s">
        <v>166</v>
      </c>
      <c r="B1672" t="s">
        <v>7</v>
      </c>
      <c r="C1672" t="s">
        <v>8</v>
      </c>
      <c r="D1672" t="s">
        <v>14</v>
      </c>
      <c r="E1672" t="s">
        <v>15</v>
      </c>
      <c r="F1672">
        <v>2145.48</v>
      </c>
      <c r="G1672">
        <v>34318</v>
      </c>
      <c r="H1672">
        <v>675.67</v>
      </c>
      <c r="I1672">
        <v>41.05</v>
      </c>
      <c r="J1672">
        <f>IFERROR(INDEX(Suppliar[Estimated Carbon Footprint (tons CO₂e)],MATCH('Merge operational &amp; suppliar'!A1672,Suppliar[Facility ID],0)),"")</f>
        <v>390.06</v>
      </c>
      <c r="K1672">
        <f>IFERROR(INDEX(Suppliar[Income Distribution (%)],MATCH('Merge operational &amp; suppliar'!A1672,Suppliar[Facility ID],0)),"")</f>
        <v>27.42</v>
      </c>
    </row>
    <row r="1673" spans="1:11" x14ac:dyDescent="0.3">
      <c r="A1673" t="s">
        <v>29</v>
      </c>
      <c r="B1673" t="s">
        <v>30</v>
      </c>
      <c r="C1673" t="s">
        <v>13</v>
      </c>
      <c r="D1673" t="s">
        <v>14</v>
      </c>
      <c r="E1673" t="s">
        <v>10</v>
      </c>
      <c r="F1673">
        <v>1701.79</v>
      </c>
      <c r="G1673">
        <v>32131</v>
      </c>
      <c r="H1673">
        <v>1474.23</v>
      </c>
      <c r="I1673">
        <v>45.47</v>
      </c>
      <c r="J1673">
        <f>IFERROR(INDEX(Suppliar[Estimated Carbon Footprint (tons CO₂e)],MATCH('Merge operational &amp; suppliar'!A1673,Suppliar[Facility ID],0)),"")</f>
        <v>830.73</v>
      </c>
      <c r="K1673">
        <f>IFERROR(INDEX(Suppliar[Income Distribution (%)],MATCH('Merge operational &amp; suppliar'!A1673,Suppliar[Facility ID],0)),"")</f>
        <v>17.97</v>
      </c>
    </row>
    <row r="1674" spans="1:11" x14ac:dyDescent="0.3">
      <c r="A1674" t="s">
        <v>99</v>
      </c>
      <c r="B1674" t="s">
        <v>19</v>
      </c>
      <c r="C1674" t="s">
        <v>34</v>
      </c>
      <c r="D1674" t="s">
        <v>28</v>
      </c>
      <c r="E1674" t="s">
        <v>15</v>
      </c>
      <c r="F1674">
        <v>1017.33</v>
      </c>
      <c r="G1674">
        <v>77400</v>
      </c>
      <c r="H1674">
        <v>7504.8</v>
      </c>
      <c r="I1674">
        <v>68.819999999999993</v>
      </c>
      <c r="J1674" t="str">
        <f>IFERROR(INDEX(Suppliar[Estimated Carbon Footprint (tons CO₂e)],MATCH('Merge operational &amp; suppliar'!A1674,Suppliar[Facility ID],0)),"")</f>
        <v/>
      </c>
      <c r="K1674" t="str">
        <f>IFERROR(INDEX(Suppliar[Income Distribution (%)],MATCH('Merge operational &amp; suppliar'!A1674,Suppliar[Facility ID],0)),"")</f>
        <v/>
      </c>
    </row>
    <row r="1675" spans="1:11" x14ac:dyDescent="0.3">
      <c r="A1675" t="s">
        <v>137</v>
      </c>
      <c r="B1675" t="s">
        <v>17</v>
      </c>
      <c r="C1675" t="s">
        <v>8</v>
      </c>
      <c r="D1675" t="s">
        <v>28</v>
      </c>
      <c r="E1675" t="s">
        <v>15</v>
      </c>
      <c r="F1675">
        <v>4417.58</v>
      </c>
      <c r="G1675">
        <v>19265</v>
      </c>
      <c r="H1675">
        <v>776.6</v>
      </c>
      <c r="I1675">
        <v>39.75</v>
      </c>
      <c r="J1675">
        <f>IFERROR(INDEX(Suppliar[Estimated Carbon Footprint (tons CO₂e)],MATCH('Merge operational &amp; suppliar'!A1675,Suppliar[Facility ID],0)),"")</f>
        <v>289.77</v>
      </c>
      <c r="K1675">
        <f>IFERROR(INDEX(Suppliar[Income Distribution (%)],MATCH('Merge operational &amp; suppliar'!A1675,Suppliar[Facility ID],0)),"")</f>
        <v>37.270000000000003</v>
      </c>
    </row>
    <row r="1676" spans="1:11" x14ac:dyDescent="0.3">
      <c r="A1676" t="s">
        <v>25</v>
      </c>
      <c r="B1676" t="s">
        <v>19</v>
      </c>
      <c r="C1676" t="s">
        <v>8</v>
      </c>
      <c r="D1676" t="s">
        <v>14</v>
      </c>
      <c r="E1676" t="s">
        <v>10</v>
      </c>
      <c r="F1676">
        <v>2948.39</v>
      </c>
      <c r="G1676">
        <v>95306</v>
      </c>
      <c r="H1676">
        <v>9037.76</v>
      </c>
      <c r="I1676">
        <v>13.35</v>
      </c>
      <c r="J1676">
        <f>IFERROR(INDEX(Suppliar[Estimated Carbon Footprint (tons CO₂e)],MATCH('Merge operational &amp; suppliar'!A1676,Suppliar[Facility ID],0)),"")</f>
        <v>724.63</v>
      </c>
      <c r="K1676">
        <f>IFERROR(INDEX(Suppliar[Income Distribution (%)],MATCH('Merge operational &amp; suppliar'!A1676,Suppliar[Facility ID],0)),"")</f>
        <v>21.2</v>
      </c>
    </row>
    <row r="1677" spans="1:11" x14ac:dyDescent="0.3">
      <c r="A1677" t="s">
        <v>196</v>
      </c>
      <c r="B1677" t="s">
        <v>30</v>
      </c>
      <c r="C1677" t="s">
        <v>23</v>
      </c>
      <c r="D1677" t="s">
        <v>28</v>
      </c>
      <c r="E1677" t="s">
        <v>24</v>
      </c>
      <c r="F1677">
        <v>2543.38</v>
      </c>
      <c r="G1677">
        <v>12262</v>
      </c>
      <c r="H1677">
        <v>7106.18</v>
      </c>
      <c r="I1677">
        <v>45.69</v>
      </c>
      <c r="J1677">
        <f>IFERROR(INDEX(Suppliar[Estimated Carbon Footprint (tons CO₂e)],MATCH('Merge operational &amp; suppliar'!A1677,Suppliar[Facility ID],0)),"")</f>
        <v>459.56</v>
      </c>
      <c r="K1677">
        <f>IFERROR(INDEX(Suppliar[Income Distribution (%)],MATCH('Merge operational &amp; suppliar'!A1677,Suppliar[Facility ID],0)),"")</f>
        <v>29.71</v>
      </c>
    </row>
    <row r="1678" spans="1:11" x14ac:dyDescent="0.3">
      <c r="A1678" t="s">
        <v>160</v>
      </c>
      <c r="B1678" t="s">
        <v>30</v>
      </c>
      <c r="C1678" t="s">
        <v>13</v>
      </c>
      <c r="D1678" t="s">
        <v>9</v>
      </c>
      <c r="E1678" t="s">
        <v>15</v>
      </c>
      <c r="F1678">
        <v>3031.49</v>
      </c>
      <c r="G1678">
        <v>18341</v>
      </c>
      <c r="H1678">
        <v>8465.57</v>
      </c>
      <c r="I1678">
        <v>38.39</v>
      </c>
      <c r="J1678" t="str">
        <f>IFERROR(INDEX(Suppliar[Estimated Carbon Footprint (tons CO₂e)],MATCH('Merge operational &amp; suppliar'!A1678,Suppliar[Facility ID],0)),"")</f>
        <v/>
      </c>
      <c r="K1678" t="str">
        <f>IFERROR(INDEX(Suppliar[Income Distribution (%)],MATCH('Merge operational &amp; suppliar'!A1678,Suppliar[Facility ID],0)),"")</f>
        <v/>
      </c>
    </row>
    <row r="1679" spans="1:11" x14ac:dyDescent="0.3">
      <c r="A1679" t="s">
        <v>116</v>
      </c>
      <c r="B1679" t="s">
        <v>17</v>
      </c>
      <c r="C1679" t="s">
        <v>34</v>
      </c>
      <c r="D1679" t="s">
        <v>9</v>
      </c>
      <c r="E1679" t="s">
        <v>15</v>
      </c>
      <c r="F1679">
        <v>4209.3500000000004</v>
      </c>
      <c r="G1679">
        <v>68216</v>
      </c>
      <c r="H1679">
        <v>9562.33</v>
      </c>
      <c r="I1679">
        <v>63.59</v>
      </c>
      <c r="J1679">
        <f>IFERROR(INDEX(Suppliar[Estimated Carbon Footprint (tons CO₂e)],MATCH('Merge operational &amp; suppliar'!A1679,Suppliar[Facility ID],0)),"")</f>
        <v>830.73</v>
      </c>
      <c r="K1679">
        <f>IFERROR(INDEX(Suppliar[Income Distribution (%)],MATCH('Merge operational &amp; suppliar'!A1679,Suppliar[Facility ID],0)),"")</f>
        <v>46.68</v>
      </c>
    </row>
    <row r="1680" spans="1:11" x14ac:dyDescent="0.3">
      <c r="A1680" t="s">
        <v>119</v>
      </c>
      <c r="B1680" t="s">
        <v>30</v>
      </c>
      <c r="C1680" t="s">
        <v>8</v>
      </c>
      <c r="D1680" t="s">
        <v>14</v>
      </c>
      <c r="E1680" t="s">
        <v>24</v>
      </c>
      <c r="F1680">
        <v>3571.08</v>
      </c>
      <c r="G1680">
        <v>80488</v>
      </c>
      <c r="H1680">
        <v>7629.95</v>
      </c>
      <c r="I1680">
        <v>63.83</v>
      </c>
      <c r="J1680">
        <f>IFERROR(INDEX(Suppliar[Estimated Carbon Footprint (tons CO₂e)],MATCH('Merge operational &amp; suppliar'!A1680,Suppliar[Facility ID],0)),"")</f>
        <v>847.51</v>
      </c>
      <c r="K1680">
        <f>IFERROR(INDEX(Suppliar[Income Distribution (%)],MATCH('Merge operational &amp; suppliar'!A1680,Suppliar[Facility ID],0)),"")</f>
        <v>9.9</v>
      </c>
    </row>
    <row r="1681" spans="1:11" x14ac:dyDescent="0.3">
      <c r="A1681" t="s">
        <v>41</v>
      </c>
      <c r="B1681" t="s">
        <v>30</v>
      </c>
      <c r="C1681" t="s">
        <v>8</v>
      </c>
      <c r="D1681" t="s">
        <v>28</v>
      </c>
      <c r="E1681" t="s">
        <v>15</v>
      </c>
      <c r="F1681">
        <v>887.49</v>
      </c>
      <c r="G1681">
        <v>61743</v>
      </c>
      <c r="H1681">
        <v>7426.75</v>
      </c>
      <c r="I1681">
        <v>26.39</v>
      </c>
      <c r="J1681">
        <f>IFERROR(INDEX(Suppliar[Estimated Carbon Footprint (tons CO₂e)],MATCH('Merge operational &amp; suppliar'!A1681,Suppliar[Facility ID],0)),"")</f>
        <v>527.37</v>
      </c>
      <c r="K1681">
        <f>IFERROR(INDEX(Suppliar[Income Distribution (%)],MATCH('Merge operational &amp; suppliar'!A1681,Suppliar[Facility ID],0)),"")</f>
        <v>39.28</v>
      </c>
    </row>
    <row r="1682" spans="1:11" x14ac:dyDescent="0.3">
      <c r="A1682" t="s">
        <v>193</v>
      </c>
      <c r="B1682" t="s">
        <v>12</v>
      </c>
      <c r="C1682" t="s">
        <v>8</v>
      </c>
      <c r="D1682" t="s">
        <v>28</v>
      </c>
      <c r="E1682" t="s">
        <v>10</v>
      </c>
      <c r="F1682">
        <v>1618.49</v>
      </c>
      <c r="G1682">
        <v>13333</v>
      </c>
      <c r="H1682">
        <v>6102.15</v>
      </c>
      <c r="I1682">
        <v>17.670000000000002</v>
      </c>
      <c r="J1682">
        <f>IFERROR(INDEX(Suppliar[Estimated Carbon Footprint (tons CO₂e)],MATCH('Merge operational &amp; suppliar'!A1682,Suppliar[Facility ID],0)),"")</f>
        <v>959.2</v>
      </c>
      <c r="K1682">
        <f>IFERROR(INDEX(Suppliar[Income Distribution (%)],MATCH('Merge operational &amp; suppliar'!A1682,Suppliar[Facility ID],0)),"")</f>
        <v>24.24</v>
      </c>
    </row>
    <row r="1683" spans="1:11" x14ac:dyDescent="0.3">
      <c r="A1683" t="s">
        <v>152</v>
      </c>
      <c r="B1683" t="s">
        <v>30</v>
      </c>
      <c r="C1683" t="s">
        <v>8</v>
      </c>
      <c r="D1683" t="s">
        <v>9</v>
      </c>
      <c r="E1683" t="s">
        <v>10</v>
      </c>
      <c r="F1683">
        <v>4625.46</v>
      </c>
      <c r="G1683">
        <v>21914</v>
      </c>
      <c r="H1683">
        <v>5897.27</v>
      </c>
      <c r="I1683">
        <v>49.41</v>
      </c>
      <c r="J1683">
        <f>IFERROR(INDEX(Suppliar[Estimated Carbon Footprint (tons CO₂e)],MATCH('Merge operational &amp; suppliar'!A1683,Suppliar[Facility ID],0)),"")</f>
        <v>790.74</v>
      </c>
      <c r="K1683">
        <f>IFERROR(INDEX(Suppliar[Income Distribution (%)],MATCH('Merge operational &amp; suppliar'!A1683,Suppliar[Facility ID],0)),"")</f>
        <v>15.07</v>
      </c>
    </row>
    <row r="1684" spans="1:11" x14ac:dyDescent="0.3">
      <c r="A1684" t="s">
        <v>25</v>
      </c>
      <c r="B1684" t="s">
        <v>19</v>
      </c>
      <c r="C1684" t="s">
        <v>34</v>
      </c>
      <c r="D1684" t="s">
        <v>28</v>
      </c>
      <c r="E1684" t="s">
        <v>10</v>
      </c>
      <c r="F1684">
        <v>968.64</v>
      </c>
      <c r="G1684">
        <v>95306</v>
      </c>
      <c r="H1684">
        <v>9037.76</v>
      </c>
      <c r="I1684">
        <v>13.35</v>
      </c>
      <c r="J1684">
        <f>IFERROR(INDEX(Suppliar[Estimated Carbon Footprint (tons CO₂e)],MATCH('Merge operational &amp; suppliar'!A1684,Suppliar[Facility ID],0)),"")</f>
        <v>724.63</v>
      </c>
      <c r="K1684">
        <f>IFERROR(INDEX(Suppliar[Income Distribution (%)],MATCH('Merge operational &amp; suppliar'!A1684,Suppliar[Facility ID],0)),"")</f>
        <v>21.2</v>
      </c>
    </row>
    <row r="1685" spans="1:11" x14ac:dyDescent="0.3">
      <c r="A1685" t="s">
        <v>149</v>
      </c>
      <c r="B1685" t="s">
        <v>17</v>
      </c>
      <c r="C1685" t="s">
        <v>23</v>
      </c>
      <c r="D1685" t="s">
        <v>9</v>
      </c>
      <c r="E1685" t="s">
        <v>15</v>
      </c>
      <c r="F1685">
        <v>2182.06</v>
      </c>
      <c r="G1685">
        <v>49885</v>
      </c>
      <c r="H1685">
        <v>6845.46</v>
      </c>
      <c r="I1685">
        <v>58.4</v>
      </c>
      <c r="J1685">
        <f>IFERROR(INDEX(Suppliar[Estimated Carbon Footprint (tons CO₂e)],MATCH('Merge operational &amp; suppliar'!A1685,Suppliar[Facility ID],0)),"")</f>
        <v>341.24</v>
      </c>
      <c r="K1685">
        <f>IFERROR(INDEX(Suppliar[Income Distribution (%)],MATCH('Merge operational &amp; suppliar'!A1685,Suppliar[Facility ID],0)),"")</f>
        <v>19.309999999999999</v>
      </c>
    </row>
    <row r="1686" spans="1:11" x14ac:dyDescent="0.3">
      <c r="A1686" t="s">
        <v>103</v>
      </c>
      <c r="B1686" t="s">
        <v>19</v>
      </c>
      <c r="C1686" t="s">
        <v>23</v>
      </c>
      <c r="D1686" t="s">
        <v>9</v>
      </c>
      <c r="E1686" t="s">
        <v>24</v>
      </c>
      <c r="F1686">
        <v>2401.34</v>
      </c>
      <c r="G1686">
        <v>38869</v>
      </c>
      <c r="H1686">
        <v>5109.76</v>
      </c>
      <c r="I1686">
        <v>35.270000000000003</v>
      </c>
      <c r="J1686">
        <f>IFERROR(INDEX(Suppliar[Estimated Carbon Footprint (tons CO₂e)],MATCH('Merge operational &amp; suppliar'!A1686,Suppliar[Facility ID],0)),"")</f>
        <v>986.62</v>
      </c>
      <c r="K1686">
        <f>IFERROR(INDEX(Suppliar[Income Distribution (%)],MATCH('Merge operational &amp; suppliar'!A1686,Suppliar[Facility ID],0)),"")</f>
        <v>40.86</v>
      </c>
    </row>
    <row r="1687" spans="1:11" x14ac:dyDescent="0.3">
      <c r="A1687" t="s">
        <v>69</v>
      </c>
      <c r="B1687" t="s">
        <v>7</v>
      </c>
      <c r="C1687" t="s">
        <v>34</v>
      </c>
      <c r="D1687" t="s">
        <v>9</v>
      </c>
      <c r="E1687" t="s">
        <v>10</v>
      </c>
      <c r="F1687">
        <v>1887.97</v>
      </c>
      <c r="G1687">
        <v>34725</v>
      </c>
      <c r="H1687">
        <v>3269.89</v>
      </c>
      <c r="I1687">
        <v>78.86</v>
      </c>
      <c r="J1687">
        <f>IFERROR(INDEX(Suppliar[Estimated Carbon Footprint (tons CO₂e)],MATCH('Merge operational &amp; suppliar'!A1687,Suppliar[Facility ID],0)),"")</f>
        <v>436.04</v>
      </c>
      <c r="K1687">
        <f>IFERROR(INDEX(Suppliar[Income Distribution (%)],MATCH('Merge operational &amp; suppliar'!A1687,Suppliar[Facility ID],0)),"")</f>
        <v>31.8</v>
      </c>
    </row>
    <row r="1688" spans="1:11" x14ac:dyDescent="0.3">
      <c r="A1688" t="s">
        <v>105</v>
      </c>
      <c r="B1688" t="s">
        <v>30</v>
      </c>
      <c r="C1688" t="s">
        <v>34</v>
      </c>
      <c r="D1688" t="s">
        <v>14</v>
      </c>
      <c r="E1688" t="s">
        <v>15</v>
      </c>
      <c r="F1688">
        <v>1740.85</v>
      </c>
      <c r="G1688">
        <v>87337</v>
      </c>
      <c r="H1688">
        <v>3603.06</v>
      </c>
      <c r="I1688">
        <v>67.13</v>
      </c>
      <c r="J1688" t="str">
        <f>IFERROR(INDEX(Suppliar[Estimated Carbon Footprint (tons CO₂e)],MATCH('Merge operational &amp; suppliar'!A1688,Suppliar[Facility ID],0)),"")</f>
        <v/>
      </c>
      <c r="K1688" t="str">
        <f>IFERROR(INDEX(Suppliar[Income Distribution (%)],MATCH('Merge operational &amp; suppliar'!A1688,Suppliar[Facility ID],0)),"")</f>
        <v/>
      </c>
    </row>
    <row r="1689" spans="1:11" x14ac:dyDescent="0.3">
      <c r="A1689" t="s">
        <v>92</v>
      </c>
      <c r="B1689" t="s">
        <v>30</v>
      </c>
      <c r="C1689" t="s">
        <v>8</v>
      </c>
      <c r="D1689" t="s">
        <v>9</v>
      </c>
      <c r="E1689" t="s">
        <v>24</v>
      </c>
      <c r="F1689">
        <v>4524.0200000000004</v>
      </c>
      <c r="G1689">
        <v>18726</v>
      </c>
      <c r="H1689">
        <v>5099.54</v>
      </c>
      <c r="I1689">
        <v>71.05</v>
      </c>
      <c r="J1689">
        <f>IFERROR(INDEX(Suppliar[Estimated Carbon Footprint (tons CO₂e)],MATCH('Merge operational &amp; suppliar'!A1689,Suppliar[Facility ID],0)),"")</f>
        <v>714.03</v>
      </c>
      <c r="K1689">
        <f>IFERROR(INDEX(Suppliar[Income Distribution (%)],MATCH('Merge operational &amp; suppliar'!A1689,Suppliar[Facility ID],0)),"")</f>
        <v>32.29</v>
      </c>
    </row>
    <row r="1690" spans="1:11" x14ac:dyDescent="0.3">
      <c r="A1690" t="s">
        <v>52</v>
      </c>
      <c r="B1690" t="s">
        <v>19</v>
      </c>
      <c r="C1690" t="s">
        <v>34</v>
      </c>
      <c r="D1690" t="s">
        <v>9</v>
      </c>
      <c r="E1690" t="s">
        <v>10</v>
      </c>
      <c r="F1690">
        <v>4975.54</v>
      </c>
      <c r="G1690">
        <v>94949</v>
      </c>
      <c r="H1690">
        <v>9714.76</v>
      </c>
      <c r="I1690">
        <v>64.900000000000006</v>
      </c>
      <c r="J1690">
        <f>IFERROR(INDEX(Suppliar[Estimated Carbon Footprint (tons CO₂e)],MATCH('Merge operational &amp; suppliar'!A1690,Suppliar[Facility ID],0)),"")</f>
        <v>241.41</v>
      </c>
      <c r="K1690">
        <f>IFERROR(INDEX(Suppliar[Income Distribution (%)],MATCH('Merge operational &amp; suppliar'!A1690,Suppliar[Facility ID],0)),"")</f>
        <v>20.62</v>
      </c>
    </row>
    <row r="1691" spans="1:11" x14ac:dyDescent="0.3">
      <c r="A1691" t="s">
        <v>147</v>
      </c>
      <c r="B1691" t="s">
        <v>17</v>
      </c>
      <c r="C1691" t="s">
        <v>13</v>
      </c>
      <c r="D1691" t="s">
        <v>28</v>
      </c>
      <c r="E1691" t="s">
        <v>10</v>
      </c>
      <c r="F1691">
        <v>1573</v>
      </c>
      <c r="G1691">
        <v>24095</v>
      </c>
      <c r="H1691">
        <v>3167.52</v>
      </c>
      <c r="I1691">
        <v>31.02</v>
      </c>
      <c r="J1691">
        <f>IFERROR(INDEX(Suppliar[Estimated Carbon Footprint (tons CO₂e)],MATCH('Merge operational &amp; suppliar'!A1691,Suppliar[Facility ID],0)),"")</f>
        <v>608.07000000000005</v>
      </c>
      <c r="K1691">
        <f>IFERROR(INDEX(Suppliar[Income Distribution (%)],MATCH('Merge operational &amp; suppliar'!A1691,Suppliar[Facility ID],0)),"")</f>
        <v>13.98</v>
      </c>
    </row>
    <row r="1692" spans="1:11" x14ac:dyDescent="0.3">
      <c r="A1692" t="s">
        <v>213</v>
      </c>
      <c r="B1692" t="s">
        <v>12</v>
      </c>
      <c r="C1692" t="s">
        <v>34</v>
      </c>
      <c r="D1692" t="s">
        <v>28</v>
      </c>
      <c r="E1692" t="s">
        <v>10</v>
      </c>
      <c r="F1692">
        <v>1578.72</v>
      </c>
      <c r="G1692">
        <v>58622</v>
      </c>
      <c r="H1692">
        <v>7795.36</v>
      </c>
      <c r="I1692">
        <v>59.81</v>
      </c>
      <c r="J1692">
        <f>IFERROR(INDEX(Suppliar[Estimated Carbon Footprint (tons CO₂e)],MATCH('Merge operational &amp; suppliar'!A1692,Suppliar[Facility ID],0)),"")</f>
        <v>807.86</v>
      </c>
      <c r="K1692">
        <f>IFERROR(INDEX(Suppliar[Income Distribution (%)],MATCH('Merge operational &amp; suppliar'!A1692,Suppliar[Facility ID],0)),"")</f>
        <v>32.130000000000003</v>
      </c>
    </row>
    <row r="1693" spans="1:11" x14ac:dyDescent="0.3">
      <c r="A1693" t="s">
        <v>84</v>
      </c>
      <c r="B1693" t="s">
        <v>30</v>
      </c>
      <c r="C1693" t="s">
        <v>34</v>
      </c>
      <c r="D1693" t="s">
        <v>9</v>
      </c>
      <c r="E1693" t="s">
        <v>24</v>
      </c>
      <c r="F1693">
        <v>3818.5</v>
      </c>
      <c r="G1693">
        <v>85444</v>
      </c>
      <c r="H1693">
        <v>852.57</v>
      </c>
      <c r="I1693">
        <v>72.650000000000006</v>
      </c>
      <c r="J1693">
        <f>IFERROR(INDEX(Suppliar[Estimated Carbon Footprint (tons CO₂e)],MATCH('Merge operational &amp; suppliar'!A1693,Suppliar[Facility ID],0)),"")</f>
        <v>319.93</v>
      </c>
      <c r="K1693">
        <f>IFERROR(INDEX(Suppliar[Income Distribution (%)],MATCH('Merge operational &amp; suppliar'!A1693,Suppliar[Facility ID],0)),"")</f>
        <v>34.35</v>
      </c>
    </row>
    <row r="1694" spans="1:11" x14ac:dyDescent="0.3">
      <c r="A1694" t="s">
        <v>76</v>
      </c>
      <c r="B1694" t="s">
        <v>17</v>
      </c>
      <c r="C1694" t="s">
        <v>23</v>
      </c>
      <c r="D1694" t="s">
        <v>28</v>
      </c>
      <c r="E1694" t="s">
        <v>24</v>
      </c>
      <c r="F1694">
        <v>2731.54</v>
      </c>
      <c r="G1694">
        <v>59617</v>
      </c>
      <c r="H1694">
        <v>5000.95</v>
      </c>
      <c r="I1694">
        <v>80.36</v>
      </c>
      <c r="J1694">
        <f>IFERROR(INDEX(Suppliar[Estimated Carbon Footprint (tons CO₂e)],MATCH('Merge operational &amp; suppliar'!A1694,Suppliar[Facility ID],0)),"")</f>
        <v>532.27</v>
      </c>
      <c r="K1694">
        <f>IFERROR(INDEX(Suppliar[Income Distribution (%)],MATCH('Merge operational &amp; suppliar'!A1694,Suppliar[Facility ID],0)),"")</f>
        <v>25.24</v>
      </c>
    </row>
    <row r="1695" spans="1:11" x14ac:dyDescent="0.3">
      <c r="A1695" t="s">
        <v>140</v>
      </c>
      <c r="B1695" t="s">
        <v>17</v>
      </c>
      <c r="C1695" t="s">
        <v>8</v>
      </c>
      <c r="D1695" t="s">
        <v>14</v>
      </c>
      <c r="E1695" t="s">
        <v>24</v>
      </c>
      <c r="F1695">
        <v>156.84</v>
      </c>
      <c r="G1695">
        <v>88308</v>
      </c>
      <c r="H1695">
        <v>7802.07</v>
      </c>
      <c r="I1695">
        <v>36.130000000000003</v>
      </c>
      <c r="J1695">
        <f>IFERROR(INDEX(Suppliar[Estimated Carbon Footprint (tons CO₂e)],MATCH('Merge operational &amp; suppliar'!A1695,Suppliar[Facility ID],0)),"")</f>
        <v>557.72</v>
      </c>
      <c r="K1695">
        <f>IFERROR(INDEX(Suppliar[Income Distribution (%)],MATCH('Merge operational &amp; suppliar'!A1695,Suppliar[Facility ID],0)),"")</f>
        <v>62.75</v>
      </c>
    </row>
    <row r="1696" spans="1:11" x14ac:dyDescent="0.3">
      <c r="A1696" t="s">
        <v>85</v>
      </c>
      <c r="B1696" t="s">
        <v>30</v>
      </c>
      <c r="C1696" t="s">
        <v>23</v>
      </c>
      <c r="D1696" t="s">
        <v>28</v>
      </c>
      <c r="E1696" t="s">
        <v>10</v>
      </c>
      <c r="F1696">
        <v>300.70999999999998</v>
      </c>
      <c r="G1696">
        <v>45519</v>
      </c>
      <c r="H1696">
        <v>7987.69</v>
      </c>
      <c r="I1696">
        <v>10.86</v>
      </c>
      <c r="J1696">
        <f>IFERROR(INDEX(Suppliar[Estimated Carbon Footprint (tons CO₂e)],MATCH('Merge operational &amp; suppliar'!A1696,Suppliar[Facility ID],0)),"")</f>
        <v>638.89</v>
      </c>
      <c r="K1696">
        <f>IFERROR(INDEX(Suppliar[Income Distribution (%)],MATCH('Merge operational &amp; suppliar'!A1696,Suppliar[Facility ID],0)),"")</f>
        <v>35.04</v>
      </c>
    </row>
    <row r="1697" spans="1:11" x14ac:dyDescent="0.3">
      <c r="A1697" t="s">
        <v>74</v>
      </c>
      <c r="B1697" t="s">
        <v>19</v>
      </c>
      <c r="C1697" t="s">
        <v>34</v>
      </c>
      <c r="D1697" t="s">
        <v>28</v>
      </c>
      <c r="E1697" t="s">
        <v>10</v>
      </c>
      <c r="F1697">
        <v>4929.3599999999997</v>
      </c>
      <c r="G1697">
        <v>18175</v>
      </c>
      <c r="H1697">
        <v>8349.49</v>
      </c>
      <c r="I1697">
        <v>39.97</v>
      </c>
      <c r="J1697">
        <f>IFERROR(INDEX(Suppliar[Estimated Carbon Footprint (tons CO₂e)],MATCH('Merge operational &amp; suppliar'!A1697,Suppliar[Facility ID],0)),"")</f>
        <v>818.45</v>
      </c>
      <c r="K1697">
        <f>IFERROR(INDEX(Suppliar[Income Distribution (%)],MATCH('Merge operational &amp; suppliar'!A1697,Suppliar[Facility ID],0)),"")</f>
        <v>19.04</v>
      </c>
    </row>
    <row r="1698" spans="1:11" x14ac:dyDescent="0.3">
      <c r="A1698" t="s">
        <v>108</v>
      </c>
      <c r="B1698" t="s">
        <v>7</v>
      </c>
      <c r="C1698" t="s">
        <v>13</v>
      </c>
      <c r="D1698" t="s">
        <v>9</v>
      </c>
      <c r="E1698" t="s">
        <v>10</v>
      </c>
      <c r="F1698">
        <v>2623.47</v>
      </c>
      <c r="G1698">
        <v>22201</v>
      </c>
      <c r="H1698">
        <v>2853.66</v>
      </c>
      <c r="I1698">
        <v>71.94</v>
      </c>
      <c r="J1698">
        <f>IFERROR(INDEX(Suppliar[Estimated Carbon Footprint (tons CO₂e)],MATCH('Merge operational &amp; suppliar'!A1698,Suppliar[Facility ID],0)),"")</f>
        <v>991.03</v>
      </c>
      <c r="K1698">
        <f>IFERROR(INDEX(Suppliar[Income Distribution (%)],MATCH('Merge operational &amp; suppliar'!A1698,Suppliar[Facility ID],0)),"")</f>
        <v>21.4</v>
      </c>
    </row>
    <row r="1699" spans="1:11" x14ac:dyDescent="0.3">
      <c r="A1699" t="s">
        <v>104</v>
      </c>
      <c r="B1699" t="s">
        <v>17</v>
      </c>
      <c r="C1699" t="s">
        <v>23</v>
      </c>
      <c r="D1699" t="s">
        <v>9</v>
      </c>
      <c r="E1699" t="s">
        <v>10</v>
      </c>
      <c r="F1699">
        <v>3247.07</v>
      </c>
      <c r="G1699">
        <v>16868</v>
      </c>
      <c r="H1699">
        <v>1378.01</v>
      </c>
      <c r="I1699">
        <v>47.52</v>
      </c>
      <c r="J1699" t="str">
        <f>IFERROR(INDEX(Suppliar[Estimated Carbon Footprint (tons CO₂e)],MATCH('Merge operational &amp; suppliar'!A1699,Suppliar[Facility ID],0)),"")</f>
        <v/>
      </c>
      <c r="K1699" t="str">
        <f>IFERROR(INDEX(Suppliar[Income Distribution (%)],MATCH('Merge operational &amp; suppliar'!A1699,Suppliar[Facility ID],0)),"")</f>
        <v/>
      </c>
    </row>
    <row r="1700" spans="1:11" x14ac:dyDescent="0.3">
      <c r="A1700" t="s">
        <v>156</v>
      </c>
      <c r="B1700" t="s">
        <v>17</v>
      </c>
      <c r="C1700" t="s">
        <v>23</v>
      </c>
      <c r="D1700" t="s">
        <v>28</v>
      </c>
      <c r="E1700" t="s">
        <v>24</v>
      </c>
      <c r="F1700">
        <v>1917.71</v>
      </c>
      <c r="G1700">
        <v>81057</v>
      </c>
      <c r="H1700">
        <v>675.41</v>
      </c>
      <c r="I1700">
        <v>55.44</v>
      </c>
      <c r="J1700">
        <f>IFERROR(INDEX(Suppliar[Estimated Carbon Footprint (tons CO₂e)],MATCH('Merge operational &amp; suppliar'!A1700,Suppliar[Facility ID],0)),"")</f>
        <v>847.51</v>
      </c>
      <c r="K1700">
        <f>IFERROR(INDEX(Suppliar[Income Distribution (%)],MATCH('Merge operational &amp; suppliar'!A1700,Suppliar[Facility ID],0)),"")</f>
        <v>28.03</v>
      </c>
    </row>
    <row r="1701" spans="1:11" x14ac:dyDescent="0.3">
      <c r="A1701" t="s">
        <v>155</v>
      </c>
      <c r="B1701" t="s">
        <v>7</v>
      </c>
      <c r="C1701" t="s">
        <v>13</v>
      </c>
      <c r="D1701" t="s">
        <v>28</v>
      </c>
      <c r="E1701" t="s">
        <v>24</v>
      </c>
      <c r="F1701">
        <v>3841.45</v>
      </c>
      <c r="G1701">
        <v>72224</v>
      </c>
      <c r="H1701">
        <v>1613.32</v>
      </c>
      <c r="I1701">
        <v>39.21</v>
      </c>
      <c r="J1701">
        <f>IFERROR(INDEX(Suppliar[Estimated Carbon Footprint (tons CO₂e)],MATCH('Merge operational &amp; suppliar'!A1701,Suppliar[Facility ID],0)),"")</f>
        <v>111.84</v>
      </c>
      <c r="K1701">
        <f>IFERROR(INDEX(Suppliar[Income Distribution (%)],MATCH('Merge operational &amp; suppliar'!A1701,Suppliar[Facility ID],0)),"")</f>
        <v>28.69</v>
      </c>
    </row>
    <row r="1702" spans="1:11" x14ac:dyDescent="0.3">
      <c r="A1702" t="s">
        <v>121</v>
      </c>
      <c r="B1702" t="s">
        <v>30</v>
      </c>
      <c r="C1702" t="s">
        <v>34</v>
      </c>
      <c r="D1702" t="s">
        <v>28</v>
      </c>
      <c r="E1702" t="s">
        <v>10</v>
      </c>
      <c r="F1702">
        <v>4035.07</v>
      </c>
      <c r="G1702">
        <v>58895</v>
      </c>
      <c r="H1702">
        <v>3039.17</v>
      </c>
      <c r="I1702">
        <v>59.82</v>
      </c>
      <c r="J1702">
        <f>IFERROR(INDEX(Suppliar[Estimated Carbon Footprint (tons CO₂e)],MATCH('Merge operational &amp; suppliar'!A1702,Suppliar[Facility ID],0)),"")</f>
        <v>785.8</v>
      </c>
      <c r="K1702">
        <f>IFERROR(INDEX(Suppliar[Income Distribution (%)],MATCH('Merge operational &amp; suppliar'!A1702,Suppliar[Facility ID],0)),"")</f>
        <v>22.92</v>
      </c>
    </row>
    <row r="1703" spans="1:11" x14ac:dyDescent="0.3">
      <c r="A1703" t="s">
        <v>175</v>
      </c>
      <c r="B1703" t="s">
        <v>7</v>
      </c>
      <c r="C1703" t="s">
        <v>34</v>
      </c>
      <c r="D1703" t="s">
        <v>14</v>
      </c>
      <c r="E1703" t="s">
        <v>15</v>
      </c>
      <c r="F1703">
        <v>3477.6</v>
      </c>
      <c r="G1703">
        <v>83923</v>
      </c>
      <c r="H1703">
        <v>8768.7999999999993</v>
      </c>
      <c r="I1703">
        <v>65.290000000000006</v>
      </c>
      <c r="J1703">
        <f>IFERROR(INDEX(Suppliar[Estimated Carbon Footprint (tons CO₂e)],MATCH('Merge operational &amp; suppliar'!A1703,Suppliar[Facility ID],0)),"")</f>
        <v>579.80999999999995</v>
      </c>
      <c r="K1703">
        <f>IFERROR(INDEX(Suppliar[Income Distribution (%)],MATCH('Merge operational &amp; suppliar'!A1703,Suppliar[Facility ID],0)),"")</f>
        <v>34.93</v>
      </c>
    </row>
    <row r="1704" spans="1:11" x14ac:dyDescent="0.3">
      <c r="A1704" t="s">
        <v>186</v>
      </c>
      <c r="B1704" t="s">
        <v>30</v>
      </c>
      <c r="C1704" t="s">
        <v>8</v>
      </c>
      <c r="D1704" t="s">
        <v>14</v>
      </c>
      <c r="E1704" t="s">
        <v>24</v>
      </c>
      <c r="F1704">
        <v>1743.67</v>
      </c>
      <c r="G1704">
        <v>85868</v>
      </c>
      <c r="H1704">
        <v>907.72</v>
      </c>
      <c r="I1704">
        <v>90.36</v>
      </c>
      <c r="J1704">
        <f>IFERROR(INDEX(Suppliar[Estimated Carbon Footprint (tons CO₂e)],MATCH('Merge operational &amp; suppliar'!A1704,Suppliar[Facility ID],0)),"")</f>
        <v>960.4</v>
      </c>
      <c r="K1704">
        <f>IFERROR(INDEX(Suppliar[Income Distribution (%)],MATCH('Merge operational &amp; suppliar'!A1704,Suppliar[Facility ID],0)),"")</f>
        <v>10.65</v>
      </c>
    </row>
    <row r="1705" spans="1:11" x14ac:dyDescent="0.3">
      <c r="A1705" t="s">
        <v>111</v>
      </c>
      <c r="B1705" t="s">
        <v>19</v>
      </c>
      <c r="C1705" t="s">
        <v>8</v>
      </c>
      <c r="D1705" t="s">
        <v>9</v>
      </c>
      <c r="E1705" t="s">
        <v>24</v>
      </c>
      <c r="F1705">
        <v>2351.44</v>
      </c>
      <c r="G1705">
        <v>37309</v>
      </c>
      <c r="H1705">
        <v>4508.54</v>
      </c>
      <c r="I1705">
        <v>47.15</v>
      </c>
      <c r="J1705">
        <f>IFERROR(INDEX(Suppliar[Estimated Carbon Footprint (tons CO₂e)],MATCH('Merge operational &amp; suppliar'!A1705,Suppliar[Facility ID],0)),"")</f>
        <v>951.35</v>
      </c>
      <c r="K1705">
        <f>IFERROR(INDEX(Suppliar[Income Distribution (%)],MATCH('Merge operational &amp; suppliar'!A1705,Suppliar[Facility ID],0)),"")</f>
        <v>47.12</v>
      </c>
    </row>
    <row r="1706" spans="1:11" x14ac:dyDescent="0.3">
      <c r="A1706" t="s">
        <v>211</v>
      </c>
      <c r="B1706" t="s">
        <v>7</v>
      </c>
      <c r="C1706" t="s">
        <v>8</v>
      </c>
      <c r="D1706" t="s">
        <v>14</v>
      </c>
      <c r="E1706" t="s">
        <v>10</v>
      </c>
      <c r="F1706">
        <v>4335.1400000000003</v>
      </c>
      <c r="G1706">
        <v>27028</v>
      </c>
      <c r="H1706">
        <v>4617.92</v>
      </c>
      <c r="I1706">
        <v>57.62</v>
      </c>
      <c r="J1706">
        <f>IFERROR(INDEX(Suppliar[Estimated Carbon Footprint (tons CO₂e)],MATCH('Merge operational &amp; suppliar'!A1706,Suppliar[Facility ID],0)),"")</f>
        <v>780.4</v>
      </c>
      <c r="K1706">
        <f>IFERROR(INDEX(Suppliar[Income Distribution (%)],MATCH('Merge operational &amp; suppliar'!A1706,Suppliar[Facility ID],0)),"")</f>
        <v>24.87</v>
      </c>
    </row>
    <row r="1707" spans="1:11" x14ac:dyDescent="0.3">
      <c r="A1707" t="s">
        <v>76</v>
      </c>
      <c r="B1707" t="s">
        <v>17</v>
      </c>
      <c r="C1707" t="s">
        <v>8</v>
      </c>
      <c r="D1707" t="s">
        <v>28</v>
      </c>
      <c r="E1707" t="s">
        <v>15</v>
      </c>
      <c r="F1707">
        <v>4697.66</v>
      </c>
      <c r="G1707">
        <v>59617</v>
      </c>
      <c r="H1707">
        <v>5000.95</v>
      </c>
      <c r="I1707">
        <v>80.36</v>
      </c>
      <c r="J1707">
        <f>IFERROR(INDEX(Suppliar[Estimated Carbon Footprint (tons CO₂e)],MATCH('Merge operational &amp; suppliar'!A1707,Suppliar[Facility ID],0)),"")</f>
        <v>532.27</v>
      </c>
      <c r="K1707">
        <f>IFERROR(INDEX(Suppliar[Income Distribution (%)],MATCH('Merge operational &amp; suppliar'!A1707,Suppliar[Facility ID],0)),"")</f>
        <v>25.24</v>
      </c>
    </row>
    <row r="1708" spans="1:11" x14ac:dyDescent="0.3">
      <c r="A1708" t="s">
        <v>114</v>
      </c>
      <c r="B1708" t="s">
        <v>30</v>
      </c>
      <c r="C1708" t="s">
        <v>23</v>
      </c>
      <c r="D1708" t="s">
        <v>28</v>
      </c>
      <c r="E1708" t="s">
        <v>15</v>
      </c>
      <c r="F1708">
        <v>3378.49</v>
      </c>
      <c r="G1708">
        <v>29264</v>
      </c>
      <c r="H1708">
        <v>8362.7199999999993</v>
      </c>
      <c r="I1708">
        <v>61.93</v>
      </c>
      <c r="J1708" t="str">
        <f>IFERROR(INDEX(Suppliar[Estimated Carbon Footprint (tons CO₂e)],MATCH('Merge operational &amp; suppliar'!A1708,Suppliar[Facility ID],0)),"")</f>
        <v/>
      </c>
      <c r="K1708" t="str">
        <f>IFERROR(INDEX(Suppliar[Income Distribution (%)],MATCH('Merge operational &amp; suppliar'!A1708,Suppliar[Facility ID],0)),"")</f>
        <v/>
      </c>
    </row>
    <row r="1709" spans="1:11" x14ac:dyDescent="0.3">
      <c r="A1709" t="s">
        <v>78</v>
      </c>
      <c r="B1709" t="s">
        <v>7</v>
      </c>
      <c r="C1709" t="s">
        <v>34</v>
      </c>
      <c r="D1709" t="s">
        <v>14</v>
      </c>
      <c r="E1709" t="s">
        <v>10</v>
      </c>
      <c r="F1709">
        <v>4068.86</v>
      </c>
      <c r="G1709">
        <v>86557</v>
      </c>
      <c r="H1709">
        <v>8631.2800000000007</v>
      </c>
      <c r="I1709">
        <v>69.53</v>
      </c>
      <c r="J1709" t="str">
        <f>IFERROR(INDEX(Suppliar[Estimated Carbon Footprint (tons CO₂e)],MATCH('Merge operational &amp; suppliar'!A1709,Suppliar[Facility ID],0)),"")</f>
        <v/>
      </c>
      <c r="K1709" t="str">
        <f>IFERROR(INDEX(Suppliar[Income Distribution (%)],MATCH('Merge operational &amp; suppliar'!A1709,Suppliar[Facility ID],0)),"")</f>
        <v/>
      </c>
    </row>
    <row r="1710" spans="1:11" x14ac:dyDescent="0.3">
      <c r="A1710" t="s">
        <v>44</v>
      </c>
      <c r="B1710" t="s">
        <v>19</v>
      </c>
      <c r="C1710" t="s">
        <v>34</v>
      </c>
      <c r="D1710" t="s">
        <v>9</v>
      </c>
      <c r="E1710" t="s">
        <v>10</v>
      </c>
      <c r="F1710">
        <v>4658.54</v>
      </c>
      <c r="G1710">
        <v>16256</v>
      </c>
      <c r="H1710">
        <v>2127.1799999999998</v>
      </c>
      <c r="I1710">
        <v>38.94</v>
      </c>
      <c r="J1710">
        <f>IFERROR(INDEX(Suppliar[Estimated Carbon Footprint (tons CO₂e)],MATCH('Merge operational &amp; suppliar'!A1710,Suppliar[Facility ID],0)),"")</f>
        <v>796.34</v>
      </c>
      <c r="K1710">
        <f>IFERROR(INDEX(Suppliar[Income Distribution (%)],MATCH('Merge operational &amp; suppliar'!A1710,Suppliar[Facility ID],0)),"")</f>
        <v>66.41</v>
      </c>
    </row>
    <row r="1711" spans="1:11" x14ac:dyDescent="0.3">
      <c r="A1711" t="s">
        <v>80</v>
      </c>
      <c r="B1711" t="s">
        <v>17</v>
      </c>
      <c r="C1711" t="s">
        <v>8</v>
      </c>
      <c r="D1711" t="s">
        <v>9</v>
      </c>
      <c r="E1711" t="s">
        <v>10</v>
      </c>
      <c r="F1711">
        <v>3516.45</v>
      </c>
      <c r="G1711">
        <v>75508</v>
      </c>
      <c r="H1711">
        <v>6856.22</v>
      </c>
      <c r="I1711">
        <v>18.2</v>
      </c>
      <c r="J1711">
        <f>IFERROR(INDEX(Suppliar[Estimated Carbon Footprint (tons CO₂e)],MATCH('Merge operational &amp; suppliar'!A1711,Suppliar[Facility ID],0)),"")</f>
        <v>991.03</v>
      </c>
      <c r="K1711">
        <f>IFERROR(INDEX(Suppliar[Income Distribution (%)],MATCH('Merge operational &amp; suppliar'!A1711,Suppliar[Facility ID],0)),"")</f>
        <v>13.32</v>
      </c>
    </row>
    <row r="1712" spans="1:11" x14ac:dyDescent="0.3">
      <c r="A1712" t="s">
        <v>81</v>
      </c>
      <c r="B1712" t="s">
        <v>12</v>
      </c>
      <c r="C1712" t="s">
        <v>34</v>
      </c>
      <c r="D1712" t="s">
        <v>9</v>
      </c>
      <c r="E1712" t="s">
        <v>15</v>
      </c>
      <c r="F1712">
        <v>3133.83</v>
      </c>
      <c r="G1712">
        <v>93661</v>
      </c>
      <c r="H1712">
        <v>7324.58</v>
      </c>
      <c r="I1712">
        <v>23.55</v>
      </c>
      <c r="J1712">
        <f>IFERROR(INDEX(Suppliar[Estimated Carbon Footprint (tons CO₂e)],MATCH('Merge operational &amp; suppliar'!A1712,Suppliar[Facility ID],0)),"")</f>
        <v>390.06</v>
      </c>
      <c r="K1712">
        <f>IFERROR(INDEX(Suppliar[Income Distribution (%)],MATCH('Merge operational &amp; suppliar'!A1712,Suppliar[Facility ID],0)),"")</f>
        <v>23.14</v>
      </c>
    </row>
    <row r="1713" spans="1:11" x14ac:dyDescent="0.3">
      <c r="A1713" t="s">
        <v>29</v>
      </c>
      <c r="B1713" t="s">
        <v>30</v>
      </c>
      <c r="C1713" t="s">
        <v>13</v>
      </c>
      <c r="D1713" t="s">
        <v>28</v>
      </c>
      <c r="E1713" t="s">
        <v>15</v>
      </c>
      <c r="F1713">
        <v>1951.82</v>
      </c>
      <c r="G1713">
        <v>32131</v>
      </c>
      <c r="H1713">
        <v>1474.23</v>
      </c>
      <c r="I1713">
        <v>45.47</v>
      </c>
      <c r="J1713">
        <f>IFERROR(INDEX(Suppliar[Estimated Carbon Footprint (tons CO₂e)],MATCH('Merge operational &amp; suppliar'!A1713,Suppliar[Facility ID],0)),"")</f>
        <v>830.73</v>
      </c>
      <c r="K1713">
        <f>IFERROR(INDEX(Suppliar[Income Distribution (%)],MATCH('Merge operational &amp; suppliar'!A1713,Suppliar[Facility ID],0)),"")</f>
        <v>17.97</v>
      </c>
    </row>
    <row r="1714" spans="1:11" x14ac:dyDescent="0.3">
      <c r="A1714" t="s">
        <v>123</v>
      </c>
      <c r="B1714" t="s">
        <v>30</v>
      </c>
      <c r="C1714" t="s">
        <v>34</v>
      </c>
      <c r="D1714" t="s">
        <v>9</v>
      </c>
      <c r="E1714" t="s">
        <v>10</v>
      </c>
      <c r="F1714">
        <v>2056.02</v>
      </c>
      <c r="G1714">
        <v>73977</v>
      </c>
      <c r="H1714">
        <v>1646.75</v>
      </c>
      <c r="I1714">
        <v>43.77</v>
      </c>
      <c r="J1714" t="str">
        <f>IFERROR(INDEX(Suppliar[Estimated Carbon Footprint (tons CO₂e)],MATCH('Merge operational &amp; suppliar'!A1714,Suppliar[Facility ID],0)),"")</f>
        <v/>
      </c>
      <c r="K1714" t="str">
        <f>IFERROR(INDEX(Suppliar[Income Distribution (%)],MATCH('Merge operational &amp; suppliar'!A1714,Suppliar[Facility ID],0)),"")</f>
        <v/>
      </c>
    </row>
    <row r="1715" spans="1:11" x14ac:dyDescent="0.3">
      <c r="A1715" t="s">
        <v>62</v>
      </c>
      <c r="B1715" t="s">
        <v>30</v>
      </c>
      <c r="C1715" t="s">
        <v>23</v>
      </c>
      <c r="D1715" t="s">
        <v>14</v>
      </c>
      <c r="E1715" t="s">
        <v>10</v>
      </c>
      <c r="F1715">
        <v>377.76</v>
      </c>
      <c r="G1715">
        <v>22309</v>
      </c>
      <c r="H1715">
        <v>3656.29</v>
      </c>
      <c r="I1715">
        <v>75.25</v>
      </c>
      <c r="J1715">
        <f>IFERROR(INDEX(Suppliar[Estimated Carbon Footprint (tons CO₂e)],MATCH('Merge operational &amp; suppliar'!A1715,Suppliar[Facility ID],0)),"")</f>
        <v>795.74</v>
      </c>
      <c r="K1715">
        <f>IFERROR(INDEX(Suppliar[Income Distribution (%)],MATCH('Merge operational &amp; suppliar'!A1715,Suppliar[Facility ID],0)),"")</f>
        <v>26.99</v>
      </c>
    </row>
    <row r="1716" spans="1:11" x14ac:dyDescent="0.3">
      <c r="A1716" t="s">
        <v>183</v>
      </c>
      <c r="B1716" t="s">
        <v>7</v>
      </c>
      <c r="C1716" t="s">
        <v>8</v>
      </c>
      <c r="D1716" t="s">
        <v>14</v>
      </c>
      <c r="E1716" t="s">
        <v>24</v>
      </c>
      <c r="F1716">
        <v>4676.8</v>
      </c>
      <c r="G1716">
        <v>14009</v>
      </c>
      <c r="H1716">
        <v>7528.98</v>
      </c>
      <c r="I1716">
        <v>77.62</v>
      </c>
      <c r="J1716">
        <f>IFERROR(INDEX(Suppliar[Estimated Carbon Footprint (tons CO₂e)],MATCH('Merge operational &amp; suppliar'!A1716,Suppliar[Facility ID],0)),"")</f>
        <v>763.97</v>
      </c>
      <c r="K1716">
        <f>IFERROR(INDEX(Suppliar[Income Distribution (%)],MATCH('Merge operational &amp; suppliar'!A1716,Suppliar[Facility ID],0)),"")</f>
        <v>24.91</v>
      </c>
    </row>
    <row r="1717" spans="1:11" x14ac:dyDescent="0.3">
      <c r="A1717" t="s">
        <v>198</v>
      </c>
      <c r="B1717" t="s">
        <v>12</v>
      </c>
      <c r="C1717" t="s">
        <v>23</v>
      </c>
      <c r="D1717" t="s">
        <v>9</v>
      </c>
      <c r="E1717" t="s">
        <v>15</v>
      </c>
      <c r="F1717">
        <v>3984.46</v>
      </c>
      <c r="G1717">
        <v>58113</v>
      </c>
      <c r="H1717">
        <v>6382.12</v>
      </c>
      <c r="I1717">
        <v>56.66</v>
      </c>
      <c r="J1717">
        <f>IFERROR(INDEX(Suppliar[Estimated Carbon Footprint (tons CO₂e)],MATCH('Merge operational &amp; suppliar'!A1717,Suppliar[Facility ID],0)),"")</f>
        <v>431.16</v>
      </c>
      <c r="K1717">
        <f>IFERROR(INDEX(Suppliar[Income Distribution (%)],MATCH('Merge operational &amp; suppliar'!A1717,Suppliar[Facility ID],0)),"")</f>
        <v>48.25</v>
      </c>
    </row>
    <row r="1718" spans="1:11" x14ac:dyDescent="0.3">
      <c r="A1718" t="s">
        <v>205</v>
      </c>
      <c r="B1718" t="s">
        <v>17</v>
      </c>
      <c r="C1718" t="s">
        <v>13</v>
      </c>
      <c r="D1718" t="s">
        <v>9</v>
      </c>
      <c r="E1718" t="s">
        <v>15</v>
      </c>
      <c r="F1718">
        <v>1346.68</v>
      </c>
      <c r="G1718">
        <v>52594</v>
      </c>
      <c r="H1718">
        <v>8715.0400000000009</v>
      </c>
      <c r="I1718">
        <v>90.54</v>
      </c>
      <c r="J1718">
        <f>IFERROR(INDEX(Suppliar[Estimated Carbon Footprint (tons CO₂e)],MATCH('Merge operational &amp; suppliar'!A1718,Suppliar[Facility ID],0)),"")</f>
        <v>553.44000000000005</v>
      </c>
      <c r="K1718">
        <f>IFERROR(INDEX(Suppliar[Income Distribution (%)],MATCH('Merge operational &amp; suppliar'!A1718,Suppliar[Facility ID],0)),"")</f>
        <v>23.44</v>
      </c>
    </row>
    <row r="1719" spans="1:11" x14ac:dyDescent="0.3">
      <c r="A1719" t="s">
        <v>126</v>
      </c>
      <c r="B1719" t="s">
        <v>30</v>
      </c>
      <c r="C1719" t="s">
        <v>13</v>
      </c>
      <c r="D1719" t="s">
        <v>9</v>
      </c>
      <c r="E1719" t="s">
        <v>24</v>
      </c>
      <c r="F1719">
        <v>4869.82</v>
      </c>
      <c r="G1719">
        <v>35506</v>
      </c>
      <c r="H1719">
        <v>1892.04</v>
      </c>
      <c r="I1719">
        <v>61.53</v>
      </c>
      <c r="J1719" t="str">
        <f>IFERROR(INDEX(Suppliar[Estimated Carbon Footprint (tons CO₂e)],MATCH('Merge operational &amp; suppliar'!A1719,Suppliar[Facility ID],0)),"")</f>
        <v/>
      </c>
      <c r="K1719" t="str">
        <f>IFERROR(INDEX(Suppliar[Income Distribution (%)],MATCH('Merge operational &amp; suppliar'!A1719,Suppliar[Facility ID],0)),"")</f>
        <v/>
      </c>
    </row>
    <row r="1720" spans="1:11" x14ac:dyDescent="0.3">
      <c r="A1720" t="s">
        <v>183</v>
      </c>
      <c r="B1720" t="s">
        <v>7</v>
      </c>
      <c r="C1720" t="s">
        <v>34</v>
      </c>
      <c r="D1720" t="s">
        <v>9</v>
      </c>
      <c r="E1720" t="s">
        <v>15</v>
      </c>
      <c r="F1720">
        <v>2329.09</v>
      </c>
      <c r="G1720">
        <v>14009</v>
      </c>
      <c r="H1720">
        <v>7528.98</v>
      </c>
      <c r="I1720">
        <v>77.62</v>
      </c>
      <c r="J1720">
        <f>IFERROR(INDEX(Suppliar[Estimated Carbon Footprint (tons CO₂e)],MATCH('Merge operational &amp; suppliar'!A1720,Suppliar[Facility ID],0)),"")</f>
        <v>763.97</v>
      </c>
      <c r="K1720">
        <f>IFERROR(INDEX(Suppliar[Income Distribution (%)],MATCH('Merge operational &amp; suppliar'!A1720,Suppliar[Facility ID],0)),"")</f>
        <v>24.91</v>
      </c>
    </row>
    <row r="1721" spans="1:11" x14ac:dyDescent="0.3">
      <c r="A1721" t="s">
        <v>217</v>
      </c>
      <c r="B1721" t="s">
        <v>19</v>
      </c>
      <c r="C1721" t="s">
        <v>8</v>
      </c>
      <c r="D1721" t="s">
        <v>9</v>
      </c>
      <c r="E1721" t="s">
        <v>15</v>
      </c>
      <c r="F1721">
        <v>4828.6000000000004</v>
      </c>
      <c r="G1721">
        <v>80824</v>
      </c>
      <c r="H1721">
        <v>2858.92</v>
      </c>
      <c r="I1721">
        <v>13.97</v>
      </c>
      <c r="J1721">
        <f>IFERROR(INDEX(Suppliar[Estimated Carbon Footprint (tons CO₂e)],MATCH('Merge operational &amp; suppliar'!A1721,Suppliar[Facility ID],0)),"")</f>
        <v>638.89</v>
      </c>
      <c r="K1721">
        <f>IFERROR(INDEX(Suppliar[Income Distribution (%)],MATCH('Merge operational &amp; suppliar'!A1721,Suppliar[Facility ID],0)),"")</f>
        <v>21.98</v>
      </c>
    </row>
    <row r="1722" spans="1:11" x14ac:dyDescent="0.3">
      <c r="A1722" t="s">
        <v>130</v>
      </c>
      <c r="B1722" t="s">
        <v>12</v>
      </c>
      <c r="C1722" t="s">
        <v>8</v>
      </c>
      <c r="D1722" t="s">
        <v>28</v>
      </c>
      <c r="E1722" t="s">
        <v>10</v>
      </c>
      <c r="F1722">
        <v>3423.67</v>
      </c>
      <c r="G1722">
        <v>82332</v>
      </c>
      <c r="H1722">
        <v>7134.86</v>
      </c>
      <c r="I1722">
        <v>22.44</v>
      </c>
      <c r="J1722">
        <f>IFERROR(INDEX(Suppliar[Estimated Carbon Footprint (tons CO₂e)],MATCH('Merge operational &amp; suppliar'!A1722,Suppliar[Facility ID],0)),"")</f>
        <v>553.44000000000005</v>
      </c>
      <c r="K1722">
        <f>IFERROR(INDEX(Suppliar[Income Distribution (%)],MATCH('Merge operational &amp; suppliar'!A1722,Suppliar[Facility ID],0)),"")</f>
        <v>13.24</v>
      </c>
    </row>
    <row r="1723" spans="1:11" x14ac:dyDescent="0.3">
      <c r="A1723" t="s">
        <v>198</v>
      </c>
      <c r="B1723" t="s">
        <v>12</v>
      </c>
      <c r="C1723" t="s">
        <v>34</v>
      </c>
      <c r="D1723" t="s">
        <v>14</v>
      </c>
      <c r="E1723" t="s">
        <v>10</v>
      </c>
      <c r="F1723">
        <v>2957.49</v>
      </c>
      <c r="G1723">
        <v>58113</v>
      </c>
      <c r="H1723">
        <v>6382.12</v>
      </c>
      <c r="I1723">
        <v>56.66</v>
      </c>
      <c r="J1723">
        <f>IFERROR(INDEX(Suppliar[Estimated Carbon Footprint (tons CO₂e)],MATCH('Merge operational &amp; suppliar'!A1723,Suppliar[Facility ID],0)),"")</f>
        <v>431.16</v>
      </c>
      <c r="K1723">
        <f>IFERROR(INDEX(Suppliar[Income Distribution (%)],MATCH('Merge operational &amp; suppliar'!A1723,Suppliar[Facility ID],0)),"")</f>
        <v>48.25</v>
      </c>
    </row>
    <row r="1724" spans="1:11" x14ac:dyDescent="0.3">
      <c r="A1724" t="s">
        <v>197</v>
      </c>
      <c r="B1724" t="s">
        <v>30</v>
      </c>
      <c r="C1724" t="s">
        <v>13</v>
      </c>
      <c r="D1724" t="s">
        <v>14</v>
      </c>
      <c r="E1724" t="s">
        <v>15</v>
      </c>
      <c r="F1724">
        <v>3128.34</v>
      </c>
      <c r="G1724">
        <v>56752</v>
      </c>
      <c r="H1724">
        <v>4177.68</v>
      </c>
      <c r="I1724">
        <v>10.96</v>
      </c>
      <c r="J1724">
        <f>IFERROR(INDEX(Suppliar[Estimated Carbon Footprint (tons CO₂e)],MATCH('Merge operational &amp; suppliar'!A1724,Suppliar[Facility ID],0)),"")</f>
        <v>694.92</v>
      </c>
      <c r="K1724">
        <f>IFERROR(INDEX(Suppliar[Income Distribution (%)],MATCH('Merge operational &amp; suppliar'!A1724,Suppliar[Facility ID],0)),"")</f>
        <v>9.8699999999999992</v>
      </c>
    </row>
    <row r="1725" spans="1:11" x14ac:dyDescent="0.3">
      <c r="A1725" t="s">
        <v>122</v>
      </c>
      <c r="B1725" t="s">
        <v>19</v>
      </c>
      <c r="C1725" t="s">
        <v>34</v>
      </c>
      <c r="D1725" t="s">
        <v>9</v>
      </c>
      <c r="E1725" t="s">
        <v>24</v>
      </c>
      <c r="F1725">
        <v>4548.07</v>
      </c>
      <c r="G1725">
        <v>95962</v>
      </c>
      <c r="H1725">
        <v>524.72</v>
      </c>
      <c r="I1725">
        <v>49.55</v>
      </c>
      <c r="J1725">
        <f>IFERROR(INDEX(Suppliar[Estimated Carbon Footprint (tons CO₂e)],MATCH('Merge operational &amp; suppliar'!A1725,Suppliar[Facility ID],0)),"")</f>
        <v>991.36</v>
      </c>
      <c r="K1725">
        <f>IFERROR(INDEX(Suppliar[Income Distribution (%)],MATCH('Merge operational &amp; suppliar'!A1725,Suppliar[Facility ID],0)),"")</f>
        <v>18.28</v>
      </c>
    </row>
    <row r="1726" spans="1:11" x14ac:dyDescent="0.3">
      <c r="A1726" t="s">
        <v>165</v>
      </c>
      <c r="B1726" t="s">
        <v>7</v>
      </c>
      <c r="C1726" t="s">
        <v>23</v>
      </c>
      <c r="D1726" t="s">
        <v>14</v>
      </c>
      <c r="E1726" t="s">
        <v>15</v>
      </c>
      <c r="F1726">
        <v>3929.66</v>
      </c>
      <c r="G1726">
        <v>32991</v>
      </c>
      <c r="H1726">
        <v>8540.14</v>
      </c>
      <c r="I1726">
        <v>37.75</v>
      </c>
      <c r="J1726">
        <f>IFERROR(INDEX(Suppliar[Estimated Carbon Footprint (tons CO₂e)],MATCH('Merge operational &amp; suppliar'!A1726,Suppliar[Facility ID],0)),"")</f>
        <v>268.16000000000003</v>
      </c>
      <c r="K1726">
        <f>IFERROR(INDEX(Suppliar[Income Distribution (%)],MATCH('Merge operational &amp; suppliar'!A1726,Suppliar[Facility ID],0)),"")</f>
        <v>9.08</v>
      </c>
    </row>
    <row r="1727" spans="1:11" x14ac:dyDescent="0.3">
      <c r="A1727" t="s">
        <v>123</v>
      </c>
      <c r="B1727" t="s">
        <v>30</v>
      </c>
      <c r="C1727" t="s">
        <v>13</v>
      </c>
      <c r="D1727" t="s">
        <v>9</v>
      </c>
      <c r="E1727" t="s">
        <v>10</v>
      </c>
      <c r="F1727">
        <v>3790.62</v>
      </c>
      <c r="G1727">
        <v>73977</v>
      </c>
      <c r="H1727">
        <v>1646.75</v>
      </c>
      <c r="I1727">
        <v>43.77</v>
      </c>
      <c r="J1727" t="str">
        <f>IFERROR(INDEX(Suppliar[Estimated Carbon Footprint (tons CO₂e)],MATCH('Merge operational &amp; suppliar'!A1727,Suppliar[Facility ID],0)),"")</f>
        <v/>
      </c>
      <c r="K1727" t="str">
        <f>IFERROR(INDEX(Suppliar[Income Distribution (%)],MATCH('Merge operational &amp; suppliar'!A1727,Suppliar[Facility ID],0)),"")</f>
        <v/>
      </c>
    </row>
    <row r="1728" spans="1:11" x14ac:dyDescent="0.3">
      <c r="A1728" t="s">
        <v>142</v>
      </c>
      <c r="B1728" t="s">
        <v>17</v>
      </c>
      <c r="C1728" t="s">
        <v>13</v>
      </c>
      <c r="D1728" t="s">
        <v>28</v>
      </c>
      <c r="E1728" t="s">
        <v>24</v>
      </c>
      <c r="F1728">
        <v>4480.07</v>
      </c>
      <c r="G1728">
        <v>75736</v>
      </c>
      <c r="H1728">
        <v>6287.07</v>
      </c>
      <c r="I1728">
        <v>63.11</v>
      </c>
      <c r="J1728">
        <f>IFERROR(INDEX(Suppliar[Estimated Carbon Footprint (tons CO₂e)],MATCH('Merge operational &amp; suppliar'!A1728,Suppliar[Facility ID],0)),"")</f>
        <v>851.48</v>
      </c>
      <c r="K1728">
        <f>IFERROR(INDEX(Suppliar[Income Distribution (%)],MATCH('Merge operational &amp; suppliar'!A1728,Suppliar[Facility ID],0)),"")</f>
        <v>25.39</v>
      </c>
    </row>
    <row r="1729" spans="1:11" x14ac:dyDescent="0.3">
      <c r="A1729" t="s">
        <v>62</v>
      </c>
      <c r="B1729" t="s">
        <v>30</v>
      </c>
      <c r="C1729" t="s">
        <v>23</v>
      </c>
      <c r="D1729" t="s">
        <v>28</v>
      </c>
      <c r="E1729" t="s">
        <v>10</v>
      </c>
      <c r="F1729">
        <v>4123.79</v>
      </c>
      <c r="G1729">
        <v>22309</v>
      </c>
      <c r="H1729">
        <v>3656.29</v>
      </c>
      <c r="I1729">
        <v>75.25</v>
      </c>
      <c r="J1729">
        <f>IFERROR(INDEX(Suppliar[Estimated Carbon Footprint (tons CO₂e)],MATCH('Merge operational &amp; suppliar'!A1729,Suppliar[Facility ID],0)),"")</f>
        <v>795.74</v>
      </c>
      <c r="K1729">
        <f>IFERROR(INDEX(Suppliar[Income Distribution (%)],MATCH('Merge operational &amp; suppliar'!A1729,Suppliar[Facility ID],0)),"")</f>
        <v>26.99</v>
      </c>
    </row>
    <row r="1730" spans="1:11" x14ac:dyDescent="0.3">
      <c r="A1730" t="s">
        <v>90</v>
      </c>
      <c r="B1730" t="s">
        <v>19</v>
      </c>
      <c r="C1730" t="s">
        <v>13</v>
      </c>
      <c r="D1730" t="s">
        <v>14</v>
      </c>
      <c r="E1730" t="s">
        <v>10</v>
      </c>
      <c r="F1730">
        <v>100.8</v>
      </c>
      <c r="G1730">
        <v>97337</v>
      </c>
      <c r="H1730">
        <v>3362.06</v>
      </c>
      <c r="I1730">
        <v>55.46</v>
      </c>
      <c r="J1730">
        <f>IFERROR(INDEX(Suppliar[Estimated Carbon Footprint (tons CO₂e)],MATCH('Merge operational &amp; suppliar'!A1730,Suppliar[Facility ID],0)),"")</f>
        <v>459.56</v>
      </c>
      <c r="K1730">
        <f>IFERROR(INDEX(Suppliar[Income Distribution (%)],MATCH('Merge operational &amp; suppliar'!A1730,Suppliar[Facility ID],0)),"")</f>
        <v>10.31</v>
      </c>
    </row>
    <row r="1731" spans="1:11" x14ac:dyDescent="0.3">
      <c r="A1731" t="s">
        <v>100</v>
      </c>
      <c r="B1731" t="s">
        <v>7</v>
      </c>
      <c r="C1731" t="s">
        <v>23</v>
      </c>
      <c r="D1731" t="s">
        <v>28</v>
      </c>
      <c r="E1731" t="s">
        <v>10</v>
      </c>
      <c r="F1731">
        <v>4783.3999999999996</v>
      </c>
      <c r="G1731">
        <v>17468</v>
      </c>
      <c r="H1731">
        <v>6359.73</v>
      </c>
      <c r="I1731">
        <v>5.22</v>
      </c>
      <c r="J1731">
        <f>IFERROR(INDEX(Suppliar[Estimated Carbon Footprint (tons CO₂e)],MATCH('Merge operational &amp; suppliar'!A1731,Suppliar[Facility ID],0)),"")</f>
        <v>959.2</v>
      </c>
      <c r="K1731">
        <f>IFERROR(INDEX(Suppliar[Income Distribution (%)],MATCH('Merge operational &amp; suppliar'!A1731,Suppliar[Facility ID],0)),"")</f>
        <v>36.92</v>
      </c>
    </row>
    <row r="1732" spans="1:11" x14ac:dyDescent="0.3">
      <c r="A1732" t="s">
        <v>131</v>
      </c>
      <c r="B1732" t="s">
        <v>17</v>
      </c>
      <c r="C1732" t="s">
        <v>23</v>
      </c>
      <c r="D1732" t="s">
        <v>9</v>
      </c>
      <c r="E1732" t="s">
        <v>10</v>
      </c>
      <c r="F1732">
        <v>2568.52</v>
      </c>
      <c r="G1732">
        <v>94128</v>
      </c>
      <c r="H1732">
        <v>8117.82</v>
      </c>
      <c r="I1732">
        <v>73.83</v>
      </c>
      <c r="J1732">
        <f>IFERROR(INDEX(Suppliar[Estimated Carbon Footprint (tons CO₂e)],MATCH('Merge operational &amp; suppliar'!A1732,Suppliar[Facility ID],0)),"")</f>
        <v>532.27</v>
      </c>
      <c r="K1732">
        <f>IFERROR(INDEX(Suppliar[Income Distribution (%)],MATCH('Merge operational &amp; suppliar'!A1732,Suppliar[Facility ID],0)),"")</f>
        <v>31.74</v>
      </c>
    </row>
    <row r="1733" spans="1:11" x14ac:dyDescent="0.3">
      <c r="A1733" t="s">
        <v>49</v>
      </c>
      <c r="B1733" t="s">
        <v>19</v>
      </c>
      <c r="C1733" t="s">
        <v>13</v>
      </c>
      <c r="D1733" t="s">
        <v>28</v>
      </c>
      <c r="E1733" t="s">
        <v>15</v>
      </c>
      <c r="F1733">
        <v>246.64</v>
      </c>
      <c r="G1733">
        <v>50306</v>
      </c>
      <c r="H1733">
        <v>7031.37</v>
      </c>
      <c r="I1733">
        <v>13.27</v>
      </c>
      <c r="J1733" t="str">
        <f>IFERROR(INDEX(Suppliar[Estimated Carbon Footprint (tons CO₂e)],MATCH('Merge operational &amp; suppliar'!A1733,Suppliar[Facility ID],0)),"")</f>
        <v/>
      </c>
      <c r="K1733" t="str">
        <f>IFERROR(INDEX(Suppliar[Income Distribution (%)],MATCH('Merge operational &amp; suppliar'!A1733,Suppliar[Facility ID],0)),"")</f>
        <v/>
      </c>
    </row>
    <row r="1734" spans="1:11" x14ac:dyDescent="0.3">
      <c r="A1734" t="s">
        <v>71</v>
      </c>
      <c r="B1734" t="s">
        <v>7</v>
      </c>
      <c r="C1734" t="s">
        <v>8</v>
      </c>
      <c r="D1734" t="s">
        <v>14</v>
      </c>
      <c r="E1734" t="s">
        <v>15</v>
      </c>
      <c r="F1734">
        <v>498.61</v>
      </c>
      <c r="G1734">
        <v>68018</v>
      </c>
      <c r="H1734">
        <v>3523.4</v>
      </c>
      <c r="I1734">
        <v>92.26</v>
      </c>
      <c r="J1734">
        <f>IFERROR(INDEX(Suppliar[Estimated Carbon Footprint (tons CO₂e)],MATCH('Merge operational &amp; suppliar'!A1734,Suppliar[Facility ID],0)),"")</f>
        <v>111.84</v>
      </c>
      <c r="K1734">
        <f>IFERROR(INDEX(Suppliar[Income Distribution (%)],MATCH('Merge operational &amp; suppliar'!A1734,Suppliar[Facility ID],0)),"")</f>
        <v>15.85</v>
      </c>
    </row>
    <row r="1735" spans="1:11" x14ac:dyDescent="0.3">
      <c r="A1735" t="s">
        <v>139</v>
      </c>
      <c r="B1735" t="s">
        <v>7</v>
      </c>
      <c r="C1735" t="s">
        <v>8</v>
      </c>
      <c r="D1735" t="s">
        <v>14</v>
      </c>
      <c r="E1735" t="s">
        <v>10</v>
      </c>
      <c r="F1735">
        <v>3705.73</v>
      </c>
      <c r="G1735">
        <v>10067</v>
      </c>
      <c r="H1735">
        <v>1953.33</v>
      </c>
      <c r="I1735">
        <v>25.15</v>
      </c>
      <c r="J1735">
        <f>IFERROR(INDEX(Suppliar[Estimated Carbon Footprint (tons CO₂e)],MATCH('Merge operational &amp; suppliar'!A1735,Suppliar[Facility ID],0)),"")</f>
        <v>785.8</v>
      </c>
      <c r="K1735">
        <f>IFERROR(INDEX(Suppliar[Income Distribution (%)],MATCH('Merge operational &amp; suppliar'!A1735,Suppliar[Facility ID],0)),"")</f>
        <v>19.649999999999999</v>
      </c>
    </row>
    <row r="1736" spans="1:11" x14ac:dyDescent="0.3">
      <c r="A1736" t="s">
        <v>170</v>
      </c>
      <c r="B1736" t="s">
        <v>12</v>
      </c>
      <c r="C1736" t="s">
        <v>23</v>
      </c>
      <c r="D1736" t="s">
        <v>28</v>
      </c>
      <c r="E1736" t="s">
        <v>24</v>
      </c>
      <c r="F1736">
        <v>470.38</v>
      </c>
      <c r="G1736">
        <v>54133</v>
      </c>
      <c r="H1736">
        <v>8543.68</v>
      </c>
      <c r="I1736">
        <v>24</v>
      </c>
      <c r="J1736">
        <f>IFERROR(INDEX(Suppliar[Estimated Carbon Footprint (tons CO₂e)],MATCH('Merge operational &amp; suppliar'!A1736,Suppliar[Facility ID],0)),"")</f>
        <v>991.03</v>
      </c>
      <c r="K1736">
        <f>IFERROR(INDEX(Suppliar[Income Distribution (%)],MATCH('Merge operational &amp; suppliar'!A1736,Suppliar[Facility ID],0)),"")</f>
        <v>23.33</v>
      </c>
    </row>
    <row r="1737" spans="1:11" x14ac:dyDescent="0.3">
      <c r="A1737" t="s">
        <v>157</v>
      </c>
      <c r="B1737" t="s">
        <v>30</v>
      </c>
      <c r="C1737" t="s">
        <v>23</v>
      </c>
      <c r="D1737" t="s">
        <v>28</v>
      </c>
      <c r="E1737" t="s">
        <v>10</v>
      </c>
      <c r="F1737">
        <v>2355.87</v>
      </c>
      <c r="G1737">
        <v>76544</v>
      </c>
      <c r="H1737">
        <v>8632.77</v>
      </c>
      <c r="I1737">
        <v>12.87</v>
      </c>
      <c r="J1737">
        <f>IFERROR(INDEX(Suppliar[Estimated Carbon Footprint (tons CO₂e)],MATCH('Merge operational &amp; suppliar'!A1737,Suppliar[Facility ID],0)),"")</f>
        <v>571.88</v>
      </c>
      <c r="K1737">
        <f>IFERROR(INDEX(Suppliar[Income Distribution (%)],MATCH('Merge operational &amp; suppliar'!A1737,Suppliar[Facility ID],0)),"")</f>
        <v>30.1</v>
      </c>
    </row>
    <row r="1738" spans="1:11" x14ac:dyDescent="0.3">
      <c r="A1738" t="s">
        <v>179</v>
      </c>
      <c r="B1738" t="s">
        <v>7</v>
      </c>
      <c r="C1738" t="s">
        <v>13</v>
      </c>
      <c r="D1738" t="s">
        <v>14</v>
      </c>
      <c r="E1738" t="s">
        <v>10</v>
      </c>
      <c r="F1738">
        <v>484.51</v>
      </c>
      <c r="G1738">
        <v>94393</v>
      </c>
      <c r="H1738">
        <v>6691.7</v>
      </c>
      <c r="I1738">
        <v>74.790000000000006</v>
      </c>
      <c r="J1738">
        <f>IFERROR(INDEX(Suppliar[Estimated Carbon Footprint (tons CO₂e)],MATCH('Merge operational &amp; suppliar'!A1738,Suppliar[Facility ID],0)),"")</f>
        <v>867.66</v>
      </c>
      <c r="K1738">
        <f>IFERROR(INDEX(Suppliar[Income Distribution (%)],MATCH('Merge operational &amp; suppliar'!A1738,Suppliar[Facility ID],0)),"")</f>
        <v>32.97</v>
      </c>
    </row>
    <row r="1739" spans="1:11" x14ac:dyDescent="0.3">
      <c r="A1739" t="s">
        <v>18</v>
      </c>
      <c r="B1739" t="s">
        <v>19</v>
      </c>
      <c r="C1739" t="s">
        <v>23</v>
      </c>
      <c r="D1739" t="s">
        <v>14</v>
      </c>
      <c r="E1739" t="s">
        <v>15</v>
      </c>
      <c r="F1739">
        <v>3299.33</v>
      </c>
      <c r="G1739">
        <v>98682</v>
      </c>
      <c r="H1739">
        <v>6220.56</v>
      </c>
      <c r="I1739">
        <v>70.099999999999994</v>
      </c>
      <c r="J1739">
        <f>IFERROR(INDEX(Suppliar[Estimated Carbon Footprint (tons CO₂e)],MATCH('Merge operational &amp; suppliar'!A1739,Suppliar[Facility ID],0)),"")</f>
        <v>724.63</v>
      </c>
      <c r="K1739">
        <f>IFERROR(INDEX(Suppliar[Income Distribution (%)],MATCH('Merge operational &amp; suppliar'!A1739,Suppliar[Facility ID],0)),"")</f>
        <v>27.81</v>
      </c>
    </row>
    <row r="1740" spans="1:11" x14ac:dyDescent="0.3">
      <c r="A1740" t="s">
        <v>110</v>
      </c>
      <c r="B1740" t="s">
        <v>12</v>
      </c>
      <c r="C1740" t="s">
        <v>34</v>
      </c>
      <c r="D1740" t="s">
        <v>28</v>
      </c>
      <c r="E1740" t="s">
        <v>10</v>
      </c>
      <c r="F1740">
        <v>3312.29</v>
      </c>
      <c r="G1740">
        <v>70481</v>
      </c>
      <c r="H1740">
        <v>4452.83</v>
      </c>
      <c r="I1740">
        <v>91.26</v>
      </c>
      <c r="J1740" t="str">
        <f>IFERROR(INDEX(Suppliar[Estimated Carbon Footprint (tons CO₂e)],MATCH('Merge operational &amp; suppliar'!A1740,Suppliar[Facility ID],0)),"")</f>
        <v/>
      </c>
      <c r="K1740" t="str">
        <f>IFERROR(INDEX(Suppliar[Income Distribution (%)],MATCH('Merge operational &amp; suppliar'!A1740,Suppliar[Facility ID],0)),"")</f>
        <v/>
      </c>
    </row>
    <row r="1741" spans="1:11" x14ac:dyDescent="0.3">
      <c r="A1741" t="s">
        <v>93</v>
      </c>
      <c r="B1741" t="s">
        <v>30</v>
      </c>
      <c r="C1741" t="s">
        <v>8</v>
      </c>
      <c r="D1741" t="s">
        <v>28</v>
      </c>
      <c r="E1741" t="s">
        <v>15</v>
      </c>
      <c r="F1741">
        <v>2017.59</v>
      </c>
      <c r="G1741">
        <v>26378</v>
      </c>
      <c r="H1741">
        <v>2915.44</v>
      </c>
      <c r="I1741">
        <v>29.84</v>
      </c>
      <c r="J1741">
        <f>IFERROR(INDEX(Suppliar[Estimated Carbon Footprint (tons CO₂e)],MATCH('Merge operational &amp; suppliar'!A1741,Suppliar[Facility ID],0)),"")</f>
        <v>311.36</v>
      </c>
      <c r="K1741">
        <f>IFERROR(INDEX(Suppliar[Income Distribution (%)],MATCH('Merge operational &amp; suppliar'!A1741,Suppliar[Facility ID],0)),"")</f>
        <v>26.09</v>
      </c>
    </row>
    <row r="1742" spans="1:11" x14ac:dyDescent="0.3">
      <c r="A1742" t="s">
        <v>95</v>
      </c>
      <c r="B1742" t="s">
        <v>30</v>
      </c>
      <c r="C1742" t="s">
        <v>34</v>
      </c>
      <c r="D1742" t="s">
        <v>9</v>
      </c>
      <c r="E1742" t="s">
        <v>10</v>
      </c>
      <c r="F1742">
        <v>3564.21</v>
      </c>
      <c r="G1742">
        <v>51800</v>
      </c>
      <c r="H1742">
        <v>3042.95</v>
      </c>
      <c r="I1742">
        <v>71.87</v>
      </c>
      <c r="J1742">
        <f>IFERROR(INDEX(Suppliar[Estimated Carbon Footprint (tons CO₂e)],MATCH('Merge operational &amp; suppliar'!A1742,Suppliar[Facility ID],0)),"")</f>
        <v>714.03</v>
      </c>
      <c r="K1742">
        <f>IFERROR(INDEX(Suppliar[Income Distribution (%)],MATCH('Merge operational &amp; suppliar'!A1742,Suppliar[Facility ID],0)),"")</f>
        <v>10.84</v>
      </c>
    </row>
    <row r="1743" spans="1:11" x14ac:dyDescent="0.3">
      <c r="A1743" t="s">
        <v>122</v>
      </c>
      <c r="B1743" t="s">
        <v>19</v>
      </c>
      <c r="C1743" t="s">
        <v>13</v>
      </c>
      <c r="D1743" t="s">
        <v>9</v>
      </c>
      <c r="E1743" t="s">
        <v>24</v>
      </c>
      <c r="F1743">
        <v>4913.54</v>
      </c>
      <c r="G1743">
        <v>95962</v>
      </c>
      <c r="H1743">
        <v>524.72</v>
      </c>
      <c r="I1743">
        <v>49.55</v>
      </c>
      <c r="J1743">
        <f>IFERROR(INDEX(Suppliar[Estimated Carbon Footprint (tons CO₂e)],MATCH('Merge operational &amp; suppliar'!A1743,Suppliar[Facility ID],0)),"")</f>
        <v>991.36</v>
      </c>
      <c r="K1743">
        <f>IFERROR(INDEX(Suppliar[Income Distribution (%)],MATCH('Merge operational &amp; suppliar'!A1743,Suppliar[Facility ID],0)),"")</f>
        <v>18.28</v>
      </c>
    </row>
    <row r="1744" spans="1:11" x14ac:dyDescent="0.3">
      <c r="A1744" t="s">
        <v>184</v>
      </c>
      <c r="B1744" t="s">
        <v>30</v>
      </c>
      <c r="C1744" t="s">
        <v>34</v>
      </c>
      <c r="D1744" t="s">
        <v>9</v>
      </c>
      <c r="E1744" t="s">
        <v>10</v>
      </c>
      <c r="F1744">
        <v>1184.8599999999999</v>
      </c>
      <c r="G1744">
        <v>13543</v>
      </c>
      <c r="H1744">
        <v>7854.96</v>
      </c>
      <c r="I1744">
        <v>85.57</v>
      </c>
      <c r="J1744">
        <f>IFERROR(INDEX(Suppliar[Estimated Carbon Footprint (tons CO₂e)],MATCH('Merge operational &amp; suppliar'!A1744,Suppliar[Facility ID],0)),"")</f>
        <v>610.79999999999995</v>
      </c>
      <c r="K1744">
        <f>IFERROR(INDEX(Suppliar[Income Distribution (%)],MATCH('Merge operational &amp; suppliar'!A1744,Suppliar[Facility ID],0)),"")</f>
        <v>30.04</v>
      </c>
    </row>
    <row r="1745" spans="1:11" x14ac:dyDescent="0.3">
      <c r="A1745" t="s">
        <v>6</v>
      </c>
      <c r="B1745" t="s">
        <v>7</v>
      </c>
      <c r="C1745" t="s">
        <v>34</v>
      </c>
      <c r="D1745" t="s">
        <v>14</v>
      </c>
      <c r="E1745" t="s">
        <v>24</v>
      </c>
      <c r="F1745">
        <v>3845.16</v>
      </c>
      <c r="G1745">
        <v>77330</v>
      </c>
      <c r="H1745">
        <v>6936.58</v>
      </c>
      <c r="I1745">
        <v>82.3</v>
      </c>
      <c r="J1745">
        <f>IFERROR(INDEX(Suppliar[Estimated Carbon Footprint (tons CO₂e)],MATCH('Merge operational &amp; suppliar'!A1745,Suppliar[Facility ID],0)),"")</f>
        <v>264.23</v>
      </c>
      <c r="K1745">
        <f>IFERROR(INDEX(Suppliar[Income Distribution (%)],MATCH('Merge operational &amp; suppliar'!A1745,Suppliar[Facility ID],0)),"")</f>
        <v>28.19</v>
      </c>
    </row>
    <row r="1746" spans="1:11" x14ac:dyDescent="0.3">
      <c r="A1746" t="s">
        <v>55</v>
      </c>
      <c r="B1746" t="s">
        <v>12</v>
      </c>
      <c r="C1746" t="s">
        <v>34</v>
      </c>
      <c r="D1746" t="s">
        <v>28</v>
      </c>
      <c r="E1746" t="s">
        <v>10</v>
      </c>
      <c r="F1746">
        <v>2288.2800000000002</v>
      </c>
      <c r="G1746">
        <v>38181</v>
      </c>
      <c r="H1746">
        <v>691.84</v>
      </c>
      <c r="I1746">
        <v>33.53</v>
      </c>
      <c r="J1746">
        <f>IFERROR(INDEX(Suppliar[Estimated Carbon Footprint (tons CO₂e)],MATCH('Merge operational &amp; suppliar'!A1746,Suppliar[Facility ID],0)),"")</f>
        <v>114.57</v>
      </c>
      <c r="K1746">
        <f>IFERROR(INDEX(Suppliar[Income Distribution (%)],MATCH('Merge operational &amp; suppliar'!A1746,Suppliar[Facility ID],0)),"")</f>
        <v>9.9600000000000009</v>
      </c>
    </row>
    <row r="1747" spans="1:11" x14ac:dyDescent="0.3">
      <c r="A1747" t="s">
        <v>57</v>
      </c>
      <c r="B1747" t="s">
        <v>19</v>
      </c>
      <c r="C1747" t="s">
        <v>34</v>
      </c>
      <c r="D1747" t="s">
        <v>28</v>
      </c>
      <c r="E1747" t="s">
        <v>15</v>
      </c>
      <c r="F1747">
        <v>751.28</v>
      </c>
      <c r="G1747">
        <v>41027</v>
      </c>
      <c r="H1747">
        <v>7285.85</v>
      </c>
      <c r="I1747">
        <v>59.87</v>
      </c>
      <c r="J1747">
        <f>IFERROR(INDEX(Suppliar[Estimated Carbon Footprint (tons CO₂e)],MATCH('Merge operational &amp; suppliar'!A1747,Suppliar[Facility ID],0)),"")</f>
        <v>763.97</v>
      </c>
      <c r="K1747">
        <f>IFERROR(INDEX(Suppliar[Income Distribution (%)],MATCH('Merge operational &amp; suppliar'!A1747,Suppliar[Facility ID],0)),"")</f>
        <v>34.14</v>
      </c>
    </row>
    <row r="1748" spans="1:11" x14ac:dyDescent="0.3">
      <c r="A1748" t="s">
        <v>133</v>
      </c>
      <c r="B1748" t="s">
        <v>17</v>
      </c>
      <c r="C1748" t="s">
        <v>34</v>
      </c>
      <c r="D1748" t="s">
        <v>28</v>
      </c>
      <c r="E1748" t="s">
        <v>24</v>
      </c>
      <c r="F1748">
        <v>2159.65</v>
      </c>
      <c r="G1748">
        <v>48501</v>
      </c>
      <c r="H1748">
        <v>7209.77</v>
      </c>
      <c r="I1748">
        <v>92.51</v>
      </c>
      <c r="J1748" t="str">
        <f>IFERROR(INDEX(Suppliar[Estimated Carbon Footprint (tons CO₂e)],MATCH('Merge operational &amp; suppliar'!A1748,Suppliar[Facility ID],0)),"")</f>
        <v/>
      </c>
      <c r="K1748" t="str">
        <f>IFERROR(INDEX(Suppliar[Income Distribution (%)],MATCH('Merge operational &amp; suppliar'!A1748,Suppliar[Facility ID],0)),"")</f>
        <v/>
      </c>
    </row>
    <row r="1749" spans="1:11" x14ac:dyDescent="0.3">
      <c r="A1749" t="s">
        <v>115</v>
      </c>
      <c r="B1749" t="s">
        <v>19</v>
      </c>
      <c r="C1749" t="s">
        <v>34</v>
      </c>
      <c r="D1749" t="s">
        <v>28</v>
      </c>
      <c r="E1749" t="s">
        <v>15</v>
      </c>
      <c r="F1749">
        <v>3251.65</v>
      </c>
      <c r="G1749">
        <v>17162</v>
      </c>
      <c r="H1749">
        <v>5079.95</v>
      </c>
      <c r="I1749">
        <v>19.239999999999998</v>
      </c>
      <c r="J1749">
        <f>IFERROR(INDEX(Suppliar[Estimated Carbon Footprint (tons CO₂e)],MATCH('Merge operational &amp; suppliar'!A1749,Suppliar[Facility ID],0)),"")</f>
        <v>769.39</v>
      </c>
      <c r="K1749">
        <f>IFERROR(INDEX(Suppliar[Income Distribution (%)],MATCH('Merge operational &amp; suppliar'!A1749,Suppliar[Facility ID],0)),"")</f>
        <v>35.29</v>
      </c>
    </row>
    <row r="1750" spans="1:11" x14ac:dyDescent="0.3">
      <c r="A1750" t="s">
        <v>140</v>
      </c>
      <c r="B1750" t="s">
        <v>17</v>
      </c>
      <c r="C1750" t="s">
        <v>23</v>
      </c>
      <c r="D1750" t="s">
        <v>9</v>
      </c>
      <c r="E1750" t="s">
        <v>24</v>
      </c>
      <c r="F1750">
        <v>4889.75</v>
      </c>
      <c r="G1750">
        <v>88308</v>
      </c>
      <c r="H1750">
        <v>7802.07</v>
      </c>
      <c r="I1750">
        <v>36.130000000000003</v>
      </c>
      <c r="J1750">
        <f>IFERROR(INDEX(Suppliar[Estimated Carbon Footprint (tons CO₂e)],MATCH('Merge operational &amp; suppliar'!A1750,Suppliar[Facility ID],0)),"")</f>
        <v>557.72</v>
      </c>
      <c r="K1750">
        <f>IFERROR(INDEX(Suppliar[Income Distribution (%)],MATCH('Merge operational &amp; suppliar'!A1750,Suppliar[Facility ID],0)),"")</f>
        <v>62.75</v>
      </c>
    </row>
    <row r="1751" spans="1:11" x14ac:dyDescent="0.3">
      <c r="A1751" t="s">
        <v>174</v>
      </c>
      <c r="B1751" t="s">
        <v>19</v>
      </c>
      <c r="C1751" t="s">
        <v>23</v>
      </c>
      <c r="D1751" t="s">
        <v>28</v>
      </c>
      <c r="E1751" t="s">
        <v>10</v>
      </c>
      <c r="F1751">
        <v>608.37</v>
      </c>
      <c r="G1751">
        <v>66163</v>
      </c>
      <c r="H1751">
        <v>1416.57</v>
      </c>
      <c r="I1751">
        <v>68.73</v>
      </c>
      <c r="J1751">
        <f>IFERROR(INDEX(Suppliar[Estimated Carbon Footprint (tons CO₂e)],MATCH('Merge operational &amp; suppliar'!A1751,Suppliar[Facility ID],0)),"")</f>
        <v>773.96</v>
      </c>
      <c r="K1751">
        <f>IFERROR(INDEX(Suppliar[Income Distribution (%)],MATCH('Merge operational &amp; suppliar'!A1751,Suppliar[Facility ID],0)),"")</f>
        <v>29.26</v>
      </c>
    </row>
    <row r="1752" spans="1:11" x14ac:dyDescent="0.3">
      <c r="A1752" t="s">
        <v>55</v>
      </c>
      <c r="B1752" t="s">
        <v>12</v>
      </c>
      <c r="C1752" t="s">
        <v>13</v>
      </c>
      <c r="D1752" t="s">
        <v>9</v>
      </c>
      <c r="E1752" t="s">
        <v>10</v>
      </c>
      <c r="F1752">
        <v>3246.99</v>
      </c>
      <c r="G1752">
        <v>38181</v>
      </c>
      <c r="H1752">
        <v>691.84</v>
      </c>
      <c r="I1752">
        <v>33.53</v>
      </c>
      <c r="J1752">
        <f>IFERROR(INDEX(Suppliar[Estimated Carbon Footprint (tons CO₂e)],MATCH('Merge operational &amp; suppliar'!A1752,Suppliar[Facility ID],0)),"")</f>
        <v>114.57</v>
      </c>
      <c r="K1752">
        <f>IFERROR(INDEX(Suppliar[Income Distribution (%)],MATCH('Merge operational &amp; suppliar'!A1752,Suppliar[Facility ID],0)),"")</f>
        <v>9.9600000000000009</v>
      </c>
    </row>
    <row r="1753" spans="1:11" x14ac:dyDescent="0.3">
      <c r="A1753" t="s">
        <v>37</v>
      </c>
      <c r="B1753" t="s">
        <v>17</v>
      </c>
      <c r="C1753" t="s">
        <v>34</v>
      </c>
      <c r="D1753" t="s">
        <v>14</v>
      </c>
      <c r="E1753" t="s">
        <v>10</v>
      </c>
      <c r="F1753">
        <v>4214.38</v>
      </c>
      <c r="G1753">
        <v>71747</v>
      </c>
      <c r="H1753">
        <v>9838.66</v>
      </c>
      <c r="I1753">
        <v>7.25</v>
      </c>
      <c r="J1753">
        <f>IFERROR(INDEX(Suppliar[Estimated Carbon Footprint (tons CO₂e)],MATCH('Merge operational &amp; suppliar'!A1753,Suppliar[Facility ID],0)),"")</f>
        <v>224.5</v>
      </c>
      <c r="K1753">
        <f>IFERROR(INDEX(Suppliar[Income Distribution (%)],MATCH('Merge operational &amp; suppliar'!A1753,Suppliar[Facility ID],0)),"")</f>
        <v>39.29</v>
      </c>
    </row>
    <row r="1754" spans="1:11" x14ac:dyDescent="0.3">
      <c r="A1754" t="s">
        <v>27</v>
      </c>
      <c r="B1754" t="s">
        <v>12</v>
      </c>
      <c r="C1754" t="s">
        <v>13</v>
      </c>
      <c r="D1754" t="s">
        <v>28</v>
      </c>
      <c r="E1754" t="s">
        <v>10</v>
      </c>
      <c r="F1754">
        <v>2178.11</v>
      </c>
      <c r="G1754">
        <v>91031</v>
      </c>
      <c r="H1754">
        <v>1783.57</v>
      </c>
      <c r="I1754">
        <v>32.049999999999997</v>
      </c>
      <c r="J1754">
        <f>IFERROR(INDEX(Suppliar[Estimated Carbon Footprint (tons CO₂e)],MATCH('Merge operational &amp; suppliar'!A1754,Suppliar[Facility ID],0)),"")</f>
        <v>532.27</v>
      </c>
      <c r="K1754">
        <f>IFERROR(INDEX(Suppliar[Income Distribution (%)],MATCH('Merge operational &amp; suppliar'!A1754,Suppliar[Facility ID],0)),"")</f>
        <v>15.2</v>
      </c>
    </row>
    <row r="1755" spans="1:11" x14ac:dyDescent="0.3">
      <c r="A1755" t="s">
        <v>58</v>
      </c>
      <c r="B1755" t="s">
        <v>17</v>
      </c>
      <c r="C1755" t="s">
        <v>23</v>
      </c>
      <c r="D1755" t="s">
        <v>28</v>
      </c>
      <c r="E1755" t="s">
        <v>10</v>
      </c>
      <c r="F1755">
        <v>4250.24</v>
      </c>
      <c r="G1755">
        <v>32246</v>
      </c>
      <c r="H1755">
        <v>7903.93</v>
      </c>
      <c r="I1755">
        <v>42.12</v>
      </c>
      <c r="J1755">
        <f>IFERROR(INDEX(Suppliar[Estimated Carbon Footprint (tons CO₂e)],MATCH('Merge operational &amp; suppliar'!A1755,Suppliar[Facility ID],0)),"")</f>
        <v>459.56</v>
      </c>
      <c r="K1755">
        <f>IFERROR(INDEX(Suppliar[Income Distribution (%)],MATCH('Merge operational &amp; suppliar'!A1755,Suppliar[Facility ID],0)),"")</f>
        <v>28.62</v>
      </c>
    </row>
    <row r="1756" spans="1:11" x14ac:dyDescent="0.3">
      <c r="A1756" t="s">
        <v>157</v>
      </c>
      <c r="B1756" t="s">
        <v>30</v>
      </c>
      <c r="C1756" t="s">
        <v>34</v>
      </c>
      <c r="D1756" t="s">
        <v>14</v>
      </c>
      <c r="E1756" t="s">
        <v>10</v>
      </c>
      <c r="F1756">
        <v>1294.92</v>
      </c>
      <c r="G1756">
        <v>76544</v>
      </c>
      <c r="H1756">
        <v>8632.77</v>
      </c>
      <c r="I1756">
        <v>12.87</v>
      </c>
      <c r="J1756">
        <f>IFERROR(INDEX(Suppliar[Estimated Carbon Footprint (tons CO₂e)],MATCH('Merge operational &amp; suppliar'!A1756,Suppliar[Facility ID],0)),"")</f>
        <v>571.88</v>
      </c>
      <c r="K1756">
        <f>IFERROR(INDEX(Suppliar[Income Distribution (%)],MATCH('Merge operational &amp; suppliar'!A1756,Suppliar[Facility ID],0)),"")</f>
        <v>30.1</v>
      </c>
    </row>
    <row r="1757" spans="1:11" x14ac:dyDescent="0.3">
      <c r="A1757" t="s">
        <v>140</v>
      </c>
      <c r="B1757" t="s">
        <v>17</v>
      </c>
      <c r="C1757" t="s">
        <v>13</v>
      </c>
      <c r="D1757" t="s">
        <v>14</v>
      </c>
      <c r="E1757" t="s">
        <v>24</v>
      </c>
      <c r="F1757">
        <v>498.85</v>
      </c>
      <c r="G1757">
        <v>88308</v>
      </c>
      <c r="H1757">
        <v>7802.07</v>
      </c>
      <c r="I1757">
        <v>36.130000000000003</v>
      </c>
      <c r="J1757">
        <f>IFERROR(INDEX(Suppliar[Estimated Carbon Footprint (tons CO₂e)],MATCH('Merge operational &amp; suppliar'!A1757,Suppliar[Facility ID],0)),"")</f>
        <v>557.72</v>
      </c>
      <c r="K1757">
        <f>IFERROR(INDEX(Suppliar[Income Distribution (%)],MATCH('Merge operational &amp; suppliar'!A1757,Suppliar[Facility ID],0)),"")</f>
        <v>62.75</v>
      </c>
    </row>
    <row r="1758" spans="1:11" x14ac:dyDescent="0.3">
      <c r="A1758" t="s">
        <v>63</v>
      </c>
      <c r="B1758" t="s">
        <v>12</v>
      </c>
      <c r="C1758" t="s">
        <v>23</v>
      </c>
      <c r="D1758" t="s">
        <v>28</v>
      </c>
      <c r="E1758" t="s">
        <v>15</v>
      </c>
      <c r="F1758">
        <v>4605.3599999999997</v>
      </c>
      <c r="G1758">
        <v>33688</v>
      </c>
      <c r="H1758">
        <v>9495.48</v>
      </c>
      <c r="I1758">
        <v>55.55</v>
      </c>
      <c r="J1758">
        <f>IFERROR(INDEX(Suppliar[Estimated Carbon Footprint (tons CO₂e)],MATCH('Merge operational &amp; suppliar'!A1758,Suppliar[Facility ID],0)),"")</f>
        <v>780.4</v>
      </c>
      <c r="K1758">
        <f>IFERROR(INDEX(Suppliar[Income Distribution (%)],MATCH('Merge operational &amp; suppliar'!A1758,Suppliar[Facility ID],0)),"")</f>
        <v>30.98</v>
      </c>
    </row>
    <row r="1759" spans="1:11" x14ac:dyDescent="0.3">
      <c r="A1759" t="s">
        <v>142</v>
      </c>
      <c r="B1759" t="s">
        <v>17</v>
      </c>
      <c r="C1759" t="s">
        <v>23</v>
      </c>
      <c r="D1759" t="s">
        <v>14</v>
      </c>
      <c r="E1759" t="s">
        <v>24</v>
      </c>
      <c r="F1759">
        <v>4590.9799999999996</v>
      </c>
      <c r="G1759">
        <v>75736</v>
      </c>
      <c r="H1759">
        <v>6287.07</v>
      </c>
      <c r="I1759">
        <v>63.11</v>
      </c>
      <c r="J1759">
        <f>IFERROR(INDEX(Suppliar[Estimated Carbon Footprint (tons CO₂e)],MATCH('Merge operational &amp; suppliar'!A1759,Suppliar[Facility ID],0)),"")</f>
        <v>851.48</v>
      </c>
      <c r="K1759">
        <f>IFERROR(INDEX(Suppliar[Income Distribution (%)],MATCH('Merge operational &amp; suppliar'!A1759,Suppliar[Facility ID],0)),"")</f>
        <v>25.39</v>
      </c>
    </row>
    <row r="1760" spans="1:11" x14ac:dyDescent="0.3">
      <c r="A1760" t="s">
        <v>170</v>
      </c>
      <c r="B1760" t="s">
        <v>12</v>
      </c>
      <c r="C1760" t="s">
        <v>13</v>
      </c>
      <c r="D1760" t="s">
        <v>28</v>
      </c>
      <c r="E1760" t="s">
        <v>15</v>
      </c>
      <c r="F1760">
        <v>2454.27</v>
      </c>
      <c r="G1760">
        <v>54133</v>
      </c>
      <c r="H1760">
        <v>8543.68</v>
      </c>
      <c r="I1760">
        <v>24</v>
      </c>
      <c r="J1760">
        <f>IFERROR(INDEX(Suppliar[Estimated Carbon Footprint (tons CO₂e)],MATCH('Merge operational &amp; suppliar'!A1760,Suppliar[Facility ID],0)),"")</f>
        <v>991.03</v>
      </c>
      <c r="K1760">
        <f>IFERROR(INDEX(Suppliar[Income Distribution (%)],MATCH('Merge operational &amp; suppliar'!A1760,Suppliar[Facility ID],0)),"")</f>
        <v>23.33</v>
      </c>
    </row>
    <row r="1761" spans="1:11" x14ac:dyDescent="0.3">
      <c r="A1761" t="s">
        <v>99</v>
      </c>
      <c r="B1761" t="s">
        <v>19</v>
      </c>
      <c r="C1761" t="s">
        <v>13</v>
      </c>
      <c r="D1761" t="s">
        <v>9</v>
      </c>
      <c r="E1761" t="s">
        <v>24</v>
      </c>
      <c r="F1761">
        <v>2083</v>
      </c>
      <c r="G1761">
        <v>77400</v>
      </c>
      <c r="H1761">
        <v>7504.8</v>
      </c>
      <c r="I1761">
        <v>68.819999999999993</v>
      </c>
      <c r="J1761" t="str">
        <f>IFERROR(INDEX(Suppliar[Estimated Carbon Footprint (tons CO₂e)],MATCH('Merge operational &amp; suppliar'!A1761,Suppliar[Facility ID],0)),"")</f>
        <v/>
      </c>
      <c r="K1761" t="str">
        <f>IFERROR(INDEX(Suppliar[Income Distribution (%)],MATCH('Merge operational &amp; suppliar'!A1761,Suppliar[Facility ID],0)),"")</f>
        <v/>
      </c>
    </row>
    <row r="1762" spans="1:11" x14ac:dyDescent="0.3">
      <c r="A1762" t="s">
        <v>185</v>
      </c>
      <c r="B1762" t="s">
        <v>30</v>
      </c>
      <c r="C1762" t="s">
        <v>8</v>
      </c>
      <c r="D1762" t="s">
        <v>9</v>
      </c>
      <c r="E1762" t="s">
        <v>24</v>
      </c>
      <c r="F1762">
        <v>3207.76</v>
      </c>
      <c r="G1762">
        <v>24913</v>
      </c>
      <c r="H1762">
        <v>5727.27</v>
      </c>
      <c r="I1762">
        <v>78.849999999999994</v>
      </c>
      <c r="J1762" t="str">
        <f>IFERROR(INDEX(Suppliar[Estimated Carbon Footprint (tons CO₂e)],MATCH('Merge operational &amp; suppliar'!A1762,Suppliar[Facility ID],0)),"")</f>
        <v/>
      </c>
      <c r="K1762" t="str">
        <f>IFERROR(INDEX(Suppliar[Income Distribution (%)],MATCH('Merge operational &amp; suppliar'!A1762,Suppliar[Facility ID],0)),"")</f>
        <v/>
      </c>
    </row>
    <row r="1763" spans="1:11" x14ac:dyDescent="0.3">
      <c r="A1763" t="s">
        <v>168</v>
      </c>
      <c r="B1763" t="s">
        <v>17</v>
      </c>
      <c r="C1763" t="s">
        <v>8</v>
      </c>
      <c r="D1763" t="s">
        <v>9</v>
      </c>
      <c r="E1763" t="s">
        <v>10</v>
      </c>
      <c r="F1763">
        <v>4200.42</v>
      </c>
      <c r="G1763">
        <v>41050</v>
      </c>
      <c r="H1763">
        <v>6025.84</v>
      </c>
      <c r="I1763">
        <v>53.53</v>
      </c>
      <c r="J1763">
        <f>IFERROR(INDEX(Suppliar[Estimated Carbon Footprint (tons CO₂e)],MATCH('Merge operational &amp; suppliar'!A1763,Suppliar[Facility ID],0)),"")</f>
        <v>289.77</v>
      </c>
      <c r="K1763">
        <f>IFERROR(INDEX(Suppliar[Income Distribution (%)],MATCH('Merge operational &amp; suppliar'!A1763,Suppliar[Facility ID],0)),"")</f>
        <v>19.260000000000002</v>
      </c>
    </row>
    <row r="1764" spans="1:11" x14ac:dyDescent="0.3">
      <c r="A1764" t="s">
        <v>68</v>
      </c>
      <c r="B1764" t="s">
        <v>12</v>
      </c>
      <c r="C1764" t="s">
        <v>23</v>
      </c>
      <c r="D1764" t="s">
        <v>9</v>
      </c>
      <c r="E1764" t="s">
        <v>10</v>
      </c>
      <c r="F1764">
        <v>4705.21</v>
      </c>
      <c r="G1764">
        <v>69100</v>
      </c>
      <c r="H1764">
        <v>9356.02</v>
      </c>
      <c r="I1764">
        <v>16.5</v>
      </c>
      <c r="J1764">
        <f>IFERROR(INDEX(Suppliar[Estimated Carbon Footprint (tons CO₂e)],MATCH('Merge operational &amp; suppliar'!A1764,Suppliar[Facility ID],0)),"")</f>
        <v>694.92</v>
      </c>
      <c r="K1764">
        <f>IFERROR(INDEX(Suppliar[Income Distribution (%)],MATCH('Merge operational &amp; suppliar'!A1764,Suppliar[Facility ID],0)),"")</f>
        <v>23.67</v>
      </c>
    </row>
    <row r="1765" spans="1:11" x14ac:dyDescent="0.3">
      <c r="A1765" t="s">
        <v>35</v>
      </c>
      <c r="B1765" t="s">
        <v>19</v>
      </c>
      <c r="C1765" t="s">
        <v>13</v>
      </c>
      <c r="D1765" t="s">
        <v>14</v>
      </c>
      <c r="E1765" t="s">
        <v>24</v>
      </c>
      <c r="F1765">
        <v>171.51</v>
      </c>
      <c r="G1765">
        <v>42382</v>
      </c>
      <c r="H1765">
        <v>5116.6899999999996</v>
      </c>
      <c r="I1765">
        <v>80.42</v>
      </c>
      <c r="J1765">
        <f>IFERROR(INDEX(Suppliar[Estimated Carbon Footprint (tons CO₂e)],MATCH('Merge operational &amp; suppliar'!A1765,Suppliar[Facility ID],0)),"")</f>
        <v>626.54</v>
      </c>
      <c r="K1765">
        <f>IFERROR(INDEX(Suppliar[Income Distribution (%)],MATCH('Merge operational &amp; suppliar'!A1765,Suppliar[Facility ID],0)),"")</f>
        <v>70.540000000000006</v>
      </c>
    </row>
    <row r="1766" spans="1:11" x14ac:dyDescent="0.3">
      <c r="A1766" t="s">
        <v>170</v>
      </c>
      <c r="B1766" t="s">
        <v>12</v>
      </c>
      <c r="C1766" t="s">
        <v>34</v>
      </c>
      <c r="D1766" t="s">
        <v>9</v>
      </c>
      <c r="E1766" t="s">
        <v>24</v>
      </c>
      <c r="F1766">
        <v>2210.63</v>
      </c>
      <c r="G1766">
        <v>54133</v>
      </c>
      <c r="H1766">
        <v>8543.68</v>
      </c>
      <c r="I1766">
        <v>24</v>
      </c>
      <c r="J1766">
        <f>IFERROR(INDEX(Suppliar[Estimated Carbon Footprint (tons CO₂e)],MATCH('Merge operational &amp; suppliar'!A1766,Suppliar[Facility ID],0)),"")</f>
        <v>991.03</v>
      </c>
      <c r="K1766">
        <f>IFERROR(INDEX(Suppliar[Income Distribution (%)],MATCH('Merge operational &amp; suppliar'!A1766,Suppliar[Facility ID],0)),"")</f>
        <v>23.33</v>
      </c>
    </row>
    <row r="1767" spans="1:11" x14ac:dyDescent="0.3">
      <c r="A1767" t="s">
        <v>11</v>
      </c>
      <c r="B1767" t="s">
        <v>12</v>
      </c>
      <c r="C1767" t="s">
        <v>23</v>
      </c>
      <c r="D1767" t="s">
        <v>9</v>
      </c>
      <c r="E1767" t="s">
        <v>24</v>
      </c>
      <c r="F1767">
        <v>4978.93</v>
      </c>
      <c r="G1767">
        <v>44657</v>
      </c>
      <c r="H1767">
        <v>7867.98</v>
      </c>
      <c r="I1767">
        <v>96.01</v>
      </c>
      <c r="J1767">
        <f>IFERROR(INDEX(Suppliar[Estimated Carbon Footprint (tons CO₂e)],MATCH('Merge operational &amp; suppliar'!A1767,Suppliar[Facility ID],0)),"")</f>
        <v>694.92</v>
      </c>
      <c r="K1767">
        <f>IFERROR(INDEX(Suppliar[Income Distribution (%)],MATCH('Merge operational &amp; suppliar'!A1767,Suppliar[Facility ID],0)),"")</f>
        <v>26.24</v>
      </c>
    </row>
    <row r="1768" spans="1:11" x14ac:dyDescent="0.3">
      <c r="A1768" t="s">
        <v>117</v>
      </c>
      <c r="B1768" t="s">
        <v>7</v>
      </c>
      <c r="C1768" t="s">
        <v>8</v>
      </c>
      <c r="D1768" t="s">
        <v>28</v>
      </c>
      <c r="E1768" t="s">
        <v>15</v>
      </c>
      <c r="F1768">
        <v>3657.98</v>
      </c>
      <c r="G1768">
        <v>89321</v>
      </c>
      <c r="H1768">
        <v>9836.34</v>
      </c>
      <c r="I1768">
        <v>16.989999999999998</v>
      </c>
      <c r="J1768">
        <f>IFERROR(INDEX(Suppliar[Estimated Carbon Footprint (tons CO₂e)],MATCH('Merge operational &amp; suppliar'!A1768,Suppliar[Facility ID],0)),"")</f>
        <v>105.67</v>
      </c>
      <c r="K1768">
        <f>IFERROR(INDEX(Suppliar[Income Distribution (%)],MATCH('Merge operational &amp; suppliar'!A1768,Suppliar[Facility ID],0)),"")</f>
        <v>15.41</v>
      </c>
    </row>
    <row r="1769" spans="1:11" x14ac:dyDescent="0.3">
      <c r="A1769" t="s">
        <v>20</v>
      </c>
      <c r="B1769" t="s">
        <v>17</v>
      </c>
      <c r="C1769" t="s">
        <v>23</v>
      </c>
      <c r="D1769" t="s">
        <v>28</v>
      </c>
      <c r="E1769" t="s">
        <v>24</v>
      </c>
      <c r="F1769">
        <v>1516.4</v>
      </c>
      <c r="G1769">
        <v>29895</v>
      </c>
      <c r="H1769">
        <v>1631.08</v>
      </c>
      <c r="I1769">
        <v>39.93</v>
      </c>
      <c r="J1769">
        <f>IFERROR(INDEX(Suppliar[Estimated Carbon Footprint (tons CO₂e)],MATCH('Merge operational &amp; suppliar'!A1769,Suppliar[Facility ID],0)),"")</f>
        <v>959.2</v>
      </c>
      <c r="K1769">
        <f>IFERROR(INDEX(Suppliar[Income Distribution (%)],MATCH('Merge operational &amp; suppliar'!A1769,Suppliar[Facility ID],0)),"")</f>
        <v>38.840000000000003</v>
      </c>
    </row>
    <row r="1770" spans="1:11" x14ac:dyDescent="0.3">
      <c r="A1770" t="s">
        <v>49</v>
      </c>
      <c r="B1770" t="s">
        <v>19</v>
      </c>
      <c r="C1770" t="s">
        <v>23</v>
      </c>
      <c r="D1770" t="s">
        <v>28</v>
      </c>
      <c r="E1770" t="s">
        <v>10</v>
      </c>
      <c r="F1770">
        <v>1707.15</v>
      </c>
      <c r="G1770">
        <v>50306</v>
      </c>
      <c r="H1770">
        <v>7031.37</v>
      </c>
      <c r="I1770">
        <v>13.27</v>
      </c>
      <c r="J1770" t="str">
        <f>IFERROR(INDEX(Suppliar[Estimated Carbon Footprint (tons CO₂e)],MATCH('Merge operational &amp; suppliar'!A1770,Suppliar[Facility ID],0)),"")</f>
        <v/>
      </c>
      <c r="K1770" t="str">
        <f>IFERROR(INDEX(Suppliar[Income Distribution (%)],MATCH('Merge operational &amp; suppliar'!A1770,Suppliar[Facility ID],0)),"")</f>
        <v/>
      </c>
    </row>
    <row r="1771" spans="1:11" x14ac:dyDescent="0.3">
      <c r="A1771" t="s">
        <v>98</v>
      </c>
      <c r="B1771" t="s">
        <v>19</v>
      </c>
      <c r="C1771" t="s">
        <v>34</v>
      </c>
      <c r="D1771" t="s">
        <v>14</v>
      </c>
      <c r="E1771" t="s">
        <v>24</v>
      </c>
      <c r="F1771">
        <v>526.19000000000005</v>
      </c>
      <c r="G1771">
        <v>26170</v>
      </c>
      <c r="H1771">
        <v>8057.54</v>
      </c>
      <c r="I1771">
        <v>63.71</v>
      </c>
      <c r="J1771" t="str">
        <f>IFERROR(INDEX(Suppliar[Estimated Carbon Footprint (tons CO₂e)],MATCH('Merge operational &amp; suppliar'!A1771,Suppliar[Facility ID],0)),"")</f>
        <v/>
      </c>
      <c r="K1771" t="str">
        <f>IFERROR(INDEX(Suppliar[Income Distribution (%)],MATCH('Merge operational &amp; suppliar'!A1771,Suppliar[Facility ID],0)),"")</f>
        <v/>
      </c>
    </row>
    <row r="1772" spans="1:11" x14ac:dyDescent="0.3">
      <c r="A1772" t="s">
        <v>218</v>
      </c>
      <c r="B1772" t="s">
        <v>17</v>
      </c>
      <c r="C1772" t="s">
        <v>8</v>
      </c>
      <c r="D1772" t="s">
        <v>9</v>
      </c>
      <c r="E1772" t="s">
        <v>24</v>
      </c>
      <c r="F1772">
        <v>5253.41</v>
      </c>
      <c r="G1772">
        <v>22525</v>
      </c>
      <c r="H1772">
        <v>9465.65</v>
      </c>
      <c r="I1772">
        <v>37.79</v>
      </c>
      <c r="J1772">
        <f>IFERROR(INDEX(Suppliar[Estimated Carbon Footprint (tons CO₂e)],MATCH('Merge operational &amp; suppliar'!A1772,Suppliar[Facility ID],0)),"")</f>
        <v>472.66</v>
      </c>
      <c r="K1772">
        <f>IFERROR(INDEX(Suppliar[Income Distribution (%)],MATCH('Merge operational &amp; suppliar'!A1772,Suppliar[Facility ID],0)),"")</f>
        <v>55.03</v>
      </c>
    </row>
    <row r="1773" spans="1:11" x14ac:dyDescent="0.3">
      <c r="A1773" t="s">
        <v>123</v>
      </c>
      <c r="B1773" t="s">
        <v>30</v>
      </c>
      <c r="C1773" t="s">
        <v>8</v>
      </c>
      <c r="D1773" t="s">
        <v>9</v>
      </c>
      <c r="E1773" t="s">
        <v>15</v>
      </c>
      <c r="F1773">
        <v>3617.9</v>
      </c>
      <c r="G1773">
        <v>73977</v>
      </c>
      <c r="H1773">
        <v>1646.75</v>
      </c>
      <c r="I1773">
        <v>43.77</v>
      </c>
      <c r="J1773" t="str">
        <f>IFERROR(INDEX(Suppliar[Estimated Carbon Footprint (tons CO₂e)],MATCH('Merge operational &amp; suppliar'!A1773,Suppliar[Facility ID],0)),"")</f>
        <v/>
      </c>
      <c r="K1773" t="str">
        <f>IFERROR(INDEX(Suppliar[Income Distribution (%)],MATCH('Merge operational &amp; suppliar'!A1773,Suppliar[Facility ID],0)),"")</f>
        <v/>
      </c>
    </row>
    <row r="1774" spans="1:11" x14ac:dyDescent="0.3">
      <c r="A1774" t="s">
        <v>175</v>
      </c>
      <c r="B1774" t="s">
        <v>7</v>
      </c>
      <c r="C1774" t="s">
        <v>13</v>
      </c>
      <c r="D1774" t="s">
        <v>28</v>
      </c>
      <c r="E1774" t="s">
        <v>10</v>
      </c>
      <c r="F1774">
        <v>698.65</v>
      </c>
      <c r="G1774">
        <v>83923</v>
      </c>
      <c r="H1774">
        <v>8768.7999999999993</v>
      </c>
      <c r="I1774">
        <v>65.290000000000006</v>
      </c>
      <c r="J1774">
        <f>IFERROR(INDEX(Suppliar[Estimated Carbon Footprint (tons CO₂e)],MATCH('Merge operational &amp; suppliar'!A1774,Suppliar[Facility ID],0)),"")</f>
        <v>579.80999999999995</v>
      </c>
      <c r="K1774">
        <f>IFERROR(INDEX(Suppliar[Income Distribution (%)],MATCH('Merge operational &amp; suppliar'!A1774,Suppliar[Facility ID],0)),"")</f>
        <v>34.93</v>
      </c>
    </row>
    <row r="1775" spans="1:11" x14ac:dyDescent="0.3">
      <c r="A1775" t="s">
        <v>11</v>
      </c>
      <c r="B1775" t="s">
        <v>12</v>
      </c>
      <c r="C1775" t="s">
        <v>23</v>
      </c>
      <c r="D1775" t="s">
        <v>9</v>
      </c>
      <c r="E1775" t="s">
        <v>24</v>
      </c>
      <c r="F1775">
        <v>4671.97</v>
      </c>
      <c r="G1775">
        <v>44657</v>
      </c>
      <c r="H1775">
        <v>7867.98</v>
      </c>
      <c r="I1775">
        <v>96.01</v>
      </c>
      <c r="J1775">
        <f>IFERROR(INDEX(Suppliar[Estimated Carbon Footprint (tons CO₂e)],MATCH('Merge operational &amp; suppliar'!A1775,Suppliar[Facility ID],0)),"")</f>
        <v>694.92</v>
      </c>
      <c r="K1775">
        <f>IFERROR(INDEX(Suppliar[Income Distribution (%)],MATCH('Merge operational &amp; suppliar'!A1775,Suppliar[Facility ID],0)),"")</f>
        <v>26.24</v>
      </c>
    </row>
    <row r="1776" spans="1:11" x14ac:dyDescent="0.3">
      <c r="A1776" t="s">
        <v>173</v>
      </c>
      <c r="B1776" t="s">
        <v>30</v>
      </c>
      <c r="C1776" t="s">
        <v>23</v>
      </c>
      <c r="D1776" t="s">
        <v>14</v>
      </c>
      <c r="E1776" t="s">
        <v>15</v>
      </c>
      <c r="F1776">
        <v>4339.82</v>
      </c>
      <c r="G1776">
        <v>49620</v>
      </c>
      <c r="H1776">
        <v>2424.31</v>
      </c>
      <c r="I1776">
        <v>62.09</v>
      </c>
      <c r="J1776">
        <f>IFERROR(INDEX(Suppliar[Estimated Carbon Footprint (tons CO₂e)],MATCH('Merge operational &amp; suppliar'!A1776,Suppliar[Facility ID],0)),"")</f>
        <v>184.92</v>
      </c>
      <c r="K1776">
        <f>IFERROR(INDEX(Suppliar[Income Distribution (%)],MATCH('Merge operational &amp; suppliar'!A1776,Suppliar[Facility ID],0)),"")</f>
        <v>19.55</v>
      </c>
    </row>
    <row r="1777" spans="1:11" x14ac:dyDescent="0.3">
      <c r="A1777" t="s">
        <v>99</v>
      </c>
      <c r="B1777" t="s">
        <v>19</v>
      </c>
      <c r="C1777" t="s">
        <v>13</v>
      </c>
      <c r="D1777" t="s">
        <v>9</v>
      </c>
      <c r="E1777" t="s">
        <v>24</v>
      </c>
      <c r="F1777">
        <v>132.41999999999999</v>
      </c>
      <c r="G1777">
        <v>77400</v>
      </c>
      <c r="H1777">
        <v>7504.8</v>
      </c>
      <c r="I1777">
        <v>68.819999999999993</v>
      </c>
      <c r="J1777" t="str">
        <f>IFERROR(INDEX(Suppliar[Estimated Carbon Footprint (tons CO₂e)],MATCH('Merge operational &amp; suppliar'!A1777,Suppliar[Facility ID],0)),"")</f>
        <v/>
      </c>
      <c r="K1777" t="str">
        <f>IFERROR(INDEX(Suppliar[Income Distribution (%)],MATCH('Merge operational &amp; suppliar'!A1777,Suppliar[Facility ID],0)),"")</f>
        <v/>
      </c>
    </row>
    <row r="1778" spans="1:11" x14ac:dyDescent="0.3">
      <c r="A1778" t="s">
        <v>33</v>
      </c>
      <c r="B1778" t="s">
        <v>19</v>
      </c>
      <c r="C1778" t="s">
        <v>34</v>
      </c>
      <c r="D1778" t="s">
        <v>14</v>
      </c>
      <c r="E1778" t="s">
        <v>10</v>
      </c>
      <c r="F1778">
        <v>1388.99</v>
      </c>
      <c r="G1778">
        <v>65719</v>
      </c>
      <c r="H1778">
        <v>9362.41</v>
      </c>
      <c r="I1778">
        <v>86.55</v>
      </c>
      <c r="J1778">
        <f>IFERROR(INDEX(Suppliar[Estimated Carbon Footprint (tons CO₂e)],MATCH('Merge operational &amp; suppliar'!A1778,Suppliar[Facility ID],0)),"")</f>
        <v>932.3</v>
      </c>
      <c r="K1778">
        <f>IFERROR(INDEX(Suppliar[Income Distribution (%)],MATCH('Merge operational &amp; suppliar'!A1778,Suppliar[Facility ID],0)),"")</f>
        <v>28.9</v>
      </c>
    </row>
    <row r="1779" spans="1:11" x14ac:dyDescent="0.3">
      <c r="A1779" t="s">
        <v>163</v>
      </c>
      <c r="B1779" t="s">
        <v>19</v>
      </c>
      <c r="C1779" t="s">
        <v>23</v>
      </c>
      <c r="D1779" t="s">
        <v>14</v>
      </c>
      <c r="E1779" t="s">
        <v>10</v>
      </c>
      <c r="F1779">
        <v>3966.31</v>
      </c>
      <c r="G1779">
        <v>87482</v>
      </c>
      <c r="H1779">
        <v>2231.7399999999998</v>
      </c>
      <c r="I1779">
        <v>45.43</v>
      </c>
      <c r="J1779">
        <f>IFERROR(INDEX(Suppliar[Estimated Carbon Footprint (tons CO₂e)],MATCH('Merge operational &amp; suppliar'!A1779,Suppliar[Facility ID],0)),"")</f>
        <v>638.89</v>
      </c>
      <c r="K1779">
        <f>IFERROR(INDEX(Suppliar[Income Distribution (%)],MATCH('Merge operational &amp; suppliar'!A1779,Suppliar[Facility ID],0)),"")</f>
        <v>24.69</v>
      </c>
    </row>
    <row r="1780" spans="1:11" x14ac:dyDescent="0.3">
      <c r="A1780" t="s">
        <v>79</v>
      </c>
      <c r="B1780" t="s">
        <v>17</v>
      </c>
      <c r="C1780" t="s">
        <v>13</v>
      </c>
      <c r="D1780" t="s">
        <v>28</v>
      </c>
      <c r="E1780" t="s">
        <v>15</v>
      </c>
      <c r="F1780">
        <v>2647.7</v>
      </c>
      <c r="G1780">
        <v>40503</v>
      </c>
      <c r="H1780">
        <v>7447.46</v>
      </c>
      <c r="I1780">
        <v>98.27</v>
      </c>
      <c r="J1780">
        <f>IFERROR(INDEX(Suppliar[Estimated Carbon Footprint (tons CO₂e)],MATCH('Merge operational &amp; suppliar'!A1780,Suppliar[Facility ID],0)),"")</f>
        <v>209.33</v>
      </c>
      <c r="K1780">
        <f>IFERROR(INDEX(Suppliar[Income Distribution (%)],MATCH('Merge operational &amp; suppliar'!A1780,Suppliar[Facility ID],0)),"")</f>
        <v>39.549999999999997</v>
      </c>
    </row>
    <row r="1781" spans="1:11" x14ac:dyDescent="0.3">
      <c r="A1781" t="s">
        <v>175</v>
      </c>
      <c r="B1781" t="s">
        <v>7</v>
      </c>
      <c r="C1781" t="s">
        <v>13</v>
      </c>
      <c r="D1781" t="s">
        <v>28</v>
      </c>
      <c r="E1781" t="s">
        <v>24</v>
      </c>
      <c r="F1781">
        <v>3541.47</v>
      </c>
      <c r="G1781">
        <v>83923</v>
      </c>
      <c r="H1781">
        <v>8768.7999999999993</v>
      </c>
      <c r="I1781">
        <v>65.290000000000006</v>
      </c>
      <c r="J1781">
        <f>IFERROR(INDEX(Suppliar[Estimated Carbon Footprint (tons CO₂e)],MATCH('Merge operational &amp; suppliar'!A1781,Suppliar[Facility ID],0)),"")</f>
        <v>579.80999999999995</v>
      </c>
      <c r="K1781">
        <f>IFERROR(INDEX(Suppliar[Income Distribution (%)],MATCH('Merge operational &amp; suppliar'!A1781,Suppliar[Facility ID],0)),"")</f>
        <v>34.93</v>
      </c>
    </row>
    <row r="1782" spans="1:11" x14ac:dyDescent="0.3">
      <c r="A1782" t="s">
        <v>40</v>
      </c>
      <c r="B1782" t="s">
        <v>19</v>
      </c>
      <c r="C1782" t="s">
        <v>23</v>
      </c>
      <c r="D1782" t="s">
        <v>28</v>
      </c>
      <c r="E1782" t="s">
        <v>10</v>
      </c>
      <c r="F1782">
        <v>2083.98</v>
      </c>
      <c r="G1782">
        <v>96474</v>
      </c>
      <c r="H1782">
        <v>7574.39</v>
      </c>
      <c r="I1782">
        <v>95.54</v>
      </c>
      <c r="J1782">
        <f>IFERROR(INDEX(Suppliar[Estimated Carbon Footprint (tons CO₂e)],MATCH('Merge operational &amp; suppliar'!A1782,Suppliar[Facility ID],0)),"")</f>
        <v>886.71</v>
      </c>
      <c r="K1782">
        <f>IFERROR(INDEX(Suppliar[Income Distribution (%)],MATCH('Merge operational &amp; suppliar'!A1782,Suppliar[Facility ID],0)),"")</f>
        <v>24.84</v>
      </c>
    </row>
    <row r="1783" spans="1:11" x14ac:dyDescent="0.3">
      <c r="A1783" t="s">
        <v>102</v>
      </c>
      <c r="B1783" t="s">
        <v>19</v>
      </c>
      <c r="C1783" t="s">
        <v>23</v>
      </c>
      <c r="D1783" t="s">
        <v>9</v>
      </c>
      <c r="E1783" t="s">
        <v>15</v>
      </c>
      <c r="F1783">
        <v>3597.22</v>
      </c>
      <c r="G1783">
        <v>86263</v>
      </c>
      <c r="H1783">
        <v>3213.71</v>
      </c>
      <c r="I1783">
        <v>98.39</v>
      </c>
      <c r="J1783">
        <f>IFERROR(INDEX(Suppliar[Estimated Carbon Footprint (tons CO₂e)],MATCH('Merge operational &amp; suppliar'!A1783,Suppliar[Facility ID],0)),"")</f>
        <v>662.74</v>
      </c>
      <c r="K1783">
        <f>IFERROR(INDEX(Suppliar[Income Distribution (%)],MATCH('Merge operational &amp; suppliar'!A1783,Suppliar[Facility ID],0)),"")</f>
        <v>20.66</v>
      </c>
    </row>
    <row r="1784" spans="1:11" x14ac:dyDescent="0.3">
      <c r="A1784" t="s">
        <v>188</v>
      </c>
      <c r="B1784" t="s">
        <v>19</v>
      </c>
      <c r="C1784" t="s">
        <v>8</v>
      </c>
      <c r="D1784" t="s">
        <v>28</v>
      </c>
      <c r="E1784" t="s">
        <v>24</v>
      </c>
      <c r="F1784">
        <v>3828.14</v>
      </c>
      <c r="G1784">
        <v>60513</v>
      </c>
      <c r="H1784">
        <v>4578.16</v>
      </c>
      <c r="I1784">
        <v>65.53</v>
      </c>
      <c r="J1784" t="str">
        <f>IFERROR(INDEX(Suppliar[Estimated Carbon Footprint (tons CO₂e)],MATCH('Merge operational &amp; suppliar'!A1784,Suppliar[Facility ID],0)),"")</f>
        <v/>
      </c>
      <c r="K1784" t="str">
        <f>IFERROR(INDEX(Suppliar[Income Distribution (%)],MATCH('Merge operational &amp; suppliar'!A1784,Suppliar[Facility ID],0)),"")</f>
        <v/>
      </c>
    </row>
    <row r="1785" spans="1:11" x14ac:dyDescent="0.3">
      <c r="A1785" t="s">
        <v>72</v>
      </c>
      <c r="B1785" t="s">
        <v>19</v>
      </c>
      <c r="C1785" t="s">
        <v>23</v>
      </c>
      <c r="D1785" t="s">
        <v>9</v>
      </c>
      <c r="E1785" t="s">
        <v>10</v>
      </c>
      <c r="F1785">
        <v>3705.62</v>
      </c>
      <c r="G1785">
        <v>29318</v>
      </c>
      <c r="H1785">
        <v>9860.6200000000008</v>
      </c>
      <c r="I1785">
        <v>14.58</v>
      </c>
      <c r="J1785">
        <f>IFERROR(INDEX(Suppliar[Estimated Carbon Footprint (tons CO₂e)],MATCH('Merge operational &amp; suppliar'!A1785,Suppliar[Facility ID],0)),"")</f>
        <v>571.66</v>
      </c>
      <c r="K1785">
        <f>IFERROR(INDEX(Suppliar[Income Distribution (%)],MATCH('Merge operational &amp; suppliar'!A1785,Suppliar[Facility ID],0)),"")</f>
        <v>6.78</v>
      </c>
    </row>
    <row r="1786" spans="1:11" x14ac:dyDescent="0.3">
      <c r="A1786" t="s">
        <v>167</v>
      </c>
      <c r="B1786" t="s">
        <v>30</v>
      </c>
      <c r="C1786" t="s">
        <v>8</v>
      </c>
      <c r="D1786" t="s">
        <v>9</v>
      </c>
      <c r="E1786" t="s">
        <v>15</v>
      </c>
      <c r="F1786">
        <v>2912.25</v>
      </c>
      <c r="G1786">
        <v>67213</v>
      </c>
      <c r="H1786">
        <v>5533.81</v>
      </c>
      <c r="I1786">
        <v>90.88</v>
      </c>
      <c r="J1786">
        <f>IFERROR(INDEX(Suppliar[Estimated Carbon Footprint (tons CO₂e)],MATCH('Merge operational &amp; suppliar'!A1786,Suppliar[Facility ID],0)),"")</f>
        <v>467.3</v>
      </c>
      <c r="K1786">
        <f>IFERROR(INDEX(Suppliar[Income Distribution (%)],MATCH('Merge operational &amp; suppliar'!A1786,Suppliar[Facility ID],0)),"")</f>
        <v>53.15</v>
      </c>
    </row>
    <row r="1787" spans="1:11" x14ac:dyDescent="0.3">
      <c r="A1787" t="s">
        <v>52</v>
      </c>
      <c r="B1787" t="s">
        <v>19</v>
      </c>
      <c r="C1787" t="s">
        <v>34</v>
      </c>
      <c r="D1787" t="s">
        <v>28</v>
      </c>
      <c r="E1787" t="s">
        <v>24</v>
      </c>
      <c r="F1787">
        <v>1004.91</v>
      </c>
      <c r="G1787">
        <v>94949</v>
      </c>
      <c r="H1787">
        <v>9714.76</v>
      </c>
      <c r="I1787">
        <v>64.900000000000006</v>
      </c>
      <c r="J1787">
        <f>IFERROR(INDEX(Suppliar[Estimated Carbon Footprint (tons CO₂e)],MATCH('Merge operational &amp; suppliar'!A1787,Suppliar[Facility ID],0)),"")</f>
        <v>241.41</v>
      </c>
      <c r="K1787">
        <f>IFERROR(INDEX(Suppliar[Income Distribution (%)],MATCH('Merge operational &amp; suppliar'!A1787,Suppliar[Facility ID],0)),"")</f>
        <v>20.62</v>
      </c>
    </row>
    <row r="1788" spans="1:11" x14ac:dyDescent="0.3">
      <c r="A1788" t="s">
        <v>100</v>
      </c>
      <c r="B1788" t="s">
        <v>7</v>
      </c>
      <c r="C1788" t="s">
        <v>34</v>
      </c>
      <c r="D1788" t="s">
        <v>14</v>
      </c>
      <c r="E1788" t="s">
        <v>10</v>
      </c>
      <c r="F1788">
        <v>4429.63</v>
      </c>
      <c r="G1788">
        <v>17468</v>
      </c>
      <c r="H1788">
        <v>6359.73</v>
      </c>
      <c r="I1788">
        <v>5.22</v>
      </c>
      <c r="J1788">
        <f>IFERROR(INDEX(Suppliar[Estimated Carbon Footprint (tons CO₂e)],MATCH('Merge operational &amp; suppliar'!A1788,Suppliar[Facility ID],0)),"")</f>
        <v>959.2</v>
      </c>
      <c r="K1788">
        <f>IFERROR(INDEX(Suppliar[Income Distribution (%)],MATCH('Merge operational &amp; suppliar'!A1788,Suppliar[Facility ID],0)),"")</f>
        <v>36.92</v>
      </c>
    </row>
    <row r="1789" spans="1:11" x14ac:dyDescent="0.3">
      <c r="A1789" t="s">
        <v>108</v>
      </c>
      <c r="B1789" t="s">
        <v>7</v>
      </c>
      <c r="C1789" t="s">
        <v>13</v>
      </c>
      <c r="D1789" t="s">
        <v>9</v>
      </c>
      <c r="E1789" t="s">
        <v>10</v>
      </c>
      <c r="F1789">
        <v>4951.92</v>
      </c>
      <c r="G1789">
        <v>22201</v>
      </c>
      <c r="H1789">
        <v>2853.66</v>
      </c>
      <c r="I1789">
        <v>71.94</v>
      </c>
      <c r="J1789">
        <f>IFERROR(INDEX(Suppliar[Estimated Carbon Footprint (tons CO₂e)],MATCH('Merge operational &amp; suppliar'!A1789,Suppliar[Facility ID],0)),"")</f>
        <v>991.03</v>
      </c>
      <c r="K1789">
        <f>IFERROR(INDEX(Suppliar[Income Distribution (%)],MATCH('Merge operational &amp; suppliar'!A1789,Suppliar[Facility ID],0)),"")</f>
        <v>21.4</v>
      </c>
    </row>
    <row r="1790" spans="1:11" x14ac:dyDescent="0.3">
      <c r="A1790" t="s">
        <v>16</v>
      </c>
      <c r="B1790" t="s">
        <v>17</v>
      </c>
      <c r="C1790" t="s">
        <v>8</v>
      </c>
      <c r="D1790" t="s">
        <v>9</v>
      </c>
      <c r="E1790" t="s">
        <v>24</v>
      </c>
      <c r="F1790">
        <v>2036.07</v>
      </c>
      <c r="G1790">
        <v>43512</v>
      </c>
      <c r="H1790">
        <v>5352.18</v>
      </c>
      <c r="I1790">
        <v>6.17</v>
      </c>
      <c r="J1790">
        <f>IFERROR(INDEX(Suppliar[Estimated Carbon Footprint (tons CO₂e)],MATCH('Merge operational &amp; suppliar'!A1790,Suppliar[Facility ID],0)),"")</f>
        <v>311.36</v>
      </c>
      <c r="K1790">
        <f>IFERROR(INDEX(Suppliar[Income Distribution (%)],MATCH('Merge operational &amp; suppliar'!A1790,Suppliar[Facility ID],0)),"")</f>
        <v>28.72</v>
      </c>
    </row>
    <row r="1791" spans="1:11" x14ac:dyDescent="0.3">
      <c r="A1791" t="s">
        <v>161</v>
      </c>
      <c r="B1791" t="s">
        <v>7</v>
      </c>
      <c r="C1791" t="s">
        <v>8</v>
      </c>
      <c r="D1791" t="s">
        <v>28</v>
      </c>
      <c r="E1791" t="s">
        <v>10</v>
      </c>
      <c r="F1791">
        <v>4936.1400000000003</v>
      </c>
      <c r="G1791">
        <v>15788</v>
      </c>
      <c r="H1791">
        <v>1824.14</v>
      </c>
      <c r="I1791">
        <v>52.78</v>
      </c>
      <c r="J1791">
        <f>IFERROR(INDEX(Suppliar[Estimated Carbon Footprint (tons CO₂e)],MATCH('Merge operational &amp; suppliar'!A1791,Suppliar[Facility ID],0)),"")</f>
        <v>571.88</v>
      </c>
      <c r="K1791">
        <f>IFERROR(INDEX(Suppliar[Income Distribution (%)],MATCH('Merge operational &amp; suppliar'!A1791,Suppliar[Facility ID],0)),"")</f>
        <v>8.17</v>
      </c>
    </row>
    <row r="1792" spans="1:11" x14ac:dyDescent="0.3">
      <c r="A1792" t="s">
        <v>6</v>
      </c>
      <c r="B1792" t="s">
        <v>7</v>
      </c>
      <c r="C1792" t="s">
        <v>34</v>
      </c>
      <c r="D1792" t="s">
        <v>28</v>
      </c>
      <c r="E1792" t="s">
        <v>15</v>
      </c>
      <c r="F1792">
        <v>2419.77</v>
      </c>
      <c r="G1792">
        <v>77330</v>
      </c>
      <c r="H1792">
        <v>6936.58</v>
      </c>
      <c r="I1792">
        <v>82.3</v>
      </c>
      <c r="J1792">
        <f>IFERROR(INDEX(Suppliar[Estimated Carbon Footprint (tons CO₂e)],MATCH('Merge operational &amp; suppliar'!A1792,Suppliar[Facility ID],0)),"")</f>
        <v>264.23</v>
      </c>
      <c r="K1792">
        <f>IFERROR(INDEX(Suppliar[Income Distribution (%)],MATCH('Merge operational &amp; suppliar'!A1792,Suppliar[Facility ID],0)),"")</f>
        <v>28.19</v>
      </c>
    </row>
    <row r="1793" spans="1:11" x14ac:dyDescent="0.3">
      <c r="A1793" t="s">
        <v>119</v>
      </c>
      <c r="B1793" t="s">
        <v>30</v>
      </c>
      <c r="C1793" t="s">
        <v>34</v>
      </c>
      <c r="D1793" t="s">
        <v>9</v>
      </c>
      <c r="E1793" t="s">
        <v>15</v>
      </c>
      <c r="F1793">
        <v>574.96</v>
      </c>
      <c r="G1793">
        <v>80488</v>
      </c>
      <c r="H1793">
        <v>7629.95</v>
      </c>
      <c r="I1793">
        <v>63.83</v>
      </c>
      <c r="J1793">
        <f>IFERROR(INDEX(Suppliar[Estimated Carbon Footprint (tons CO₂e)],MATCH('Merge operational &amp; suppliar'!A1793,Suppliar[Facility ID],0)),"")</f>
        <v>847.51</v>
      </c>
      <c r="K1793">
        <f>IFERROR(INDEX(Suppliar[Income Distribution (%)],MATCH('Merge operational &amp; suppliar'!A1793,Suppliar[Facility ID],0)),"")</f>
        <v>9.9</v>
      </c>
    </row>
    <row r="1794" spans="1:11" x14ac:dyDescent="0.3">
      <c r="A1794" t="s">
        <v>191</v>
      </c>
      <c r="B1794" t="s">
        <v>12</v>
      </c>
      <c r="C1794" t="s">
        <v>13</v>
      </c>
      <c r="D1794" t="s">
        <v>28</v>
      </c>
      <c r="E1794" t="s">
        <v>10</v>
      </c>
      <c r="F1794">
        <v>2530.5</v>
      </c>
      <c r="G1794">
        <v>43346</v>
      </c>
      <c r="H1794">
        <v>5559.12</v>
      </c>
      <c r="I1794">
        <v>39.4</v>
      </c>
      <c r="J1794">
        <f>IFERROR(INDEX(Suppliar[Estimated Carbon Footprint (tons CO₂e)],MATCH('Merge operational &amp; suppliar'!A1794,Suppliar[Facility ID],0)),"")</f>
        <v>571.88</v>
      </c>
      <c r="K1794">
        <f>IFERROR(INDEX(Suppliar[Income Distribution (%)],MATCH('Merge operational &amp; suppliar'!A1794,Suppliar[Facility ID],0)),"")</f>
        <v>32.18</v>
      </c>
    </row>
    <row r="1795" spans="1:11" x14ac:dyDescent="0.3">
      <c r="A1795" t="s">
        <v>138</v>
      </c>
      <c r="B1795" t="s">
        <v>12</v>
      </c>
      <c r="C1795" t="s">
        <v>34</v>
      </c>
      <c r="D1795" t="s">
        <v>28</v>
      </c>
      <c r="E1795" t="s">
        <v>10</v>
      </c>
      <c r="F1795">
        <v>4691.6499999999996</v>
      </c>
      <c r="G1795">
        <v>57353</v>
      </c>
      <c r="H1795">
        <v>2274.71</v>
      </c>
      <c r="I1795">
        <v>65.34</v>
      </c>
      <c r="J1795">
        <f>IFERROR(INDEX(Suppliar[Estimated Carbon Footprint (tons CO₂e)],MATCH('Merge operational &amp; suppliar'!A1795,Suppliar[Facility ID],0)),"")</f>
        <v>931.73</v>
      </c>
      <c r="K1795">
        <f>IFERROR(INDEX(Suppliar[Income Distribution (%)],MATCH('Merge operational &amp; suppliar'!A1795,Suppliar[Facility ID],0)),"")</f>
        <v>46.27</v>
      </c>
    </row>
    <row r="1796" spans="1:11" x14ac:dyDescent="0.3">
      <c r="A1796" t="s">
        <v>161</v>
      </c>
      <c r="B1796" t="s">
        <v>7</v>
      </c>
      <c r="C1796" t="s">
        <v>23</v>
      </c>
      <c r="D1796" t="s">
        <v>28</v>
      </c>
      <c r="E1796" t="s">
        <v>15</v>
      </c>
      <c r="F1796">
        <v>3798.92</v>
      </c>
      <c r="G1796">
        <v>15788</v>
      </c>
      <c r="H1796">
        <v>1824.14</v>
      </c>
      <c r="I1796">
        <v>52.78</v>
      </c>
      <c r="J1796">
        <f>IFERROR(INDEX(Suppliar[Estimated Carbon Footprint (tons CO₂e)],MATCH('Merge operational &amp; suppliar'!A1796,Suppliar[Facility ID],0)),"")</f>
        <v>571.88</v>
      </c>
      <c r="K1796">
        <f>IFERROR(INDEX(Suppliar[Income Distribution (%)],MATCH('Merge operational &amp; suppliar'!A1796,Suppliar[Facility ID],0)),"")</f>
        <v>8.17</v>
      </c>
    </row>
    <row r="1797" spans="1:11" x14ac:dyDescent="0.3">
      <c r="A1797" t="s">
        <v>144</v>
      </c>
      <c r="B1797" t="s">
        <v>30</v>
      </c>
      <c r="C1797" t="s">
        <v>8</v>
      </c>
      <c r="D1797" t="s">
        <v>14</v>
      </c>
      <c r="E1797" t="s">
        <v>24</v>
      </c>
      <c r="F1797">
        <v>473.15</v>
      </c>
      <c r="G1797">
        <v>11426</v>
      </c>
      <c r="H1797">
        <v>4439.5600000000004</v>
      </c>
      <c r="I1797">
        <v>52.71</v>
      </c>
      <c r="J1797" t="str">
        <f>IFERROR(INDEX(Suppliar[Estimated Carbon Footprint (tons CO₂e)],MATCH('Merge operational &amp; suppliar'!A1797,Suppliar[Facility ID],0)),"")</f>
        <v/>
      </c>
      <c r="K1797" t="str">
        <f>IFERROR(INDEX(Suppliar[Income Distribution (%)],MATCH('Merge operational &amp; suppliar'!A1797,Suppliar[Facility ID],0)),"")</f>
        <v/>
      </c>
    </row>
    <row r="1798" spans="1:11" x14ac:dyDescent="0.3">
      <c r="A1798" t="s">
        <v>74</v>
      </c>
      <c r="B1798" t="s">
        <v>19</v>
      </c>
      <c r="C1798" t="s">
        <v>34</v>
      </c>
      <c r="D1798" t="s">
        <v>28</v>
      </c>
      <c r="E1798" t="s">
        <v>15</v>
      </c>
      <c r="F1798">
        <v>2684.5</v>
      </c>
      <c r="G1798">
        <v>18175</v>
      </c>
      <c r="H1798">
        <v>8349.49</v>
      </c>
      <c r="I1798">
        <v>39.97</v>
      </c>
      <c r="J1798">
        <f>IFERROR(INDEX(Suppliar[Estimated Carbon Footprint (tons CO₂e)],MATCH('Merge operational &amp; suppliar'!A1798,Suppliar[Facility ID],0)),"")</f>
        <v>818.45</v>
      </c>
      <c r="K1798">
        <f>IFERROR(INDEX(Suppliar[Income Distribution (%)],MATCH('Merge operational &amp; suppliar'!A1798,Suppliar[Facility ID],0)),"")</f>
        <v>19.04</v>
      </c>
    </row>
    <row r="1799" spans="1:11" x14ac:dyDescent="0.3">
      <c r="A1799" t="s">
        <v>147</v>
      </c>
      <c r="B1799" t="s">
        <v>17</v>
      </c>
      <c r="C1799" t="s">
        <v>34</v>
      </c>
      <c r="D1799" t="s">
        <v>9</v>
      </c>
      <c r="E1799" t="s">
        <v>10</v>
      </c>
      <c r="F1799">
        <v>3207.97</v>
      </c>
      <c r="G1799">
        <v>24095</v>
      </c>
      <c r="H1799">
        <v>3167.52</v>
      </c>
      <c r="I1799">
        <v>31.02</v>
      </c>
      <c r="J1799">
        <f>IFERROR(INDEX(Suppliar[Estimated Carbon Footprint (tons CO₂e)],MATCH('Merge operational &amp; suppliar'!A1799,Suppliar[Facility ID],0)),"")</f>
        <v>608.07000000000005</v>
      </c>
      <c r="K1799">
        <f>IFERROR(INDEX(Suppliar[Income Distribution (%)],MATCH('Merge operational &amp; suppliar'!A1799,Suppliar[Facility ID],0)),"")</f>
        <v>13.98</v>
      </c>
    </row>
    <row r="1800" spans="1:11" x14ac:dyDescent="0.3">
      <c r="A1800" t="s">
        <v>175</v>
      </c>
      <c r="B1800" t="s">
        <v>7</v>
      </c>
      <c r="C1800" t="s">
        <v>23</v>
      </c>
      <c r="D1800" t="s">
        <v>9</v>
      </c>
      <c r="E1800" t="s">
        <v>15</v>
      </c>
      <c r="F1800">
        <v>2986.02</v>
      </c>
      <c r="G1800">
        <v>83923</v>
      </c>
      <c r="H1800">
        <v>8768.7999999999993</v>
      </c>
      <c r="I1800">
        <v>65.290000000000006</v>
      </c>
      <c r="J1800">
        <f>IFERROR(INDEX(Suppliar[Estimated Carbon Footprint (tons CO₂e)],MATCH('Merge operational &amp; suppliar'!A1800,Suppliar[Facility ID],0)),"")</f>
        <v>579.80999999999995</v>
      </c>
      <c r="K1800">
        <f>IFERROR(INDEX(Suppliar[Income Distribution (%)],MATCH('Merge operational &amp; suppliar'!A1800,Suppliar[Facility ID],0)),"")</f>
        <v>34.93</v>
      </c>
    </row>
    <row r="1801" spans="1:11" x14ac:dyDescent="0.3">
      <c r="A1801" t="s">
        <v>157</v>
      </c>
      <c r="B1801" t="s">
        <v>30</v>
      </c>
      <c r="C1801" t="s">
        <v>8</v>
      </c>
      <c r="D1801" t="s">
        <v>28</v>
      </c>
      <c r="E1801" t="s">
        <v>10</v>
      </c>
      <c r="F1801">
        <v>862.55</v>
      </c>
      <c r="G1801">
        <v>76544</v>
      </c>
      <c r="H1801">
        <v>8632.77</v>
      </c>
      <c r="I1801">
        <v>12.87</v>
      </c>
      <c r="J1801">
        <f>IFERROR(INDEX(Suppliar[Estimated Carbon Footprint (tons CO₂e)],MATCH('Merge operational &amp; suppliar'!A1801,Suppliar[Facility ID],0)),"")</f>
        <v>571.88</v>
      </c>
      <c r="K1801">
        <f>IFERROR(INDEX(Suppliar[Income Distribution (%)],MATCH('Merge operational &amp; suppliar'!A1801,Suppliar[Facility ID],0)),"")</f>
        <v>30.1</v>
      </c>
    </row>
    <row r="1802" spans="1:11" x14ac:dyDescent="0.3">
      <c r="A1802" t="s">
        <v>11</v>
      </c>
      <c r="B1802" t="s">
        <v>12</v>
      </c>
      <c r="C1802" t="s">
        <v>34</v>
      </c>
      <c r="D1802" t="s">
        <v>14</v>
      </c>
      <c r="E1802" t="s">
        <v>15</v>
      </c>
      <c r="F1802">
        <v>827.65</v>
      </c>
      <c r="G1802">
        <v>44657</v>
      </c>
      <c r="H1802">
        <v>7867.98</v>
      </c>
      <c r="I1802">
        <v>96.01</v>
      </c>
      <c r="J1802">
        <f>IFERROR(INDEX(Suppliar[Estimated Carbon Footprint (tons CO₂e)],MATCH('Merge operational &amp; suppliar'!A1802,Suppliar[Facility ID],0)),"")</f>
        <v>694.92</v>
      </c>
      <c r="K1802">
        <f>IFERROR(INDEX(Suppliar[Income Distribution (%)],MATCH('Merge operational &amp; suppliar'!A1802,Suppliar[Facility ID],0)),"")</f>
        <v>26.24</v>
      </c>
    </row>
    <row r="1803" spans="1:11" x14ac:dyDescent="0.3">
      <c r="A1803" t="s">
        <v>130</v>
      </c>
      <c r="B1803" t="s">
        <v>12</v>
      </c>
      <c r="C1803" t="s">
        <v>8</v>
      </c>
      <c r="D1803" t="s">
        <v>28</v>
      </c>
      <c r="E1803" t="s">
        <v>10</v>
      </c>
      <c r="F1803">
        <v>1683.73</v>
      </c>
      <c r="G1803">
        <v>82332</v>
      </c>
      <c r="H1803">
        <v>7134.86</v>
      </c>
      <c r="I1803">
        <v>22.44</v>
      </c>
      <c r="J1803">
        <f>IFERROR(INDEX(Suppliar[Estimated Carbon Footprint (tons CO₂e)],MATCH('Merge operational &amp; suppliar'!A1803,Suppliar[Facility ID],0)),"")</f>
        <v>553.44000000000005</v>
      </c>
      <c r="K1803">
        <f>IFERROR(INDEX(Suppliar[Income Distribution (%)],MATCH('Merge operational &amp; suppliar'!A1803,Suppliar[Facility ID],0)),"")</f>
        <v>13.24</v>
      </c>
    </row>
    <row r="1804" spans="1:11" x14ac:dyDescent="0.3">
      <c r="A1804" t="s">
        <v>95</v>
      </c>
      <c r="B1804" t="s">
        <v>30</v>
      </c>
      <c r="C1804" t="s">
        <v>13</v>
      </c>
      <c r="D1804" t="s">
        <v>14</v>
      </c>
      <c r="E1804" t="s">
        <v>24</v>
      </c>
      <c r="F1804">
        <v>1942.34</v>
      </c>
      <c r="G1804">
        <v>51800</v>
      </c>
      <c r="H1804">
        <v>3042.95</v>
      </c>
      <c r="I1804">
        <v>71.87</v>
      </c>
      <c r="J1804">
        <f>IFERROR(INDEX(Suppliar[Estimated Carbon Footprint (tons CO₂e)],MATCH('Merge operational &amp; suppliar'!A1804,Suppliar[Facility ID],0)),"")</f>
        <v>714.03</v>
      </c>
      <c r="K1804">
        <f>IFERROR(INDEX(Suppliar[Income Distribution (%)],MATCH('Merge operational &amp; suppliar'!A1804,Suppliar[Facility ID],0)),"")</f>
        <v>10.84</v>
      </c>
    </row>
    <row r="1805" spans="1:11" x14ac:dyDescent="0.3">
      <c r="A1805" t="s">
        <v>170</v>
      </c>
      <c r="B1805" t="s">
        <v>12</v>
      </c>
      <c r="C1805" t="s">
        <v>34</v>
      </c>
      <c r="D1805" t="s">
        <v>14</v>
      </c>
      <c r="E1805" t="s">
        <v>10</v>
      </c>
      <c r="F1805">
        <v>4550.1099999999997</v>
      </c>
      <c r="G1805">
        <v>54133</v>
      </c>
      <c r="H1805">
        <v>8543.68</v>
      </c>
      <c r="I1805">
        <v>24</v>
      </c>
      <c r="J1805">
        <f>IFERROR(INDEX(Suppliar[Estimated Carbon Footprint (tons CO₂e)],MATCH('Merge operational &amp; suppliar'!A1805,Suppliar[Facility ID],0)),"")</f>
        <v>991.03</v>
      </c>
      <c r="K1805">
        <f>IFERROR(INDEX(Suppliar[Income Distribution (%)],MATCH('Merge operational &amp; suppliar'!A1805,Suppliar[Facility ID],0)),"")</f>
        <v>23.33</v>
      </c>
    </row>
    <row r="1806" spans="1:11" x14ac:dyDescent="0.3">
      <c r="A1806" t="s">
        <v>208</v>
      </c>
      <c r="B1806" t="s">
        <v>19</v>
      </c>
      <c r="C1806" t="s">
        <v>8</v>
      </c>
      <c r="D1806" t="s">
        <v>9</v>
      </c>
      <c r="E1806" t="s">
        <v>15</v>
      </c>
      <c r="F1806">
        <v>3667.99</v>
      </c>
      <c r="G1806">
        <v>40553</v>
      </c>
      <c r="H1806">
        <v>4875.2299999999996</v>
      </c>
      <c r="I1806">
        <v>23.33</v>
      </c>
      <c r="J1806">
        <f>IFERROR(INDEX(Suppliar[Estimated Carbon Footprint (tons CO₂e)],MATCH('Merge operational &amp; suppliar'!A1806,Suppliar[Facility ID],0)),"")</f>
        <v>818.45</v>
      </c>
      <c r="K1806">
        <f>IFERROR(INDEX(Suppliar[Income Distribution (%)],MATCH('Merge operational &amp; suppliar'!A1806,Suppliar[Facility ID],0)),"")</f>
        <v>19.420000000000002</v>
      </c>
    </row>
    <row r="1807" spans="1:11" x14ac:dyDescent="0.3">
      <c r="A1807" t="s">
        <v>167</v>
      </c>
      <c r="B1807" t="s">
        <v>30</v>
      </c>
      <c r="C1807" t="s">
        <v>23</v>
      </c>
      <c r="D1807" t="s">
        <v>14</v>
      </c>
      <c r="E1807" t="s">
        <v>24</v>
      </c>
      <c r="F1807">
        <v>4318.42</v>
      </c>
      <c r="G1807">
        <v>67213</v>
      </c>
      <c r="H1807">
        <v>5533.81</v>
      </c>
      <c r="I1807">
        <v>90.88</v>
      </c>
      <c r="J1807">
        <f>IFERROR(INDEX(Suppliar[Estimated Carbon Footprint (tons CO₂e)],MATCH('Merge operational &amp; suppliar'!A1807,Suppliar[Facility ID],0)),"")</f>
        <v>467.3</v>
      </c>
      <c r="K1807">
        <f>IFERROR(INDEX(Suppliar[Income Distribution (%)],MATCH('Merge operational &amp; suppliar'!A1807,Suppliar[Facility ID],0)),"")</f>
        <v>53.15</v>
      </c>
    </row>
    <row r="1808" spans="1:11" x14ac:dyDescent="0.3">
      <c r="A1808" t="s">
        <v>52</v>
      </c>
      <c r="B1808" t="s">
        <v>19</v>
      </c>
      <c r="C1808" t="s">
        <v>23</v>
      </c>
      <c r="D1808" t="s">
        <v>14</v>
      </c>
      <c r="E1808" t="s">
        <v>10</v>
      </c>
      <c r="F1808">
        <v>3660.75</v>
      </c>
      <c r="G1808">
        <v>94949</v>
      </c>
      <c r="H1808">
        <v>9714.76</v>
      </c>
      <c r="I1808">
        <v>64.900000000000006</v>
      </c>
      <c r="J1808">
        <f>IFERROR(INDEX(Suppliar[Estimated Carbon Footprint (tons CO₂e)],MATCH('Merge operational &amp; suppliar'!A1808,Suppliar[Facility ID],0)),"")</f>
        <v>241.41</v>
      </c>
      <c r="K1808">
        <f>IFERROR(INDEX(Suppliar[Income Distribution (%)],MATCH('Merge operational &amp; suppliar'!A1808,Suppliar[Facility ID],0)),"")</f>
        <v>20.62</v>
      </c>
    </row>
    <row r="1809" spans="1:11" x14ac:dyDescent="0.3">
      <c r="A1809" t="s">
        <v>154</v>
      </c>
      <c r="B1809" t="s">
        <v>12</v>
      </c>
      <c r="C1809" t="s">
        <v>13</v>
      </c>
      <c r="D1809" t="s">
        <v>14</v>
      </c>
      <c r="E1809" t="s">
        <v>15</v>
      </c>
      <c r="F1809">
        <v>1074.46</v>
      </c>
      <c r="G1809">
        <v>87012</v>
      </c>
      <c r="H1809">
        <v>7478.13</v>
      </c>
      <c r="I1809">
        <v>27.22</v>
      </c>
      <c r="J1809">
        <f>IFERROR(INDEX(Suppliar[Estimated Carbon Footprint (tons CO₂e)],MATCH('Merge operational &amp; suppliar'!A1809,Suppliar[Facility ID],0)),"")</f>
        <v>579.80999999999995</v>
      </c>
      <c r="K1809">
        <f>IFERROR(INDEX(Suppliar[Income Distribution (%)],MATCH('Merge operational &amp; suppliar'!A1809,Suppliar[Facility ID],0)),"")</f>
        <v>28.6</v>
      </c>
    </row>
    <row r="1810" spans="1:11" x14ac:dyDescent="0.3">
      <c r="A1810" t="s">
        <v>113</v>
      </c>
      <c r="B1810" t="s">
        <v>30</v>
      </c>
      <c r="C1810" t="s">
        <v>23</v>
      </c>
      <c r="D1810" t="s">
        <v>14</v>
      </c>
      <c r="E1810" t="s">
        <v>24</v>
      </c>
      <c r="F1810">
        <v>4228.88</v>
      </c>
      <c r="G1810">
        <v>90679</v>
      </c>
      <c r="H1810">
        <v>7266.82</v>
      </c>
      <c r="I1810">
        <v>23.3</v>
      </c>
      <c r="J1810">
        <f>IFERROR(INDEX(Suppliar[Estimated Carbon Footprint (tons CO₂e)],MATCH('Merge operational &amp; suppliar'!A1810,Suppliar[Facility ID],0)),"")</f>
        <v>943.59</v>
      </c>
      <c r="K1810">
        <f>IFERROR(INDEX(Suppliar[Income Distribution (%)],MATCH('Merge operational &amp; suppliar'!A1810,Suppliar[Facility ID],0)),"")</f>
        <v>15.81</v>
      </c>
    </row>
    <row r="1811" spans="1:11" x14ac:dyDescent="0.3">
      <c r="A1811" t="s">
        <v>111</v>
      </c>
      <c r="B1811" t="s">
        <v>19</v>
      </c>
      <c r="C1811" t="s">
        <v>34</v>
      </c>
      <c r="D1811" t="s">
        <v>14</v>
      </c>
      <c r="E1811" t="s">
        <v>24</v>
      </c>
      <c r="F1811">
        <v>2827.96</v>
      </c>
      <c r="G1811">
        <v>37309</v>
      </c>
      <c r="H1811">
        <v>4508.54</v>
      </c>
      <c r="I1811">
        <v>47.15</v>
      </c>
      <c r="J1811">
        <f>IFERROR(INDEX(Suppliar[Estimated Carbon Footprint (tons CO₂e)],MATCH('Merge operational &amp; suppliar'!A1811,Suppliar[Facility ID],0)),"")</f>
        <v>951.35</v>
      </c>
      <c r="K1811">
        <f>IFERROR(INDEX(Suppliar[Income Distribution (%)],MATCH('Merge operational &amp; suppliar'!A1811,Suppliar[Facility ID],0)),"")</f>
        <v>47.12</v>
      </c>
    </row>
    <row r="1812" spans="1:11" x14ac:dyDescent="0.3">
      <c r="A1812" t="s">
        <v>70</v>
      </c>
      <c r="B1812" t="s">
        <v>19</v>
      </c>
      <c r="C1812" t="s">
        <v>8</v>
      </c>
      <c r="D1812" t="s">
        <v>9</v>
      </c>
      <c r="E1812" t="s">
        <v>10</v>
      </c>
      <c r="F1812">
        <v>1375.52</v>
      </c>
      <c r="G1812">
        <v>42485</v>
      </c>
      <c r="H1812">
        <v>4755.75</v>
      </c>
      <c r="I1812">
        <v>10.19</v>
      </c>
      <c r="J1812">
        <f>IFERROR(INDEX(Suppliar[Estimated Carbon Footprint (tons CO₂e)],MATCH('Merge operational &amp; suppliar'!A1812,Suppliar[Facility ID],0)),"")</f>
        <v>662.74</v>
      </c>
      <c r="K1812">
        <f>IFERROR(INDEX(Suppliar[Income Distribution (%)],MATCH('Merge operational &amp; suppliar'!A1812,Suppliar[Facility ID],0)),"")</f>
        <v>36.79</v>
      </c>
    </row>
    <row r="1813" spans="1:11" x14ac:dyDescent="0.3">
      <c r="A1813" t="s">
        <v>76</v>
      </c>
      <c r="B1813" t="s">
        <v>17</v>
      </c>
      <c r="C1813" t="s">
        <v>13</v>
      </c>
      <c r="D1813" t="s">
        <v>9</v>
      </c>
      <c r="E1813" t="s">
        <v>15</v>
      </c>
      <c r="F1813">
        <v>3501.6</v>
      </c>
      <c r="G1813">
        <v>59617</v>
      </c>
      <c r="H1813">
        <v>5000.95</v>
      </c>
      <c r="I1813">
        <v>80.36</v>
      </c>
      <c r="J1813">
        <f>IFERROR(INDEX(Suppliar[Estimated Carbon Footprint (tons CO₂e)],MATCH('Merge operational &amp; suppliar'!A1813,Suppliar[Facility ID],0)),"")</f>
        <v>532.27</v>
      </c>
      <c r="K1813">
        <f>IFERROR(INDEX(Suppliar[Income Distribution (%)],MATCH('Merge operational &amp; suppliar'!A1813,Suppliar[Facility ID],0)),"")</f>
        <v>25.24</v>
      </c>
    </row>
    <row r="1814" spans="1:11" x14ac:dyDescent="0.3">
      <c r="A1814" t="s">
        <v>40</v>
      </c>
      <c r="B1814" t="s">
        <v>19</v>
      </c>
      <c r="C1814" t="s">
        <v>23</v>
      </c>
      <c r="D1814" t="s">
        <v>9</v>
      </c>
      <c r="E1814" t="s">
        <v>15</v>
      </c>
      <c r="F1814">
        <v>3492.98</v>
      </c>
      <c r="G1814">
        <v>96474</v>
      </c>
      <c r="H1814">
        <v>7574.39</v>
      </c>
      <c r="I1814">
        <v>95.54</v>
      </c>
      <c r="J1814">
        <f>IFERROR(INDEX(Suppliar[Estimated Carbon Footprint (tons CO₂e)],MATCH('Merge operational &amp; suppliar'!A1814,Suppliar[Facility ID],0)),"")</f>
        <v>886.71</v>
      </c>
      <c r="K1814">
        <f>IFERROR(INDEX(Suppliar[Income Distribution (%)],MATCH('Merge operational &amp; suppliar'!A1814,Suppliar[Facility ID],0)),"")</f>
        <v>24.84</v>
      </c>
    </row>
    <row r="1815" spans="1:11" x14ac:dyDescent="0.3">
      <c r="A1815" t="s">
        <v>204</v>
      </c>
      <c r="B1815" t="s">
        <v>30</v>
      </c>
      <c r="C1815" t="s">
        <v>13</v>
      </c>
      <c r="D1815" t="s">
        <v>9</v>
      </c>
      <c r="E1815" t="s">
        <v>24</v>
      </c>
      <c r="F1815">
        <v>1594.78</v>
      </c>
      <c r="G1815">
        <v>36423</v>
      </c>
      <c r="H1815">
        <v>589.96</v>
      </c>
      <c r="I1815">
        <v>30.9</v>
      </c>
      <c r="J1815">
        <f>IFERROR(INDEX(Suppliar[Estimated Carbon Footprint (tons CO₂e)],MATCH('Merge operational &amp; suppliar'!A1815,Suppliar[Facility ID],0)),"")</f>
        <v>111.84</v>
      </c>
      <c r="K1815">
        <f>IFERROR(INDEX(Suppliar[Income Distribution (%)],MATCH('Merge operational &amp; suppliar'!A1815,Suppliar[Facility ID],0)),"")</f>
        <v>23.26</v>
      </c>
    </row>
    <row r="1816" spans="1:11" x14ac:dyDescent="0.3">
      <c r="A1816" t="s">
        <v>53</v>
      </c>
      <c r="B1816" t="s">
        <v>7</v>
      </c>
      <c r="C1816" t="s">
        <v>8</v>
      </c>
      <c r="D1816" t="s">
        <v>9</v>
      </c>
      <c r="E1816" t="s">
        <v>15</v>
      </c>
      <c r="F1816">
        <v>4328.83</v>
      </c>
      <c r="G1816">
        <v>90632</v>
      </c>
      <c r="H1816">
        <v>5292.17</v>
      </c>
      <c r="I1816">
        <v>78.45</v>
      </c>
      <c r="J1816">
        <f>IFERROR(INDEX(Suppliar[Estimated Carbon Footprint (tons CO₂e)],MATCH('Merge operational &amp; suppliar'!A1816,Suppliar[Facility ID],0)),"")</f>
        <v>571.88</v>
      </c>
      <c r="K1816">
        <f>IFERROR(INDEX(Suppliar[Income Distribution (%)],MATCH('Merge operational &amp; suppliar'!A1816,Suppliar[Facility ID],0)),"")</f>
        <v>20.93</v>
      </c>
    </row>
    <row r="1817" spans="1:11" x14ac:dyDescent="0.3">
      <c r="A1817" t="s">
        <v>88</v>
      </c>
      <c r="B1817" t="s">
        <v>7</v>
      </c>
      <c r="C1817" t="s">
        <v>34</v>
      </c>
      <c r="D1817" t="s">
        <v>9</v>
      </c>
      <c r="E1817" t="s">
        <v>10</v>
      </c>
      <c r="F1817">
        <v>3820.76</v>
      </c>
      <c r="G1817">
        <v>44825</v>
      </c>
      <c r="H1817">
        <v>6023.03</v>
      </c>
      <c r="I1817">
        <v>27.2</v>
      </c>
      <c r="J1817">
        <f>IFERROR(INDEX(Suppliar[Estimated Carbon Footprint (tons CO₂e)],MATCH('Merge operational &amp; suppliar'!A1817,Suppliar[Facility ID],0)),"")</f>
        <v>436.04</v>
      </c>
      <c r="K1817">
        <f>IFERROR(INDEX(Suppliar[Income Distribution (%)],MATCH('Merge operational &amp; suppliar'!A1817,Suppliar[Facility ID],0)),"")</f>
        <v>19.36</v>
      </c>
    </row>
    <row r="1818" spans="1:11" x14ac:dyDescent="0.3">
      <c r="A1818" t="s">
        <v>210</v>
      </c>
      <c r="B1818" t="s">
        <v>7</v>
      </c>
      <c r="C1818" t="s">
        <v>8</v>
      </c>
      <c r="D1818" t="s">
        <v>14</v>
      </c>
      <c r="E1818" t="s">
        <v>10</v>
      </c>
      <c r="F1818">
        <v>2495.33</v>
      </c>
      <c r="G1818">
        <v>65666</v>
      </c>
      <c r="H1818">
        <v>7269.98</v>
      </c>
      <c r="I1818">
        <v>75.62</v>
      </c>
      <c r="J1818" t="str">
        <f>IFERROR(INDEX(Suppliar[Estimated Carbon Footprint (tons CO₂e)],MATCH('Merge operational &amp; suppliar'!A1818,Suppliar[Facility ID],0)),"")</f>
        <v/>
      </c>
      <c r="K1818" t="str">
        <f>IFERROR(INDEX(Suppliar[Income Distribution (%)],MATCH('Merge operational &amp; suppliar'!A1818,Suppliar[Facility ID],0)),"")</f>
        <v/>
      </c>
    </row>
    <row r="1819" spans="1:11" x14ac:dyDescent="0.3">
      <c r="A1819" t="s">
        <v>197</v>
      </c>
      <c r="B1819" t="s">
        <v>30</v>
      </c>
      <c r="C1819" t="s">
        <v>23</v>
      </c>
      <c r="D1819" t="s">
        <v>28</v>
      </c>
      <c r="E1819" t="s">
        <v>10</v>
      </c>
      <c r="F1819">
        <v>286.39</v>
      </c>
      <c r="G1819">
        <v>56752</v>
      </c>
      <c r="H1819">
        <v>4177.68</v>
      </c>
      <c r="I1819">
        <v>10.96</v>
      </c>
      <c r="J1819">
        <f>IFERROR(INDEX(Suppliar[Estimated Carbon Footprint (tons CO₂e)],MATCH('Merge operational &amp; suppliar'!A1819,Suppliar[Facility ID],0)),"")</f>
        <v>694.92</v>
      </c>
      <c r="K1819">
        <f>IFERROR(INDEX(Suppliar[Income Distribution (%)],MATCH('Merge operational &amp; suppliar'!A1819,Suppliar[Facility ID],0)),"")</f>
        <v>9.8699999999999992</v>
      </c>
    </row>
    <row r="1820" spans="1:11" x14ac:dyDescent="0.3">
      <c r="A1820" t="s">
        <v>65</v>
      </c>
      <c r="B1820" t="s">
        <v>30</v>
      </c>
      <c r="C1820" t="s">
        <v>34</v>
      </c>
      <c r="D1820" t="s">
        <v>14</v>
      </c>
      <c r="E1820" t="s">
        <v>10</v>
      </c>
      <c r="F1820">
        <v>1994.05</v>
      </c>
      <c r="G1820">
        <v>99026</v>
      </c>
      <c r="H1820">
        <v>5453.2</v>
      </c>
      <c r="I1820">
        <v>57.49</v>
      </c>
      <c r="J1820">
        <f>IFERROR(INDEX(Suppliar[Estimated Carbon Footprint (tons CO₂e)],MATCH('Merge operational &amp; suppliar'!A1820,Suppliar[Facility ID],0)),"")</f>
        <v>231.68</v>
      </c>
      <c r="K1820">
        <f>IFERROR(INDEX(Suppliar[Income Distribution (%)],MATCH('Merge operational &amp; suppliar'!A1820,Suppliar[Facility ID],0)),"")</f>
        <v>24.26</v>
      </c>
    </row>
    <row r="1821" spans="1:11" x14ac:dyDescent="0.3">
      <c r="A1821" t="s">
        <v>213</v>
      </c>
      <c r="B1821" t="s">
        <v>12</v>
      </c>
      <c r="C1821" t="s">
        <v>13</v>
      </c>
      <c r="D1821" t="s">
        <v>14</v>
      </c>
      <c r="E1821" t="s">
        <v>10</v>
      </c>
      <c r="F1821">
        <v>2165.4299999999998</v>
      </c>
      <c r="G1821">
        <v>58622</v>
      </c>
      <c r="H1821">
        <v>7795.36</v>
      </c>
      <c r="I1821">
        <v>59.81</v>
      </c>
      <c r="J1821">
        <f>IFERROR(INDEX(Suppliar[Estimated Carbon Footprint (tons CO₂e)],MATCH('Merge operational &amp; suppliar'!A1821,Suppliar[Facility ID],0)),"")</f>
        <v>807.86</v>
      </c>
      <c r="K1821">
        <f>IFERROR(INDEX(Suppliar[Income Distribution (%)],MATCH('Merge operational &amp; suppliar'!A1821,Suppliar[Facility ID],0)),"")</f>
        <v>32.130000000000003</v>
      </c>
    </row>
    <row r="1822" spans="1:11" x14ac:dyDescent="0.3">
      <c r="A1822" t="s">
        <v>16</v>
      </c>
      <c r="B1822" t="s">
        <v>17</v>
      </c>
      <c r="C1822" t="s">
        <v>23</v>
      </c>
      <c r="D1822" t="s">
        <v>28</v>
      </c>
      <c r="E1822" t="s">
        <v>15</v>
      </c>
      <c r="F1822">
        <v>4197.01</v>
      </c>
      <c r="G1822">
        <v>43512</v>
      </c>
      <c r="H1822">
        <v>5352.18</v>
      </c>
      <c r="I1822">
        <v>6.17</v>
      </c>
      <c r="J1822">
        <f>IFERROR(INDEX(Suppliar[Estimated Carbon Footprint (tons CO₂e)],MATCH('Merge operational &amp; suppliar'!A1822,Suppliar[Facility ID],0)),"")</f>
        <v>311.36</v>
      </c>
      <c r="K1822">
        <f>IFERROR(INDEX(Suppliar[Income Distribution (%)],MATCH('Merge operational &amp; suppliar'!A1822,Suppliar[Facility ID],0)),"")</f>
        <v>28.72</v>
      </c>
    </row>
    <row r="1823" spans="1:11" x14ac:dyDescent="0.3">
      <c r="A1823" t="s">
        <v>78</v>
      </c>
      <c r="B1823" t="s">
        <v>7</v>
      </c>
      <c r="C1823" t="s">
        <v>34</v>
      </c>
      <c r="D1823" t="s">
        <v>9</v>
      </c>
      <c r="E1823" t="s">
        <v>10</v>
      </c>
      <c r="F1823">
        <v>1921.28</v>
      </c>
      <c r="G1823">
        <v>86557</v>
      </c>
      <c r="H1823">
        <v>8631.2800000000007</v>
      </c>
      <c r="I1823">
        <v>69.53</v>
      </c>
      <c r="J1823" t="str">
        <f>IFERROR(INDEX(Suppliar[Estimated Carbon Footprint (tons CO₂e)],MATCH('Merge operational &amp; suppliar'!A1823,Suppliar[Facility ID],0)),"")</f>
        <v/>
      </c>
      <c r="K1823" t="str">
        <f>IFERROR(INDEX(Suppliar[Income Distribution (%)],MATCH('Merge operational &amp; suppliar'!A1823,Suppliar[Facility ID],0)),"")</f>
        <v/>
      </c>
    </row>
    <row r="1824" spans="1:11" x14ac:dyDescent="0.3">
      <c r="A1824" t="s">
        <v>89</v>
      </c>
      <c r="B1824" t="s">
        <v>17</v>
      </c>
      <c r="C1824" t="s">
        <v>13</v>
      </c>
      <c r="D1824" t="s">
        <v>28</v>
      </c>
      <c r="E1824" t="s">
        <v>24</v>
      </c>
      <c r="F1824">
        <v>3491.72</v>
      </c>
      <c r="G1824">
        <v>36171</v>
      </c>
      <c r="H1824">
        <v>6864.38</v>
      </c>
      <c r="I1824">
        <v>37.03</v>
      </c>
      <c r="J1824">
        <f>IFERROR(INDEX(Suppliar[Estimated Carbon Footprint (tons CO₂e)],MATCH('Merge operational &amp; suppliar'!A1824,Suppliar[Facility ID],0)),"")</f>
        <v>181.54</v>
      </c>
      <c r="K1824">
        <f>IFERROR(INDEX(Suppliar[Income Distribution (%)],MATCH('Merge operational &amp; suppliar'!A1824,Suppliar[Facility ID],0)),"")</f>
        <v>55.69</v>
      </c>
    </row>
    <row r="1825" spans="1:11" x14ac:dyDescent="0.3">
      <c r="A1825" t="s">
        <v>81</v>
      </c>
      <c r="B1825" t="s">
        <v>12</v>
      </c>
      <c r="C1825" t="s">
        <v>34</v>
      </c>
      <c r="D1825" t="s">
        <v>9</v>
      </c>
      <c r="E1825" t="s">
        <v>10</v>
      </c>
      <c r="F1825">
        <v>2500.0700000000002</v>
      </c>
      <c r="G1825">
        <v>93661</v>
      </c>
      <c r="H1825">
        <v>7324.58</v>
      </c>
      <c r="I1825">
        <v>23.55</v>
      </c>
      <c r="J1825">
        <f>IFERROR(INDEX(Suppliar[Estimated Carbon Footprint (tons CO₂e)],MATCH('Merge operational &amp; suppliar'!A1825,Suppliar[Facility ID],0)),"")</f>
        <v>390.06</v>
      </c>
      <c r="K1825">
        <f>IFERROR(INDEX(Suppliar[Income Distribution (%)],MATCH('Merge operational &amp; suppliar'!A1825,Suppliar[Facility ID],0)),"")</f>
        <v>23.14</v>
      </c>
    </row>
    <row r="1826" spans="1:11" x14ac:dyDescent="0.3">
      <c r="A1826" t="s">
        <v>212</v>
      </c>
      <c r="B1826" t="s">
        <v>7</v>
      </c>
      <c r="C1826" t="s">
        <v>13</v>
      </c>
      <c r="D1826" t="s">
        <v>28</v>
      </c>
      <c r="E1826" t="s">
        <v>10</v>
      </c>
      <c r="F1826">
        <v>818.77</v>
      </c>
      <c r="G1826">
        <v>67820</v>
      </c>
      <c r="H1826">
        <v>8177.95</v>
      </c>
      <c r="I1826">
        <v>40.69</v>
      </c>
      <c r="J1826">
        <f>IFERROR(INDEX(Suppliar[Estimated Carbon Footprint (tons CO₂e)],MATCH('Merge operational &amp; suppliar'!A1826,Suppliar[Facility ID],0)),"")</f>
        <v>790.74</v>
      </c>
      <c r="K1826">
        <f>IFERROR(INDEX(Suppliar[Income Distribution (%)],MATCH('Merge operational &amp; suppliar'!A1826,Suppliar[Facility ID],0)),"")</f>
        <v>15.94</v>
      </c>
    </row>
    <row r="1827" spans="1:11" x14ac:dyDescent="0.3">
      <c r="A1827" t="s">
        <v>185</v>
      </c>
      <c r="B1827" t="s">
        <v>30</v>
      </c>
      <c r="C1827" t="s">
        <v>8</v>
      </c>
      <c r="D1827" t="s">
        <v>28</v>
      </c>
      <c r="E1827" t="s">
        <v>15</v>
      </c>
      <c r="F1827">
        <v>316.76</v>
      </c>
      <c r="G1827">
        <v>24913</v>
      </c>
      <c r="H1827">
        <v>5727.27</v>
      </c>
      <c r="I1827">
        <v>78.849999999999994</v>
      </c>
      <c r="J1827" t="str">
        <f>IFERROR(INDEX(Suppliar[Estimated Carbon Footprint (tons CO₂e)],MATCH('Merge operational &amp; suppliar'!A1827,Suppliar[Facility ID],0)),"")</f>
        <v/>
      </c>
      <c r="K1827" t="str">
        <f>IFERROR(INDEX(Suppliar[Income Distribution (%)],MATCH('Merge operational &amp; suppliar'!A1827,Suppliar[Facility ID],0)),"")</f>
        <v/>
      </c>
    </row>
    <row r="1828" spans="1:11" x14ac:dyDescent="0.3">
      <c r="A1828" t="s">
        <v>202</v>
      </c>
      <c r="B1828" t="s">
        <v>12</v>
      </c>
      <c r="C1828" t="s">
        <v>13</v>
      </c>
      <c r="D1828" t="s">
        <v>28</v>
      </c>
      <c r="E1828" t="s">
        <v>15</v>
      </c>
      <c r="F1828">
        <v>2524.56</v>
      </c>
      <c r="G1828">
        <v>28400</v>
      </c>
      <c r="H1828">
        <v>3056.67</v>
      </c>
      <c r="I1828">
        <v>52.68</v>
      </c>
      <c r="J1828">
        <f>IFERROR(INDEX(Suppliar[Estimated Carbon Footprint (tons CO₂e)],MATCH('Merge operational &amp; suppliar'!A1828,Suppliar[Facility ID],0)),"")</f>
        <v>571.88</v>
      </c>
      <c r="K1828">
        <f>IFERROR(INDEX(Suppliar[Income Distribution (%)],MATCH('Merge operational &amp; suppliar'!A1828,Suppliar[Facility ID],0)),"")</f>
        <v>8.6199999999999992</v>
      </c>
    </row>
    <row r="1829" spans="1:11" x14ac:dyDescent="0.3">
      <c r="A1829" t="s">
        <v>207</v>
      </c>
      <c r="B1829" t="s">
        <v>17</v>
      </c>
      <c r="C1829" t="s">
        <v>34</v>
      </c>
      <c r="D1829" t="s">
        <v>9</v>
      </c>
      <c r="E1829" t="s">
        <v>15</v>
      </c>
      <c r="F1829">
        <v>1374.22</v>
      </c>
      <c r="G1829">
        <v>99115</v>
      </c>
      <c r="H1829">
        <v>827.26</v>
      </c>
      <c r="I1829">
        <v>28.88</v>
      </c>
      <c r="J1829">
        <f>IFERROR(INDEX(Suppliar[Estimated Carbon Footprint (tons CO₂e)],MATCH('Merge operational &amp; suppliar'!A1829,Suppliar[Facility ID],0)),"")</f>
        <v>818.45</v>
      </c>
      <c r="K1829">
        <f>IFERROR(INDEX(Suppliar[Income Distribution (%)],MATCH('Merge operational &amp; suppliar'!A1829,Suppliar[Facility ID],0)),"")</f>
        <v>27.59</v>
      </c>
    </row>
    <row r="1830" spans="1:11" x14ac:dyDescent="0.3">
      <c r="A1830" t="s">
        <v>161</v>
      </c>
      <c r="B1830" t="s">
        <v>7</v>
      </c>
      <c r="C1830" t="s">
        <v>13</v>
      </c>
      <c r="D1830" t="s">
        <v>28</v>
      </c>
      <c r="E1830" t="s">
        <v>10</v>
      </c>
      <c r="F1830">
        <v>3494.63</v>
      </c>
      <c r="G1830">
        <v>15788</v>
      </c>
      <c r="H1830">
        <v>1824.14</v>
      </c>
      <c r="I1830">
        <v>52.78</v>
      </c>
      <c r="J1830">
        <f>IFERROR(INDEX(Suppliar[Estimated Carbon Footprint (tons CO₂e)],MATCH('Merge operational &amp; suppliar'!A1830,Suppliar[Facility ID],0)),"")</f>
        <v>571.88</v>
      </c>
      <c r="K1830">
        <f>IFERROR(INDEX(Suppliar[Income Distribution (%)],MATCH('Merge operational &amp; suppliar'!A1830,Suppliar[Facility ID],0)),"")</f>
        <v>8.17</v>
      </c>
    </row>
    <row r="1831" spans="1:11" x14ac:dyDescent="0.3">
      <c r="A1831" t="s">
        <v>119</v>
      </c>
      <c r="B1831" t="s">
        <v>30</v>
      </c>
      <c r="C1831" t="s">
        <v>13</v>
      </c>
      <c r="D1831" t="s">
        <v>9</v>
      </c>
      <c r="E1831" t="s">
        <v>24</v>
      </c>
      <c r="F1831">
        <v>1436.94</v>
      </c>
      <c r="G1831">
        <v>80488</v>
      </c>
      <c r="H1831">
        <v>7629.95</v>
      </c>
      <c r="I1831">
        <v>63.83</v>
      </c>
      <c r="J1831">
        <f>IFERROR(INDEX(Suppliar[Estimated Carbon Footprint (tons CO₂e)],MATCH('Merge operational &amp; suppliar'!A1831,Suppliar[Facility ID],0)),"")</f>
        <v>847.51</v>
      </c>
      <c r="K1831">
        <f>IFERROR(INDEX(Suppliar[Income Distribution (%)],MATCH('Merge operational &amp; suppliar'!A1831,Suppliar[Facility ID],0)),"")</f>
        <v>9.9</v>
      </c>
    </row>
    <row r="1832" spans="1:11" x14ac:dyDescent="0.3">
      <c r="A1832" t="s">
        <v>217</v>
      </c>
      <c r="B1832" t="s">
        <v>19</v>
      </c>
      <c r="C1832" t="s">
        <v>13</v>
      </c>
      <c r="D1832" t="s">
        <v>28</v>
      </c>
      <c r="E1832" t="s">
        <v>10</v>
      </c>
      <c r="F1832">
        <v>1993.57</v>
      </c>
      <c r="G1832">
        <v>80824</v>
      </c>
      <c r="H1832">
        <v>2858.92</v>
      </c>
      <c r="I1832">
        <v>13.97</v>
      </c>
      <c r="J1832">
        <f>IFERROR(INDEX(Suppliar[Estimated Carbon Footprint (tons CO₂e)],MATCH('Merge operational &amp; suppliar'!A1832,Suppliar[Facility ID],0)),"")</f>
        <v>638.89</v>
      </c>
      <c r="K1832">
        <f>IFERROR(INDEX(Suppliar[Income Distribution (%)],MATCH('Merge operational &amp; suppliar'!A1832,Suppliar[Facility ID],0)),"")</f>
        <v>21.98</v>
      </c>
    </row>
    <row r="1833" spans="1:11" x14ac:dyDescent="0.3">
      <c r="A1833" t="s">
        <v>95</v>
      </c>
      <c r="B1833" t="s">
        <v>30</v>
      </c>
      <c r="C1833" t="s">
        <v>8</v>
      </c>
      <c r="D1833" t="s">
        <v>14</v>
      </c>
      <c r="E1833" t="s">
        <v>15</v>
      </c>
      <c r="F1833">
        <v>2563.0100000000002</v>
      </c>
      <c r="G1833">
        <v>51800</v>
      </c>
      <c r="H1833">
        <v>3042.95</v>
      </c>
      <c r="I1833">
        <v>71.87</v>
      </c>
      <c r="J1833">
        <f>IFERROR(INDEX(Suppliar[Estimated Carbon Footprint (tons CO₂e)],MATCH('Merge operational &amp; suppliar'!A1833,Suppliar[Facility ID],0)),"")</f>
        <v>714.03</v>
      </c>
      <c r="K1833">
        <f>IFERROR(INDEX(Suppliar[Income Distribution (%)],MATCH('Merge operational &amp; suppliar'!A1833,Suppliar[Facility ID],0)),"")</f>
        <v>10.84</v>
      </c>
    </row>
    <row r="1834" spans="1:11" x14ac:dyDescent="0.3">
      <c r="A1834" t="s">
        <v>118</v>
      </c>
      <c r="B1834" t="s">
        <v>30</v>
      </c>
      <c r="C1834" t="s">
        <v>13</v>
      </c>
      <c r="D1834" t="s">
        <v>28</v>
      </c>
      <c r="E1834" t="s">
        <v>10</v>
      </c>
      <c r="F1834">
        <v>3772.31</v>
      </c>
      <c r="G1834">
        <v>68492</v>
      </c>
      <c r="H1834">
        <v>3533.88</v>
      </c>
      <c r="I1834">
        <v>52.99</v>
      </c>
      <c r="J1834">
        <f>IFERROR(INDEX(Suppliar[Estimated Carbon Footprint (tons CO₂e)],MATCH('Merge operational &amp; suppliar'!A1834,Suppliar[Facility ID],0)),"")</f>
        <v>847.51</v>
      </c>
      <c r="K1834">
        <f>IFERROR(INDEX(Suppliar[Income Distribution (%)],MATCH('Merge operational &amp; suppliar'!A1834,Suppliar[Facility ID],0)),"")</f>
        <v>7.14</v>
      </c>
    </row>
    <row r="1835" spans="1:11" x14ac:dyDescent="0.3">
      <c r="A1835" t="s">
        <v>197</v>
      </c>
      <c r="B1835" t="s">
        <v>30</v>
      </c>
      <c r="C1835" t="s">
        <v>8</v>
      </c>
      <c r="D1835" t="s">
        <v>28</v>
      </c>
      <c r="E1835" t="s">
        <v>15</v>
      </c>
      <c r="F1835">
        <v>1624.65</v>
      </c>
      <c r="G1835">
        <v>56752</v>
      </c>
      <c r="H1835">
        <v>4177.68</v>
      </c>
      <c r="I1835">
        <v>10.96</v>
      </c>
      <c r="J1835">
        <f>IFERROR(INDEX(Suppliar[Estimated Carbon Footprint (tons CO₂e)],MATCH('Merge operational &amp; suppliar'!A1835,Suppliar[Facility ID],0)),"")</f>
        <v>694.92</v>
      </c>
      <c r="K1835">
        <f>IFERROR(INDEX(Suppliar[Income Distribution (%)],MATCH('Merge operational &amp; suppliar'!A1835,Suppliar[Facility ID],0)),"")</f>
        <v>9.8699999999999992</v>
      </c>
    </row>
    <row r="1836" spans="1:11" x14ac:dyDescent="0.3">
      <c r="A1836" t="s">
        <v>179</v>
      </c>
      <c r="B1836" t="s">
        <v>7</v>
      </c>
      <c r="C1836" t="s">
        <v>13</v>
      </c>
      <c r="D1836" t="s">
        <v>28</v>
      </c>
      <c r="E1836" t="s">
        <v>10</v>
      </c>
      <c r="F1836">
        <v>4535.0200000000004</v>
      </c>
      <c r="G1836">
        <v>94393</v>
      </c>
      <c r="H1836">
        <v>6691.7</v>
      </c>
      <c r="I1836">
        <v>74.790000000000006</v>
      </c>
      <c r="J1836">
        <f>IFERROR(INDEX(Suppliar[Estimated Carbon Footprint (tons CO₂e)],MATCH('Merge operational &amp; suppliar'!A1836,Suppliar[Facility ID],0)),"")</f>
        <v>867.66</v>
      </c>
      <c r="K1836">
        <f>IFERROR(INDEX(Suppliar[Income Distribution (%)],MATCH('Merge operational &amp; suppliar'!A1836,Suppliar[Facility ID],0)),"")</f>
        <v>32.97</v>
      </c>
    </row>
    <row r="1837" spans="1:11" x14ac:dyDescent="0.3">
      <c r="A1837" t="s">
        <v>175</v>
      </c>
      <c r="B1837" t="s">
        <v>7</v>
      </c>
      <c r="C1837" t="s">
        <v>13</v>
      </c>
      <c r="D1837" t="s">
        <v>9</v>
      </c>
      <c r="E1837" t="s">
        <v>24</v>
      </c>
      <c r="F1837">
        <v>3532.27</v>
      </c>
      <c r="G1837">
        <v>83923</v>
      </c>
      <c r="H1837">
        <v>8768.7999999999993</v>
      </c>
      <c r="I1837">
        <v>65.290000000000006</v>
      </c>
      <c r="J1837">
        <f>IFERROR(INDEX(Suppliar[Estimated Carbon Footprint (tons CO₂e)],MATCH('Merge operational &amp; suppliar'!A1837,Suppliar[Facility ID],0)),"")</f>
        <v>579.80999999999995</v>
      </c>
      <c r="K1837">
        <f>IFERROR(INDEX(Suppliar[Income Distribution (%)],MATCH('Merge operational &amp; suppliar'!A1837,Suppliar[Facility ID],0)),"")</f>
        <v>34.93</v>
      </c>
    </row>
    <row r="1838" spans="1:11" x14ac:dyDescent="0.3">
      <c r="A1838" t="s">
        <v>153</v>
      </c>
      <c r="B1838" t="s">
        <v>7</v>
      </c>
      <c r="C1838" t="s">
        <v>13</v>
      </c>
      <c r="D1838" t="s">
        <v>14</v>
      </c>
      <c r="E1838" t="s">
        <v>15</v>
      </c>
      <c r="F1838">
        <v>2581.0300000000002</v>
      </c>
      <c r="G1838">
        <v>21388</v>
      </c>
      <c r="H1838">
        <v>5249.39</v>
      </c>
      <c r="I1838">
        <v>64.2</v>
      </c>
      <c r="J1838">
        <f>IFERROR(INDEX(Suppliar[Estimated Carbon Footprint (tons CO₂e)],MATCH('Merge operational &amp; suppliar'!A1838,Suppliar[Facility ID],0)),"")</f>
        <v>571.66</v>
      </c>
      <c r="K1838">
        <f>IFERROR(INDEX(Suppliar[Income Distribution (%)],MATCH('Merge operational &amp; suppliar'!A1838,Suppliar[Facility ID],0)),"")</f>
        <v>17.87</v>
      </c>
    </row>
    <row r="1839" spans="1:11" x14ac:dyDescent="0.3">
      <c r="A1839" t="s">
        <v>194</v>
      </c>
      <c r="B1839" t="s">
        <v>17</v>
      </c>
      <c r="C1839" t="s">
        <v>34</v>
      </c>
      <c r="D1839" t="s">
        <v>9</v>
      </c>
      <c r="E1839" t="s">
        <v>15</v>
      </c>
      <c r="F1839">
        <v>4518.38</v>
      </c>
      <c r="G1839">
        <v>95165</v>
      </c>
      <c r="H1839">
        <v>8562.76</v>
      </c>
      <c r="I1839">
        <v>37.54</v>
      </c>
      <c r="J1839">
        <f>IFERROR(INDEX(Suppliar[Estimated Carbon Footprint (tons CO₂e)],MATCH('Merge operational &amp; suppliar'!A1839,Suppliar[Facility ID],0)),"")</f>
        <v>479.41</v>
      </c>
      <c r="K1839">
        <f>IFERROR(INDEX(Suppliar[Income Distribution (%)],MATCH('Merge operational &amp; suppliar'!A1839,Suppliar[Facility ID],0)),"")</f>
        <v>13.64</v>
      </c>
    </row>
    <row r="1840" spans="1:11" x14ac:dyDescent="0.3">
      <c r="A1840" t="s">
        <v>168</v>
      </c>
      <c r="B1840" t="s">
        <v>17</v>
      </c>
      <c r="C1840" t="s">
        <v>13</v>
      </c>
      <c r="D1840" t="s">
        <v>28</v>
      </c>
      <c r="E1840" t="s">
        <v>24</v>
      </c>
      <c r="F1840">
        <v>4506.08</v>
      </c>
      <c r="G1840">
        <v>41050</v>
      </c>
      <c r="H1840">
        <v>6025.84</v>
      </c>
      <c r="I1840">
        <v>53.53</v>
      </c>
      <c r="J1840">
        <f>IFERROR(INDEX(Suppliar[Estimated Carbon Footprint (tons CO₂e)],MATCH('Merge operational &amp; suppliar'!A1840,Suppliar[Facility ID],0)),"")</f>
        <v>289.77</v>
      </c>
      <c r="K1840">
        <f>IFERROR(INDEX(Suppliar[Income Distribution (%)],MATCH('Merge operational &amp; suppliar'!A1840,Suppliar[Facility ID],0)),"")</f>
        <v>19.260000000000002</v>
      </c>
    </row>
    <row r="1841" spans="1:11" x14ac:dyDescent="0.3">
      <c r="A1841" t="s">
        <v>164</v>
      </c>
      <c r="B1841" t="s">
        <v>19</v>
      </c>
      <c r="C1841" t="s">
        <v>8</v>
      </c>
      <c r="D1841" t="s">
        <v>9</v>
      </c>
      <c r="E1841" t="s">
        <v>15</v>
      </c>
      <c r="F1841">
        <v>3055.51</v>
      </c>
      <c r="G1841">
        <v>69636</v>
      </c>
      <c r="H1841">
        <v>4246.55</v>
      </c>
      <c r="I1841">
        <v>69.290000000000006</v>
      </c>
      <c r="J1841">
        <f>IFERROR(INDEX(Suppliar[Estimated Carbon Footprint (tons CO₂e)],MATCH('Merge operational &amp; suppliar'!A1841,Suppliar[Facility ID],0)),"")</f>
        <v>362.43</v>
      </c>
      <c r="K1841">
        <f>IFERROR(INDEX(Suppliar[Income Distribution (%)],MATCH('Merge operational &amp; suppliar'!A1841,Suppliar[Facility ID],0)),"")</f>
        <v>54.81</v>
      </c>
    </row>
    <row r="1842" spans="1:11" x14ac:dyDescent="0.3">
      <c r="A1842" t="s">
        <v>85</v>
      </c>
      <c r="B1842" t="s">
        <v>30</v>
      </c>
      <c r="C1842" t="s">
        <v>8</v>
      </c>
      <c r="D1842" t="s">
        <v>14</v>
      </c>
      <c r="E1842" t="s">
        <v>15</v>
      </c>
      <c r="F1842">
        <v>1376.96</v>
      </c>
      <c r="G1842">
        <v>45519</v>
      </c>
      <c r="H1842">
        <v>7987.69</v>
      </c>
      <c r="I1842">
        <v>10.86</v>
      </c>
      <c r="J1842">
        <f>IFERROR(INDEX(Suppliar[Estimated Carbon Footprint (tons CO₂e)],MATCH('Merge operational &amp; suppliar'!A1842,Suppliar[Facility ID],0)),"")</f>
        <v>638.89</v>
      </c>
      <c r="K1842">
        <f>IFERROR(INDEX(Suppliar[Income Distribution (%)],MATCH('Merge operational &amp; suppliar'!A1842,Suppliar[Facility ID],0)),"")</f>
        <v>35.04</v>
      </c>
    </row>
    <row r="1843" spans="1:11" x14ac:dyDescent="0.3">
      <c r="A1843" t="s">
        <v>103</v>
      </c>
      <c r="B1843" t="s">
        <v>19</v>
      </c>
      <c r="C1843" t="s">
        <v>8</v>
      </c>
      <c r="D1843" t="s">
        <v>9</v>
      </c>
      <c r="E1843" t="s">
        <v>15</v>
      </c>
      <c r="F1843">
        <v>3798.95</v>
      </c>
      <c r="G1843">
        <v>38869</v>
      </c>
      <c r="H1843">
        <v>5109.76</v>
      </c>
      <c r="I1843">
        <v>35.270000000000003</v>
      </c>
      <c r="J1843">
        <f>IFERROR(INDEX(Suppliar[Estimated Carbon Footprint (tons CO₂e)],MATCH('Merge operational &amp; suppliar'!A1843,Suppliar[Facility ID],0)),"")</f>
        <v>986.62</v>
      </c>
      <c r="K1843">
        <f>IFERROR(INDEX(Suppliar[Income Distribution (%)],MATCH('Merge operational &amp; suppliar'!A1843,Suppliar[Facility ID],0)),"")</f>
        <v>40.86</v>
      </c>
    </row>
    <row r="1844" spans="1:11" x14ac:dyDescent="0.3">
      <c r="A1844" t="s">
        <v>159</v>
      </c>
      <c r="B1844" t="s">
        <v>7</v>
      </c>
      <c r="C1844" t="s">
        <v>8</v>
      </c>
      <c r="D1844" t="s">
        <v>28</v>
      </c>
      <c r="E1844" t="s">
        <v>15</v>
      </c>
      <c r="F1844">
        <v>1881.41</v>
      </c>
      <c r="G1844">
        <v>47727</v>
      </c>
      <c r="H1844">
        <v>8907.33</v>
      </c>
      <c r="I1844">
        <v>47.4</v>
      </c>
      <c r="J1844">
        <f>IFERROR(INDEX(Suppliar[Estimated Carbon Footprint (tons CO₂e)],MATCH('Merge operational &amp; suppliar'!A1844,Suppliar[Facility ID],0)),"")</f>
        <v>344.93</v>
      </c>
      <c r="K1844">
        <f>IFERROR(INDEX(Suppliar[Income Distribution (%)],MATCH('Merge operational &amp; suppliar'!A1844,Suppliar[Facility ID],0)),"")</f>
        <v>43.18</v>
      </c>
    </row>
    <row r="1845" spans="1:11" x14ac:dyDescent="0.3">
      <c r="A1845" t="s">
        <v>118</v>
      </c>
      <c r="B1845" t="s">
        <v>30</v>
      </c>
      <c r="C1845" t="s">
        <v>34</v>
      </c>
      <c r="D1845" t="s">
        <v>14</v>
      </c>
      <c r="E1845" t="s">
        <v>24</v>
      </c>
      <c r="F1845">
        <v>1308.54</v>
      </c>
      <c r="G1845">
        <v>68492</v>
      </c>
      <c r="H1845">
        <v>3533.88</v>
      </c>
      <c r="I1845">
        <v>52.99</v>
      </c>
      <c r="J1845">
        <f>IFERROR(INDEX(Suppliar[Estimated Carbon Footprint (tons CO₂e)],MATCH('Merge operational &amp; suppliar'!A1845,Suppliar[Facility ID],0)),"")</f>
        <v>847.51</v>
      </c>
      <c r="K1845">
        <f>IFERROR(INDEX(Suppliar[Income Distribution (%)],MATCH('Merge operational &amp; suppliar'!A1845,Suppliar[Facility ID],0)),"")</f>
        <v>7.14</v>
      </c>
    </row>
    <row r="1846" spans="1:11" x14ac:dyDescent="0.3">
      <c r="A1846" t="s">
        <v>65</v>
      </c>
      <c r="B1846" t="s">
        <v>30</v>
      </c>
      <c r="C1846" t="s">
        <v>13</v>
      </c>
      <c r="D1846" t="s">
        <v>28</v>
      </c>
      <c r="E1846" t="s">
        <v>15</v>
      </c>
      <c r="F1846">
        <v>706.73</v>
      </c>
      <c r="G1846">
        <v>99026</v>
      </c>
      <c r="H1846">
        <v>5453.2</v>
      </c>
      <c r="I1846">
        <v>57.49</v>
      </c>
      <c r="J1846">
        <f>IFERROR(INDEX(Suppliar[Estimated Carbon Footprint (tons CO₂e)],MATCH('Merge operational &amp; suppliar'!A1846,Suppliar[Facility ID],0)),"")</f>
        <v>231.68</v>
      </c>
      <c r="K1846">
        <f>IFERROR(INDEX(Suppliar[Income Distribution (%)],MATCH('Merge operational &amp; suppliar'!A1846,Suppliar[Facility ID],0)),"")</f>
        <v>24.26</v>
      </c>
    </row>
    <row r="1847" spans="1:11" x14ac:dyDescent="0.3">
      <c r="A1847" t="s">
        <v>197</v>
      </c>
      <c r="B1847" t="s">
        <v>30</v>
      </c>
      <c r="C1847" t="s">
        <v>23</v>
      </c>
      <c r="D1847" t="s">
        <v>9</v>
      </c>
      <c r="E1847" t="s">
        <v>24</v>
      </c>
      <c r="F1847">
        <v>3595.4</v>
      </c>
      <c r="G1847">
        <v>56752</v>
      </c>
      <c r="H1847">
        <v>4177.68</v>
      </c>
      <c r="I1847">
        <v>10.96</v>
      </c>
      <c r="J1847">
        <f>IFERROR(INDEX(Suppliar[Estimated Carbon Footprint (tons CO₂e)],MATCH('Merge operational &amp; suppliar'!A1847,Suppliar[Facility ID],0)),"")</f>
        <v>694.92</v>
      </c>
      <c r="K1847">
        <f>IFERROR(INDEX(Suppliar[Income Distribution (%)],MATCH('Merge operational &amp; suppliar'!A1847,Suppliar[Facility ID],0)),"")</f>
        <v>9.8699999999999992</v>
      </c>
    </row>
    <row r="1848" spans="1:11" x14ac:dyDescent="0.3">
      <c r="A1848" t="s">
        <v>131</v>
      </c>
      <c r="B1848" t="s">
        <v>17</v>
      </c>
      <c r="C1848" t="s">
        <v>23</v>
      </c>
      <c r="D1848" t="s">
        <v>14</v>
      </c>
      <c r="E1848" t="s">
        <v>10</v>
      </c>
      <c r="F1848">
        <v>1990.59</v>
      </c>
      <c r="G1848">
        <v>94128</v>
      </c>
      <c r="H1848">
        <v>8117.82</v>
      </c>
      <c r="I1848">
        <v>73.83</v>
      </c>
      <c r="J1848">
        <f>IFERROR(INDEX(Suppliar[Estimated Carbon Footprint (tons CO₂e)],MATCH('Merge operational &amp; suppliar'!A1848,Suppliar[Facility ID],0)),"")</f>
        <v>532.27</v>
      </c>
      <c r="K1848">
        <f>IFERROR(INDEX(Suppliar[Income Distribution (%)],MATCH('Merge operational &amp; suppliar'!A1848,Suppliar[Facility ID],0)),"")</f>
        <v>31.74</v>
      </c>
    </row>
    <row r="1849" spans="1:11" x14ac:dyDescent="0.3">
      <c r="A1849" t="s">
        <v>178</v>
      </c>
      <c r="B1849" t="s">
        <v>30</v>
      </c>
      <c r="C1849" t="s">
        <v>8</v>
      </c>
      <c r="D1849" t="s">
        <v>9</v>
      </c>
      <c r="E1849" t="s">
        <v>24</v>
      </c>
      <c r="F1849">
        <v>4212.5</v>
      </c>
      <c r="G1849">
        <v>88188</v>
      </c>
      <c r="H1849">
        <v>815.86</v>
      </c>
      <c r="I1849">
        <v>57.53</v>
      </c>
      <c r="J1849">
        <f>IFERROR(INDEX(Suppliar[Estimated Carbon Footprint (tons CO₂e)],MATCH('Merge operational &amp; suppliar'!A1849,Suppliar[Facility ID],0)),"")</f>
        <v>557.72</v>
      </c>
      <c r="K1849">
        <f>IFERROR(INDEX(Suppliar[Income Distribution (%)],MATCH('Merge operational &amp; suppliar'!A1849,Suppliar[Facility ID],0)),"")</f>
        <v>37.25</v>
      </c>
    </row>
    <row r="1850" spans="1:11" x14ac:dyDescent="0.3">
      <c r="A1850" t="s">
        <v>45</v>
      </c>
      <c r="B1850" t="s">
        <v>7</v>
      </c>
      <c r="C1850" t="s">
        <v>8</v>
      </c>
      <c r="D1850" t="s">
        <v>9</v>
      </c>
      <c r="E1850" t="s">
        <v>15</v>
      </c>
      <c r="F1850">
        <v>2388.2399999999998</v>
      </c>
      <c r="G1850">
        <v>49924</v>
      </c>
      <c r="H1850">
        <v>2199.16</v>
      </c>
      <c r="I1850">
        <v>75.48</v>
      </c>
      <c r="J1850">
        <f>IFERROR(INDEX(Suppliar[Estimated Carbon Footprint (tons CO₂e)],MATCH('Merge operational &amp; suppliar'!A1850,Suppliar[Facility ID],0)),"")</f>
        <v>432.23</v>
      </c>
      <c r="K1850">
        <f>IFERROR(INDEX(Suppliar[Income Distribution (%)],MATCH('Merge operational &amp; suppliar'!A1850,Suppliar[Facility ID],0)),"")</f>
        <v>13.54</v>
      </c>
    </row>
    <row r="1851" spans="1:11" x14ac:dyDescent="0.3">
      <c r="A1851" t="s">
        <v>70</v>
      </c>
      <c r="B1851" t="s">
        <v>19</v>
      </c>
      <c r="C1851" t="s">
        <v>34</v>
      </c>
      <c r="D1851" t="s">
        <v>9</v>
      </c>
      <c r="E1851" t="s">
        <v>24</v>
      </c>
      <c r="F1851">
        <v>318.92</v>
      </c>
      <c r="G1851">
        <v>42485</v>
      </c>
      <c r="H1851">
        <v>4755.75</v>
      </c>
      <c r="I1851">
        <v>10.19</v>
      </c>
      <c r="J1851">
        <f>IFERROR(INDEX(Suppliar[Estimated Carbon Footprint (tons CO₂e)],MATCH('Merge operational &amp; suppliar'!A1851,Suppliar[Facility ID],0)),"")</f>
        <v>662.74</v>
      </c>
      <c r="K1851">
        <f>IFERROR(INDEX(Suppliar[Income Distribution (%)],MATCH('Merge operational &amp; suppliar'!A1851,Suppliar[Facility ID],0)),"")</f>
        <v>36.79</v>
      </c>
    </row>
    <row r="1852" spans="1:11" x14ac:dyDescent="0.3">
      <c r="A1852" t="s">
        <v>16</v>
      </c>
      <c r="B1852" t="s">
        <v>17</v>
      </c>
      <c r="C1852" t="s">
        <v>13</v>
      </c>
      <c r="D1852" t="s">
        <v>14</v>
      </c>
      <c r="E1852" t="s">
        <v>10</v>
      </c>
      <c r="F1852">
        <v>365.96</v>
      </c>
      <c r="G1852">
        <v>43512</v>
      </c>
      <c r="H1852">
        <v>5352.18</v>
      </c>
      <c r="I1852">
        <v>6.17</v>
      </c>
      <c r="J1852">
        <f>IFERROR(INDEX(Suppliar[Estimated Carbon Footprint (tons CO₂e)],MATCH('Merge operational &amp; suppliar'!A1852,Suppliar[Facility ID],0)),"")</f>
        <v>311.36</v>
      </c>
      <c r="K1852">
        <f>IFERROR(INDEX(Suppliar[Income Distribution (%)],MATCH('Merge operational &amp; suppliar'!A1852,Suppliar[Facility ID],0)),"")</f>
        <v>28.72</v>
      </c>
    </row>
    <row r="1853" spans="1:11" x14ac:dyDescent="0.3">
      <c r="A1853" t="s">
        <v>211</v>
      </c>
      <c r="B1853" t="s">
        <v>7</v>
      </c>
      <c r="C1853" t="s">
        <v>34</v>
      </c>
      <c r="D1853" t="s">
        <v>28</v>
      </c>
      <c r="E1853" t="s">
        <v>10</v>
      </c>
      <c r="F1853">
        <v>1353.72</v>
      </c>
      <c r="G1853">
        <v>27028</v>
      </c>
      <c r="H1853">
        <v>4617.92</v>
      </c>
      <c r="I1853">
        <v>57.62</v>
      </c>
      <c r="J1853">
        <f>IFERROR(INDEX(Suppliar[Estimated Carbon Footprint (tons CO₂e)],MATCH('Merge operational &amp; suppliar'!A1853,Suppliar[Facility ID],0)),"")</f>
        <v>780.4</v>
      </c>
      <c r="K1853">
        <f>IFERROR(INDEX(Suppliar[Income Distribution (%)],MATCH('Merge operational &amp; suppliar'!A1853,Suppliar[Facility ID],0)),"")</f>
        <v>24.87</v>
      </c>
    </row>
    <row r="1854" spans="1:11" x14ac:dyDescent="0.3">
      <c r="A1854" t="s">
        <v>213</v>
      </c>
      <c r="B1854" t="s">
        <v>12</v>
      </c>
      <c r="C1854" t="s">
        <v>34</v>
      </c>
      <c r="D1854" t="s">
        <v>14</v>
      </c>
      <c r="E1854" t="s">
        <v>24</v>
      </c>
      <c r="F1854">
        <v>3026.73</v>
      </c>
      <c r="G1854">
        <v>58622</v>
      </c>
      <c r="H1854">
        <v>7795.36</v>
      </c>
      <c r="I1854">
        <v>59.81</v>
      </c>
      <c r="J1854">
        <f>IFERROR(INDEX(Suppliar[Estimated Carbon Footprint (tons CO₂e)],MATCH('Merge operational &amp; suppliar'!A1854,Suppliar[Facility ID],0)),"")</f>
        <v>807.86</v>
      </c>
      <c r="K1854">
        <f>IFERROR(INDEX(Suppliar[Income Distribution (%)],MATCH('Merge operational &amp; suppliar'!A1854,Suppliar[Facility ID],0)),"")</f>
        <v>32.130000000000003</v>
      </c>
    </row>
    <row r="1855" spans="1:11" x14ac:dyDescent="0.3">
      <c r="A1855" t="s">
        <v>179</v>
      </c>
      <c r="B1855" t="s">
        <v>7</v>
      </c>
      <c r="C1855" t="s">
        <v>13</v>
      </c>
      <c r="D1855" t="s">
        <v>14</v>
      </c>
      <c r="E1855" t="s">
        <v>10</v>
      </c>
      <c r="F1855">
        <v>4344.96</v>
      </c>
      <c r="G1855">
        <v>94393</v>
      </c>
      <c r="H1855">
        <v>6691.7</v>
      </c>
      <c r="I1855">
        <v>74.790000000000006</v>
      </c>
      <c r="J1855">
        <f>IFERROR(INDEX(Suppliar[Estimated Carbon Footprint (tons CO₂e)],MATCH('Merge operational &amp; suppliar'!A1855,Suppliar[Facility ID],0)),"")</f>
        <v>867.66</v>
      </c>
      <c r="K1855">
        <f>IFERROR(INDEX(Suppliar[Income Distribution (%)],MATCH('Merge operational &amp; suppliar'!A1855,Suppliar[Facility ID],0)),"")</f>
        <v>32.97</v>
      </c>
    </row>
    <row r="1856" spans="1:11" x14ac:dyDescent="0.3">
      <c r="A1856" t="s">
        <v>95</v>
      </c>
      <c r="B1856" t="s">
        <v>30</v>
      </c>
      <c r="C1856" t="s">
        <v>8</v>
      </c>
      <c r="D1856" t="s">
        <v>9</v>
      </c>
      <c r="E1856" t="s">
        <v>10</v>
      </c>
      <c r="F1856">
        <v>2412.9</v>
      </c>
      <c r="G1856">
        <v>51800</v>
      </c>
      <c r="H1856">
        <v>3042.95</v>
      </c>
      <c r="I1856">
        <v>71.87</v>
      </c>
      <c r="J1856">
        <f>IFERROR(INDEX(Suppliar[Estimated Carbon Footprint (tons CO₂e)],MATCH('Merge operational &amp; suppliar'!A1856,Suppliar[Facility ID],0)),"")</f>
        <v>714.03</v>
      </c>
      <c r="K1856">
        <f>IFERROR(INDEX(Suppliar[Income Distribution (%)],MATCH('Merge operational &amp; suppliar'!A1856,Suppliar[Facility ID],0)),"")</f>
        <v>10.84</v>
      </c>
    </row>
    <row r="1857" spans="1:11" x14ac:dyDescent="0.3">
      <c r="A1857" t="s">
        <v>110</v>
      </c>
      <c r="B1857" t="s">
        <v>12</v>
      </c>
      <c r="C1857" t="s">
        <v>13</v>
      </c>
      <c r="D1857" t="s">
        <v>28</v>
      </c>
      <c r="E1857" t="s">
        <v>24</v>
      </c>
      <c r="F1857">
        <v>4239.84</v>
      </c>
      <c r="G1857">
        <v>70481</v>
      </c>
      <c r="H1857">
        <v>4452.83</v>
      </c>
      <c r="I1857">
        <v>91.26</v>
      </c>
      <c r="J1857" t="str">
        <f>IFERROR(INDEX(Suppliar[Estimated Carbon Footprint (tons CO₂e)],MATCH('Merge operational &amp; suppliar'!A1857,Suppliar[Facility ID],0)),"")</f>
        <v/>
      </c>
      <c r="K1857" t="str">
        <f>IFERROR(INDEX(Suppliar[Income Distribution (%)],MATCH('Merge operational &amp; suppliar'!A1857,Suppliar[Facility ID],0)),"")</f>
        <v/>
      </c>
    </row>
    <row r="1858" spans="1:11" x14ac:dyDescent="0.3">
      <c r="A1858" t="s">
        <v>161</v>
      </c>
      <c r="B1858" t="s">
        <v>7</v>
      </c>
      <c r="C1858" t="s">
        <v>13</v>
      </c>
      <c r="D1858" t="s">
        <v>9</v>
      </c>
      <c r="E1858" t="s">
        <v>15</v>
      </c>
      <c r="F1858">
        <v>3759.01</v>
      </c>
      <c r="G1858">
        <v>15788</v>
      </c>
      <c r="H1858">
        <v>1824.14</v>
      </c>
      <c r="I1858">
        <v>52.78</v>
      </c>
      <c r="J1858">
        <f>IFERROR(INDEX(Suppliar[Estimated Carbon Footprint (tons CO₂e)],MATCH('Merge operational &amp; suppliar'!A1858,Suppliar[Facility ID],0)),"")</f>
        <v>571.88</v>
      </c>
      <c r="K1858">
        <f>IFERROR(INDEX(Suppliar[Income Distribution (%)],MATCH('Merge operational &amp; suppliar'!A1858,Suppliar[Facility ID],0)),"")</f>
        <v>8.17</v>
      </c>
    </row>
    <row r="1859" spans="1:11" x14ac:dyDescent="0.3">
      <c r="A1859" t="s">
        <v>137</v>
      </c>
      <c r="B1859" t="s">
        <v>17</v>
      </c>
      <c r="C1859" t="s">
        <v>23</v>
      </c>
      <c r="D1859" t="s">
        <v>14</v>
      </c>
      <c r="E1859" t="s">
        <v>10</v>
      </c>
      <c r="F1859">
        <v>3558.82</v>
      </c>
      <c r="G1859">
        <v>19265</v>
      </c>
      <c r="H1859">
        <v>776.6</v>
      </c>
      <c r="I1859">
        <v>39.75</v>
      </c>
      <c r="J1859">
        <f>IFERROR(INDEX(Suppliar[Estimated Carbon Footprint (tons CO₂e)],MATCH('Merge operational &amp; suppliar'!A1859,Suppliar[Facility ID],0)),"")</f>
        <v>289.77</v>
      </c>
      <c r="K1859">
        <f>IFERROR(INDEX(Suppliar[Income Distribution (%)],MATCH('Merge operational &amp; suppliar'!A1859,Suppliar[Facility ID],0)),"")</f>
        <v>37.270000000000003</v>
      </c>
    </row>
    <row r="1860" spans="1:11" x14ac:dyDescent="0.3">
      <c r="A1860" t="s">
        <v>143</v>
      </c>
      <c r="B1860" t="s">
        <v>17</v>
      </c>
      <c r="C1860" t="s">
        <v>13</v>
      </c>
      <c r="D1860" t="s">
        <v>28</v>
      </c>
      <c r="E1860" t="s">
        <v>15</v>
      </c>
      <c r="F1860">
        <v>2610.12</v>
      </c>
      <c r="G1860">
        <v>94704</v>
      </c>
      <c r="H1860">
        <v>6632.95</v>
      </c>
      <c r="I1860">
        <v>14.76</v>
      </c>
      <c r="J1860">
        <f>IFERROR(INDEX(Suppliar[Estimated Carbon Footprint (tons CO₂e)],MATCH('Merge operational &amp; suppliar'!A1860,Suppliar[Facility ID],0)),"")</f>
        <v>459.56</v>
      </c>
      <c r="K1860">
        <f>IFERROR(INDEX(Suppliar[Income Distribution (%)],MATCH('Merge operational &amp; suppliar'!A1860,Suppliar[Facility ID],0)),"")</f>
        <v>7.54</v>
      </c>
    </row>
    <row r="1861" spans="1:11" x14ac:dyDescent="0.3">
      <c r="A1861" t="s">
        <v>180</v>
      </c>
      <c r="B1861" t="s">
        <v>30</v>
      </c>
      <c r="C1861" t="s">
        <v>34</v>
      </c>
      <c r="D1861" t="s">
        <v>28</v>
      </c>
      <c r="E1861" t="s">
        <v>10</v>
      </c>
      <c r="F1861">
        <v>2651.33</v>
      </c>
      <c r="G1861">
        <v>72846</v>
      </c>
      <c r="H1861">
        <v>5169.53</v>
      </c>
      <c r="I1861">
        <v>76.709999999999994</v>
      </c>
      <c r="J1861" t="str">
        <f>IFERROR(INDEX(Suppliar[Estimated Carbon Footprint (tons CO₂e)],MATCH('Merge operational &amp; suppliar'!A1861,Suppliar[Facility ID],0)),"")</f>
        <v/>
      </c>
      <c r="K1861" t="str">
        <f>IFERROR(INDEX(Suppliar[Income Distribution (%)],MATCH('Merge operational &amp; suppliar'!A1861,Suppliar[Facility ID],0)),"")</f>
        <v/>
      </c>
    </row>
    <row r="1862" spans="1:11" x14ac:dyDescent="0.3">
      <c r="A1862" t="s">
        <v>93</v>
      </c>
      <c r="B1862" t="s">
        <v>30</v>
      </c>
      <c r="C1862" t="s">
        <v>23</v>
      </c>
      <c r="D1862" t="s">
        <v>28</v>
      </c>
      <c r="E1862" t="s">
        <v>24</v>
      </c>
      <c r="F1862">
        <v>1018.53</v>
      </c>
      <c r="G1862">
        <v>26378</v>
      </c>
      <c r="H1862">
        <v>2915.44</v>
      </c>
      <c r="I1862">
        <v>29.84</v>
      </c>
      <c r="J1862">
        <f>IFERROR(INDEX(Suppliar[Estimated Carbon Footprint (tons CO₂e)],MATCH('Merge operational &amp; suppliar'!A1862,Suppliar[Facility ID],0)),"")</f>
        <v>311.36</v>
      </c>
      <c r="K1862">
        <f>IFERROR(INDEX(Suppliar[Income Distribution (%)],MATCH('Merge operational &amp; suppliar'!A1862,Suppliar[Facility ID],0)),"")</f>
        <v>26.09</v>
      </c>
    </row>
    <row r="1863" spans="1:11" x14ac:dyDescent="0.3">
      <c r="A1863" t="s">
        <v>110</v>
      </c>
      <c r="B1863" t="s">
        <v>12</v>
      </c>
      <c r="C1863" t="s">
        <v>23</v>
      </c>
      <c r="D1863" t="s">
        <v>9</v>
      </c>
      <c r="E1863" t="s">
        <v>15</v>
      </c>
      <c r="F1863">
        <v>503.93</v>
      </c>
      <c r="G1863">
        <v>70481</v>
      </c>
      <c r="H1863">
        <v>4452.83</v>
      </c>
      <c r="I1863">
        <v>91.26</v>
      </c>
      <c r="J1863" t="str">
        <f>IFERROR(INDEX(Suppliar[Estimated Carbon Footprint (tons CO₂e)],MATCH('Merge operational &amp; suppliar'!A1863,Suppliar[Facility ID],0)),"")</f>
        <v/>
      </c>
      <c r="K1863" t="str">
        <f>IFERROR(INDEX(Suppliar[Income Distribution (%)],MATCH('Merge operational &amp; suppliar'!A1863,Suppliar[Facility ID],0)),"")</f>
        <v/>
      </c>
    </row>
    <row r="1864" spans="1:11" x14ac:dyDescent="0.3">
      <c r="A1864" t="s">
        <v>38</v>
      </c>
      <c r="B1864" t="s">
        <v>30</v>
      </c>
      <c r="C1864" t="s">
        <v>13</v>
      </c>
      <c r="D1864" t="s">
        <v>9</v>
      </c>
      <c r="E1864" t="s">
        <v>10</v>
      </c>
      <c r="F1864">
        <v>3013.45</v>
      </c>
      <c r="G1864">
        <v>57215</v>
      </c>
      <c r="H1864">
        <v>3227.1</v>
      </c>
      <c r="I1864">
        <v>32.909999999999997</v>
      </c>
      <c r="J1864">
        <f>IFERROR(INDEX(Suppliar[Estimated Carbon Footprint (tons CO₂e)],MATCH('Merge operational &amp; suppliar'!A1864,Suppliar[Facility ID],0)),"")</f>
        <v>951.35</v>
      </c>
      <c r="K1864">
        <f>IFERROR(INDEX(Suppliar[Income Distribution (%)],MATCH('Merge operational &amp; suppliar'!A1864,Suppliar[Facility ID],0)),"")</f>
        <v>33.299999999999997</v>
      </c>
    </row>
    <row r="1865" spans="1:11" x14ac:dyDescent="0.3">
      <c r="A1865" t="s">
        <v>81</v>
      </c>
      <c r="B1865" t="s">
        <v>12</v>
      </c>
      <c r="C1865" t="s">
        <v>13</v>
      </c>
      <c r="D1865" t="s">
        <v>28</v>
      </c>
      <c r="E1865" t="s">
        <v>10</v>
      </c>
      <c r="F1865">
        <v>1639.95</v>
      </c>
      <c r="G1865">
        <v>93661</v>
      </c>
      <c r="H1865">
        <v>7324.58</v>
      </c>
      <c r="I1865">
        <v>23.55</v>
      </c>
      <c r="J1865">
        <f>IFERROR(INDEX(Suppliar[Estimated Carbon Footprint (tons CO₂e)],MATCH('Merge operational &amp; suppliar'!A1865,Suppliar[Facility ID],0)),"")</f>
        <v>390.06</v>
      </c>
      <c r="K1865">
        <f>IFERROR(INDEX(Suppliar[Income Distribution (%)],MATCH('Merge operational &amp; suppliar'!A1865,Suppliar[Facility ID],0)),"")</f>
        <v>23.14</v>
      </c>
    </row>
    <row r="1866" spans="1:11" x14ac:dyDescent="0.3">
      <c r="A1866" t="s">
        <v>125</v>
      </c>
      <c r="B1866" t="s">
        <v>7</v>
      </c>
      <c r="C1866" t="s">
        <v>23</v>
      </c>
      <c r="D1866" t="s">
        <v>14</v>
      </c>
      <c r="E1866" t="s">
        <v>24</v>
      </c>
      <c r="F1866">
        <v>4092.48</v>
      </c>
      <c r="G1866">
        <v>56392</v>
      </c>
      <c r="H1866">
        <v>5703.76</v>
      </c>
      <c r="I1866">
        <v>23.04</v>
      </c>
      <c r="J1866">
        <f>IFERROR(INDEX(Suppliar[Estimated Carbon Footprint (tons CO₂e)],MATCH('Merge operational &amp; suppliar'!A1866,Suppliar[Facility ID],0)),"")</f>
        <v>991.03</v>
      </c>
      <c r="K1866">
        <f>IFERROR(INDEX(Suppliar[Income Distribution (%)],MATCH('Merge operational &amp; suppliar'!A1866,Suppliar[Facility ID],0)),"")</f>
        <v>27.62</v>
      </c>
    </row>
    <row r="1867" spans="1:11" x14ac:dyDescent="0.3">
      <c r="A1867" t="s">
        <v>185</v>
      </c>
      <c r="B1867" t="s">
        <v>30</v>
      </c>
      <c r="C1867" t="s">
        <v>13</v>
      </c>
      <c r="D1867" t="s">
        <v>14</v>
      </c>
      <c r="E1867" t="s">
        <v>15</v>
      </c>
      <c r="F1867">
        <v>730.62</v>
      </c>
      <c r="G1867">
        <v>24913</v>
      </c>
      <c r="H1867">
        <v>5727.27</v>
      </c>
      <c r="I1867">
        <v>78.849999999999994</v>
      </c>
      <c r="J1867" t="str">
        <f>IFERROR(INDEX(Suppliar[Estimated Carbon Footprint (tons CO₂e)],MATCH('Merge operational &amp; suppliar'!A1867,Suppliar[Facility ID],0)),"")</f>
        <v/>
      </c>
      <c r="K1867" t="str">
        <f>IFERROR(INDEX(Suppliar[Income Distribution (%)],MATCH('Merge operational &amp; suppliar'!A1867,Suppliar[Facility ID],0)),"")</f>
        <v/>
      </c>
    </row>
    <row r="1868" spans="1:11" x14ac:dyDescent="0.3">
      <c r="A1868" t="s">
        <v>128</v>
      </c>
      <c r="B1868" t="s">
        <v>12</v>
      </c>
      <c r="C1868" t="s">
        <v>8</v>
      </c>
      <c r="D1868" t="s">
        <v>9</v>
      </c>
      <c r="E1868" t="s">
        <v>24</v>
      </c>
      <c r="F1868">
        <v>5247.89</v>
      </c>
      <c r="G1868">
        <v>29406</v>
      </c>
      <c r="H1868">
        <v>5281.69</v>
      </c>
      <c r="I1868">
        <v>27.01</v>
      </c>
      <c r="J1868">
        <f>IFERROR(INDEX(Suppliar[Estimated Carbon Footprint (tons CO₂e)],MATCH('Merge operational &amp; suppliar'!A1868,Suppliar[Facility ID],0)),"")</f>
        <v>231.68</v>
      </c>
      <c r="K1868">
        <f>IFERROR(INDEX(Suppliar[Income Distribution (%)],MATCH('Merge operational &amp; suppliar'!A1868,Suppliar[Facility ID],0)),"")</f>
        <v>13.88</v>
      </c>
    </row>
    <row r="1869" spans="1:11" x14ac:dyDescent="0.3">
      <c r="A1869" t="s">
        <v>201</v>
      </c>
      <c r="B1869" t="s">
        <v>12</v>
      </c>
      <c r="C1869" t="s">
        <v>34</v>
      </c>
      <c r="D1869" t="s">
        <v>14</v>
      </c>
      <c r="E1869" t="s">
        <v>24</v>
      </c>
      <c r="F1869">
        <v>2947.53</v>
      </c>
      <c r="G1869">
        <v>58439</v>
      </c>
      <c r="H1869">
        <v>5817.93</v>
      </c>
      <c r="I1869">
        <v>63.77</v>
      </c>
      <c r="J1869">
        <f>IFERROR(INDEX(Suppliar[Estimated Carbon Footprint (tons CO₂e)],MATCH('Merge operational &amp; suppliar'!A1869,Suppliar[Facility ID],0)),"")</f>
        <v>143.16999999999999</v>
      </c>
      <c r="K1869">
        <f>IFERROR(INDEX(Suppliar[Income Distribution (%)],MATCH('Merge operational &amp; suppliar'!A1869,Suppliar[Facility ID],0)),"")</f>
        <v>52.46</v>
      </c>
    </row>
    <row r="1870" spans="1:11" x14ac:dyDescent="0.3">
      <c r="A1870" t="s">
        <v>129</v>
      </c>
      <c r="B1870" t="s">
        <v>17</v>
      </c>
      <c r="C1870" t="s">
        <v>8</v>
      </c>
      <c r="D1870" t="s">
        <v>28</v>
      </c>
      <c r="E1870" t="s">
        <v>24</v>
      </c>
      <c r="F1870">
        <v>571.92999999999995</v>
      </c>
      <c r="G1870">
        <v>95292</v>
      </c>
      <c r="H1870">
        <v>697.47</v>
      </c>
      <c r="I1870">
        <v>88.35</v>
      </c>
      <c r="J1870">
        <f>IFERROR(INDEX(Suppliar[Estimated Carbon Footprint (tons CO₂e)],MATCH('Merge operational &amp; suppliar'!A1870,Suppliar[Facility ID],0)),"")</f>
        <v>114.57</v>
      </c>
      <c r="K1870">
        <f>IFERROR(INDEX(Suppliar[Income Distribution (%)],MATCH('Merge operational &amp; suppliar'!A1870,Suppliar[Facility ID],0)),"")</f>
        <v>36.04</v>
      </c>
    </row>
    <row r="1871" spans="1:11" x14ac:dyDescent="0.3">
      <c r="A1871" t="s">
        <v>102</v>
      </c>
      <c r="B1871" t="s">
        <v>19</v>
      </c>
      <c r="C1871" t="s">
        <v>8</v>
      </c>
      <c r="D1871" t="s">
        <v>9</v>
      </c>
      <c r="E1871" t="s">
        <v>15</v>
      </c>
      <c r="F1871">
        <v>4065.74</v>
      </c>
      <c r="G1871">
        <v>86263</v>
      </c>
      <c r="H1871">
        <v>3213.71</v>
      </c>
      <c r="I1871">
        <v>98.39</v>
      </c>
      <c r="J1871">
        <f>IFERROR(INDEX(Suppliar[Estimated Carbon Footprint (tons CO₂e)],MATCH('Merge operational &amp; suppliar'!A1871,Suppliar[Facility ID],0)),"")</f>
        <v>662.74</v>
      </c>
      <c r="K1871">
        <f>IFERROR(INDEX(Suppliar[Income Distribution (%)],MATCH('Merge operational &amp; suppliar'!A1871,Suppliar[Facility ID],0)),"")</f>
        <v>20.66</v>
      </c>
    </row>
    <row r="1872" spans="1:11" x14ac:dyDescent="0.3">
      <c r="A1872" t="s">
        <v>39</v>
      </c>
      <c r="B1872" t="s">
        <v>7</v>
      </c>
      <c r="C1872" t="s">
        <v>8</v>
      </c>
      <c r="D1872" t="s">
        <v>9</v>
      </c>
      <c r="E1872" t="s">
        <v>10</v>
      </c>
      <c r="F1872">
        <v>1983.3</v>
      </c>
      <c r="G1872">
        <v>80904</v>
      </c>
      <c r="H1872">
        <v>3263.09</v>
      </c>
      <c r="I1872">
        <v>58.37</v>
      </c>
      <c r="J1872">
        <f>IFERROR(INDEX(Suppliar[Estimated Carbon Footprint (tons CO₂e)],MATCH('Merge operational &amp; suppliar'!A1872,Suppliar[Facility ID],0)),"")</f>
        <v>756.78</v>
      </c>
      <c r="K1872">
        <f>IFERROR(INDEX(Suppliar[Income Distribution (%)],MATCH('Merge operational &amp; suppliar'!A1872,Suppliar[Facility ID],0)),"")</f>
        <v>35.950000000000003</v>
      </c>
    </row>
    <row r="1873" spans="1:11" x14ac:dyDescent="0.3">
      <c r="A1873" t="s">
        <v>134</v>
      </c>
      <c r="B1873" t="s">
        <v>7</v>
      </c>
      <c r="C1873" t="s">
        <v>34</v>
      </c>
      <c r="D1873" t="s">
        <v>14</v>
      </c>
      <c r="E1873" t="s">
        <v>24</v>
      </c>
      <c r="F1873">
        <v>3226.08</v>
      </c>
      <c r="G1873">
        <v>39568</v>
      </c>
      <c r="H1873">
        <v>3580.54</v>
      </c>
      <c r="I1873">
        <v>78.08</v>
      </c>
      <c r="J1873">
        <f>IFERROR(INDEX(Suppliar[Estimated Carbon Footprint (tons CO₂e)],MATCH('Merge operational &amp; suppliar'!A1873,Suppliar[Facility ID],0)),"")</f>
        <v>635.72</v>
      </c>
      <c r="K1873">
        <f>IFERROR(INDEX(Suppliar[Income Distribution (%)],MATCH('Merge operational &amp; suppliar'!A1873,Suppliar[Facility ID],0)),"")</f>
        <v>67.36</v>
      </c>
    </row>
    <row r="1874" spans="1:11" x14ac:dyDescent="0.3">
      <c r="A1874" t="s">
        <v>95</v>
      </c>
      <c r="B1874" t="s">
        <v>30</v>
      </c>
      <c r="C1874" t="s">
        <v>8</v>
      </c>
      <c r="D1874" t="s">
        <v>9</v>
      </c>
      <c r="E1874" t="s">
        <v>15</v>
      </c>
      <c r="F1874">
        <v>885.44</v>
      </c>
      <c r="G1874">
        <v>51800</v>
      </c>
      <c r="H1874">
        <v>3042.95</v>
      </c>
      <c r="I1874">
        <v>71.87</v>
      </c>
      <c r="J1874">
        <f>IFERROR(INDEX(Suppliar[Estimated Carbon Footprint (tons CO₂e)],MATCH('Merge operational &amp; suppliar'!A1874,Suppliar[Facility ID],0)),"")</f>
        <v>714.03</v>
      </c>
      <c r="K1874">
        <f>IFERROR(INDEX(Suppliar[Income Distribution (%)],MATCH('Merge operational &amp; suppliar'!A1874,Suppliar[Facility ID],0)),"")</f>
        <v>10.84</v>
      </c>
    </row>
    <row r="1875" spans="1:11" x14ac:dyDescent="0.3">
      <c r="A1875" t="s">
        <v>196</v>
      </c>
      <c r="B1875" t="s">
        <v>30</v>
      </c>
      <c r="C1875" t="s">
        <v>13</v>
      </c>
      <c r="D1875" t="s">
        <v>14</v>
      </c>
      <c r="E1875" t="s">
        <v>15</v>
      </c>
      <c r="F1875">
        <v>3998.24</v>
      </c>
      <c r="G1875">
        <v>12262</v>
      </c>
      <c r="H1875">
        <v>7106.18</v>
      </c>
      <c r="I1875">
        <v>45.69</v>
      </c>
      <c r="J1875">
        <f>IFERROR(INDEX(Suppliar[Estimated Carbon Footprint (tons CO₂e)],MATCH('Merge operational &amp; suppliar'!A1875,Suppliar[Facility ID],0)),"")</f>
        <v>459.56</v>
      </c>
      <c r="K1875">
        <f>IFERROR(INDEX(Suppliar[Income Distribution (%)],MATCH('Merge operational &amp; suppliar'!A1875,Suppliar[Facility ID],0)),"")</f>
        <v>29.71</v>
      </c>
    </row>
    <row r="1876" spans="1:11" x14ac:dyDescent="0.3">
      <c r="A1876" t="s">
        <v>164</v>
      </c>
      <c r="B1876" t="s">
        <v>19</v>
      </c>
      <c r="C1876" t="s">
        <v>23</v>
      </c>
      <c r="D1876" t="s">
        <v>14</v>
      </c>
      <c r="E1876" t="s">
        <v>15</v>
      </c>
      <c r="F1876">
        <v>2639.81</v>
      </c>
      <c r="G1876">
        <v>69636</v>
      </c>
      <c r="H1876">
        <v>4246.55</v>
      </c>
      <c r="I1876">
        <v>69.290000000000006</v>
      </c>
      <c r="J1876">
        <f>IFERROR(INDEX(Suppliar[Estimated Carbon Footprint (tons CO₂e)],MATCH('Merge operational &amp; suppliar'!A1876,Suppliar[Facility ID],0)),"")</f>
        <v>362.43</v>
      </c>
      <c r="K1876">
        <f>IFERROR(INDEX(Suppliar[Income Distribution (%)],MATCH('Merge operational &amp; suppliar'!A1876,Suppliar[Facility ID],0)),"")</f>
        <v>54.81</v>
      </c>
    </row>
    <row r="1877" spans="1:11" x14ac:dyDescent="0.3">
      <c r="A1877" t="s">
        <v>199</v>
      </c>
      <c r="B1877" t="s">
        <v>17</v>
      </c>
      <c r="C1877" t="s">
        <v>34</v>
      </c>
      <c r="D1877" t="s">
        <v>14</v>
      </c>
      <c r="E1877" t="s">
        <v>10</v>
      </c>
      <c r="F1877">
        <v>2835.04</v>
      </c>
      <c r="G1877">
        <v>77317</v>
      </c>
      <c r="H1877">
        <v>4862.95</v>
      </c>
      <c r="I1877">
        <v>89.78</v>
      </c>
      <c r="J1877">
        <f>IFERROR(INDEX(Suppliar[Estimated Carbon Footprint (tons CO₂e)],MATCH('Merge operational &amp; suppliar'!A1877,Suppliar[Facility ID],0)),"")</f>
        <v>960.4</v>
      </c>
      <c r="K1877">
        <f>IFERROR(INDEX(Suppliar[Income Distribution (%)],MATCH('Merge operational &amp; suppliar'!A1877,Suppliar[Facility ID],0)),"")</f>
        <v>31.34</v>
      </c>
    </row>
    <row r="1878" spans="1:11" x14ac:dyDescent="0.3">
      <c r="A1878" t="s">
        <v>21</v>
      </c>
      <c r="B1878" t="s">
        <v>19</v>
      </c>
      <c r="C1878" t="s">
        <v>23</v>
      </c>
      <c r="D1878" t="s">
        <v>14</v>
      </c>
      <c r="E1878" t="s">
        <v>10</v>
      </c>
      <c r="F1878">
        <v>2182.6999999999998</v>
      </c>
      <c r="G1878">
        <v>61157</v>
      </c>
      <c r="H1878">
        <v>7331.54</v>
      </c>
      <c r="I1878">
        <v>55.52</v>
      </c>
      <c r="J1878">
        <f>IFERROR(INDEX(Suppliar[Estimated Carbon Footprint (tons CO₂e)],MATCH('Merge operational &amp; suppliar'!A1878,Suppliar[Facility ID],0)),"")</f>
        <v>783.77</v>
      </c>
      <c r="K1878">
        <f>IFERROR(INDEX(Suppliar[Income Distribution (%)],MATCH('Merge operational &amp; suppliar'!A1878,Suppliar[Facility ID],0)),"")</f>
        <v>31.59</v>
      </c>
    </row>
    <row r="1879" spans="1:11" x14ac:dyDescent="0.3">
      <c r="A1879" t="s">
        <v>55</v>
      </c>
      <c r="B1879" t="s">
        <v>12</v>
      </c>
      <c r="C1879" t="s">
        <v>13</v>
      </c>
      <c r="D1879" t="s">
        <v>28</v>
      </c>
      <c r="E1879" t="s">
        <v>10</v>
      </c>
      <c r="F1879">
        <v>3507.39</v>
      </c>
      <c r="G1879">
        <v>38181</v>
      </c>
      <c r="H1879">
        <v>691.84</v>
      </c>
      <c r="I1879">
        <v>33.53</v>
      </c>
      <c r="J1879">
        <f>IFERROR(INDEX(Suppliar[Estimated Carbon Footprint (tons CO₂e)],MATCH('Merge operational &amp; suppliar'!A1879,Suppliar[Facility ID],0)),"")</f>
        <v>114.57</v>
      </c>
      <c r="K1879">
        <f>IFERROR(INDEX(Suppliar[Income Distribution (%)],MATCH('Merge operational &amp; suppliar'!A1879,Suppliar[Facility ID],0)),"")</f>
        <v>9.9600000000000009</v>
      </c>
    </row>
    <row r="1880" spans="1:11" x14ac:dyDescent="0.3">
      <c r="A1880" t="s">
        <v>209</v>
      </c>
      <c r="B1880" t="s">
        <v>7</v>
      </c>
      <c r="C1880" t="s">
        <v>13</v>
      </c>
      <c r="D1880" t="s">
        <v>14</v>
      </c>
      <c r="E1880" t="s">
        <v>24</v>
      </c>
      <c r="F1880">
        <v>4743.79</v>
      </c>
      <c r="G1880">
        <v>52357</v>
      </c>
      <c r="H1880">
        <v>5643.16</v>
      </c>
      <c r="I1880">
        <v>37.130000000000003</v>
      </c>
      <c r="J1880">
        <f>IFERROR(INDEX(Suppliar[Estimated Carbon Footprint (tons CO₂e)],MATCH('Merge operational &amp; suppliar'!A1880,Suppliar[Facility ID],0)),"")</f>
        <v>932.3</v>
      </c>
      <c r="K1880">
        <f>IFERROR(INDEX(Suppliar[Income Distribution (%)],MATCH('Merge operational &amp; suppliar'!A1880,Suppliar[Facility ID],0)),"")</f>
        <v>13.43</v>
      </c>
    </row>
    <row r="1881" spans="1:11" x14ac:dyDescent="0.3">
      <c r="A1881" t="s">
        <v>194</v>
      </c>
      <c r="B1881" t="s">
        <v>17</v>
      </c>
      <c r="C1881" t="s">
        <v>13</v>
      </c>
      <c r="D1881" t="s">
        <v>28</v>
      </c>
      <c r="E1881" t="s">
        <v>10</v>
      </c>
      <c r="F1881">
        <v>2798.51</v>
      </c>
      <c r="G1881">
        <v>95165</v>
      </c>
      <c r="H1881">
        <v>8562.76</v>
      </c>
      <c r="I1881">
        <v>37.54</v>
      </c>
      <c r="J1881">
        <f>IFERROR(INDEX(Suppliar[Estimated Carbon Footprint (tons CO₂e)],MATCH('Merge operational &amp; suppliar'!A1881,Suppliar[Facility ID],0)),"")</f>
        <v>479.41</v>
      </c>
      <c r="K1881">
        <f>IFERROR(INDEX(Suppliar[Income Distribution (%)],MATCH('Merge operational &amp; suppliar'!A1881,Suppliar[Facility ID],0)),"")</f>
        <v>13.64</v>
      </c>
    </row>
    <row r="1882" spans="1:11" x14ac:dyDescent="0.3">
      <c r="A1882" t="s">
        <v>179</v>
      </c>
      <c r="B1882" t="s">
        <v>7</v>
      </c>
      <c r="C1882" t="s">
        <v>8</v>
      </c>
      <c r="D1882" t="s">
        <v>14</v>
      </c>
      <c r="E1882" t="s">
        <v>15</v>
      </c>
      <c r="F1882">
        <v>2111.5100000000002</v>
      </c>
      <c r="G1882">
        <v>94393</v>
      </c>
      <c r="H1882">
        <v>6691.7</v>
      </c>
      <c r="I1882">
        <v>74.790000000000006</v>
      </c>
      <c r="J1882">
        <f>IFERROR(INDEX(Suppliar[Estimated Carbon Footprint (tons CO₂e)],MATCH('Merge operational &amp; suppliar'!A1882,Suppliar[Facility ID],0)),"")</f>
        <v>867.66</v>
      </c>
      <c r="K1882">
        <f>IFERROR(INDEX(Suppliar[Income Distribution (%)],MATCH('Merge operational &amp; suppliar'!A1882,Suppliar[Facility ID],0)),"")</f>
        <v>32.97</v>
      </c>
    </row>
    <row r="1883" spans="1:11" x14ac:dyDescent="0.3">
      <c r="A1883" t="s">
        <v>107</v>
      </c>
      <c r="B1883" t="s">
        <v>30</v>
      </c>
      <c r="C1883" t="s">
        <v>8</v>
      </c>
      <c r="D1883" t="s">
        <v>28</v>
      </c>
      <c r="E1883" t="s">
        <v>15</v>
      </c>
      <c r="F1883">
        <v>440.45</v>
      </c>
      <c r="G1883">
        <v>69305</v>
      </c>
      <c r="H1883">
        <v>3203.67</v>
      </c>
      <c r="I1883">
        <v>83.65</v>
      </c>
      <c r="J1883">
        <f>IFERROR(INDEX(Suppliar[Estimated Carbon Footprint (tons CO₂e)],MATCH('Merge operational &amp; suppliar'!A1883,Suppliar[Facility ID],0)),"")</f>
        <v>173.67</v>
      </c>
      <c r="K1883">
        <f>IFERROR(INDEX(Suppliar[Income Distribution (%)],MATCH('Merge operational &amp; suppliar'!A1883,Suppliar[Facility ID],0)),"")</f>
        <v>67.040000000000006</v>
      </c>
    </row>
    <row r="1884" spans="1:11" x14ac:dyDescent="0.3">
      <c r="A1884" t="s">
        <v>75</v>
      </c>
      <c r="B1884" t="s">
        <v>19</v>
      </c>
      <c r="C1884" t="s">
        <v>13</v>
      </c>
      <c r="D1884" t="s">
        <v>14</v>
      </c>
      <c r="E1884" t="s">
        <v>15</v>
      </c>
      <c r="F1884">
        <v>2532.06</v>
      </c>
      <c r="G1884">
        <v>54136</v>
      </c>
      <c r="H1884">
        <v>2775.38</v>
      </c>
      <c r="I1884">
        <v>75.459999999999994</v>
      </c>
      <c r="J1884">
        <f>IFERROR(INDEX(Suppliar[Estimated Carbon Footprint (tons CO₂e)],MATCH('Merge operational &amp; suppliar'!A1884,Suppliar[Facility ID],0)),"")</f>
        <v>932.3</v>
      </c>
      <c r="K1884">
        <f>IFERROR(INDEX(Suppliar[Income Distribution (%)],MATCH('Merge operational &amp; suppliar'!A1884,Suppliar[Facility ID],0)),"")</f>
        <v>16.93</v>
      </c>
    </row>
    <row r="1885" spans="1:11" x14ac:dyDescent="0.3">
      <c r="A1885" t="s">
        <v>133</v>
      </c>
      <c r="B1885" t="s">
        <v>17</v>
      </c>
      <c r="C1885" t="s">
        <v>13</v>
      </c>
      <c r="D1885" t="s">
        <v>9</v>
      </c>
      <c r="E1885" t="s">
        <v>15</v>
      </c>
      <c r="F1885">
        <v>3682.33</v>
      </c>
      <c r="G1885">
        <v>48501</v>
      </c>
      <c r="H1885">
        <v>7209.77</v>
      </c>
      <c r="I1885">
        <v>92.51</v>
      </c>
      <c r="J1885" t="str">
        <f>IFERROR(INDEX(Suppliar[Estimated Carbon Footprint (tons CO₂e)],MATCH('Merge operational &amp; suppliar'!A1885,Suppliar[Facility ID],0)),"")</f>
        <v/>
      </c>
      <c r="K1885" t="str">
        <f>IFERROR(INDEX(Suppliar[Income Distribution (%)],MATCH('Merge operational &amp; suppliar'!A1885,Suppliar[Facility ID],0)),"")</f>
        <v/>
      </c>
    </row>
    <row r="1886" spans="1:11" x14ac:dyDescent="0.3">
      <c r="A1886" t="s">
        <v>189</v>
      </c>
      <c r="B1886" t="s">
        <v>19</v>
      </c>
      <c r="C1886" t="s">
        <v>23</v>
      </c>
      <c r="D1886" t="s">
        <v>28</v>
      </c>
      <c r="E1886" t="s">
        <v>15</v>
      </c>
      <c r="F1886">
        <v>1546.78</v>
      </c>
      <c r="G1886">
        <v>27681</v>
      </c>
      <c r="H1886">
        <v>928.26</v>
      </c>
      <c r="I1886">
        <v>44.97</v>
      </c>
      <c r="J1886" t="str">
        <f>IFERROR(INDEX(Suppliar[Estimated Carbon Footprint (tons CO₂e)],MATCH('Merge operational &amp; suppliar'!A1886,Suppliar[Facility ID],0)),"")</f>
        <v/>
      </c>
      <c r="K1886" t="str">
        <f>IFERROR(INDEX(Suppliar[Income Distribution (%)],MATCH('Merge operational &amp; suppliar'!A1886,Suppliar[Facility ID],0)),"")</f>
        <v/>
      </c>
    </row>
    <row r="1887" spans="1:11" x14ac:dyDescent="0.3">
      <c r="A1887" t="s">
        <v>125</v>
      </c>
      <c r="B1887" t="s">
        <v>7</v>
      </c>
      <c r="C1887" t="s">
        <v>23</v>
      </c>
      <c r="D1887" t="s">
        <v>28</v>
      </c>
      <c r="E1887" t="s">
        <v>15</v>
      </c>
      <c r="F1887">
        <v>2135.9699999999998</v>
      </c>
      <c r="G1887">
        <v>56392</v>
      </c>
      <c r="H1887">
        <v>5703.76</v>
      </c>
      <c r="I1887">
        <v>23.04</v>
      </c>
      <c r="J1887">
        <f>IFERROR(INDEX(Suppliar[Estimated Carbon Footprint (tons CO₂e)],MATCH('Merge operational &amp; suppliar'!A1887,Suppliar[Facility ID],0)),"")</f>
        <v>991.03</v>
      </c>
      <c r="K1887">
        <f>IFERROR(INDEX(Suppliar[Income Distribution (%)],MATCH('Merge operational &amp; suppliar'!A1887,Suppliar[Facility ID],0)),"")</f>
        <v>27.62</v>
      </c>
    </row>
    <row r="1888" spans="1:11" x14ac:dyDescent="0.3">
      <c r="A1888" t="s">
        <v>180</v>
      </c>
      <c r="B1888" t="s">
        <v>30</v>
      </c>
      <c r="C1888" t="s">
        <v>13</v>
      </c>
      <c r="D1888" t="s">
        <v>28</v>
      </c>
      <c r="E1888" t="s">
        <v>10</v>
      </c>
      <c r="F1888">
        <v>1344</v>
      </c>
      <c r="G1888">
        <v>72846</v>
      </c>
      <c r="H1888">
        <v>5169.53</v>
      </c>
      <c r="I1888">
        <v>76.709999999999994</v>
      </c>
      <c r="J1888" t="str">
        <f>IFERROR(INDEX(Suppliar[Estimated Carbon Footprint (tons CO₂e)],MATCH('Merge operational &amp; suppliar'!A1888,Suppliar[Facility ID],0)),"")</f>
        <v/>
      </c>
      <c r="K1888" t="str">
        <f>IFERROR(INDEX(Suppliar[Income Distribution (%)],MATCH('Merge operational &amp; suppliar'!A1888,Suppliar[Facility ID],0)),"")</f>
        <v/>
      </c>
    </row>
    <row r="1889" spans="1:11" x14ac:dyDescent="0.3">
      <c r="A1889" t="s">
        <v>143</v>
      </c>
      <c r="B1889" t="s">
        <v>17</v>
      </c>
      <c r="C1889" t="s">
        <v>23</v>
      </c>
      <c r="D1889" t="s">
        <v>28</v>
      </c>
      <c r="E1889" t="s">
        <v>10</v>
      </c>
      <c r="F1889">
        <v>1009.35</v>
      </c>
      <c r="G1889">
        <v>94704</v>
      </c>
      <c r="H1889">
        <v>6632.95</v>
      </c>
      <c r="I1889">
        <v>14.76</v>
      </c>
      <c r="J1889">
        <f>IFERROR(INDEX(Suppliar[Estimated Carbon Footprint (tons CO₂e)],MATCH('Merge operational &amp; suppliar'!A1889,Suppliar[Facility ID],0)),"")</f>
        <v>459.56</v>
      </c>
      <c r="K1889">
        <f>IFERROR(INDEX(Suppliar[Income Distribution (%)],MATCH('Merge operational &amp; suppliar'!A1889,Suppliar[Facility ID],0)),"")</f>
        <v>7.54</v>
      </c>
    </row>
    <row r="1890" spans="1:11" x14ac:dyDescent="0.3">
      <c r="A1890" t="s">
        <v>38</v>
      </c>
      <c r="B1890" t="s">
        <v>30</v>
      </c>
      <c r="C1890" t="s">
        <v>8</v>
      </c>
      <c r="D1890" t="s">
        <v>28</v>
      </c>
      <c r="E1890" t="s">
        <v>24</v>
      </c>
      <c r="F1890">
        <v>1620.64</v>
      </c>
      <c r="G1890">
        <v>57215</v>
      </c>
      <c r="H1890">
        <v>3227.1</v>
      </c>
      <c r="I1890">
        <v>32.909999999999997</v>
      </c>
      <c r="J1890">
        <f>IFERROR(INDEX(Suppliar[Estimated Carbon Footprint (tons CO₂e)],MATCH('Merge operational &amp; suppliar'!A1890,Suppliar[Facility ID],0)),"")</f>
        <v>951.35</v>
      </c>
      <c r="K1890">
        <f>IFERROR(INDEX(Suppliar[Income Distribution (%)],MATCH('Merge operational &amp; suppliar'!A1890,Suppliar[Facility ID],0)),"")</f>
        <v>33.299999999999997</v>
      </c>
    </row>
    <row r="1891" spans="1:11" x14ac:dyDescent="0.3">
      <c r="A1891" t="s">
        <v>85</v>
      </c>
      <c r="B1891" t="s">
        <v>30</v>
      </c>
      <c r="C1891" t="s">
        <v>34</v>
      </c>
      <c r="D1891" t="s">
        <v>14</v>
      </c>
      <c r="E1891" t="s">
        <v>10</v>
      </c>
      <c r="F1891">
        <v>3874.19</v>
      </c>
      <c r="G1891">
        <v>45519</v>
      </c>
      <c r="H1891">
        <v>7987.69</v>
      </c>
      <c r="I1891">
        <v>10.86</v>
      </c>
      <c r="J1891">
        <f>IFERROR(INDEX(Suppliar[Estimated Carbon Footprint (tons CO₂e)],MATCH('Merge operational &amp; suppliar'!A1891,Suppliar[Facility ID],0)),"")</f>
        <v>638.89</v>
      </c>
      <c r="K1891">
        <f>IFERROR(INDEX(Suppliar[Income Distribution (%)],MATCH('Merge operational &amp; suppliar'!A1891,Suppliar[Facility ID],0)),"")</f>
        <v>35.04</v>
      </c>
    </row>
    <row r="1892" spans="1:11" x14ac:dyDescent="0.3">
      <c r="A1892" t="s">
        <v>92</v>
      </c>
      <c r="B1892" t="s">
        <v>30</v>
      </c>
      <c r="C1892" t="s">
        <v>8</v>
      </c>
      <c r="D1892" t="s">
        <v>28</v>
      </c>
      <c r="E1892" t="s">
        <v>15</v>
      </c>
      <c r="F1892">
        <v>3045.93</v>
      </c>
      <c r="G1892">
        <v>18726</v>
      </c>
      <c r="H1892">
        <v>5099.54</v>
      </c>
      <c r="I1892">
        <v>71.05</v>
      </c>
      <c r="J1892">
        <f>IFERROR(INDEX(Suppliar[Estimated Carbon Footprint (tons CO₂e)],MATCH('Merge operational &amp; suppliar'!A1892,Suppliar[Facility ID],0)),"")</f>
        <v>714.03</v>
      </c>
      <c r="K1892">
        <f>IFERROR(INDEX(Suppliar[Income Distribution (%)],MATCH('Merge operational &amp; suppliar'!A1892,Suppliar[Facility ID],0)),"")</f>
        <v>32.29</v>
      </c>
    </row>
    <row r="1893" spans="1:11" x14ac:dyDescent="0.3">
      <c r="A1893" t="s">
        <v>60</v>
      </c>
      <c r="B1893" t="s">
        <v>12</v>
      </c>
      <c r="C1893" t="s">
        <v>8</v>
      </c>
      <c r="D1893" t="s">
        <v>28</v>
      </c>
      <c r="E1893" t="s">
        <v>24</v>
      </c>
      <c r="F1893">
        <v>1476.28</v>
      </c>
      <c r="G1893">
        <v>25148</v>
      </c>
      <c r="H1893">
        <v>9604.5499999999993</v>
      </c>
      <c r="I1893">
        <v>63.47</v>
      </c>
      <c r="J1893">
        <f>IFERROR(INDEX(Suppliar[Estimated Carbon Footprint (tons CO₂e)],MATCH('Merge operational &amp; suppliar'!A1893,Suppliar[Facility ID],0)),"")</f>
        <v>209.33</v>
      </c>
      <c r="K1893">
        <f>IFERROR(INDEX(Suppliar[Income Distribution (%)],MATCH('Merge operational &amp; suppliar'!A1893,Suppliar[Facility ID],0)),"")</f>
        <v>30.01</v>
      </c>
    </row>
    <row r="1894" spans="1:11" x14ac:dyDescent="0.3">
      <c r="A1894" t="s">
        <v>117</v>
      </c>
      <c r="B1894" t="s">
        <v>7</v>
      </c>
      <c r="C1894" t="s">
        <v>23</v>
      </c>
      <c r="D1894" t="s">
        <v>9</v>
      </c>
      <c r="E1894" t="s">
        <v>15</v>
      </c>
      <c r="F1894">
        <v>3862.25</v>
      </c>
      <c r="G1894">
        <v>89321</v>
      </c>
      <c r="H1894">
        <v>9836.34</v>
      </c>
      <c r="I1894">
        <v>16.989999999999998</v>
      </c>
      <c r="J1894">
        <f>IFERROR(INDEX(Suppliar[Estimated Carbon Footprint (tons CO₂e)],MATCH('Merge operational &amp; suppliar'!A1894,Suppliar[Facility ID],0)),"")</f>
        <v>105.67</v>
      </c>
      <c r="K1894">
        <f>IFERROR(INDEX(Suppliar[Income Distribution (%)],MATCH('Merge operational &amp; suppliar'!A1894,Suppliar[Facility ID],0)),"")</f>
        <v>15.41</v>
      </c>
    </row>
    <row r="1895" spans="1:11" x14ac:dyDescent="0.3">
      <c r="A1895" t="s">
        <v>133</v>
      </c>
      <c r="B1895" t="s">
        <v>17</v>
      </c>
      <c r="C1895" t="s">
        <v>13</v>
      </c>
      <c r="D1895" t="s">
        <v>14</v>
      </c>
      <c r="E1895" t="s">
        <v>24</v>
      </c>
      <c r="F1895">
        <v>2517.98</v>
      </c>
      <c r="G1895">
        <v>48501</v>
      </c>
      <c r="H1895">
        <v>7209.77</v>
      </c>
      <c r="I1895">
        <v>92.51</v>
      </c>
      <c r="J1895" t="str">
        <f>IFERROR(INDEX(Suppliar[Estimated Carbon Footprint (tons CO₂e)],MATCH('Merge operational &amp; suppliar'!A1895,Suppliar[Facility ID],0)),"")</f>
        <v/>
      </c>
      <c r="K1895" t="str">
        <f>IFERROR(INDEX(Suppliar[Income Distribution (%)],MATCH('Merge operational &amp; suppliar'!A1895,Suppliar[Facility ID],0)),"")</f>
        <v/>
      </c>
    </row>
    <row r="1896" spans="1:11" x14ac:dyDescent="0.3">
      <c r="A1896" t="s">
        <v>158</v>
      </c>
      <c r="B1896" t="s">
        <v>30</v>
      </c>
      <c r="C1896" t="s">
        <v>23</v>
      </c>
      <c r="D1896" t="s">
        <v>14</v>
      </c>
      <c r="E1896" t="s">
        <v>10</v>
      </c>
      <c r="F1896">
        <v>3737.89</v>
      </c>
      <c r="G1896">
        <v>85488</v>
      </c>
      <c r="H1896">
        <v>9691.57</v>
      </c>
      <c r="I1896">
        <v>96.98</v>
      </c>
      <c r="J1896" t="str">
        <f>IFERROR(INDEX(Suppliar[Estimated Carbon Footprint (tons CO₂e)],MATCH('Merge operational &amp; suppliar'!A1896,Suppliar[Facility ID],0)),"")</f>
        <v/>
      </c>
      <c r="K1896" t="str">
        <f>IFERROR(INDEX(Suppliar[Income Distribution (%)],MATCH('Merge operational &amp; suppliar'!A1896,Suppliar[Facility ID],0)),"")</f>
        <v/>
      </c>
    </row>
    <row r="1897" spans="1:11" x14ac:dyDescent="0.3">
      <c r="A1897" t="s">
        <v>141</v>
      </c>
      <c r="B1897" t="s">
        <v>7</v>
      </c>
      <c r="C1897" t="s">
        <v>13</v>
      </c>
      <c r="D1897" t="s">
        <v>14</v>
      </c>
      <c r="E1897" t="s">
        <v>10</v>
      </c>
      <c r="F1897">
        <v>1111.82</v>
      </c>
      <c r="G1897">
        <v>45644</v>
      </c>
      <c r="H1897">
        <v>7724.73</v>
      </c>
      <c r="I1897">
        <v>31</v>
      </c>
      <c r="J1897">
        <f>IFERROR(INDEX(Suppliar[Estimated Carbon Footprint (tons CO₂e)],MATCH('Merge operational &amp; suppliar'!A1897,Suppliar[Facility ID],0)),"")</f>
        <v>685.27</v>
      </c>
      <c r="K1897">
        <f>IFERROR(INDEX(Suppliar[Income Distribution (%)],MATCH('Merge operational &amp; suppliar'!A1897,Suppliar[Facility ID],0)),"")</f>
        <v>33.94</v>
      </c>
    </row>
    <row r="1898" spans="1:11" x14ac:dyDescent="0.3">
      <c r="A1898" t="s">
        <v>103</v>
      </c>
      <c r="B1898" t="s">
        <v>19</v>
      </c>
      <c r="C1898" t="s">
        <v>23</v>
      </c>
      <c r="D1898" t="s">
        <v>14</v>
      </c>
      <c r="E1898" t="s">
        <v>24</v>
      </c>
      <c r="F1898">
        <v>4547.9799999999996</v>
      </c>
      <c r="G1898">
        <v>38869</v>
      </c>
      <c r="H1898">
        <v>5109.76</v>
      </c>
      <c r="I1898">
        <v>35.270000000000003</v>
      </c>
      <c r="J1898">
        <f>IFERROR(INDEX(Suppliar[Estimated Carbon Footprint (tons CO₂e)],MATCH('Merge operational &amp; suppliar'!A1898,Suppliar[Facility ID],0)),"")</f>
        <v>986.62</v>
      </c>
      <c r="K1898">
        <f>IFERROR(INDEX(Suppliar[Income Distribution (%)],MATCH('Merge operational &amp; suppliar'!A1898,Suppliar[Facility ID],0)),"")</f>
        <v>40.86</v>
      </c>
    </row>
    <row r="1899" spans="1:11" x14ac:dyDescent="0.3">
      <c r="A1899" t="s">
        <v>216</v>
      </c>
      <c r="B1899" t="s">
        <v>17</v>
      </c>
      <c r="C1899" t="s">
        <v>13</v>
      </c>
      <c r="D1899" t="s">
        <v>9</v>
      </c>
      <c r="E1899" t="s">
        <v>24</v>
      </c>
      <c r="F1899">
        <v>5035.87</v>
      </c>
      <c r="G1899">
        <v>13302</v>
      </c>
      <c r="H1899">
        <v>821.51</v>
      </c>
      <c r="I1899">
        <v>69.599999999999994</v>
      </c>
      <c r="J1899">
        <f>IFERROR(INDEX(Suppliar[Estimated Carbon Footprint (tons CO₂e)],MATCH('Merge operational &amp; suppliar'!A1899,Suppliar[Facility ID],0)),"")</f>
        <v>795.74</v>
      </c>
      <c r="K1899">
        <f>IFERROR(INDEX(Suppliar[Income Distribution (%)],MATCH('Merge operational &amp; suppliar'!A1899,Suppliar[Facility ID],0)),"")</f>
        <v>9.39</v>
      </c>
    </row>
    <row r="1900" spans="1:11" x14ac:dyDescent="0.3">
      <c r="A1900" t="s">
        <v>106</v>
      </c>
      <c r="B1900" t="s">
        <v>12</v>
      </c>
      <c r="C1900" t="s">
        <v>8</v>
      </c>
      <c r="D1900" t="s">
        <v>14</v>
      </c>
      <c r="E1900" t="s">
        <v>15</v>
      </c>
      <c r="F1900">
        <v>666.62</v>
      </c>
      <c r="G1900">
        <v>21386</v>
      </c>
      <c r="H1900">
        <v>2271.92</v>
      </c>
      <c r="I1900">
        <v>49.67</v>
      </c>
      <c r="J1900" t="str">
        <f>IFERROR(INDEX(Suppliar[Estimated Carbon Footprint (tons CO₂e)],MATCH('Merge operational &amp; suppliar'!A1900,Suppliar[Facility ID],0)),"")</f>
        <v/>
      </c>
      <c r="K1900" t="str">
        <f>IFERROR(INDEX(Suppliar[Income Distribution (%)],MATCH('Merge operational &amp; suppliar'!A1900,Suppliar[Facility ID],0)),"")</f>
        <v/>
      </c>
    </row>
    <row r="1901" spans="1:11" x14ac:dyDescent="0.3">
      <c r="A1901" t="s">
        <v>104</v>
      </c>
      <c r="B1901" t="s">
        <v>17</v>
      </c>
      <c r="C1901" t="s">
        <v>8</v>
      </c>
      <c r="D1901" t="s">
        <v>28</v>
      </c>
      <c r="E1901" t="s">
        <v>24</v>
      </c>
      <c r="F1901">
        <v>4848.67</v>
      </c>
      <c r="G1901">
        <v>16868</v>
      </c>
      <c r="H1901">
        <v>1378.01</v>
      </c>
      <c r="I1901">
        <v>47.52</v>
      </c>
      <c r="J1901" t="str">
        <f>IFERROR(INDEX(Suppliar[Estimated Carbon Footprint (tons CO₂e)],MATCH('Merge operational &amp; suppliar'!A1901,Suppliar[Facility ID],0)),"")</f>
        <v/>
      </c>
      <c r="K1901" t="str">
        <f>IFERROR(INDEX(Suppliar[Income Distribution (%)],MATCH('Merge operational &amp; suppliar'!A1901,Suppliar[Facility ID],0)),"")</f>
        <v/>
      </c>
    </row>
    <row r="1902" spans="1:11" x14ac:dyDescent="0.3">
      <c r="A1902" t="s">
        <v>181</v>
      </c>
      <c r="B1902" t="s">
        <v>30</v>
      </c>
      <c r="C1902" t="s">
        <v>13</v>
      </c>
      <c r="D1902" t="s">
        <v>28</v>
      </c>
      <c r="E1902" t="s">
        <v>24</v>
      </c>
      <c r="F1902">
        <v>965.26</v>
      </c>
      <c r="G1902">
        <v>28704</v>
      </c>
      <c r="H1902">
        <v>6009.24</v>
      </c>
      <c r="I1902">
        <v>39.31</v>
      </c>
      <c r="J1902">
        <f>IFERROR(INDEX(Suppliar[Estimated Carbon Footprint (tons CO₂e)],MATCH('Merge operational &amp; suppliar'!A1902,Suppliar[Facility ID],0)),"")</f>
        <v>479.41</v>
      </c>
      <c r="K1902">
        <f>IFERROR(INDEX(Suppliar[Income Distribution (%)],MATCH('Merge operational &amp; suppliar'!A1902,Suppliar[Facility ID],0)),"")</f>
        <v>19.7</v>
      </c>
    </row>
    <row r="1903" spans="1:11" x14ac:dyDescent="0.3">
      <c r="A1903" t="s">
        <v>102</v>
      </c>
      <c r="B1903" t="s">
        <v>19</v>
      </c>
      <c r="C1903" t="s">
        <v>34</v>
      </c>
      <c r="D1903" t="s">
        <v>9</v>
      </c>
      <c r="E1903" t="s">
        <v>24</v>
      </c>
      <c r="F1903">
        <v>3352.88</v>
      </c>
      <c r="G1903">
        <v>86263</v>
      </c>
      <c r="H1903">
        <v>3213.71</v>
      </c>
      <c r="I1903">
        <v>98.39</v>
      </c>
      <c r="J1903">
        <f>IFERROR(INDEX(Suppliar[Estimated Carbon Footprint (tons CO₂e)],MATCH('Merge operational &amp; suppliar'!A1903,Suppliar[Facility ID],0)),"")</f>
        <v>662.74</v>
      </c>
      <c r="K1903">
        <f>IFERROR(INDEX(Suppliar[Income Distribution (%)],MATCH('Merge operational &amp; suppliar'!A1903,Suppliar[Facility ID],0)),"")</f>
        <v>20.66</v>
      </c>
    </row>
    <row r="1904" spans="1:11" x14ac:dyDescent="0.3">
      <c r="A1904" t="s">
        <v>220</v>
      </c>
      <c r="B1904" t="s">
        <v>12</v>
      </c>
      <c r="C1904" t="s">
        <v>23</v>
      </c>
      <c r="D1904" t="s">
        <v>9</v>
      </c>
      <c r="E1904" t="s">
        <v>24</v>
      </c>
      <c r="F1904">
        <v>3960.69</v>
      </c>
      <c r="G1904">
        <v>97040</v>
      </c>
      <c r="H1904">
        <v>5727.14</v>
      </c>
      <c r="I1904">
        <v>38.19</v>
      </c>
      <c r="J1904">
        <f>IFERROR(INDEX(Suppliar[Estimated Carbon Footprint (tons CO₂e)],MATCH('Merge operational &amp; suppliar'!A1904,Suppliar[Facility ID],0)),"")</f>
        <v>714.03</v>
      </c>
      <c r="K1904">
        <f>IFERROR(INDEX(Suppliar[Income Distribution (%)],MATCH('Merge operational &amp; suppliar'!A1904,Suppliar[Facility ID],0)),"")</f>
        <v>19.98</v>
      </c>
    </row>
    <row r="1905" spans="1:11" x14ac:dyDescent="0.3">
      <c r="A1905" t="s">
        <v>185</v>
      </c>
      <c r="B1905" t="s">
        <v>30</v>
      </c>
      <c r="C1905" t="s">
        <v>8</v>
      </c>
      <c r="D1905" t="s">
        <v>28</v>
      </c>
      <c r="E1905" t="s">
        <v>24</v>
      </c>
      <c r="F1905">
        <v>4162.58</v>
      </c>
      <c r="G1905">
        <v>24913</v>
      </c>
      <c r="H1905">
        <v>5727.27</v>
      </c>
      <c r="I1905">
        <v>78.849999999999994</v>
      </c>
      <c r="J1905" t="str">
        <f>IFERROR(INDEX(Suppliar[Estimated Carbon Footprint (tons CO₂e)],MATCH('Merge operational &amp; suppliar'!A1905,Suppliar[Facility ID],0)),"")</f>
        <v/>
      </c>
      <c r="K1905" t="str">
        <f>IFERROR(INDEX(Suppliar[Income Distribution (%)],MATCH('Merge operational &amp; suppliar'!A1905,Suppliar[Facility ID],0)),"")</f>
        <v/>
      </c>
    </row>
    <row r="1906" spans="1:11" x14ac:dyDescent="0.3">
      <c r="A1906" t="s">
        <v>132</v>
      </c>
      <c r="B1906" t="s">
        <v>19</v>
      </c>
      <c r="C1906" t="s">
        <v>13</v>
      </c>
      <c r="D1906" t="s">
        <v>28</v>
      </c>
      <c r="E1906" t="s">
        <v>24</v>
      </c>
      <c r="F1906">
        <v>3555.25</v>
      </c>
      <c r="G1906">
        <v>29860</v>
      </c>
      <c r="H1906">
        <v>3956.23</v>
      </c>
      <c r="I1906">
        <v>57.5</v>
      </c>
      <c r="J1906">
        <f>IFERROR(INDEX(Suppliar[Estimated Carbon Footprint (tons CO₂e)],MATCH('Merge operational &amp; suppliar'!A1906,Suppliar[Facility ID],0)),"")</f>
        <v>432.23</v>
      </c>
      <c r="K1906">
        <f>IFERROR(INDEX(Suppliar[Income Distribution (%)],MATCH('Merge operational &amp; suppliar'!A1906,Suppliar[Facility ID],0)),"")</f>
        <v>17.78</v>
      </c>
    </row>
    <row r="1907" spans="1:11" x14ac:dyDescent="0.3">
      <c r="A1907" t="s">
        <v>55</v>
      </c>
      <c r="B1907" t="s">
        <v>12</v>
      </c>
      <c r="C1907" t="s">
        <v>34</v>
      </c>
      <c r="D1907" t="s">
        <v>9</v>
      </c>
      <c r="E1907" t="s">
        <v>24</v>
      </c>
      <c r="F1907">
        <v>4585.8900000000003</v>
      </c>
      <c r="G1907">
        <v>38181</v>
      </c>
      <c r="H1907">
        <v>691.84</v>
      </c>
      <c r="I1907">
        <v>33.53</v>
      </c>
      <c r="J1907">
        <f>IFERROR(INDEX(Suppliar[Estimated Carbon Footprint (tons CO₂e)],MATCH('Merge operational &amp; suppliar'!A1907,Suppliar[Facility ID],0)),"")</f>
        <v>114.57</v>
      </c>
      <c r="K1907">
        <f>IFERROR(INDEX(Suppliar[Income Distribution (%)],MATCH('Merge operational &amp; suppliar'!A1907,Suppliar[Facility ID],0)),"")</f>
        <v>9.9600000000000009</v>
      </c>
    </row>
    <row r="1908" spans="1:11" x14ac:dyDescent="0.3">
      <c r="A1908" t="s">
        <v>116</v>
      </c>
      <c r="B1908" t="s">
        <v>17</v>
      </c>
      <c r="C1908" t="s">
        <v>8</v>
      </c>
      <c r="D1908" t="s">
        <v>9</v>
      </c>
      <c r="E1908" t="s">
        <v>24</v>
      </c>
      <c r="F1908">
        <v>875.53</v>
      </c>
      <c r="G1908">
        <v>68216</v>
      </c>
      <c r="H1908">
        <v>9562.33</v>
      </c>
      <c r="I1908">
        <v>63.59</v>
      </c>
      <c r="J1908">
        <f>IFERROR(INDEX(Suppliar[Estimated Carbon Footprint (tons CO₂e)],MATCH('Merge operational &amp; suppliar'!A1908,Suppliar[Facility ID],0)),"")</f>
        <v>830.73</v>
      </c>
      <c r="K1908">
        <f>IFERROR(INDEX(Suppliar[Income Distribution (%)],MATCH('Merge operational &amp; suppliar'!A1908,Suppliar[Facility ID],0)),"")</f>
        <v>46.68</v>
      </c>
    </row>
    <row r="1909" spans="1:11" x14ac:dyDescent="0.3">
      <c r="A1909" t="s">
        <v>198</v>
      </c>
      <c r="B1909" t="s">
        <v>12</v>
      </c>
      <c r="C1909" t="s">
        <v>8</v>
      </c>
      <c r="D1909" t="s">
        <v>9</v>
      </c>
      <c r="E1909" t="s">
        <v>24</v>
      </c>
      <c r="F1909">
        <v>3686.68</v>
      </c>
      <c r="G1909">
        <v>58113</v>
      </c>
      <c r="H1909">
        <v>6382.12</v>
      </c>
      <c r="I1909">
        <v>56.66</v>
      </c>
      <c r="J1909">
        <f>IFERROR(INDEX(Suppliar[Estimated Carbon Footprint (tons CO₂e)],MATCH('Merge operational &amp; suppliar'!A1909,Suppliar[Facility ID],0)),"")</f>
        <v>431.16</v>
      </c>
      <c r="K1909">
        <f>IFERROR(INDEX(Suppliar[Income Distribution (%)],MATCH('Merge operational &amp; suppliar'!A1909,Suppliar[Facility ID],0)),"")</f>
        <v>48.25</v>
      </c>
    </row>
    <row r="1910" spans="1:11" x14ac:dyDescent="0.3">
      <c r="A1910" t="s">
        <v>173</v>
      </c>
      <c r="B1910" t="s">
        <v>30</v>
      </c>
      <c r="C1910" t="s">
        <v>8</v>
      </c>
      <c r="D1910" t="s">
        <v>14</v>
      </c>
      <c r="E1910" t="s">
        <v>24</v>
      </c>
      <c r="F1910">
        <v>2899.46</v>
      </c>
      <c r="G1910">
        <v>49620</v>
      </c>
      <c r="H1910">
        <v>2424.31</v>
      </c>
      <c r="I1910">
        <v>62.09</v>
      </c>
      <c r="J1910">
        <f>IFERROR(INDEX(Suppliar[Estimated Carbon Footprint (tons CO₂e)],MATCH('Merge operational &amp; suppliar'!A1910,Suppliar[Facility ID],0)),"")</f>
        <v>184.92</v>
      </c>
      <c r="K1910">
        <f>IFERROR(INDEX(Suppliar[Income Distribution (%)],MATCH('Merge operational &amp; suppliar'!A1910,Suppliar[Facility ID],0)),"")</f>
        <v>19.55</v>
      </c>
    </row>
    <row r="1911" spans="1:11" x14ac:dyDescent="0.3">
      <c r="A1911" t="s">
        <v>29</v>
      </c>
      <c r="B1911" t="s">
        <v>30</v>
      </c>
      <c r="C1911" t="s">
        <v>23</v>
      </c>
      <c r="D1911" t="s">
        <v>28</v>
      </c>
      <c r="E1911" t="s">
        <v>15</v>
      </c>
      <c r="F1911">
        <v>429.01</v>
      </c>
      <c r="G1911">
        <v>32131</v>
      </c>
      <c r="H1911">
        <v>1474.23</v>
      </c>
      <c r="I1911">
        <v>45.47</v>
      </c>
      <c r="J1911">
        <f>IFERROR(INDEX(Suppliar[Estimated Carbon Footprint (tons CO₂e)],MATCH('Merge operational &amp; suppliar'!A1911,Suppliar[Facility ID],0)),"")</f>
        <v>830.73</v>
      </c>
      <c r="K1911">
        <f>IFERROR(INDEX(Suppliar[Income Distribution (%)],MATCH('Merge operational &amp; suppliar'!A1911,Suppliar[Facility ID],0)),"")</f>
        <v>17.97</v>
      </c>
    </row>
    <row r="1912" spans="1:11" x14ac:dyDescent="0.3">
      <c r="A1912" t="s">
        <v>116</v>
      </c>
      <c r="B1912" t="s">
        <v>17</v>
      </c>
      <c r="C1912" t="s">
        <v>13</v>
      </c>
      <c r="D1912" t="s">
        <v>9</v>
      </c>
      <c r="E1912" t="s">
        <v>10</v>
      </c>
      <c r="F1912">
        <v>1770.19</v>
      </c>
      <c r="G1912">
        <v>68216</v>
      </c>
      <c r="H1912">
        <v>9562.33</v>
      </c>
      <c r="I1912">
        <v>63.59</v>
      </c>
      <c r="J1912">
        <f>IFERROR(INDEX(Suppliar[Estimated Carbon Footprint (tons CO₂e)],MATCH('Merge operational &amp; suppliar'!A1912,Suppliar[Facility ID],0)),"")</f>
        <v>830.73</v>
      </c>
      <c r="K1912">
        <f>IFERROR(INDEX(Suppliar[Income Distribution (%)],MATCH('Merge operational &amp; suppliar'!A1912,Suppliar[Facility ID],0)),"")</f>
        <v>46.68</v>
      </c>
    </row>
    <row r="1913" spans="1:11" x14ac:dyDescent="0.3">
      <c r="A1913" t="s">
        <v>71</v>
      </c>
      <c r="B1913" t="s">
        <v>7</v>
      </c>
      <c r="C1913" t="s">
        <v>23</v>
      </c>
      <c r="D1913" t="s">
        <v>28</v>
      </c>
      <c r="E1913" t="s">
        <v>15</v>
      </c>
      <c r="F1913">
        <v>2143.0300000000002</v>
      </c>
      <c r="G1913">
        <v>68018</v>
      </c>
      <c r="H1913">
        <v>3523.4</v>
      </c>
      <c r="I1913">
        <v>92.26</v>
      </c>
      <c r="J1913">
        <f>IFERROR(INDEX(Suppliar[Estimated Carbon Footprint (tons CO₂e)],MATCH('Merge operational &amp; suppliar'!A1913,Suppliar[Facility ID],0)),"")</f>
        <v>111.84</v>
      </c>
      <c r="K1913">
        <f>IFERROR(INDEX(Suppliar[Income Distribution (%)],MATCH('Merge operational &amp; suppliar'!A1913,Suppliar[Facility ID],0)),"")</f>
        <v>15.85</v>
      </c>
    </row>
    <row r="1914" spans="1:11" x14ac:dyDescent="0.3">
      <c r="A1914" t="s">
        <v>40</v>
      </c>
      <c r="B1914" t="s">
        <v>19</v>
      </c>
      <c r="C1914" t="s">
        <v>8</v>
      </c>
      <c r="D1914" t="s">
        <v>14</v>
      </c>
      <c r="E1914" t="s">
        <v>15</v>
      </c>
      <c r="F1914">
        <v>81.83</v>
      </c>
      <c r="G1914">
        <v>96474</v>
      </c>
      <c r="H1914">
        <v>7574.39</v>
      </c>
      <c r="I1914">
        <v>95.54</v>
      </c>
      <c r="J1914">
        <f>IFERROR(INDEX(Suppliar[Estimated Carbon Footprint (tons CO₂e)],MATCH('Merge operational &amp; suppliar'!A1914,Suppliar[Facility ID],0)),"")</f>
        <v>886.71</v>
      </c>
      <c r="K1914">
        <f>IFERROR(INDEX(Suppliar[Income Distribution (%)],MATCH('Merge operational &amp; suppliar'!A1914,Suppliar[Facility ID],0)),"")</f>
        <v>24.84</v>
      </c>
    </row>
    <row r="1915" spans="1:11" x14ac:dyDescent="0.3">
      <c r="A1915" t="s">
        <v>133</v>
      </c>
      <c r="B1915" t="s">
        <v>17</v>
      </c>
      <c r="C1915" t="s">
        <v>23</v>
      </c>
      <c r="D1915" t="s">
        <v>9</v>
      </c>
      <c r="E1915" t="s">
        <v>24</v>
      </c>
      <c r="F1915">
        <v>2577.6</v>
      </c>
      <c r="G1915">
        <v>48501</v>
      </c>
      <c r="H1915">
        <v>7209.77</v>
      </c>
      <c r="I1915">
        <v>92.51</v>
      </c>
      <c r="J1915" t="str">
        <f>IFERROR(INDEX(Suppliar[Estimated Carbon Footprint (tons CO₂e)],MATCH('Merge operational &amp; suppliar'!A1915,Suppliar[Facility ID],0)),"")</f>
        <v/>
      </c>
      <c r="K1915" t="str">
        <f>IFERROR(INDEX(Suppliar[Income Distribution (%)],MATCH('Merge operational &amp; suppliar'!A1915,Suppliar[Facility ID],0)),"")</f>
        <v/>
      </c>
    </row>
    <row r="1916" spans="1:11" x14ac:dyDescent="0.3">
      <c r="A1916" t="s">
        <v>60</v>
      </c>
      <c r="B1916" t="s">
        <v>12</v>
      </c>
      <c r="C1916" t="s">
        <v>8</v>
      </c>
      <c r="D1916" t="s">
        <v>9</v>
      </c>
      <c r="E1916" t="s">
        <v>15</v>
      </c>
      <c r="F1916">
        <v>5027.8599999999997</v>
      </c>
      <c r="G1916">
        <v>25148</v>
      </c>
      <c r="H1916">
        <v>9604.5499999999993</v>
      </c>
      <c r="I1916">
        <v>63.47</v>
      </c>
      <c r="J1916">
        <f>IFERROR(INDEX(Suppliar[Estimated Carbon Footprint (tons CO₂e)],MATCH('Merge operational &amp; suppliar'!A1916,Suppliar[Facility ID],0)),"")</f>
        <v>209.33</v>
      </c>
      <c r="K1916">
        <f>IFERROR(INDEX(Suppliar[Income Distribution (%)],MATCH('Merge operational &amp; suppliar'!A1916,Suppliar[Facility ID],0)),"")</f>
        <v>30.01</v>
      </c>
    </row>
    <row r="1917" spans="1:11" x14ac:dyDescent="0.3">
      <c r="A1917" t="s">
        <v>124</v>
      </c>
      <c r="B1917" t="s">
        <v>12</v>
      </c>
      <c r="C1917" t="s">
        <v>23</v>
      </c>
      <c r="D1917" t="s">
        <v>28</v>
      </c>
      <c r="E1917" t="s">
        <v>15</v>
      </c>
      <c r="F1917">
        <v>3269.61</v>
      </c>
      <c r="G1917">
        <v>47491</v>
      </c>
      <c r="H1917">
        <v>5781.05</v>
      </c>
      <c r="I1917">
        <v>92.18</v>
      </c>
      <c r="J1917">
        <f>IFERROR(INDEX(Suppliar[Estimated Carbon Footprint (tons CO₂e)],MATCH('Merge operational &amp; suppliar'!A1917,Suppliar[Facility ID],0)),"")</f>
        <v>344.93</v>
      </c>
      <c r="K1917">
        <f>IFERROR(INDEX(Suppliar[Income Distribution (%)],MATCH('Merge operational &amp; suppliar'!A1917,Suppliar[Facility ID],0)),"")</f>
        <v>36.229999999999997</v>
      </c>
    </row>
    <row r="1918" spans="1:11" x14ac:dyDescent="0.3">
      <c r="A1918" t="s">
        <v>198</v>
      </c>
      <c r="B1918" t="s">
        <v>12</v>
      </c>
      <c r="C1918" t="s">
        <v>13</v>
      </c>
      <c r="D1918" t="s">
        <v>9</v>
      </c>
      <c r="E1918" t="s">
        <v>10</v>
      </c>
      <c r="F1918">
        <v>3769.66</v>
      </c>
      <c r="G1918">
        <v>58113</v>
      </c>
      <c r="H1918">
        <v>6382.12</v>
      </c>
      <c r="I1918">
        <v>56.66</v>
      </c>
      <c r="J1918">
        <f>IFERROR(INDEX(Suppliar[Estimated Carbon Footprint (tons CO₂e)],MATCH('Merge operational &amp; suppliar'!A1918,Suppliar[Facility ID],0)),"")</f>
        <v>431.16</v>
      </c>
      <c r="K1918">
        <f>IFERROR(INDEX(Suppliar[Income Distribution (%)],MATCH('Merge operational &amp; suppliar'!A1918,Suppliar[Facility ID],0)),"")</f>
        <v>48.25</v>
      </c>
    </row>
    <row r="1919" spans="1:11" x14ac:dyDescent="0.3">
      <c r="A1919" t="s">
        <v>180</v>
      </c>
      <c r="B1919" t="s">
        <v>30</v>
      </c>
      <c r="C1919" t="s">
        <v>23</v>
      </c>
      <c r="D1919" t="s">
        <v>14</v>
      </c>
      <c r="E1919" t="s">
        <v>10</v>
      </c>
      <c r="F1919">
        <v>3970.3</v>
      </c>
      <c r="G1919">
        <v>72846</v>
      </c>
      <c r="H1919">
        <v>5169.53</v>
      </c>
      <c r="I1919">
        <v>76.709999999999994</v>
      </c>
      <c r="J1919" t="str">
        <f>IFERROR(INDEX(Suppliar[Estimated Carbon Footprint (tons CO₂e)],MATCH('Merge operational &amp; suppliar'!A1919,Suppliar[Facility ID],0)),"")</f>
        <v/>
      </c>
      <c r="K1919" t="str">
        <f>IFERROR(INDEX(Suppliar[Income Distribution (%)],MATCH('Merge operational &amp; suppliar'!A1919,Suppliar[Facility ID],0)),"")</f>
        <v/>
      </c>
    </row>
    <row r="1920" spans="1:11" x14ac:dyDescent="0.3">
      <c r="A1920" t="s">
        <v>131</v>
      </c>
      <c r="B1920" t="s">
        <v>17</v>
      </c>
      <c r="C1920" t="s">
        <v>23</v>
      </c>
      <c r="D1920" t="s">
        <v>14</v>
      </c>
      <c r="E1920" t="s">
        <v>10</v>
      </c>
      <c r="F1920">
        <v>2665.16</v>
      </c>
      <c r="G1920">
        <v>94128</v>
      </c>
      <c r="H1920">
        <v>8117.82</v>
      </c>
      <c r="I1920">
        <v>73.83</v>
      </c>
      <c r="J1920">
        <f>IFERROR(INDEX(Suppliar[Estimated Carbon Footprint (tons CO₂e)],MATCH('Merge operational &amp; suppliar'!A1920,Suppliar[Facility ID],0)),"")</f>
        <v>532.27</v>
      </c>
      <c r="K1920">
        <f>IFERROR(INDEX(Suppliar[Income Distribution (%)],MATCH('Merge operational &amp; suppliar'!A1920,Suppliar[Facility ID],0)),"")</f>
        <v>31.74</v>
      </c>
    </row>
    <row r="1921" spans="1:11" x14ac:dyDescent="0.3">
      <c r="A1921" t="s">
        <v>182</v>
      </c>
      <c r="B1921" t="s">
        <v>12</v>
      </c>
      <c r="C1921" t="s">
        <v>23</v>
      </c>
      <c r="D1921" t="s">
        <v>14</v>
      </c>
      <c r="E1921" t="s">
        <v>24</v>
      </c>
      <c r="F1921">
        <v>374.88</v>
      </c>
      <c r="G1921">
        <v>21081</v>
      </c>
      <c r="H1921">
        <v>9001.77</v>
      </c>
      <c r="I1921">
        <v>49.27</v>
      </c>
      <c r="J1921">
        <f>IFERROR(INDEX(Suppliar[Estimated Carbon Footprint (tons CO₂e)],MATCH('Merge operational &amp; suppliar'!A1921,Suppliar[Facility ID],0)),"")</f>
        <v>114.57</v>
      </c>
      <c r="K1921">
        <f>IFERROR(INDEX(Suppliar[Income Distribution (%)],MATCH('Merge operational &amp; suppliar'!A1921,Suppliar[Facility ID],0)),"")</f>
        <v>44.17</v>
      </c>
    </row>
    <row r="1922" spans="1:11" x14ac:dyDescent="0.3">
      <c r="A1922" t="s">
        <v>214</v>
      </c>
      <c r="B1922" t="s">
        <v>30</v>
      </c>
      <c r="C1922" t="s">
        <v>13</v>
      </c>
      <c r="D1922" t="s">
        <v>9</v>
      </c>
      <c r="E1922" t="s">
        <v>10</v>
      </c>
      <c r="F1922">
        <v>1106.08</v>
      </c>
      <c r="G1922">
        <v>79330</v>
      </c>
      <c r="H1922">
        <v>6075.23</v>
      </c>
      <c r="I1922">
        <v>83.97</v>
      </c>
      <c r="J1922">
        <f>IFERROR(INDEX(Suppliar[Estimated Carbon Footprint (tons CO₂e)],MATCH('Merge operational &amp; suppliar'!A1922,Suppliar[Facility ID],0)),"")</f>
        <v>209.33</v>
      </c>
      <c r="K1922">
        <f>IFERROR(INDEX(Suppliar[Income Distribution (%)],MATCH('Merge operational &amp; suppliar'!A1922,Suppliar[Facility ID],0)),"")</f>
        <v>13.62</v>
      </c>
    </row>
    <row r="1923" spans="1:11" x14ac:dyDescent="0.3">
      <c r="A1923" t="s">
        <v>207</v>
      </c>
      <c r="B1923" t="s">
        <v>17</v>
      </c>
      <c r="C1923" t="s">
        <v>8</v>
      </c>
      <c r="D1923" t="s">
        <v>9</v>
      </c>
      <c r="E1923" t="s">
        <v>15</v>
      </c>
      <c r="F1923">
        <v>2876.48</v>
      </c>
      <c r="G1923">
        <v>99115</v>
      </c>
      <c r="H1923">
        <v>827.26</v>
      </c>
      <c r="I1923">
        <v>28.88</v>
      </c>
      <c r="J1923">
        <f>IFERROR(INDEX(Suppliar[Estimated Carbon Footprint (tons CO₂e)],MATCH('Merge operational &amp; suppliar'!A1923,Suppliar[Facility ID],0)),"")</f>
        <v>818.45</v>
      </c>
      <c r="K1923">
        <f>IFERROR(INDEX(Suppliar[Income Distribution (%)],MATCH('Merge operational &amp; suppliar'!A1923,Suppliar[Facility ID],0)),"")</f>
        <v>27.59</v>
      </c>
    </row>
    <row r="1924" spans="1:11" x14ac:dyDescent="0.3">
      <c r="A1924" t="s">
        <v>67</v>
      </c>
      <c r="B1924" t="s">
        <v>7</v>
      </c>
      <c r="C1924" t="s">
        <v>34</v>
      </c>
      <c r="D1924" t="s">
        <v>14</v>
      </c>
      <c r="E1924" t="s">
        <v>24</v>
      </c>
      <c r="F1924">
        <v>4394.3599999999997</v>
      </c>
      <c r="G1924">
        <v>70582</v>
      </c>
      <c r="H1924">
        <v>7517.59</v>
      </c>
      <c r="I1924">
        <v>95.71</v>
      </c>
      <c r="J1924" t="str">
        <f>IFERROR(INDEX(Suppliar[Estimated Carbon Footprint (tons CO₂e)],MATCH('Merge operational &amp; suppliar'!A1924,Suppliar[Facility ID],0)),"")</f>
        <v/>
      </c>
      <c r="K1924" t="str">
        <f>IFERROR(INDEX(Suppliar[Income Distribution (%)],MATCH('Merge operational &amp; suppliar'!A1924,Suppliar[Facility ID],0)),"")</f>
        <v/>
      </c>
    </row>
    <row r="1925" spans="1:11" x14ac:dyDescent="0.3">
      <c r="A1925" t="s">
        <v>191</v>
      </c>
      <c r="B1925" t="s">
        <v>12</v>
      </c>
      <c r="C1925" t="s">
        <v>34</v>
      </c>
      <c r="D1925" t="s">
        <v>28</v>
      </c>
      <c r="E1925" t="s">
        <v>10</v>
      </c>
      <c r="F1925">
        <v>3682.56</v>
      </c>
      <c r="G1925">
        <v>43346</v>
      </c>
      <c r="H1925">
        <v>5559.12</v>
      </c>
      <c r="I1925">
        <v>39.4</v>
      </c>
      <c r="J1925">
        <f>IFERROR(INDEX(Suppliar[Estimated Carbon Footprint (tons CO₂e)],MATCH('Merge operational &amp; suppliar'!A1925,Suppliar[Facility ID],0)),"")</f>
        <v>571.88</v>
      </c>
      <c r="K1925">
        <f>IFERROR(INDEX(Suppliar[Income Distribution (%)],MATCH('Merge operational &amp; suppliar'!A1925,Suppliar[Facility ID],0)),"")</f>
        <v>32.18</v>
      </c>
    </row>
    <row r="1926" spans="1:11" x14ac:dyDescent="0.3">
      <c r="A1926" t="s">
        <v>179</v>
      </c>
      <c r="B1926" t="s">
        <v>7</v>
      </c>
      <c r="C1926" t="s">
        <v>23</v>
      </c>
      <c r="D1926" t="s">
        <v>14</v>
      </c>
      <c r="E1926" t="s">
        <v>24</v>
      </c>
      <c r="F1926">
        <v>2576.87</v>
      </c>
      <c r="G1926">
        <v>94393</v>
      </c>
      <c r="H1926">
        <v>6691.7</v>
      </c>
      <c r="I1926">
        <v>74.790000000000006</v>
      </c>
      <c r="J1926">
        <f>IFERROR(INDEX(Suppliar[Estimated Carbon Footprint (tons CO₂e)],MATCH('Merge operational &amp; suppliar'!A1926,Suppliar[Facility ID],0)),"")</f>
        <v>867.66</v>
      </c>
      <c r="K1926">
        <f>IFERROR(INDEX(Suppliar[Income Distribution (%)],MATCH('Merge operational &amp; suppliar'!A1926,Suppliar[Facility ID],0)),"")</f>
        <v>32.97</v>
      </c>
    </row>
    <row r="1927" spans="1:11" x14ac:dyDescent="0.3">
      <c r="A1927" t="s">
        <v>217</v>
      </c>
      <c r="B1927" t="s">
        <v>19</v>
      </c>
      <c r="C1927" t="s">
        <v>23</v>
      </c>
      <c r="D1927" t="s">
        <v>14</v>
      </c>
      <c r="E1927" t="s">
        <v>15</v>
      </c>
      <c r="F1927">
        <v>4625.6000000000004</v>
      </c>
      <c r="G1927">
        <v>80824</v>
      </c>
      <c r="H1927">
        <v>2858.92</v>
      </c>
      <c r="I1927">
        <v>13.97</v>
      </c>
      <c r="J1927">
        <f>IFERROR(INDEX(Suppliar[Estimated Carbon Footprint (tons CO₂e)],MATCH('Merge operational &amp; suppliar'!A1927,Suppliar[Facility ID],0)),"")</f>
        <v>638.89</v>
      </c>
      <c r="K1927">
        <f>IFERROR(INDEX(Suppliar[Income Distribution (%)],MATCH('Merge operational &amp; suppliar'!A1927,Suppliar[Facility ID],0)),"")</f>
        <v>21.98</v>
      </c>
    </row>
    <row r="1928" spans="1:11" x14ac:dyDescent="0.3">
      <c r="A1928" t="s">
        <v>161</v>
      </c>
      <c r="B1928" t="s">
        <v>7</v>
      </c>
      <c r="C1928" t="s">
        <v>23</v>
      </c>
      <c r="D1928" t="s">
        <v>14</v>
      </c>
      <c r="E1928" t="s">
        <v>24</v>
      </c>
      <c r="F1928">
        <v>3554.21</v>
      </c>
      <c r="G1928">
        <v>15788</v>
      </c>
      <c r="H1928">
        <v>1824.14</v>
      </c>
      <c r="I1928">
        <v>52.78</v>
      </c>
      <c r="J1928">
        <f>IFERROR(INDEX(Suppliar[Estimated Carbon Footprint (tons CO₂e)],MATCH('Merge operational &amp; suppliar'!A1928,Suppliar[Facility ID],0)),"")</f>
        <v>571.88</v>
      </c>
      <c r="K1928">
        <f>IFERROR(INDEX(Suppliar[Income Distribution (%)],MATCH('Merge operational &amp; suppliar'!A1928,Suppliar[Facility ID],0)),"")</f>
        <v>8.17</v>
      </c>
    </row>
    <row r="1929" spans="1:11" x14ac:dyDescent="0.3">
      <c r="A1929" t="s">
        <v>209</v>
      </c>
      <c r="B1929" t="s">
        <v>7</v>
      </c>
      <c r="C1929" t="s">
        <v>34</v>
      </c>
      <c r="D1929" t="s">
        <v>14</v>
      </c>
      <c r="E1929" t="s">
        <v>24</v>
      </c>
      <c r="F1929">
        <v>2525.88</v>
      </c>
      <c r="G1929">
        <v>52357</v>
      </c>
      <c r="H1929">
        <v>5643.16</v>
      </c>
      <c r="I1929">
        <v>37.130000000000003</v>
      </c>
      <c r="J1929">
        <f>IFERROR(INDEX(Suppliar[Estimated Carbon Footprint (tons CO₂e)],MATCH('Merge operational &amp; suppliar'!A1929,Suppliar[Facility ID],0)),"")</f>
        <v>932.3</v>
      </c>
      <c r="K1929">
        <f>IFERROR(INDEX(Suppliar[Income Distribution (%)],MATCH('Merge operational &amp; suppliar'!A1929,Suppliar[Facility ID],0)),"")</f>
        <v>13.43</v>
      </c>
    </row>
    <row r="1930" spans="1:11" x14ac:dyDescent="0.3">
      <c r="A1930" t="s">
        <v>76</v>
      </c>
      <c r="B1930" t="s">
        <v>17</v>
      </c>
      <c r="C1930" t="s">
        <v>8</v>
      </c>
      <c r="D1930" t="s">
        <v>9</v>
      </c>
      <c r="E1930" t="s">
        <v>15</v>
      </c>
      <c r="F1930">
        <v>2134.8000000000002</v>
      </c>
      <c r="G1930">
        <v>59617</v>
      </c>
      <c r="H1930">
        <v>5000.95</v>
      </c>
      <c r="I1930">
        <v>80.36</v>
      </c>
      <c r="J1930">
        <f>IFERROR(INDEX(Suppliar[Estimated Carbon Footprint (tons CO₂e)],MATCH('Merge operational &amp; suppliar'!A1930,Suppliar[Facility ID],0)),"")</f>
        <v>532.27</v>
      </c>
      <c r="K1930">
        <f>IFERROR(INDEX(Suppliar[Income Distribution (%)],MATCH('Merge operational &amp; suppliar'!A1930,Suppliar[Facility ID],0)),"")</f>
        <v>25.24</v>
      </c>
    </row>
    <row r="1931" spans="1:11" x14ac:dyDescent="0.3">
      <c r="A1931" t="s">
        <v>80</v>
      </c>
      <c r="B1931" t="s">
        <v>17</v>
      </c>
      <c r="C1931" t="s">
        <v>34</v>
      </c>
      <c r="D1931" t="s">
        <v>28</v>
      </c>
      <c r="E1931" t="s">
        <v>10</v>
      </c>
      <c r="F1931">
        <v>798.55</v>
      </c>
      <c r="G1931">
        <v>75508</v>
      </c>
      <c r="H1931">
        <v>6856.22</v>
      </c>
      <c r="I1931">
        <v>18.2</v>
      </c>
      <c r="J1931">
        <f>IFERROR(INDEX(Suppliar[Estimated Carbon Footprint (tons CO₂e)],MATCH('Merge operational &amp; suppliar'!A1931,Suppliar[Facility ID],0)),"")</f>
        <v>991.03</v>
      </c>
      <c r="K1931">
        <f>IFERROR(INDEX(Suppliar[Income Distribution (%)],MATCH('Merge operational &amp; suppliar'!A1931,Suppliar[Facility ID],0)),"")</f>
        <v>13.32</v>
      </c>
    </row>
    <row r="1932" spans="1:11" x14ac:dyDescent="0.3">
      <c r="A1932" t="s">
        <v>207</v>
      </c>
      <c r="B1932" t="s">
        <v>17</v>
      </c>
      <c r="C1932" t="s">
        <v>8</v>
      </c>
      <c r="D1932" t="s">
        <v>28</v>
      </c>
      <c r="E1932" t="s">
        <v>24</v>
      </c>
      <c r="F1932">
        <v>4426.58</v>
      </c>
      <c r="G1932">
        <v>99115</v>
      </c>
      <c r="H1932">
        <v>827.26</v>
      </c>
      <c r="I1932">
        <v>28.88</v>
      </c>
      <c r="J1932">
        <f>IFERROR(INDEX(Suppliar[Estimated Carbon Footprint (tons CO₂e)],MATCH('Merge operational &amp; suppliar'!A1932,Suppliar[Facility ID],0)),"")</f>
        <v>818.45</v>
      </c>
      <c r="K1932">
        <f>IFERROR(INDEX(Suppliar[Income Distribution (%)],MATCH('Merge operational &amp; suppliar'!A1932,Suppliar[Facility ID],0)),"")</f>
        <v>27.59</v>
      </c>
    </row>
    <row r="1933" spans="1:11" x14ac:dyDescent="0.3">
      <c r="A1933" t="s">
        <v>84</v>
      </c>
      <c r="B1933" t="s">
        <v>30</v>
      </c>
      <c r="C1933" t="s">
        <v>34</v>
      </c>
      <c r="D1933" t="s">
        <v>14</v>
      </c>
      <c r="E1933" t="s">
        <v>15</v>
      </c>
      <c r="F1933">
        <v>2921.55</v>
      </c>
      <c r="G1933">
        <v>85444</v>
      </c>
      <c r="H1933">
        <v>852.57</v>
      </c>
      <c r="I1933">
        <v>72.650000000000006</v>
      </c>
      <c r="J1933">
        <f>IFERROR(INDEX(Suppliar[Estimated Carbon Footprint (tons CO₂e)],MATCH('Merge operational &amp; suppliar'!A1933,Suppliar[Facility ID],0)),"")</f>
        <v>319.93</v>
      </c>
      <c r="K1933">
        <f>IFERROR(INDEX(Suppliar[Income Distribution (%)],MATCH('Merge operational &amp; suppliar'!A1933,Suppliar[Facility ID],0)),"")</f>
        <v>34.35</v>
      </c>
    </row>
    <row r="1934" spans="1:11" x14ac:dyDescent="0.3">
      <c r="A1934" t="s">
        <v>176</v>
      </c>
      <c r="B1934" t="s">
        <v>19</v>
      </c>
      <c r="C1934" t="s">
        <v>34</v>
      </c>
      <c r="D1934" t="s">
        <v>14</v>
      </c>
      <c r="E1934" t="s">
        <v>24</v>
      </c>
      <c r="F1934">
        <v>1534.55</v>
      </c>
      <c r="G1934">
        <v>10907</v>
      </c>
      <c r="H1934">
        <v>4748.66</v>
      </c>
      <c r="I1934">
        <v>39.36</v>
      </c>
      <c r="J1934">
        <f>IFERROR(INDEX(Suppliar[Estimated Carbon Footprint (tons CO₂e)],MATCH('Merge operational &amp; suppliar'!A1934,Suppliar[Facility ID],0)),"")</f>
        <v>986.62</v>
      </c>
      <c r="K1934">
        <f>IFERROR(INDEX(Suppliar[Income Distribution (%)],MATCH('Merge operational &amp; suppliar'!A1934,Suppliar[Facility ID],0)),"")</f>
        <v>17.04</v>
      </c>
    </row>
    <row r="1935" spans="1:11" x14ac:dyDescent="0.3">
      <c r="A1935" t="s">
        <v>11</v>
      </c>
      <c r="B1935" t="s">
        <v>12</v>
      </c>
      <c r="C1935" t="s">
        <v>13</v>
      </c>
      <c r="D1935" t="s">
        <v>9</v>
      </c>
      <c r="E1935" t="s">
        <v>15</v>
      </c>
      <c r="F1935">
        <v>3062.35</v>
      </c>
      <c r="G1935">
        <v>44657</v>
      </c>
      <c r="H1935">
        <v>7867.98</v>
      </c>
      <c r="I1935">
        <v>96.01</v>
      </c>
      <c r="J1935">
        <f>IFERROR(INDEX(Suppliar[Estimated Carbon Footprint (tons CO₂e)],MATCH('Merge operational &amp; suppliar'!A1935,Suppliar[Facility ID],0)),"")</f>
        <v>694.92</v>
      </c>
      <c r="K1935">
        <f>IFERROR(INDEX(Suppliar[Income Distribution (%)],MATCH('Merge operational &amp; suppliar'!A1935,Suppliar[Facility ID],0)),"")</f>
        <v>26.24</v>
      </c>
    </row>
    <row r="1936" spans="1:11" x14ac:dyDescent="0.3">
      <c r="A1936" t="s">
        <v>185</v>
      </c>
      <c r="B1936" t="s">
        <v>30</v>
      </c>
      <c r="C1936" t="s">
        <v>8</v>
      </c>
      <c r="D1936" t="s">
        <v>9</v>
      </c>
      <c r="E1936" t="s">
        <v>15</v>
      </c>
      <c r="F1936">
        <v>1828.37</v>
      </c>
      <c r="G1936">
        <v>24913</v>
      </c>
      <c r="H1936">
        <v>5727.27</v>
      </c>
      <c r="I1936">
        <v>78.849999999999994</v>
      </c>
      <c r="J1936" t="str">
        <f>IFERROR(INDEX(Suppliar[Estimated Carbon Footprint (tons CO₂e)],MATCH('Merge operational &amp; suppliar'!A1936,Suppliar[Facility ID],0)),"")</f>
        <v/>
      </c>
      <c r="K1936" t="str">
        <f>IFERROR(INDEX(Suppliar[Income Distribution (%)],MATCH('Merge operational &amp; suppliar'!A1936,Suppliar[Facility ID],0)),"")</f>
        <v/>
      </c>
    </row>
    <row r="1937" spans="1:11" x14ac:dyDescent="0.3">
      <c r="A1937" t="s">
        <v>181</v>
      </c>
      <c r="B1937" t="s">
        <v>30</v>
      </c>
      <c r="C1937" t="s">
        <v>8</v>
      </c>
      <c r="D1937" t="s">
        <v>9</v>
      </c>
      <c r="E1937" t="s">
        <v>15</v>
      </c>
      <c r="F1937">
        <v>2945.04</v>
      </c>
      <c r="G1937">
        <v>28704</v>
      </c>
      <c r="H1937">
        <v>6009.24</v>
      </c>
      <c r="I1937">
        <v>39.31</v>
      </c>
      <c r="J1937">
        <f>IFERROR(INDEX(Suppliar[Estimated Carbon Footprint (tons CO₂e)],MATCH('Merge operational &amp; suppliar'!A1937,Suppliar[Facility ID],0)),"")</f>
        <v>479.41</v>
      </c>
      <c r="K1937">
        <f>IFERROR(INDEX(Suppliar[Income Distribution (%)],MATCH('Merge operational &amp; suppliar'!A1937,Suppliar[Facility ID],0)),"")</f>
        <v>19.7</v>
      </c>
    </row>
    <row r="1938" spans="1:11" x14ac:dyDescent="0.3">
      <c r="A1938" t="s">
        <v>29</v>
      </c>
      <c r="B1938" t="s">
        <v>30</v>
      </c>
      <c r="C1938" t="s">
        <v>34</v>
      </c>
      <c r="D1938" t="s">
        <v>28</v>
      </c>
      <c r="E1938" t="s">
        <v>10</v>
      </c>
      <c r="F1938">
        <v>2905.61</v>
      </c>
      <c r="G1938">
        <v>32131</v>
      </c>
      <c r="H1938">
        <v>1474.23</v>
      </c>
      <c r="I1938">
        <v>45.47</v>
      </c>
      <c r="J1938">
        <f>IFERROR(INDEX(Suppliar[Estimated Carbon Footprint (tons CO₂e)],MATCH('Merge operational &amp; suppliar'!A1938,Suppliar[Facility ID],0)),"")</f>
        <v>830.73</v>
      </c>
      <c r="K1938">
        <f>IFERROR(INDEX(Suppliar[Income Distribution (%)],MATCH('Merge operational &amp; suppliar'!A1938,Suppliar[Facility ID],0)),"")</f>
        <v>17.97</v>
      </c>
    </row>
    <row r="1939" spans="1:11" x14ac:dyDescent="0.3">
      <c r="A1939" t="s">
        <v>199</v>
      </c>
      <c r="B1939" t="s">
        <v>17</v>
      </c>
      <c r="C1939" t="s">
        <v>23</v>
      </c>
      <c r="D1939" t="s">
        <v>28</v>
      </c>
      <c r="E1939" t="s">
        <v>24</v>
      </c>
      <c r="F1939">
        <v>3354.34</v>
      </c>
      <c r="G1939">
        <v>77317</v>
      </c>
      <c r="H1939">
        <v>4862.95</v>
      </c>
      <c r="I1939">
        <v>89.78</v>
      </c>
      <c r="J1939">
        <f>IFERROR(INDEX(Suppliar[Estimated Carbon Footprint (tons CO₂e)],MATCH('Merge operational &amp; suppliar'!A1939,Suppliar[Facility ID],0)),"")</f>
        <v>960.4</v>
      </c>
      <c r="K1939">
        <f>IFERROR(INDEX(Suppliar[Income Distribution (%)],MATCH('Merge operational &amp; suppliar'!A1939,Suppliar[Facility ID],0)),"")</f>
        <v>31.34</v>
      </c>
    </row>
    <row r="1940" spans="1:11" x14ac:dyDescent="0.3">
      <c r="A1940" t="s">
        <v>168</v>
      </c>
      <c r="B1940" t="s">
        <v>17</v>
      </c>
      <c r="C1940" t="s">
        <v>23</v>
      </c>
      <c r="D1940" t="s">
        <v>14</v>
      </c>
      <c r="E1940" t="s">
        <v>10</v>
      </c>
      <c r="F1940">
        <v>4622.8599999999997</v>
      </c>
      <c r="G1940">
        <v>41050</v>
      </c>
      <c r="H1940">
        <v>6025.84</v>
      </c>
      <c r="I1940">
        <v>53.53</v>
      </c>
      <c r="J1940">
        <f>IFERROR(INDEX(Suppliar[Estimated Carbon Footprint (tons CO₂e)],MATCH('Merge operational &amp; suppliar'!A1940,Suppliar[Facility ID],0)),"")</f>
        <v>289.77</v>
      </c>
      <c r="K1940">
        <f>IFERROR(INDEX(Suppliar[Income Distribution (%)],MATCH('Merge operational &amp; suppliar'!A1940,Suppliar[Facility ID],0)),"")</f>
        <v>19.260000000000002</v>
      </c>
    </row>
    <row r="1941" spans="1:11" x14ac:dyDescent="0.3">
      <c r="A1941" t="s">
        <v>97</v>
      </c>
      <c r="B1941" t="s">
        <v>7</v>
      </c>
      <c r="C1941" t="s">
        <v>13</v>
      </c>
      <c r="D1941" t="s">
        <v>9</v>
      </c>
      <c r="E1941" t="s">
        <v>24</v>
      </c>
      <c r="F1941">
        <v>4374</v>
      </c>
      <c r="G1941">
        <v>78624</v>
      </c>
      <c r="H1941">
        <v>2373.27</v>
      </c>
      <c r="I1941">
        <v>25.07</v>
      </c>
      <c r="J1941" t="str">
        <f>IFERROR(INDEX(Suppliar[Estimated Carbon Footprint (tons CO₂e)],MATCH('Merge operational &amp; suppliar'!A1941,Suppliar[Facility ID],0)),"")</f>
        <v/>
      </c>
      <c r="K1941" t="str">
        <f>IFERROR(INDEX(Suppliar[Income Distribution (%)],MATCH('Merge operational &amp; suppliar'!A1941,Suppliar[Facility ID],0)),"")</f>
        <v/>
      </c>
    </row>
    <row r="1942" spans="1:11" x14ac:dyDescent="0.3">
      <c r="A1942" t="s">
        <v>95</v>
      </c>
      <c r="B1942" t="s">
        <v>30</v>
      </c>
      <c r="C1942" t="s">
        <v>34</v>
      </c>
      <c r="D1942" t="s">
        <v>28</v>
      </c>
      <c r="E1942" t="s">
        <v>10</v>
      </c>
      <c r="F1942">
        <v>1375.43</v>
      </c>
      <c r="G1942">
        <v>51800</v>
      </c>
      <c r="H1942">
        <v>3042.95</v>
      </c>
      <c r="I1942">
        <v>71.87</v>
      </c>
      <c r="J1942">
        <f>IFERROR(INDEX(Suppliar[Estimated Carbon Footprint (tons CO₂e)],MATCH('Merge operational &amp; suppliar'!A1942,Suppliar[Facility ID],0)),"")</f>
        <v>714.03</v>
      </c>
      <c r="K1942">
        <f>IFERROR(INDEX(Suppliar[Income Distribution (%)],MATCH('Merge operational &amp; suppliar'!A1942,Suppliar[Facility ID],0)),"")</f>
        <v>10.84</v>
      </c>
    </row>
    <row r="1943" spans="1:11" x14ac:dyDescent="0.3">
      <c r="A1943" t="s">
        <v>129</v>
      </c>
      <c r="B1943" t="s">
        <v>17</v>
      </c>
      <c r="C1943" t="s">
        <v>8</v>
      </c>
      <c r="D1943" t="s">
        <v>9</v>
      </c>
      <c r="E1943" t="s">
        <v>24</v>
      </c>
      <c r="F1943">
        <v>4136.82</v>
      </c>
      <c r="G1943">
        <v>95292</v>
      </c>
      <c r="H1943">
        <v>697.47</v>
      </c>
      <c r="I1943">
        <v>88.35</v>
      </c>
      <c r="J1943">
        <f>IFERROR(INDEX(Suppliar[Estimated Carbon Footprint (tons CO₂e)],MATCH('Merge operational &amp; suppliar'!A1943,Suppliar[Facility ID],0)),"")</f>
        <v>114.57</v>
      </c>
      <c r="K1943">
        <f>IFERROR(INDEX(Suppliar[Income Distribution (%)],MATCH('Merge operational &amp; suppliar'!A1943,Suppliar[Facility ID],0)),"")</f>
        <v>36.04</v>
      </c>
    </row>
    <row r="1944" spans="1:11" x14ac:dyDescent="0.3">
      <c r="A1944" t="s">
        <v>100</v>
      </c>
      <c r="B1944" t="s">
        <v>7</v>
      </c>
      <c r="C1944" t="s">
        <v>13</v>
      </c>
      <c r="D1944" t="s">
        <v>9</v>
      </c>
      <c r="E1944" t="s">
        <v>10</v>
      </c>
      <c r="F1944">
        <v>2988.46</v>
      </c>
      <c r="G1944">
        <v>17468</v>
      </c>
      <c r="H1944">
        <v>6359.73</v>
      </c>
      <c r="I1944">
        <v>5.22</v>
      </c>
      <c r="J1944">
        <f>IFERROR(INDEX(Suppliar[Estimated Carbon Footprint (tons CO₂e)],MATCH('Merge operational &amp; suppliar'!A1944,Suppliar[Facility ID],0)),"")</f>
        <v>959.2</v>
      </c>
      <c r="K1944">
        <f>IFERROR(INDEX(Suppliar[Income Distribution (%)],MATCH('Merge operational &amp; suppliar'!A1944,Suppliar[Facility ID],0)),"")</f>
        <v>36.92</v>
      </c>
    </row>
    <row r="1945" spans="1:11" x14ac:dyDescent="0.3">
      <c r="A1945" t="s">
        <v>119</v>
      </c>
      <c r="B1945" t="s">
        <v>30</v>
      </c>
      <c r="C1945" t="s">
        <v>23</v>
      </c>
      <c r="D1945" t="s">
        <v>9</v>
      </c>
      <c r="E1945" t="s">
        <v>15</v>
      </c>
      <c r="F1945">
        <v>724.74</v>
      </c>
      <c r="G1945">
        <v>80488</v>
      </c>
      <c r="H1945">
        <v>7629.95</v>
      </c>
      <c r="I1945">
        <v>63.83</v>
      </c>
      <c r="J1945">
        <f>IFERROR(INDEX(Suppliar[Estimated Carbon Footprint (tons CO₂e)],MATCH('Merge operational &amp; suppliar'!A1945,Suppliar[Facility ID],0)),"")</f>
        <v>847.51</v>
      </c>
      <c r="K1945">
        <f>IFERROR(INDEX(Suppliar[Income Distribution (%)],MATCH('Merge operational &amp; suppliar'!A1945,Suppliar[Facility ID],0)),"")</f>
        <v>9.9</v>
      </c>
    </row>
    <row r="1946" spans="1:11" x14ac:dyDescent="0.3">
      <c r="A1946" t="s">
        <v>86</v>
      </c>
      <c r="B1946" t="s">
        <v>19</v>
      </c>
      <c r="C1946" t="s">
        <v>8</v>
      </c>
      <c r="D1946" t="s">
        <v>28</v>
      </c>
      <c r="E1946" t="s">
        <v>15</v>
      </c>
      <c r="F1946">
        <v>4727.37</v>
      </c>
      <c r="G1946">
        <v>56531</v>
      </c>
      <c r="H1946">
        <v>8958.07</v>
      </c>
      <c r="I1946">
        <v>83.44</v>
      </c>
      <c r="J1946">
        <f>IFERROR(INDEX(Suppliar[Estimated Carbon Footprint (tons CO₂e)],MATCH('Merge operational &amp; suppliar'!A1946,Suppliar[Facility ID],0)),"")</f>
        <v>943.59</v>
      </c>
      <c r="K1946">
        <f>IFERROR(INDEX(Suppliar[Income Distribution (%)],MATCH('Merge operational &amp; suppliar'!A1946,Suppliar[Facility ID],0)),"")</f>
        <v>23.54</v>
      </c>
    </row>
    <row r="1947" spans="1:11" x14ac:dyDescent="0.3">
      <c r="A1947" t="s">
        <v>202</v>
      </c>
      <c r="B1947" t="s">
        <v>12</v>
      </c>
      <c r="C1947" t="s">
        <v>13</v>
      </c>
      <c r="D1947" t="s">
        <v>28</v>
      </c>
      <c r="E1947" t="s">
        <v>24</v>
      </c>
      <c r="F1947">
        <v>78.44</v>
      </c>
      <c r="G1947">
        <v>28400</v>
      </c>
      <c r="H1947">
        <v>3056.67</v>
      </c>
      <c r="I1947">
        <v>52.68</v>
      </c>
      <c r="J1947">
        <f>IFERROR(INDEX(Suppliar[Estimated Carbon Footprint (tons CO₂e)],MATCH('Merge operational &amp; suppliar'!A1947,Suppliar[Facility ID],0)),"")</f>
        <v>571.88</v>
      </c>
      <c r="K1947">
        <f>IFERROR(INDEX(Suppliar[Income Distribution (%)],MATCH('Merge operational &amp; suppliar'!A1947,Suppliar[Facility ID],0)),"")</f>
        <v>8.6199999999999992</v>
      </c>
    </row>
    <row r="1948" spans="1:11" x14ac:dyDescent="0.3">
      <c r="A1948" t="s">
        <v>213</v>
      </c>
      <c r="B1948" t="s">
        <v>12</v>
      </c>
      <c r="C1948" t="s">
        <v>8</v>
      </c>
      <c r="D1948" t="s">
        <v>14</v>
      </c>
      <c r="E1948" t="s">
        <v>24</v>
      </c>
      <c r="F1948">
        <v>4289.21</v>
      </c>
      <c r="G1948">
        <v>58622</v>
      </c>
      <c r="H1948">
        <v>7795.36</v>
      </c>
      <c r="I1948">
        <v>59.81</v>
      </c>
      <c r="J1948">
        <f>IFERROR(INDEX(Suppliar[Estimated Carbon Footprint (tons CO₂e)],MATCH('Merge operational &amp; suppliar'!A1948,Suppliar[Facility ID],0)),"")</f>
        <v>807.86</v>
      </c>
      <c r="K1948">
        <f>IFERROR(INDEX(Suppliar[Income Distribution (%)],MATCH('Merge operational &amp; suppliar'!A1948,Suppliar[Facility ID],0)),"")</f>
        <v>32.130000000000003</v>
      </c>
    </row>
    <row r="1949" spans="1:11" x14ac:dyDescent="0.3">
      <c r="A1949" t="s">
        <v>220</v>
      </c>
      <c r="B1949" t="s">
        <v>12</v>
      </c>
      <c r="C1949" t="s">
        <v>34</v>
      </c>
      <c r="D1949" t="s">
        <v>14</v>
      </c>
      <c r="E1949" t="s">
        <v>15</v>
      </c>
      <c r="F1949">
        <v>1666.98</v>
      </c>
      <c r="G1949">
        <v>97040</v>
      </c>
      <c r="H1949">
        <v>5727.14</v>
      </c>
      <c r="I1949">
        <v>38.19</v>
      </c>
      <c r="J1949">
        <f>IFERROR(INDEX(Suppliar[Estimated Carbon Footprint (tons CO₂e)],MATCH('Merge operational &amp; suppliar'!A1949,Suppliar[Facility ID],0)),"")</f>
        <v>714.03</v>
      </c>
      <c r="K1949">
        <f>IFERROR(INDEX(Suppliar[Income Distribution (%)],MATCH('Merge operational &amp; suppliar'!A1949,Suppliar[Facility ID],0)),"")</f>
        <v>19.98</v>
      </c>
    </row>
    <row r="1950" spans="1:11" x14ac:dyDescent="0.3">
      <c r="A1950" t="s">
        <v>35</v>
      </c>
      <c r="B1950" t="s">
        <v>19</v>
      </c>
      <c r="C1950" t="s">
        <v>13</v>
      </c>
      <c r="D1950" t="s">
        <v>14</v>
      </c>
      <c r="E1950" t="s">
        <v>15</v>
      </c>
      <c r="F1950">
        <v>1277.3399999999999</v>
      </c>
      <c r="G1950">
        <v>42382</v>
      </c>
      <c r="H1950">
        <v>5116.6899999999996</v>
      </c>
      <c r="I1950">
        <v>80.42</v>
      </c>
      <c r="J1950">
        <f>IFERROR(INDEX(Suppliar[Estimated Carbon Footprint (tons CO₂e)],MATCH('Merge operational &amp; suppliar'!A1950,Suppliar[Facility ID],0)),"")</f>
        <v>626.54</v>
      </c>
      <c r="K1950">
        <f>IFERROR(INDEX(Suppliar[Income Distribution (%)],MATCH('Merge operational &amp; suppliar'!A1950,Suppliar[Facility ID],0)),"")</f>
        <v>70.540000000000006</v>
      </c>
    </row>
    <row r="1951" spans="1:11" x14ac:dyDescent="0.3">
      <c r="A1951" t="s">
        <v>118</v>
      </c>
      <c r="B1951" t="s">
        <v>30</v>
      </c>
      <c r="C1951" t="s">
        <v>13</v>
      </c>
      <c r="D1951" t="s">
        <v>28</v>
      </c>
      <c r="E1951" t="s">
        <v>24</v>
      </c>
      <c r="F1951">
        <v>371.36</v>
      </c>
      <c r="G1951">
        <v>68492</v>
      </c>
      <c r="H1951">
        <v>3533.88</v>
      </c>
      <c r="I1951">
        <v>52.99</v>
      </c>
      <c r="J1951">
        <f>IFERROR(INDEX(Suppliar[Estimated Carbon Footprint (tons CO₂e)],MATCH('Merge operational &amp; suppliar'!A1951,Suppliar[Facility ID],0)),"")</f>
        <v>847.51</v>
      </c>
      <c r="K1951">
        <f>IFERROR(INDEX(Suppliar[Income Distribution (%)],MATCH('Merge operational &amp; suppliar'!A1951,Suppliar[Facility ID],0)),"")</f>
        <v>7.14</v>
      </c>
    </row>
    <row r="1952" spans="1:11" x14ac:dyDescent="0.3">
      <c r="A1952" t="s">
        <v>143</v>
      </c>
      <c r="B1952" t="s">
        <v>17</v>
      </c>
      <c r="C1952" t="s">
        <v>13</v>
      </c>
      <c r="D1952" t="s">
        <v>9</v>
      </c>
      <c r="E1952" t="s">
        <v>15</v>
      </c>
      <c r="F1952">
        <v>4247.17</v>
      </c>
      <c r="G1952">
        <v>94704</v>
      </c>
      <c r="H1952">
        <v>6632.95</v>
      </c>
      <c r="I1952">
        <v>14.76</v>
      </c>
      <c r="J1952">
        <f>IFERROR(INDEX(Suppliar[Estimated Carbon Footprint (tons CO₂e)],MATCH('Merge operational &amp; suppliar'!A1952,Suppliar[Facility ID],0)),"")</f>
        <v>459.56</v>
      </c>
      <c r="K1952">
        <f>IFERROR(INDEX(Suppliar[Income Distribution (%)],MATCH('Merge operational &amp; suppliar'!A1952,Suppliar[Facility ID],0)),"")</f>
        <v>7.54</v>
      </c>
    </row>
    <row r="1953" spans="1:11" x14ac:dyDescent="0.3">
      <c r="A1953" t="s">
        <v>125</v>
      </c>
      <c r="B1953" t="s">
        <v>7</v>
      </c>
      <c r="C1953" t="s">
        <v>13</v>
      </c>
      <c r="D1953" t="s">
        <v>14</v>
      </c>
      <c r="E1953" t="s">
        <v>15</v>
      </c>
      <c r="F1953">
        <v>3150.39</v>
      </c>
      <c r="G1953">
        <v>56392</v>
      </c>
      <c r="H1953">
        <v>5703.76</v>
      </c>
      <c r="I1953">
        <v>23.04</v>
      </c>
      <c r="J1953">
        <f>IFERROR(INDEX(Suppliar[Estimated Carbon Footprint (tons CO₂e)],MATCH('Merge operational &amp; suppliar'!A1953,Suppliar[Facility ID],0)),"")</f>
        <v>991.03</v>
      </c>
      <c r="K1953">
        <f>IFERROR(INDEX(Suppliar[Income Distribution (%)],MATCH('Merge operational &amp; suppliar'!A1953,Suppliar[Facility ID],0)),"")</f>
        <v>27.62</v>
      </c>
    </row>
    <row r="1954" spans="1:11" x14ac:dyDescent="0.3">
      <c r="A1954" t="s">
        <v>127</v>
      </c>
      <c r="B1954" t="s">
        <v>17</v>
      </c>
      <c r="C1954" t="s">
        <v>13</v>
      </c>
      <c r="D1954" t="s">
        <v>9</v>
      </c>
      <c r="E1954" t="s">
        <v>15</v>
      </c>
      <c r="F1954">
        <v>3071.44</v>
      </c>
      <c r="G1954">
        <v>17416</v>
      </c>
      <c r="H1954">
        <v>812.06</v>
      </c>
      <c r="I1954">
        <v>5.7</v>
      </c>
      <c r="J1954">
        <f>IFERROR(INDEX(Suppliar[Estimated Carbon Footprint (tons CO₂e)],MATCH('Merge operational &amp; suppliar'!A1954,Suppliar[Facility ID],0)),"")</f>
        <v>568.27</v>
      </c>
      <c r="K1954">
        <f>IFERROR(INDEX(Suppliar[Income Distribution (%)],MATCH('Merge operational &amp; suppliar'!A1954,Suppliar[Facility ID],0)),"")</f>
        <v>18.03</v>
      </c>
    </row>
    <row r="1955" spans="1:11" x14ac:dyDescent="0.3">
      <c r="A1955" t="s">
        <v>58</v>
      </c>
      <c r="B1955" t="s">
        <v>17</v>
      </c>
      <c r="C1955" t="s">
        <v>13</v>
      </c>
      <c r="D1955" t="s">
        <v>14</v>
      </c>
      <c r="E1955" t="s">
        <v>15</v>
      </c>
      <c r="F1955">
        <v>341.64</v>
      </c>
      <c r="G1955">
        <v>32246</v>
      </c>
      <c r="H1955">
        <v>7903.93</v>
      </c>
      <c r="I1955">
        <v>42.12</v>
      </c>
      <c r="J1955">
        <f>IFERROR(INDEX(Suppliar[Estimated Carbon Footprint (tons CO₂e)],MATCH('Merge operational &amp; suppliar'!A1955,Suppliar[Facility ID],0)),"")</f>
        <v>459.56</v>
      </c>
      <c r="K1955">
        <f>IFERROR(INDEX(Suppliar[Income Distribution (%)],MATCH('Merge operational &amp; suppliar'!A1955,Suppliar[Facility ID],0)),"")</f>
        <v>28.62</v>
      </c>
    </row>
    <row r="1956" spans="1:11" x14ac:dyDescent="0.3">
      <c r="A1956" t="s">
        <v>69</v>
      </c>
      <c r="B1956" t="s">
        <v>7</v>
      </c>
      <c r="C1956" t="s">
        <v>13</v>
      </c>
      <c r="D1956" t="s">
        <v>28</v>
      </c>
      <c r="E1956" t="s">
        <v>24</v>
      </c>
      <c r="F1956">
        <v>4075.39</v>
      </c>
      <c r="G1956">
        <v>34725</v>
      </c>
      <c r="H1956">
        <v>3269.89</v>
      </c>
      <c r="I1956">
        <v>78.86</v>
      </c>
      <c r="J1956">
        <f>IFERROR(INDEX(Suppliar[Estimated Carbon Footprint (tons CO₂e)],MATCH('Merge operational &amp; suppliar'!A1956,Suppliar[Facility ID],0)),"")</f>
        <v>436.04</v>
      </c>
      <c r="K1956">
        <f>IFERROR(INDEX(Suppliar[Income Distribution (%)],MATCH('Merge operational &amp; suppliar'!A1956,Suppliar[Facility ID],0)),"")</f>
        <v>31.8</v>
      </c>
    </row>
    <row r="1957" spans="1:11" x14ac:dyDescent="0.3">
      <c r="A1957" t="s">
        <v>142</v>
      </c>
      <c r="B1957" t="s">
        <v>17</v>
      </c>
      <c r="C1957" t="s">
        <v>8</v>
      </c>
      <c r="D1957" t="s">
        <v>28</v>
      </c>
      <c r="E1957" t="s">
        <v>24</v>
      </c>
      <c r="F1957">
        <v>4062.72</v>
      </c>
      <c r="G1957">
        <v>75736</v>
      </c>
      <c r="H1957">
        <v>6287.07</v>
      </c>
      <c r="I1957">
        <v>63.11</v>
      </c>
      <c r="J1957">
        <f>IFERROR(INDEX(Suppliar[Estimated Carbon Footprint (tons CO₂e)],MATCH('Merge operational &amp; suppliar'!A1957,Suppliar[Facility ID],0)),"")</f>
        <v>851.48</v>
      </c>
      <c r="K1957">
        <f>IFERROR(INDEX(Suppliar[Income Distribution (%)],MATCH('Merge operational &amp; suppliar'!A1957,Suppliar[Facility ID],0)),"")</f>
        <v>25.39</v>
      </c>
    </row>
    <row r="1958" spans="1:11" x14ac:dyDescent="0.3">
      <c r="A1958" t="s">
        <v>64</v>
      </c>
      <c r="B1958" t="s">
        <v>30</v>
      </c>
      <c r="C1958" t="s">
        <v>13</v>
      </c>
      <c r="D1958" t="s">
        <v>28</v>
      </c>
      <c r="E1958" t="s">
        <v>15</v>
      </c>
      <c r="F1958">
        <v>3930.54</v>
      </c>
      <c r="G1958">
        <v>52836</v>
      </c>
      <c r="H1958">
        <v>9330.2999999999993</v>
      </c>
      <c r="I1958">
        <v>87.27</v>
      </c>
      <c r="J1958" t="str">
        <f>IFERROR(INDEX(Suppliar[Estimated Carbon Footprint (tons CO₂e)],MATCH('Merge operational &amp; suppliar'!A1958,Suppliar[Facility ID],0)),"")</f>
        <v/>
      </c>
      <c r="K1958" t="str">
        <f>IFERROR(INDEX(Suppliar[Income Distribution (%)],MATCH('Merge operational &amp; suppliar'!A1958,Suppliar[Facility ID],0)),"")</f>
        <v/>
      </c>
    </row>
    <row r="1959" spans="1:11" x14ac:dyDescent="0.3">
      <c r="A1959" t="s">
        <v>201</v>
      </c>
      <c r="B1959" t="s">
        <v>12</v>
      </c>
      <c r="C1959" t="s">
        <v>23</v>
      </c>
      <c r="D1959" t="s">
        <v>14</v>
      </c>
      <c r="E1959" t="s">
        <v>10</v>
      </c>
      <c r="F1959">
        <v>1919.26</v>
      </c>
      <c r="G1959">
        <v>58439</v>
      </c>
      <c r="H1959">
        <v>5817.93</v>
      </c>
      <c r="I1959">
        <v>63.77</v>
      </c>
      <c r="J1959">
        <f>IFERROR(INDEX(Suppliar[Estimated Carbon Footprint (tons CO₂e)],MATCH('Merge operational &amp; suppliar'!A1959,Suppliar[Facility ID],0)),"")</f>
        <v>143.16999999999999</v>
      </c>
      <c r="K1959">
        <f>IFERROR(INDEX(Suppliar[Income Distribution (%)],MATCH('Merge operational &amp; suppliar'!A1959,Suppliar[Facility ID],0)),"")</f>
        <v>52.46</v>
      </c>
    </row>
    <row r="1960" spans="1:11" x14ac:dyDescent="0.3">
      <c r="A1960" t="s">
        <v>210</v>
      </c>
      <c r="B1960" t="s">
        <v>7</v>
      </c>
      <c r="C1960" t="s">
        <v>13</v>
      </c>
      <c r="D1960" t="s">
        <v>14</v>
      </c>
      <c r="E1960" t="s">
        <v>10</v>
      </c>
      <c r="F1960">
        <v>3554.23</v>
      </c>
      <c r="G1960">
        <v>65666</v>
      </c>
      <c r="H1960">
        <v>7269.98</v>
      </c>
      <c r="I1960">
        <v>75.62</v>
      </c>
      <c r="J1960" t="str">
        <f>IFERROR(INDEX(Suppliar[Estimated Carbon Footprint (tons CO₂e)],MATCH('Merge operational &amp; suppliar'!A1960,Suppliar[Facility ID],0)),"")</f>
        <v/>
      </c>
      <c r="K1960" t="str">
        <f>IFERROR(INDEX(Suppliar[Income Distribution (%)],MATCH('Merge operational &amp; suppliar'!A1960,Suppliar[Facility ID],0)),"")</f>
        <v/>
      </c>
    </row>
    <row r="1961" spans="1:11" x14ac:dyDescent="0.3">
      <c r="A1961" t="s">
        <v>169</v>
      </c>
      <c r="B1961" t="s">
        <v>12</v>
      </c>
      <c r="C1961" t="s">
        <v>13</v>
      </c>
      <c r="D1961" t="s">
        <v>9</v>
      </c>
      <c r="E1961" t="s">
        <v>24</v>
      </c>
      <c r="F1961">
        <v>493.58</v>
      </c>
      <c r="G1961">
        <v>82377</v>
      </c>
      <c r="H1961">
        <v>7974.74</v>
      </c>
      <c r="I1961">
        <v>9.17</v>
      </c>
      <c r="J1961" t="str">
        <f>IFERROR(INDEX(Suppliar[Estimated Carbon Footprint (tons CO₂e)],MATCH('Merge operational &amp; suppliar'!A1961,Suppliar[Facility ID],0)),"")</f>
        <v/>
      </c>
      <c r="K1961" t="str">
        <f>IFERROR(INDEX(Suppliar[Income Distribution (%)],MATCH('Merge operational &amp; suppliar'!A1961,Suppliar[Facility ID],0)),"")</f>
        <v/>
      </c>
    </row>
    <row r="1962" spans="1:11" x14ac:dyDescent="0.3">
      <c r="A1962" t="s">
        <v>87</v>
      </c>
      <c r="B1962" t="s">
        <v>12</v>
      </c>
      <c r="C1962" t="s">
        <v>23</v>
      </c>
      <c r="D1962" t="s">
        <v>9</v>
      </c>
      <c r="E1962" t="s">
        <v>10</v>
      </c>
      <c r="F1962">
        <v>2362.16</v>
      </c>
      <c r="G1962">
        <v>15333</v>
      </c>
      <c r="H1962">
        <v>2570.54</v>
      </c>
      <c r="I1962">
        <v>41.07</v>
      </c>
      <c r="J1962">
        <f>IFERROR(INDEX(Suppliar[Estimated Carbon Footprint (tons CO₂e)],MATCH('Merge operational &amp; suppliar'!A1962,Suppliar[Facility ID],0)),"")</f>
        <v>390.06</v>
      </c>
      <c r="K1962">
        <f>IFERROR(INDEX(Suppliar[Income Distribution (%)],MATCH('Merge operational &amp; suppliar'!A1962,Suppliar[Facility ID],0)),"")</f>
        <v>31.43</v>
      </c>
    </row>
    <row r="1963" spans="1:11" x14ac:dyDescent="0.3">
      <c r="A1963" t="s">
        <v>203</v>
      </c>
      <c r="B1963" t="s">
        <v>12</v>
      </c>
      <c r="C1963" t="s">
        <v>13</v>
      </c>
      <c r="D1963" t="s">
        <v>14</v>
      </c>
      <c r="E1963" t="s">
        <v>15</v>
      </c>
      <c r="F1963">
        <v>984.26</v>
      </c>
      <c r="G1963">
        <v>66398</v>
      </c>
      <c r="H1963">
        <v>8713.61</v>
      </c>
      <c r="I1963">
        <v>83.44</v>
      </c>
      <c r="J1963">
        <f>IFERROR(INDEX(Suppliar[Estimated Carbon Footprint (tons CO₂e)],MATCH('Merge operational &amp; suppliar'!A1963,Suppliar[Facility ID],0)),"")</f>
        <v>763.97</v>
      </c>
      <c r="K1963">
        <f>IFERROR(INDEX(Suppliar[Income Distribution (%)],MATCH('Merge operational &amp; suppliar'!A1963,Suppliar[Facility ID],0)),"")</f>
        <v>22.42</v>
      </c>
    </row>
    <row r="1964" spans="1:11" x14ac:dyDescent="0.3">
      <c r="A1964" t="s">
        <v>163</v>
      </c>
      <c r="B1964" t="s">
        <v>19</v>
      </c>
      <c r="C1964" t="s">
        <v>23</v>
      </c>
      <c r="D1964" t="s">
        <v>28</v>
      </c>
      <c r="E1964" t="s">
        <v>24</v>
      </c>
      <c r="F1964">
        <v>2223.0500000000002</v>
      </c>
      <c r="G1964">
        <v>87482</v>
      </c>
      <c r="H1964">
        <v>2231.7399999999998</v>
      </c>
      <c r="I1964">
        <v>45.43</v>
      </c>
      <c r="J1964">
        <f>IFERROR(INDEX(Suppliar[Estimated Carbon Footprint (tons CO₂e)],MATCH('Merge operational &amp; suppliar'!A1964,Suppliar[Facility ID],0)),"")</f>
        <v>638.89</v>
      </c>
      <c r="K1964">
        <f>IFERROR(INDEX(Suppliar[Income Distribution (%)],MATCH('Merge operational &amp; suppliar'!A1964,Suppliar[Facility ID],0)),"")</f>
        <v>24.69</v>
      </c>
    </row>
    <row r="1965" spans="1:11" x14ac:dyDescent="0.3">
      <c r="A1965" t="s">
        <v>54</v>
      </c>
      <c r="B1965" t="s">
        <v>12</v>
      </c>
      <c r="C1965" t="s">
        <v>34</v>
      </c>
      <c r="D1965" t="s">
        <v>9</v>
      </c>
      <c r="E1965" t="s">
        <v>24</v>
      </c>
      <c r="F1965">
        <v>2498.85</v>
      </c>
      <c r="G1965">
        <v>58111</v>
      </c>
      <c r="H1965">
        <v>4610.8999999999996</v>
      </c>
      <c r="I1965">
        <v>21.53</v>
      </c>
      <c r="J1965">
        <f>IFERROR(INDEX(Suppliar[Estimated Carbon Footprint (tons CO₂e)],MATCH('Merge operational &amp; suppliar'!A1965,Suppliar[Facility ID],0)),"")</f>
        <v>268.16000000000003</v>
      </c>
      <c r="K1965">
        <f>IFERROR(INDEX(Suppliar[Income Distribution (%)],MATCH('Merge operational &amp; suppliar'!A1965,Suppliar[Facility ID],0)),"")</f>
        <v>13.78</v>
      </c>
    </row>
    <row r="1966" spans="1:11" x14ac:dyDescent="0.3">
      <c r="A1966" t="s">
        <v>21</v>
      </c>
      <c r="B1966" t="s">
        <v>19</v>
      </c>
      <c r="C1966" t="s">
        <v>8</v>
      </c>
      <c r="D1966" t="s">
        <v>9</v>
      </c>
      <c r="E1966" t="s">
        <v>10</v>
      </c>
      <c r="F1966">
        <v>857.66</v>
      </c>
      <c r="G1966">
        <v>61157</v>
      </c>
      <c r="H1966">
        <v>7331.54</v>
      </c>
      <c r="I1966">
        <v>55.52</v>
      </c>
      <c r="J1966">
        <f>IFERROR(INDEX(Suppliar[Estimated Carbon Footprint (tons CO₂e)],MATCH('Merge operational &amp; suppliar'!A1966,Suppliar[Facility ID],0)),"")</f>
        <v>783.77</v>
      </c>
      <c r="K1966">
        <f>IFERROR(INDEX(Suppliar[Income Distribution (%)],MATCH('Merge operational &amp; suppliar'!A1966,Suppliar[Facility ID],0)),"")</f>
        <v>31.59</v>
      </c>
    </row>
    <row r="1967" spans="1:11" x14ac:dyDescent="0.3">
      <c r="A1967" t="s">
        <v>53</v>
      </c>
      <c r="B1967" t="s">
        <v>7</v>
      </c>
      <c r="C1967" t="s">
        <v>8</v>
      </c>
      <c r="D1967" t="s">
        <v>14</v>
      </c>
      <c r="E1967" t="s">
        <v>15</v>
      </c>
      <c r="F1967">
        <v>2079.4</v>
      </c>
      <c r="G1967">
        <v>90632</v>
      </c>
      <c r="H1967">
        <v>5292.17</v>
      </c>
      <c r="I1967">
        <v>78.45</v>
      </c>
      <c r="J1967">
        <f>IFERROR(INDEX(Suppliar[Estimated Carbon Footprint (tons CO₂e)],MATCH('Merge operational &amp; suppliar'!A1967,Suppliar[Facility ID],0)),"")</f>
        <v>571.88</v>
      </c>
      <c r="K1967">
        <f>IFERROR(INDEX(Suppliar[Income Distribution (%)],MATCH('Merge operational &amp; suppliar'!A1967,Suppliar[Facility ID],0)),"")</f>
        <v>20.93</v>
      </c>
    </row>
    <row r="1968" spans="1:11" x14ac:dyDescent="0.3">
      <c r="A1968" t="s">
        <v>36</v>
      </c>
      <c r="B1968" t="s">
        <v>12</v>
      </c>
      <c r="C1968" t="s">
        <v>13</v>
      </c>
      <c r="D1968" t="s">
        <v>28</v>
      </c>
      <c r="E1968" t="s">
        <v>15</v>
      </c>
      <c r="F1968">
        <v>2644.71</v>
      </c>
      <c r="G1968">
        <v>40226</v>
      </c>
      <c r="H1968">
        <v>7868.86</v>
      </c>
      <c r="I1968">
        <v>80.53</v>
      </c>
      <c r="J1968">
        <f>IFERROR(INDEX(Suppliar[Estimated Carbon Footprint (tons CO₂e)],MATCH('Merge operational &amp; suppliar'!A1968,Suppliar[Facility ID],0)),"")</f>
        <v>231.68</v>
      </c>
      <c r="K1968">
        <f>IFERROR(INDEX(Suppliar[Income Distribution (%)],MATCH('Merge operational &amp; suppliar'!A1968,Suppliar[Facility ID],0)),"")</f>
        <v>15.92</v>
      </c>
    </row>
    <row r="1969" spans="1:11" x14ac:dyDescent="0.3">
      <c r="A1969" t="s">
        <v>110</v>
      </c>
      <c r="B1969" t="s">
        <v>12</v>
      </c>
      <c r="C1969" t="s">
        <v>8</v>
      </c>
      <c r="D1969" t="s">
        <v>14</v>
      </c>
      <c r="E1969" t="s">
        <v>15</v>
      </c>
      <c r="F1969">
        <v>813.42</v>
      </c>
      <c r="G1969">
        <v>70481</v>
      </c>
      <c r="H1969">
        <v>4452.83</v>
      </c>
      <c r="I1969">
        <v>91.26</v>
      </c>
      <c r="J1969" t="str">
        <f>IFERROR(INDEX(Suppliar[Estimated Carbon Footprint (tons CO₂e)],MATCH('Merge operational &amp; suppliar'!A1969,Suppliar[Facility ID],0)),"")</f>
        <v/>
      </c>
      <c r="K1969" t="str">
        <f>IFERROR(INDEX(Suppliar[Income Distribution (%)],MATCH('Merge operational &amp; suppliar'!A1969,Suppliar[Facility ID],0)),"")</f>
        <v/>
      </c>
    </row>
    <row r="1970" spans="1:11" x14ac:dyDescent="0.3">
      <c r="A1970" t="s">
        <v>77</v>
      </c>
      <c r="B1970" t="s">
        <v>30</v>
      </c>
      <c r="C1970" t="s">
        <v>23</v>
      </c>
      <c r="D1970" t="s">
        <v>9</v>
      </c>
      <c r="E1970" t="s">
        <v>15</v>
      </c>
      <c r="F1970">
        <v>1500.74</v>
      </c>
      <c r="G1970">
        <v>61942</v>
      </c>
      <c r="H1970">
        <v>4891.32</v>
      </c>
      <c r="I1970">
        <v>91.59</v>
      </c>
      <c r="J1970">
        <f>IFERROR(INDEX(Suppliar[Estimated Carbon Footprint (tons CO₂e)],MATCH('Merge operational &amp; suppliar'!A1970,Suppliar[Facility ID],0)),"")</f>
        <v>785.8</v>
      </c>
      <c r="K1970">
        <f>IFERROR(INDEX(Suppliar[Income Distribution (%)],MATCH('Merge operational &amp; suppliar'!A1970,Suppliar[Facility ID],0)),"")</f>
        <v>8.84</v>
      </c>
    </row>
    <row r="1971" spans="1:11" x14ac:dyDescent="0.3">
      <c r="A1971" t="s">
        <v>117</v>
      </c>
      <c r="B1971" t="s">
        <v>7</v>
      </c>
      <c r="C1971" t="s">
        <v>34</v>
      </c>
      <c r="D1971" t="s">
        <v>14</v>
      </c>
      <c r="E1971" t="s">
        <v>24</v>
      </c>
      <c r="F1971">
        <v>2099.7800000000002</v>
      </c>
      <c r="G1971">
        <v>89321</v>
      </c>
      <c r="H1971">
        <v>9836.34</v>
      </c>
      <c r="I1971">
        <v>16.989999999999998</v>
      </c>
      <c r="J1971">
        <f>IFERROR(INDEX(Suppliar[Estimated Carbon Footprint (tons CO₂e)],MATCH('Merge operational &amp; suppliar'!A1971,Suppliar[Facility ID],0)),"")</f>
        <v>105.67</v>
      </c>
      <c r="K1971">
        <f>IFERROR(INDEX(Suppliar[Income Distribution (%)],MATCH('Merge operational &amp; suppliar'!A1971,Suppliar[Facility ID],0)),"")</f>
        <v>15.41</v>
      </c>
    </row>
    <row r="1972" spans="1:11" x14ac:dyDescent="0.3">
      <c r="A1972" t="s">
        <v>125</v>
      </c>
      <c r="B1972" t="s">
        <v>7</v>
      </c>
      <c r="C1972" t="s">
        <v>13</v>
      </c>
      <c r="D1972" t="s">
        <v>9</v>
      </c>
      <c r="E1972" t="s">
        <v>10</v>
      </c>
      <c r="F1972">
        <v>3573.18</v>
      </c>
      <c r="G1972">
        <v>56392</v>
      </c>
      <c r="H1972">
        <v>5703.76</v>
      </c>
      <c r="I1972">
        <v>23.04</v>
      </c>
      <c r="J1972">
        <f>IFERROR(INDEX(Suppliar[Estimated Carbon Footprint (tons CO₂e)],MATCH('Merge operational &amp; suppliar'!A1972,Suppliar[Facility ID],0)),"")</f>
        <v>991.03</v>
      </c>
      <c r="K1972">
        <f>IFERROR(INDEX(Suppliar[Income Distribution (%)],MATCH('Merge operational &amp; suppliar'!A1972,Suppliar[Facility ID],0)),"")</f>
        <v>27.62</v>
      </c>
    </row>
    <row r="1973" spans="1:11" x14ac:dyDescent="0.3">
      <c r="A1973" t="s">
        <v>136</v>
      </c>
      <c r="B1973" t="s">
        <v>17</v>
      </c>
      <c r="C1973" t="s">
        <v>23</v>
      </c>
      <c r="D1973" t="s">
        <v>9</v>
      </c>
      <c r="E1973" t="s">
        <v>15</v>
      </c>
      <c r="F1973">
        <v>3666.98</v>
      </c>
      <c r="G1973">
        <v>15128</v>
      </c>
      <c r="H1973">
        <v>8847.09</v>
      </c>
      <c r="I1973">
        <v>5.25</v>
      </c>
      <c r="J1973">
        <f>IFERROR(INDEX(Suppliar[Estimated Carbon Footprint (tons CO₂e)],MATCH('Merge operational &amp; suppliar'!A1973,Suppliar[Facility ID],0)),"")</f>
        <v>230.57</v>
      </c>
      <c r="K1973">
        <f>IFERROR(INDEX(Suppliar[Income Distribution (%)],MATCH('Merge operational &amp; suppliar'!A1973,Suppliar[Facility ID],0)),"")</f>
        <v>60.48</v>
      </c>
    </row>
    <row r="1974" spans="1:11" x14ac:dyDescent="0.3">
      <c r="A1974" t="s">
        <v>40</v>
      </c>
      <c r="B1974" t="s">
        <v>19</v>
      </c>
      <c r="C1974" t="s">
        <v>13</v>
      </c>
      <c r="D1974" t="s">
        <v>28</v>
      </c>
      <c r="E1974" t="s">
        <v>15</v>
      </c>
      <c r="F1974">
        <v>4772.12</v>
      </c>
      <c r="G1974">
        <v>96474</v>
      </c>
      <c r="H1974">
        <v>7574.39</v>
      </c>
      <c r="I1974">
        <v>95.54</v>
      </c>
      <c r="J1974">
        <f>IFERROR(INDEX(Suppliar[Estimated Carbon Footprint (tons CO₂e)],MATCH('Merge operational &amp; suppliar'!A1974,Suppliar[Facility ID],0)),"")</f>
        <v>886.71</v>
      </c>
      <c r="K1974">
        <f>IFERROR(INDEX(Suppliar[Income Distribution (%)],MATCH('Merge operational &amp; suppliar'!A1974,Suppliar[Facility ID],0)),"")</f>
        <v>24.84</v>
      </c>
    </row>
    <row r="1975" spans="1:11" x14ac:dyDescent="0.3">
      <c r="A1975" t="s">
        <v>98</v>
      </c>
      <c r="B1975" t="s">
        <v>19</v>
      </c>
      <c r="C1975" t="s">
        <v>23</v>
      </c>
      <c r="D1975" t="s">
        <v>9</v>
      </c>
      <c r="E1975" t="s">
        <v>24</v>
      </c>
      <c r="F1975">
        <v>4691.37</v>
      </c>
      <c r="G1975">
        <v>26170</v>
      </c>
      <c r="H1975">
        <v>8057.54</v>
      </c>
      <c r="I1975">
        <v>63.71</v>
      </c>
      <c r="J1975" t="str">
        <f>IFERROR(INDEX(Suppliar[Estimated Carbon Footprint (tons CO₂e)],MATCH('Merge operational &amp; suppliar'!A1975,Suppliar[Facility ID],0)),"")</f>
        <v/>
      </c>
      <c r="K1975" t="str">
        <f>IFERROR(INDEX(Suppliar[Income Distribution (%)],MATCH('Merge operational &amp; suppliar'!A1975,Suppliar[Facility ID],0)),"")</f>
        <v/>
      </c>
    </row>
    <row r="1976" spans="1:11" x14ac:dyDescent="0.3">
      <c r="A1976" t="s">
        <v>160</v>
      </c>
      <c r="B1976" t="s">
        <v>30</v>
      </c>
      <c r="C1976" t="s">
        <v>23</v>
      </c>
      <c r="D1976" t="s">
        <v>14</v>
      </c>
      <c r="E1976" t="s">
        <v>15</v>
      </c>
      <c r="F1976">
        <v>2731.04</v>
      </c>
      <c r="G1976">
        <v>18341</v>
      </c>
      <c r="H1976">
        <v>8465.57</v>
      </c>
      <c r="I1976">
        <v>38.39</v>
      </c>
      <c r="J1976" t="str">
        <f>IFERROR(INDEX(Suppliar[Estimated Carbon Footprint (tons CO₂e)],MATCH('Merge operational &amp; suppliar'!A1976,Suppliar[Facility ID],0)),"")</f>
        <v/>
      </c>
      <c r="K1976" t="str">
        <f>IFERROR(INDEX(Suppliar[Income Distribution (%)],MATCH('Merge operational &amp; suppliar'!A1976,Suppliar[Facility ID],0)),"")</f>
        <v/>
      </c>
    </row>
    <row r="1977" spans="1:11" x14ac:dyDescent="0.3">
      <c r="A1977" t="s">
        <v>42</v>
      </c>
      <c r="B1977" t="s">
        <v>30</v>
      </c>
      <c r="C1977" t="s">
        <v>8</v>
      </c>
      <c r="D1977" t="s">
        <v>14</v>
      </c>
      <c r="E1977" t="s">
        <v>24</v>
      </c>
      <c r="F1977">
        <v>3020.79</v>
      </c>
      <c r="G1977">
        <v>41539</v>
      </c>
      <c r="H1977">
        <v>982.8</v>
      </c>
      <c r="I1977">
        <v>79.7</v>
      </c>
      <c r="J1977">
        <f>IFERROR(INDEX(Suppliar[Estimated Carbon Footprint (tons CO₂e)],MATCH('Merge operational &amp; suppliar'!A1977,Suppliar[Facility ID],0)),"")</f>
        <v>851.48</v>
      </c>
      <c r="K1977">
        <f>IFERROR(INDEX(Suppliar[Income Distribution (%)],MATCH('Merge operational &amp; suppliar'!A1977,Suppliar[Facility ID],0)),"")</f>
        <v>13.07</v>
      </c>
    </row>
    <row r="1978" spans="1:11" x14ac:dyDescent="0.3">
      <c r="A1978" t="s">
        <v>112</v>
      </c>
      <c r="B1978" t="s">
        <v>30</v>
      </c>
      <c r="C1978" t="s">
        <v>34</v>
      </c>
      <c r="D1978" t="s">
        <v>28</v>
      </c>
      <c r="E1978" t="s">
        <v>24</v>
      </c>
      <c r="F1978">
        <v>1086.79</v>
      </c>
      <c r="G1978">
        <v>43294</v>
      </c>
      <c r="H1978">
        <v>3802.13</v>
      </c>
      <c r="I1978">
        <v>45.84</v>
      </c>
      <c r="J1978">
        <f>IFERROR(INDEX(Suppliar[Estimated Carbon Footprint (tons CO₂e)],MATCH('Merge operational &amp; suppliar'!A1978,Suppliar[Facility ID],0)),"")</f>
        <v>756.78</v>
      </c>
      <c r="K1978">
        <f>IFERROR(INDEX(Suppliar[Income Distribution (%)],MATCH('Merge operational &amp; suppliar'!A1978,Suppliar[Facility ID],0)),"")</f>
        <v>28.42</v>
      </c>
    </row>
    <row r="1979" spans="1:11" x14ac:dyDescent="0.3">
      <c r="A1979" t="s">
        <v>130</v>
      </c>
      <c r="B1979" t="s">
        <v>12</v>
      </c>
      <c r="C1979" t="s">
        <v>23</v>
      </c>
      <c r="D1979" t="s">
        <v>9</v>
      </c>
      <c r="E1979" t="s">
        <v>24</v>
      </c>
      <c r="F1979">
        <v>5115.13</v>
      </c>
      <c r="G1979">
        <v>82332</v>
      </c>
      <c r="H1979">
        <v>7134.86</v>
      </c>
      <c r="I1979">
        <v>22.44</v>
      </c>
      <c r="J1979">
        <f>IFERROR(INDEX(Suppliar[Estimated Carbon Footprint (tons CO₂e)],MATCH('Merge operational &amp; suppliar'!A1979,Suppliar[Facility ID],0)),"")</f>
        <v>553.44000000000005</v>
      </c>
      <c r="K1979">
        <f>IFERROR(INDEX(Suppliar[Income Distribution (%)],MATCH('Merge operational &amp; suppliar'!A1979,Suppliar[Facility ID],0)),"")</f>
        <v>13.24</v>
      </c>
    </row>
    <row r="1980" spans="1:11" x14ac:dyDescent="0.3">
      <c r="A1980" t="s">
        <v>116</v>
      </c>
      <c r="B1980" t="s">
        <v>17</v>
      </c>
      <c r="C1980" t="s">
        <v>23</v>
      </c>
      <c r="D1980" t="s">
        <v>14</v>
      </c>
      <c r="E1980" t="s">
        <v>10</v>
      </c>
      <c r="F1980">
        <v>2958.7</v>
      </c>
      <c r="G1980">
        <v>68216</v>
      </c>
      <c r="H1980">
        <v>9562.33</v>
      </c>
      <c r="I1980">
        <v>63.59</v>
      </c>
      <c r="J1980">
        <f>IFERROR(INDEX(Suppliar[Estimated Carbon Footprint (tons CO₂e)],MATCH('Merge operational &amp; suppliar'!A1980,Suppliar[Facility ID],0)),"")</f>
        <v>830.73</v>
      </c>
      <c r="K1980">
        <f>IFERROR(INDEX(Suppliar[Income Distribution (%)],MATCH('Merge operational &amp; suppliar'!A1980,Suppliar[Facility ID],0)),"")</f>
        <v>46.68</v>
      </c>
    </row>
    <row r="1981" spans="1:11" x14ac:dyDescent="0.3">
      <c r="A1981" t="s">
        <v>93</v>
      </c>
      <c r="B1981" t="s">
        <v>30</v>
      </c>
      <c r="C1981" t="s">
        <v>23</v>
      </c>
      <c r="D1981" t="s">
        <v>9</v>
      </c>
      <c r="E1981" t="s">
        <v>10</v>
      </c>
      <c r="F1981">
        <v>1571.97</v>
      </c>
      <c r="G1981">
        <v>26378</v>
      </c>
      <c r="H1981">
        <v>2915.44</v>
      </c>
      <c r="I1981">
        <v>29.84</v>
      </c>
      <c r="J1981">
        <f>IFERROR(INDEX(Suppliar[Estimated Carbon Footprint (tons CO₂e)],MATCH('Merge operational &amp; suppliar'!A1981,Suppliar[Facility ID],0)),"")</f>
        <v>311.36</v>
      </c>
      <c r="K1981">
        <f>IFERROR(INDEX(Suppliar[Income Distribution (%)],MATCH('Merge operational &amp; suppliar'!A1981,Suppliar[Facility ID],0)),"")</f>
        <v>26.09</v>
      </c>
    </row>
    <row r="1982" spans="1:11" x14ac:dyDescent="0.3">
      <c r="A1982" t="s">
        <v>141</v>
      </c>
      <c r="B1982" t="s">
        <v>7</v>
      </c>
      <c r="C1982" t="s">
        <v>13</v>
      </c>
      <c r="D1982" t="s">
        <v>28</v>
      </c>
      <c r="E1982" t="s">
        <v>15</v>
      </c>
      <c r="F1982">
        <v>2745.85</v>
      </c>
      <c r="G1982">
        <v>45644</v>
      </c>
      <c r="H1982">
        <v>7724.73</v>
      </c>
      <c r="I1982">
        <v>31</v>
      </c>
      <c r="J1982">
        <f>IFERROR(INDEX(Suppliar[Estimated Carbon Footprint (tons CO₂e)],MATCH('Merge operational &amp; suppliar'!A1982,Suppliar[Facility ID],0)),"")</f>
        <v>685.27</v>
      </c>
      <c r="K1982">
        <f>IFERROR(INDEX(Suppliar[Income Distribution (%)],MATCH('Merge operational &amp; suppliar'!A1982,Suppliar[Facility ID],0)),"")</f>
        <v>33.94</v>
      </c>
    </row>
    <row r="1983" spans="1:11" x14ac:dyDescent="0.3">
      <c r="A1983" t="s">
        <v>156</v>
      </c>
      <c r="B1983" t="s">
        <v>17</v>
      </c>
      <c r="C1983" t="s">
        <v>23</v>
      </c>
      <c r="D1983" t="s">
        <v>28</v>
      </c>
      <c r="E1983" t="s">
        <v>24</v>
      </c>
      <c r="F1983">
        <v>1531</v>
      </c>
      <c r="G1983">
        <v>81057</v>
      </c>
      <c r="H1983">
        <v>675.41</v>
      </c>
      <c r="I1983">
        <v>55.44</v>
      </c>
      <c r="J1983">
        <f>IFERROR(INDEX(Suppliar[Estimated Carbon Footprint (tons CO₂e)],MATCH('Merge operational &amp; suppliar'!A1983,Suppliar[Facility ID],0)),"")</f>
        <v>847.51</v>
      </c>
      <c r="K1983">
        <f>IFERROR(INDEX(Suppliar[Income Distribution (%)],MATCH('Merge operational &amp; suppliar'!A1983,Suppliar[Facility ID],0)),"")</f>
        <v>28.03</v>
      </c>
    </row>
    <row r="1984" spans="1:11" x14ac:dyDescent="0.3">
      <c r="A1984" t="s">
        <v>207</v>
      </c>
      <c r="B1984" t="s">
        <v>17</v>
      </c>
      <c r="C1984" t="s">
        <v>8</v>
      </c>
      <c r="D1984" t="s">
        <v>9</v>
      </c>
      <c r="E1984" t="s">
        <v>10</v>
      </c>
      <c r="F1984">
        <v>4709.8</v>
      </c>
      <c r="G1984">
        <v>99115</v>
      </c>
      <c r="H1984">
        <v>827.26</v>
      </c>
      <c r="I1984">
        <v>28.88</v>
      </c>
      <c r="J1984">
        <f>IFERROR(INDEX(Suppliar[Estimated Carbon Footprint (tons CO₂e)],MATCH('Merge operational &amp; suppliar'!A1984,Suppliar[Facility ID],0)),"")</f>
        <v>818.45</v>
      </c>
      <c r="K1984">
        <f>IFERROR(INDEX(Suppliar[Income Distribution (%)],MATCH('Merge operational &amp; suppliar'!A1984,Suppliar[Facility ID],0)),"")</f>
        <v>27.59</v>
      </c>
    </row>
    <row r="1985" spans="1:11" x14ac:dyDescent="0.3">
      <c r="A1985" t="s">
        <v>171</v>
      </c>
      <c r="B1985" t="s">
        <v>17</v>
      </c>
      <c r="C1985" t="s">
        <v>34</v>
      </c>
      <c r="D1985" t="s">
        <v>28</v>
      </c>
      <c r="E1985" t="s">
        <v>24</v>
      </c>
      <c r="F1985">
        <v>830.08</v>
      </c>
      <c r="G1985">
        <v>24502</v>
      </c>
      <c r="H1985">
        <v>7466.86</v>
      </c>
      <c r="I1985">
        <v>88.83</v>
      </c>
      <c r="J1985">
        <f>IFERROR(INDEX(Suppliar[Estimated Carbon Footprint (tons CO₂e)],MATCH('Merge operational &amp; suppliar'!A1985,Suppliar[Facility ID],0)),"")</f>
        <v>847.51</v>
      </c>
      <c r="K1985">
        <f>IFERROR(INDEX(Suppliar[Income Distribution (%)],MATCH('Merge operational &amp; suppliar'!A1985,Suppliar[Facility ID],0)),"")</f>
        <v>26.48</v>
      </c>
    </row>
    <row r="1986" spans="1:11" x14ac:dyDescent="0.3">
      <c r="A1986" t="s">
        <v>203</v>
      </c>
      <c r="B1986" t="s">
        <v>12</v>
      </c>
      <c r="C1986" t="s">
        <v>8</v>
      </c>
      <c r="D1986" t="s">
        <v>28</v>
      </c>
      <c r="E1986" t="s">
        <v>15</v>
      </c>
      <c r="F1986">
        <v>4453.8999999999996</v>
      </c>
      <c r="G1986">
        <v>66398</v>
      </c>
      <c r="H1986">
        <v>8713.61</v>
      </c>
      <c r="I1986">
        <v>83.44</v>
      </c>
      <c r="J1986">
        <f>IFERROR(INDEX(Suppliar[Estimated Carbon Footprint (tons CO₂e)],MATCH('Merge operational &amp; suppliar'!A1986,Suppliar[Facility ID],0)),"")</f>
        <v>763.97</v>
      </c>
      <c r="K1986">
        <f>IFERROR(INDEX(Suppliar[Income Distribution (%)],MATCH('Merge operational &amp; suppliar'!A1986,Suppliar[Facility ID],0)),"")</f>
        <v>22.42</v>
      </c>
    </row>
    <row r="1987" spans="1:11" x14ac:dyDescent="0.3">
      <c r="A1987" t="s">
        <v>70</v>
      </c>
      <c r="B1987" t="s">
        <v>19</v>
      </c>
      <c r="C1987" t="s">
        <v>13</v>
      </c>
      <c r="D1987" t="s">
        <v>28</v>
      </c>
      <c r="E1987" t="s">
        <v>24</v>
      </c>
      <c r="F1987">
        <v>4791.93</v>
      </c>
      <c r="G1987">
        <v>42485</v>
      </c>
      <c r="H1987">
        <v>4755.75</v>
      </c>
      <c r="I1987">
        <v>10.19</v>
      </c>
      <c r="J1987">
        <f>IFERROR(INDEX(Suppliar[Estimated Carbon Footprint (tons CO₂e)],MATCH('Merge operational &amp; suppliar'!A1987,Suppliar[Facility ID],0)),"")</f>
        <v>662.74</v>
      </c>
      <c r="K1987">
        <f>IFERROR(INDEX(Suppliar[Income Distribution (%)],MATCH('Merge operational &amp; suppliar'!A1987,Suppliar[Facility ID],0)),"")</f>
        <v>36.79</v>
      </c>
    </row>
    <row r="1988" spans="1:11" x14ac:dyDescent="0.3">
      <c r="A1988" t="s">
        <v>137</v>
      </c>
      <c r="B1988" t="s">
        <v>17</v>
      </c>
      <c r="C1988" t="s">
        <v>13</v>
      </c>
      <c r="D1988" t="s">
        <v>9</v>
      </c>
      <c r="E1988" t="s">
        <v>10</v>
      </c>
      <c r="F1988">
        <v>2280.11</v>
      </c>
      <c r="G1988">
        <v>19265</v>
      </c>
      <c r="H1988">
        <v>776.6</v>
      </c>
      <c r="I1988">
        <v>39.75</v>
      </c>
      <c r="J1988">
        <f>IFERROR(INDEX(Suppliar[Estimated Carbon Footprint (tons CO₂e)],MATCH('Merge operational &amp; suppliar'!A1988,Suppliar[Facility ID],0)),"")</f>
        <v>289.77</v>
      </c>
      <c r="K1988">
        <f>IFERROR(INDEX(Suppliar[Income Distribution (%)],MATCH('Merge operational &amp; suppliar'!A1988,Suppliar[Facility ID],0)),"")</f>
        <v>37.270000000000003</v>
      </c>
    </row>
    <row r="1989" spans="1:11" x14ac:dyDescent="0.3">
      <c r="A1989" t="s">
        <v>101</v>
      </c>
      <c r="B1989" t="s">
        <v>19</v>
      </c>
      <c r="C1989" t="s">
        <v>34</v>
      </c>
      <c r="D1989" t="s">
        <v>9</v>
      </c>
      <c r="E1989" t="s">
        <v>24</v>
      </c>
      <c r="F1989">
        <v>4839.8100000000004</v>
      </c>
      <c r="G1989">
        <v>39050</v>
      </c>
      <c r="H1989">
        <v>5885.73</v>
      </c>
      <c r="I1989">
        <v>93.04</v>
      </c>
      <c r="J1989">
        <f>IFERROR(INDEX(Suppliar[Estimated Carbon Footprint (tons CO₂e)],MATCH('Merge operational &amp; suppliar'!A1989,Suppliar[Facility ID],0)),"")</f>
        <v>318.55</v>
      </c>
      <c r="K1989">
        <f>IFERROR(INDEX(Suppliar[Income Distribution (%)],MATCH('Merge operational &amp; suppliar'!A1989,Suppliar[Facility ID],0)),"")</f>
        <v>39.81</v>
      </c>
    </row>
    <row r="1990" spans="1:11" x14ac:dyDescent="0.3">
      <c r="A1990" t="s">
        <v>84</v>
      </c>
      <c r="B1990" t="s">
        <v>30</v>
      </c>
      <c r="C1990" t="s">
        <v>13</v>
      </c>
      <c r="D1990" t="s">
        <v>14</v>
      </c>
      <c r="E1990" t="s">
        <v>24</v>
      </c>
      <c r="F1990">
        <v>506.81</v>
      </c>
      <c r="G1990">
        <v>85444</v>
      </c>
      <c r="H1990">
        <v>852.57</v>
      </c>
      <c r="I1990">
        <v>72.650000000000006</v>
      </c>
      <c r="J1990">
        <f>IFERROR(INDEX(Suppliar[Estimated Carbon Footprint (tons CO₂e)],MATCH('Merge operational &amp; suppliar'!A1990,Suppliar[Facility ID],0)),"")</f>
        <v>319.93</v>
      </c>
      <c r="K1990">
        <f>IFERROR(INDEX(Suppliar[Income Distribution (%)],MATCH('Merge operational &amp; suppliar'!A1990,Suppliar[Facility ID],0)),"")</f>
        <v>34.35</v>
      </c>
    </row>
    <row r="1991" spans="1:11" x14ac:dyDescent="0.3">
      <c r="A1991" t="s">
        <v>35</v>
      </c>
      <c r="B1991" t="s">
        <v>19</v>
      </c>
      <c r="C1991" t="s">
        <v>13</v>
      </c>
      <c r="D1991" t="s">
        <v>9</v>
      </c>
      <c r="E1991" t="s">
        <v>15</v>
      </c>
      <c r="F1991">
        <v>3907.24</v>
      </c>
      <c r="G1991">
        <v>42382</v>
      </c>
      <c r="H1991">
        <v>5116.6899999999996</v>
      </c>
      <c r="I1991">
        <v>80.42</v>
      </c>
      <c r="J1991">
        <f>IFERROR(INDEX(Suppliar[Estimated Carbon Footprint (tons CO₂e)],MATCH('Merge operational &amp; suppliar'!A1991,Suppliar[Facility ID],0)),"")</f>
        <v>626.54</v>
      </c>
      <c r="K1991">
        <f>IFERROR(INDEX(Suppliar[Income Distribution (%)],MATCH('Merge operational &amp; suppliar'!A1991,Suppliar[Facility ID],0)),"")</f>
        <v>70.540000000000006</v>
      </c>
    </row>
    <row r="1992" spans="1:11" x14ac:dyDescent="0.3">
      <c r="A1992" t="s">
        <v>216</v>
      </c>
      <c r="B1992" t="s">
        <v>17</v>
      </c>
      <c r="C1992" t="s">
        <v>13</v>
      </c>
      <c r="D1992" t="s">
        <v>9</v>
      </c>
      <c r="E1992" t="s">
        <v>15</v>
      </c>
      <c r="F1992">
        <v>2483.8200000000002</v>
      </c>
      <c r="G1992">
        <v>13302</v>
      </c>
      <c r="H1992">
        <v>821.51</v>
      </c>
      <c r="I1992">
        <v>69.599999999999994</v>
      </c>
      <c r="J1992">
        <f>IFERROR(INDEX(Suppliar[Estimated Carbon Footprint (tons CO₂e)],MATCH('Merge operational &amp; suppliar'!A1992,Suppliar[Facility ID],0)),"")</f>
        <v>795.74</v>
      </c>
      <c r="K1992">
        <f>IFERROR(INDEX(Suppliar[Income Distribution (%)],MATCH('Merge operational &amp; suppliar'!A1992,Suppliar[Facility ID],0)),"")</f>
        <v>9.39</v>
      </c>
    </row>
    <row r="1993" spans="1:11" x14ac:dyDescent="0.3">
      <c r="A1993" t="s">
        <v>133</v>
      </c>
      <c r="B1993" t="s">
        <v>17</v>
      </c>
      <c r="C1993" t="s">
        <v>23</v>
      </c>
      <c r="D1993" t="s">
        <v>28</v>
      </c>
      <c r="E1993" t="s">
        <v>10</v>
      </c>
      <c r="F1993">
        <v>139.57</v>
      </c>
      <c r="G1993">
        <v>48501</v>
      </c>
      <c r="H1993">
        <v>7209.77</v>
      </c>
      <c r="I1993">
        <v>92.51</v>
      </c>
      <c r="J1993" t="str">
        <f>IFERROR(INDEX(Suppliar[Estimated Carbon Footprint (tons CO₂e)],MATCH('Merge operational &amp; suppliar'!A1993,Suppliar[Facility ID],0)),"")</f>
        <v/>
      </c>
      <c r="K1993" t="str">
        <f>IFERROR(INDEX(Suppliar[Income Distribution (%)],MATCH('Merge operational &amp; suppliar'!A1993,Suppliar[Facility ID],0)),"")</f>
        <v/>
      </c>
    </row>
    <row r="1994" spans="1:11" x14ac:dyDescent="0.3">
      <c r="A1994" t="s">
        <v>184</v>
      </c>
      <c r="B1994" t="s">
        <v>30</v>
      </c>
      <c r="C1994" t="s">
        <v>13</v>
      </c>
      <c r="D1994" t="s">
        <v>9</v>
      </c>
      <c r="E1994" t="s">
        <v>15</v>
      </c>
      <c r="F1994">
        <v>2912.66</v>
      </c>
      <c r="G1994">
        <v>13543</v>
      </c>
      <c r="H1994">
        <v>7854.96</v>
      </c>
      <c r="I1994">
        <v>85.57</v>
      </c>
      <c r="J1994">
        <f>IFERROR(INDEX(Suppliar[Estimated Carbon Footprint (tons CO₂e)],MATCH('Merge operational &amp; suppliar'!A1994,Suppliar[Facility ID],0)),"")</f>
        <v>610.79999999999995</v>
      </c>
      <c r="K1994">
        <f>IFERROR(INDEX(Suppliar[Income Distribution (%)],MATCH('Merge operational &amp; suppliar'!A1994,Suppliar[Facility ID],0)),"")</f>
        <v>30.04</v>
      </c>
    </row>
    <row r="1995" spans="1:11" x14ac:dyDescent="0.3">
      <c r="A1995" t="s">
        <v>106</v>
      </c>
      <c r="B1995" t="s">
        <v>12</v>
      </c>
      <c r="C1995" t="s">
        <v>34</v>
      </c>
      <c r="D1995" t="s">
        <v>14</v>
      </c>
      <c r="E1995" t="s">
        <v>15</v>
      </c>
      <c r="F1995">
        <v>479.83</v>
      </c>
      <c r="G1995">
        <v>21386</v>
      </c>
      <c r="H1995">
        <v>2271.92</v>
      </c>
      <c r="I1995">
        <v>49.67</v>
      </c>
      <c r="J1995" t="str">
        <f>IFERROR(INDEX(Suppliar[Estimated Carbon Footprint (tons CO₂e)],MATCH('Merge operational &amp; suppliar'!A1995,Suppliar[Facility ID],0)),"")</f>
        <v/>
      </c>
      <c r="K1995" t="str">
        <f>IFERROR(INDEX(Suppliar[Income Distribution (%)],MATCH('Merge operational &amp; suppliar'!A1995,Suppliar[Facility ID],0)),"")</f>
        <v/>
      </c>
    </row>
    <row r="1996" spans="1:11" x14ac:dyDescent="0.3">
      <c r="A1996" t="s">
        <v>118</v>
      </c>
      <c r="B1996" t="s">
        <v>30</v>
      </c>
      <c r="C1996" t="s">
        <v>34</v>
      </c>
      <c r="D1996" t="s">
        <v>9</v>
      </c>
      <c r="E1996" t="s">
        <v>15</v>
      </c>
      <c r="F1996">
        <v>5275.24</v>
      </c>
      <c r="G1996">
        <v>68492</v>
      </c>
      <c r="H1996">
        <v>3533.88</v>
      </c>
      <c r="I1996">
        <v>52.99</v>
      </c>
      <c r="J1996">
        <f>IFERROR(INDEX(Suppliar[Estimated Carbon Footprint (tons CO₂e)],MATCH('Merge operational &amp; suppliar'!A1996,Suppliar[Facility ID],0)),"")</f>
        <v>847.51</v>
      </c>
      <c r="K1996">
        <f>IFERROR(INDEX(Suppliar[Income Distribution (%)],MATCH('Merge operational &amp; suppliar'!A1996,Suppliar[Facility ID],0)),"")</f>
        <v>7.14</v>
      </c>
    </row>
    <row r="1997" spans="1:11" x14ac:dyDescent="0.3">
      <c r="A1997" t="s">
        <v>116</v>
      </c>
      <c r="B1997" t="s">
        <v>17</v>
      </c>
      <c r="C1997" t="s">
        <v>8</v>
      </c>
      <c r="D1997" t="s">
        <v>14</v>
      </c>
      <c r="E1997" t="s">
        <v>15</v>
      </c>
      <c r="F1997">
        <v>3515.66</v>
      </c>
      <c r="G1997">
        <v>68216</v>
      </c>
      <c r="H1997">
        <v>9562.33</v>
      </c>
      <c r="I1997">
        <v>63.59</v>
      </c>
      <c r="J1997">
        <f>IFERROR(INDEX(Suppliar[Estimated Carbon Footprint (tons CO₂e)],MATCH('Merge operational &amp; suppliar'!A1997,Suppliar[Facility ID],0)),"")</f>
        <v>830.73</v>
      </c>
      <c r="K1997">
        <f>IFERROR(INDEX(Suppliar[Income Distribution (%)],MATCH('Merge operational &amp; suppliar'!A1997,Suppliar[Facility ID],0)),"")</f>
        <v>46.68</v>
      </c>
    </row>
    <row r="1998" spans="1:11" x14ac:dyDescent="0.3">
      <c r="A1998" t="s">
        <v>110</v>
      </c>
      <c r="B1998" t="s">
        <v>12</v>
      </c>
      <c r="C1998" t="s">
        <v>34</v>
      </c>
      <c r="D1998" t="s">
        <v>9</v>
      </c>
      <c r="E1998" t="s">
        <v>15</v>
      </c>
      <c r="F1998">
        <v>771.45</v>
      </c>
      <c r="G1998">
        <v>70481</v>
      </c>
      <c r="H1998">
        <v>4452.83</v>
      </c>
      <c r="I1998">
        <v>91.26</v>
      </c>
      <c r="J1998" t="str">
        <f>IFERROR(INDEX(Suppliar[Estimated Carbon Footprint (tons CO₂e)],MATCH('Merge operational &amp; suppliar'!A1998,Suppliar[Facility ID],0)),"")</f>
        <v/>
      </c>
      <c r="K1998" t="str">
        <f>IFERROR(INDEX(Suppliar[Income Distribution (%)],MATCH('Merge operational &amp; suppliar'!A1998,Suppliar[Facility ID],0)),"")</f>
        <v/>
      </c>
    </row>
    <row r="1999" spans="1:11" x14ac:dyDescent="0.3">
      <c r="A1999" t="s">
        <v>172</v>
      </c>
      <c r="B1999" t="s">
        <v>7</v>
      </c>
      <c r="C1999" t="s">
        <v>34</v>
      </c>
      <c r="D1999" t="s">
        <v>28</v>
      </c>
      <c r="E1999" t="s">
        <v>15</v>
      </c>
      <c r="F1999">
        <v>705.84</v>
      </c>
      <c r="G1999">
        <v>68820</v>
      </c>
      <c r="H1999">
        <v>9612.25</v>
      </c>
      <c r="I1999">
        <v>83.51</v>
      </c>
      <c r="J1999">
        <f>IFERROR(INDEX(Suppliar[Estimated Carbon Footprint (tons CO₂e)],MATCH('Merge operational &amp; suppliar'!A1999,Suppliar[Facility ID],0)),"")</f>
        <v>867.66</v>
      </c>
      <c r="K1999">
        <f>IFERROR(INDEX(Suppliar[Income Distribution (%)],MATCH('Merge operational &amp; suppliar'!A1999,Suppliar[Facility ID],0)),"")</f>
        <v>18.88</v>
      </c>
    </row>
    <row r="2000" spans="1:11" x14ac:dyDescent="0.3">
      <c r="A2000" t="s">
        <v>126</v>
      </c>
      <c r="B2000" t="s">
        <v>30</v>
      </c>
      <c r="C2000" t="s">
        <v>23</v>
      </c>
      <c r="D2000" t="s">
        <v>9</v>
      </c>
      <c r="E2000" t="s">
        <v>10</v>
      </c>
      <c r="F2000">
        <v>3398.71</v>
      </c>
      <c r="G2000">
        <v>35506</v>
      </c>
      <c r="H2000">
        <v>1892.04</v>
      </c>
      <c r="I2000">
        <v>61.53</v>
      </c>
      <c r="J2000" t="str">
        <f>IFERROR(INDEX(Suppliar[Estimated Carbon Footprint (tons CO₂e)],MATCH('Merge operational &amp; suppliar'!A2000,Suppliar[Facility ID],0)),"")</f>
        <v/>
      </c>
      <c r="K2000" t="str">
        <f>IFERROR(INDEX(Suppliar[Income Distribution (%)],MATCH('Merge operational &amp; suppliar'!A2000,Suppliar[Facility ID],0)),"")</f>
        <v/>
      </c>
    </row>
    <row r="2001" spans="1:11" x14ac:dyDescent="0.3">
      <c r="A2001" t="s">
        <v>107</v>
      </c>
      <c r="B2001" t="s">
        <v>30</v>
      </c>
      <c r="C2001" t="s">
        <v>34</v>
      </c>
      <c r="D2001" t="s">
        <v>28</v>
      </c>
      <c r="E2001" t="s">
        <v>24</v>
      </c>
      <c r="F2001">
        <v>2433.04</v>
      </c>
      <c r="G2001">
        <v>69305</v>
      </c>
      <c r="H2001">
        <v>3203.67</v>
      </c>
      <c r="I2001">
        <v>83.65</v>
      </c>
      <c r="J2001">
        <f>IFERROR(INDEX(Suppliar[Estimated Carbon Footprint (tons CO₂e)],MATCH('Merge operational &amp; suppliar'!A2001,Suppliar[Facility ID],0)),"")</f>
        <v>173.67</v>
      </c>
      <c r="K2001">
        <f>IFERROR(INDEX(Suppliar[Income Distribution (%)],MATCH('Merge operational &amp; suppliar'!A2001,Suppliar[Facility ID],0)),"")</f>
        <v>67.040000000000006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6CEB-445A-4F74-92EB-47862831E626}">
  <sheetPr>
    <tabColor rgb="FFF541E4"/>
  </sheetPr>
  <dimension ref="A1:T10"/>
  <sheetViews>
    <sheetView showGridLines="0" workbookViewId="0">
      <selection activeCell="B7" sqref="B7"/>
    </sheetView>
  </sheetViews>
  <sheetFormatPr defaultRowHeight="14" x14ac:dyDescent="0.3"/>
  <cols>
    <col min="1" max="1" width="20.83203125" customWidth="1"/>
    <col min="2" max="2" width="15.25" customWidth="1"/>
    <col min="3" max="5" width="10.75" customWidth="1"/>
    <col min="7" max="7" width="16.5" customWidth="1"/>
    <col min="8" max="8" width="29.58203125" customWidth="1"/>
    <col min="10" max="10" width="16.5" customWidth="1"/>
    <col min="11" max="11" width="31.25" customWidth="1"/>
    <col min="13" max="13" width="16.5" customWidth="1"/>
    <col min="14" max="14" width="41" customWidth="1"/>
    <col min="16" max="16" width="15.6640625" customWidth="1"/>
    <col min="17" max="17" width="27.83203125" customWidth="1"/>
    <col min="18" max="18" width="28.58203125" customWidth="1"/>
    <col min="19" max="19" width="12.6640625" customWidth="1"/>
    <col min="24" max="24" width="14.08203125" bestFit="1" customWidth="1"/>
    <col min="25" max="25" width="27.1640625" bestFit="1" customWidth="1"/>
    <col min="26" max="26" width="28.58203125" bestFit="1" customWidth="1"/>
  </cols>
  <sheetData>
    <row r="1" spans="1:20" x14ac:dyDescent="0.3">
      <c r="A1" s="12" t="s">
        <v>458</v>
      </c>
      <c r="G1" s="12" t="s">
        <v>459</v>
      </c>
      <c r="J1" s="12" t="s">
        <v>461</v>
      </c>
      <c r="M1" s="12" t="s">
        <v>463</v>
      </c>
      <c r="P1" s="12" t="s">
        <v>466</v>
      </c>
    </row>
    <row r="3" spans="1:20" x14ac:dyDescent="0.3">
      <c r="A3" s="13" t="s">
        <v>442</v>
      </c>
      <c r="B3" s="13" t="s">
        <v>444</v>
      </c>
      <c r="G3" s="13" t="s">
        <v>440</v>
      </c>
      <c r="H3" t="s">
        <v>460</v>
      </c>
      <c r="J3" s="13" t="s">
        <v>440</v>
      </c>
      <c r="K3" t="s">
        <v>462</v>
      </c>
      <c r="M3" s="13" t="s">
        <v>440</v>
      </c>
      <c r="N3" t="s">
        <v>464</v>
      </c>
      <c r="P3" s="25" t="s">
        <v>1</v>
      </c>
      <c r="Q3" s="25" t="s">
        <v>460</v>
      </c>
      <c r="R3" s="25" t="s">
        <v>462</v>
      </c>
      <c r="S3" s="25" t="s">
        <v>467</v>
      </c>
      <c r="T3" s="24"/>
    </row>
    <row r="4" spans="1:20" x14ac:dyDescent="0.3">
      <c r="A4" s="13" t="s">
        <v>440</v>
      </c>
      <c r="B4" t="s">
        <v>10</v>
      </c>
      <c r="C4" t="s">
        <v>15</v>
      </c>
      <c r="D4" t="s">
        <v>24</v>
      </c>
      <c r="E4" t="s">
        <v>441</v>
      </c>
      <c r="G4" s="14" t="s">
        <v>30</v>
      </c>
      <c r="H4">
        <v>29395528</v>
      </c>
      <c r="J4" s="14" t="s">
        <v>30</v>
      </c>
      <c r="K4">
        <v>2444660.1800000025</v>
      </c>
      <c r="M4" s="14" t="s">
        <v>19</v>
      </c>
      <c r="N4">
        <v>262199.10999999987</v>
      </c>
      <c r="P4" s="26" t="s">
        <v>30</v>
      </c>
      <c r="Q4" s="26">
        <v>29395528</v>
      </c>
      <c r="R4" s="26">
        <v>2444660.1800000025</v>
      </c>
      <c r="S4" s="26">
        <f>R4/Q4</f>
        <v>8.3164356836863157E-2</v>
      </c>
      <c r="T4" s="24"/>
    </row>
    <row r="5" spans="1:20" x14ac:dyDescent="0.3">
      <c r="A5" s="14" t="s">
        <v>30</v>
      </c>
      <c r="B5">
        <v>409046.19000000006</v>
      </c>
      <c r="C5">
        <v>511555.97000000003</v>
      </c>
      <c r="D5">
        <v>440511.14000000036</v>
      </c>
      <c r="E5">
        <v>1361113.3000000005</v>
      </c>
      <c r="G5" s="14" t="s">
        <v>19</v>
      </c>
      <c r="H5">
        <v>24049193</v>
      </c>
      <c r="J5" s="14" t="s">
        <v>19</v>
      </c>
      <c r="K5">
        <v>2326032.870000001</v>
      </c>
      <c r="M5" s="14" t="s">
        <v>30</v>
      </c>
      <c r="N5">
        <v>251594.07999999975</v>
      </c>
      <c r="P5" s="26" t="s">
        <v>19</v>
      </c>
      <c r="Q5" s="26">
        <v>24049193</v>
      </c>
      <c r="R5" s="26">
        <v>2326032.870000001</v>
      </c>
      <c r="S5" s="26">
        <f t="shared" ref="S5:S8" si="0">R5/Q5</f>
        <v>9.6719788892708422E-2</v>
      </c>
      <c r="T5" s="24"/>
    </row>
    <row r="6" spans="1:20" x14ac:dyDescent="0.3">
      <c r="A6" s="14" t="s">
        <v>19</v>
      </c>
      <c r="B6">
        <v>389204.05999999994</v>
      </c>
      <c r="C6">
        <v>378060.21</v>
      </c>
      <c r="D6">
        <v>360735.81</v>
      </c>
      <c r="E6">
        <v>1128000.08</v>
      </c>
      <c r="G6" s="14" t="s">
        <v>17</v>
      </c>
      <c r="H6">
        <v>20229730</v>
      </c>
      <c r="J6" s="14" t="s">
        <v>17</v>
      </c>
      <c r="K6">
        <v>2061199.3499999987</v>
      </c>
      <c r="M6" s="14" t="s">
        <v>17</v>
      </c>
      <c r="N6">
        <v>197162.78000000012</v>
      </c>
      <c r="P6" s="26" t="s">
        <v>17</v>
      </c>
      <c r="Q6" s="26">
        <v>20229730</v>
      </c>
      <c r="R6" s="26">
        <v>2061199.3499999987</v>
      </c>
      <c r="S6" s="26">
        <f t="shared" si="0"/>
        <v>0.10188961246640457</v>
      </c>
      <c r="T6" s="24"/>
    </row>
    <row r="7" spans="1:20" x14ac:dyDescent="0.3">
      <c r="A7" s="14" t="s">
        <v>17</v>
      </c>
      <c r="B7">
        <v>302079.12999999989</v>
      </c>
      <c r="C7">
        <v>311467.24999999983</v>
      </c>
      <c r="D7">
        <v>351143.19000000006</v>
      </c>
      <c r="E7">
        <v>964689.56999999972</v>
      </c>
      <c r="G7" s="14" t="s">
        <v>7</v>
      </c>
      <c r="H7">
        <v>18553960</v>
      </c>
      <c r="J7" s="14" t="s">
        <v>7</v>
      </c>
      <c r="K7">
        <v>2036685.5099999979</v>
      </c>
      <c r="M7" s="14" t="s">
        <v>7</v>
      </c>
      <c r="N7">
        <v>192442.15999999995</v>
      </c>
      <c r="P7" s="26" t="s">
        <v>7</v>
      </c>
      <c r="Q7" s="26">
        <v>18553960</v>
      </c>
      <c r="R7" s="26">
        <v>2036685.5099999979</v>
      </c>
      <c r="S7" s="26">
        <f t="shared" si="0"/>
        <v>0.10977093353656028</v>
      </c>
      <c r="T7" s="24"/>
    </row>
    <row r="8" spans="1:20" x14ac:dyDescent="0.3">
      <c r="A8" s="14" t="s">
        <v>7</v>
      </c>
      <c r="B8">
        <v>317426.20000000019</v>
      </c>
      <c r="C8">
        <v>361846.78</v>
      </c>
      <c r="D8">
        <v>267241.47000000003</v>
      </c>
      <c r="E8">
        <v>946514.45000000019</v>
      </c>
      <c r="G8" s="14" t="s">
        <v>12</v>
      </c>
      <c r="H8">
        <v>16508296</v>
      </c>
      <c r="J8" s="14" t="s">
        <v>12</v>
      </c>
      <c r="K8">
        <v>1915633.5400000038</v>
      </c>
      <c r="M8" s="14" t="s">
        <v>12</v>
      </c>
      <c r="N8">
        <v>149337.41000000006</v>
      </c>
      <c r="P8" s="26" t="s">
        <v>12</v>
      </c>
      <c r="Q8" s="26">
        <v>16508296</v>
      </c>
      <c r="R8" s="26">
        <v>1915633.5400000038</v>
      </c>
      <c r="S8" s="26">
        <f t="shared" si="0"/>
        <v>0.11604065858765822</v>
      </c>
      <c r="T8" s="24"/>
    </row>
    <row r="9" spans="1:20" x14ac:dyDescent="0.3">
      <c r="A9" s="14" t="s">
        <v>12</v>
      </c>
      <c r="B9">
        <v>292290.34999999998</v>
      </c>
      <c r="C9">
        <v>232865.03999999995</v>
      </c>
      <c r="D9">
        <v>290919.20000000019</v>
      </c>
      <c r="E9">
        <v>816074.59000000008</v>
      </c>
      <c r="G9" s="14" t="s">
        <v>441</v>
      </c>
      <c r="H9">
        <v>108736707</v>
      </c>
      <c r="J9" s="14" t="s">
        <v>441</v>
      </c>
      <c r="K9">
        <v>10784211.450000003</v>
      </c>
      <c r="M9" s="14" t="s">
        <v>441</v>
      </c>
      <c r="N9">
        <v>1052735.5399999998</v>
      </c>
      <c r="P9" s="24"/>
      <c r="Q9" s="24"/>
      <c r="R9" s="24"/>
      <c r="S9" s="24"/>
      <c r="T9" s="24"/>
    </row>
    <row r="10" spans="1:20" x14ac:dyDescent="0.3">
      <c r="A10" s="14" t="s">
        <v>441</v>
      </c>
      <c r="B10">
        <v>1710045.9300000002</v>
      </c>
      <c r="C10">
        <v>1795795.2499999998</v>
      </c>
      <c r="D10">
        <v>1710550.8100000005</v>
      </c>
      <c r="E10">
        <v>5216391.99</v>
      </c>
    </row>
  </sheetData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1A16-59DE-479F-B1D5-1C12CF502B46}">
  <sheetPr>
    <tabColor rgb="FF006666"/>
  </sheetPr>
  <dimension ref="A1:X36"/>
  <sheetViews>
    <sheetView showGridLines="0" tabSelected="1" zoomScale="60" zoomScaleNormal="60" workbookViewId="0">
      <selection activeCell="Y25" sqref="Y25"/>
    </sheetView>
  </sheetViews>
  <sheetFormatPr defaultRowHeight="14" x14ac:dyDescent="0.3"/>
  <sheetData>
    <row r="1" spans="1:24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13090-3D0F-4C02-8693-C4355B795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Emission Data</vt:lpstr>
      <vt:lpstr>Operational Data</vt:lpstr>
      <vt:lpstr>Supplier Data</vt:lpstr>
      <vt:lpstr>Regulatory Benchmarks</vt:lpstr>
      <vt:lpstr>Emission</vt:lpstr>
      <vt:lpstr>Operational</vt:lpstr>
      <vt:lpstr>Suppliar</vt:lpstr>
      <vt:lpstr>Pivot Table &amp; chart</vt:lpstr>
      <vt:lpstr>Advance Function &amp; Outliers</vt:lpstr>
      <vt:lpstr>Merge operational &amp; suppliar</vt:lpstr>
      <vt:lpstr>Merge Pivot Table</vt:lpstr>
      <vt:lpstr>Dashboard</vt:lpstr>
      <vt:lpstr>Energy_Consumption__MWh</vt:lpstr>
      <vt:lpstr>Production_Volume__units</vt:lpstr>
      <vt:lpstr>Waste__tons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Kant</cp:lastModifiedBy>
  <cp:lastPrinted>2025-09-26T17:06:01Z</cp:lastPrinted>
  <dcterms:modified xsi:type="dcterms:W3CDTF">2025-09-27T05:22:08Z</dcterms:modified>
</cp:coreProperties>
</file>