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Internsala\2.Excel\Assignment And solution\2.Employees &amp; Department solutions\"/>
    </mc:Choice>
  </mc:AlternateContent>
  <xr:revisionPtr revIDLastSave="0" documentId="13_ncr:1_{CC76C872-FE2C-4E8C-AAC2-DDE7907D3D93}" xr6:coauthVersionLast="47" xr6:coauthVersionMax="47" xr10:uidLastSave="{00000000-0000-0000-0000-000000000000}"/>
  <bookViews>
    <workbookView xWindow="-110" yWindow="-110" windowWidth="19420" windowHeight="10300" firstSheet="10" activeTab="10" xr2:uid="{A37350CB-0304-4DD0-9D50-3F8D5D27713E}"/>
  </bookViews>
  <sheets>
    <sheet name="Employee" sheetId="1" r:id="rId1"/>
    <sheet name="Department" sheetId="4" r:id="rId2"/>
    <sheet name="1 Conditional Formating" sheetId="2" r:id="rId3"/>
    <sheet name="2 Data Validation" sheetId="5" r:id="rId4"/>
    <sheet name="3 Power Query" sheetId="8" r:id="rId5"/>
    <sheet name="4 Power Pivot" sheetId="9" r:id="rId6"/>
    <sheet name="5 Average Salary" sheetId="11" r:id="rId7"/>
    <sheet name="6 Employee Table" sheetId="12" r:id="rId8"/>
    <sheet name="7 Filter" sheetId="14" r:id="rId9"/>
    <sheet name="8 Macro" sheetId="15" r:id="rId10"/>
    <sheet name="9 Name Range" sheetId="16" r:id="rId11"/>
    <sheet name="10 Conditional Formating Salary" sheetId="17" r:id="rId12"/>
    <sheet name="Pivot Table" sheetId="18" r:id="rId13"/>
    <sheet name="Dashboard" sheetId="19" r:id="rId14"/>
  </sheets>
  <definedNames>
    <definedName name="_xlnm._FilterDatabase" localSheetId="8" hidden="1">'7 Filter'!$A$1:$L$41</definedName>
    <definedName name="_xlcn.WorksheetConnection_Book1Table81" hidden="1">Table8[]</definedName>
    <definedName name="_xlcn.WorksheetConnection_Book1Table91" hidden="1">Table9[]</definedName>
    <definedName name="ExternalData_1" localSheetId="4" hidden="1">'3 Power Query'!$A$1:$I$41</definedName>
    <definedName name="ExternalData_1" localSheetId="7" hidden="1">'6 Employee Table'!$A$1:$L$41</definedName>
    <definedName name="salary">'6 Employee Table'!$H:$H</definedName>
  </definedNames>
  <calcPr calcId="191029"/>
  <pivotCaches>
    <pivotCache cacheId="59" r:id="rId15"/>
    <pivotCache cacheId="60" r:id="rId16"/>
    <pivotCache cacheId="62" r:id="rId17"/>
    <pivotCache cacheId="67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9" name="Table9" connection="WorksheetConnection_Book1!Table9"/>
          <x15:modelTable id="Table8" name="Table8" connection="WorksheetConnection_Book1!Table8"/>
        </x15:modelTables>
        <x15:modelRelationships>
          <x15:modelRelationship fromTable="Table9" fromColumn="department_id" toTable="Table8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EDE2BB-4367-41B9-AFE9-8F9D87431845}" keepAlive="1" name="Query - Table12" description="Connection to the 'Table12' query in the workbook." type="5" refreshedVersion="8" background="1" saveData="1">
    <dbPr connection="Provider=Microsoft.Mashup.OleDb.1;Data Source=$Workbook$;Location=Table12;Extended Properties=&quot;&quot;" command="SELECT * FROM [Table12]"/>
  </connection>
  <connection id="2" xr16:uid="{DFDCD8C8-F4E3-48A5-8D1C-9360F17324EB}" keepAlive="1" name="Query - Table12 (2)" description="Connection to the 'Table12 (2)' query in the workbook." type="5" refreshedVersion="8" background="1" saveData="1">
    <dbPr connection="Provider=Microsoft.Mashup.OleDb.1;Data Source=$Workbook$;Location=&quot;Table12 (2)&quot;;Extended Properties=&quot;&quot;" command="SELECT * FROM [Table12 (2)]"/>
  </connection>
  <connection id="3" xr16:uid="{4942A5B7-2278-4E78-9F1D-CFD315469A3D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  <connection id="4" xr16:uid="{D363E36D-ADE3-4029-BF1E-1DA4C4BA1965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  <connection id="5" xr16:uid="{85760E14-FBF5-49D5-A2D2-058556D5BEF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2907CD58-3F95-4955-BB19-8692E98A1ED9}" name="WorksheetConnection_Book1!Table8" type="102" refreshedVersion="8" minRefreshableVersion="5">
    <extLst>
      <ext xmlns:x15="http://schemas.microsoft.com/office/spreadsheetml/2010/11/main" uri="{DE250136-89BD-433C-8126-D09CA5730AF9}">
        <x15:connection id="Table8">
          <x15:rangePr sourceName="_xlcn.WorksheetConnection_Book1Table81"/>
        </x15:connection>
      </ext>
    </extLst>
  </connection>
  <connection id="7" xr16:uid="{B5BFAE2B-5BA6-4FD1-A58B-AC6CC87E8A6D}" name="WorksheetConnection_Book1!Table9" type="102" refreshedVersion="8" minRefreshableVersion="5">
    <extLst>
      <ext xmlns:x15="http://schemas.microsoft.com/office/spreadsheetml/2010/11/main" uri="{DE250136-89BD-433C-8126-D09CA5730AF9}">
        <x15:connection id="Table9">
          <x15:rangePr sourceName="_xlcn.WorksheetConnection_Book1Table91"/>
        </x15:connection>
      </ext>
    </extLst>
  </connection>
</connections>
</file>

<file path=xl/sharedStrings.xml><?xml version="1.0" encoding="utf-8"?>
<sst xmlns="http://schemas.openxmlformats.org/spreadsheetml/2006/main" count="1286" uniqueCount="267">
  <si>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</si>
  <si>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</si>
  <si>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</si>
  <si>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</si>
  <si>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</si>
  <si>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</si>
  <si>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</si>
  <si>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</si>
  <si>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</si>
  <si>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</si>
  <si>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</si>
  <si>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</si>
  <si>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</si>
  <si>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</si>
  <si>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</si>
  <si>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</si>
  <si>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</si>
  <si>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</si>
  <si>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</si>
  <si>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</si>
  <si>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</si>
  <si>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</si>
  <si>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</si>
  <si>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</si>
  <si>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</si>
  <si>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</si>
  <si>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</si>
  <si>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</si>
  <si>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</si>
  <si>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</si>
  <si>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</si>
  <si>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</si>
  <si>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</si>
  <si>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</si>
  <si>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</si>
  <si>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</si>
  <si>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</si>
  <si>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</si>
  <si>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</si>
  <si>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</si>
  <si>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</si>
  <si>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</si>
  <si>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</si>
  <si>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</si>
  <si>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</si>
  <si>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</si>
  <si>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</si>
  <si>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</si>
  <si>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</si>
  <si>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</si>
  <si>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</si>
  <si>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</si>
  <si>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</si>
  <si>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</si>
  <si>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</si>
  <si>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</si>
  <si>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</si>
  <si>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</si>
  <si>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</si>
  <si>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</si>
  <si>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</si>
  <si>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</si>
  <si>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</si>
  <si>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</si>
  <si>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</si>
  <si>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</si>
  <si>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</si>
  <si>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</si>
  <si>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</si>
  <si>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</si>
  <si>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</si>
  <si>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</si>
  <si>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</si>
  <si>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</si>
  <si>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</si>
  <si>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</si>
  <si>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</si>
  <si>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</si>
  <si>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</si>
  <si>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</si>
  <si>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</si>
  <si>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</si>
  <si>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</si>
  <si>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</si>
  <si>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</si>
  <si>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</si>
  <si>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</si>
  <si>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</si>
  <si>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</si>
  <si>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</si>
  <si>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</si>
  <si>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</si>
  <si>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</si>
  <si>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</si>
  <si>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</si>
  <si>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</si>
  <si>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</si>
  <si>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</si>
  <si>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</si>
  <si>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</si>
  <si>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</si>
  <si>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</si>
  <si>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</si>
  <si>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</si>
  <si>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</si>
  <si>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</si>
  <si>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</si>
  <si>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</si>
  <si>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</si>
  <si>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</si>
  <si>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</si>
  <si>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</si>
  <si>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</si>
  <si>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</si>
  <si>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</si>
  <si>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</si>
  <si>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</si>
  <si>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</si>
  <si>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</si>
  <si>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</si>
  <si>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</si>
  <si>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</si>
  <si>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</si>
  <si>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</si>
  <si>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</si>
  <si>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</si>
  <si>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</si>
  <si>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</si>
  <si>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</si>
  <si>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</si>
  <si>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</si>
  <si>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</si>
  <si>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</si>
  <si>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</si>
  <si>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</si>
  <si>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</si>
  <si>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</si>
  <si>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</si>
  <si>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</si>
  <si>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</si>
  <si>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</si>
  <si>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</si>
  <si>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</si>
  <si>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</si>
  <si>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</si>
  <si>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</si>
  <si>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</si>
  <si>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</si>
  <si>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</si>
  <si>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</si>
  <si>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</si>
  <si>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</si>
  <si>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</si>
  <si>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</si>
  <si>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</si>
  <si>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</si>
  <si>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</si>
  <si>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</si>
  <si>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</si>
  <si>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</si>
  <si>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</si>
  <si>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department_name</t>
  </si>
  <si>
    <t>location_id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</si>
  <si>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</si>
  <si>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</si>
  <si>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</si>
  <si>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</si>
  <si>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</si>
  <si>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</si>
  <si>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</si>
  <si>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</si>
  <si>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</si>
  <si>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</si>
  <si>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</si>
  <si>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t>Full_name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</si>
  <si>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</si>
  <si>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</si>
  <si>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</si>
  <si>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</si>
  <si>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</si>
  <si>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</si>
  <si>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</si>
  <si>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</si>
  <si>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</si>
  <si>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</si>
  <si>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</si>
  <si>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</si>
  <si>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</si>
  <si>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</si>
  <si>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</si>
  <si>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</si>
  <si>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</si>
  <si>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</si>
  <si>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</si>
  <si>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</si>
  <si>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</si>
  <si>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</si>
  <si>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</si>
  <si>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</si>
  <si>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</si>
  <si>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</si>
  <si>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</si>
  <si>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</si>
  <si>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</si>
  <si>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</si>
  <si>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</si>
  <si>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</si>
  <si>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</si>
  <si>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</si>
  <si>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</si>
  <si>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</si>
  <si>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</si>
  <si>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</si>
  <si>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</si>
  <si>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</si>
  <si>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</si>
  <si>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</si>
  <si>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</si>
  <si>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</si>
  <si>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</si>
  <si>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</si>
  <si>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</si>
  <si>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</si>
  <si>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</si>
  <si>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</si>
  <si>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</si>
  <si>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</si>
  <si>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</si>
  <si>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</si>
  <si>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</si>
  <si>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</si>
  <si>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</si>
  <si>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</si>
  <si>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</si>
  <si>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</si>
  <si>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</si>
  <si>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</si>
  <si>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</si>
  <si>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</si>
  <si>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</si>
  <si>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</si>
  <si>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</si>
  <si>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</si>
  <si>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</si>
  <si>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</si>
  <si>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</si>
  <si>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</si>
  <si>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</si>
  <si>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</si>
  <si>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</si>
  <si>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</si>
  <si>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</si>
  <si>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</si>
  <si>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</si>
  <si>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</si>
  <si>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>Row Labels</t>
  </si>
  <si>
    <t>Grand Total</t>
  </si>
  <si>
    <t>Sum of salary</t>
  </si>
  <si>
    <t>Average of salary</t>
  </si>
  <si>
    <t>Ravi</t>
  </si>
  <si>
    <t>Kant</t>
  </si>
  <si>
    <t>ravi.kant@sqltutorial.org</t>
  </si>
  <si>
    <t>average salary of all employees.</t>
  </si>
  <si>
    <t>Column Labels</t>
  </si>
  <si>
    <t>The top 5 employees with the highest salaries in each department.</t>
  </si>
  <si>
    <t>Count of employee_id</t>
  </si>
  <si>
    <t>Total Employees in Each Department.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</si>
</sst>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</font>
    <font>
      <sz val="11"/>
      <color rgb="FF000000"/>
      <name val="Aptos Narrow"/>
    </font>
    <font>
      <sz val="11"/>
      <color theme="1"/>
      <name val="Aptos Narrow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0" fontId="5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2" fontId="0" fillId="0" borderId="2" xfId="0" applyNumberFormat="1" applyBorder="1"/>
    <xf numFmtId="22" fontId="0" fillId="0" borderId="5" xfId="0" applyNumberFormat="1" applyBorder="1"/>
    <xf numFmtId="14" fontId="0" fillId="0" borderId="0" xfId="0" applyNumberFormat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" fontId="0" fillId="5" borderId="7" xfId="0" applyNumberForma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7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0" borderId="0" xfId="1" applyAlignment="1">
      <alignment horizontal="center"/>
    </xf>
    <xf numFmtId="1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0" fillId="6" borderId="0" xfId="0" applyFill="1"/>
  </cellXfs>
  <cellStyles count="2">
    <cellStyle name="Hyperlink" xfId="1" builtinId="8"/>
    <cellStyle name="Normal" xfId="0" builtinId="0"/>
  </cellStyles>
  <dxfs count="656"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7" formatCode="0.0"/>
    </dxf>
    <dxf>
      <numFmt numFmtId="1" formatCode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7" formatCode="0.0"/>
    </dxf>
    <dxf>
      <numFmt numFmtId="1" formatCode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1" formatCode="0"/>
    </dxf>
    <dxf>
      <numFmt numFmtId="167" formatCode="0.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ill>
        <patternFill>
          <bgColor rgb="FF74A0F0"/>
        </patternFill>
      </fill>
    </dxf>
    <dxf>
      <fill>
        <patternFill>
          <bgColor rgb="FFAFEBB0"/>
        </patternFill>
      </fill>
    </dxf>
    <dxf>
      <fill>
        <patternFill>
          <bgColor rgb="FFE0E28A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</dxfs>
  <tableStyles count="0" defaultTableStyle="TableStyleMedium2" defaultPivotStyle="PivotStyleLight16"/>
  <colors>
    <mruColors>
      <color rgb="FF74A0F0"/>
      <color rgb="FFE0E28A"/>
      <color rgb="FFAFEB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[employees_solution.xlsm]4 Power 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Salary by Departmeant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Power Pivot'!$C$4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Power Pivot'!$B$5:$B$16</c:f>
              <c:strCache>
                <c:ptCount val="11"/>
                <c:pt idx="0">
                  <c:v>Executive</c:v>
                </c:pt>
                <c:pt idx="1">
                  <c:v>Sales</c:v>
                </c:pt>
                <c:pt idx="2">
                  <c:v>Finance</c:v>
                </c:pt>
                <c:pt idx="3">
                  <c:v>Shipping</c:v>
                </c:pt>
                <c:pt idx="4">
                  <c:v>IT</c:v>
                </c:pt>
                <c:pt idx="5">
                  <c:v>Purchasing</c:v>
                </c:pt>
                <c:pt idx="6">
                  <c:v>Accounting</c:v>
                </c:pt>
                <c:pt idx="7">
                  <c:v>Marketing</c:v>
                </c:pt>
                <c:pt idx="8">
                  <c:v>Public Relations</c:v>
                </c:pt>
                <c:pt idx="9">
                  <c:v>Human Resources</c:v>
                </c:pt>
                <c:pt idx="10">
                  <c:v>Administration</c:v>
                </c:pt>
              </c:strCache>
            </c:strRef>
          </c:cat>
          <c:val>
            <c:numRef>
              <c:f>'4 Power Pivot'!$C$5:$C$16</c:f>
              <c:numCache>
                <c:formatCode>General</c:formatCode>
                <c:ptCount val="11"/>
                <c:pt idx="0">
                  <c:v>58000</c:v>
                </c:pt>
                <c:pt idx="1">
                  <c:v>57700</c:v>
                </c:pt>
                <c:pt idx="2">
                  <c:v>51600</c:v>
                </c:pt>
                <c:pt idx="3">
                  <c:v>41200</c:v>
                </c:pt>
                <c:pt idx="4">
                  <c:v>28800</c:v>
                </c:pt>
                <c:pt idx="5">
                  <c:v>24900</c:v>
                </c:pt>
                <c:pt idx="6">
                  <c:v>20300</c:v>
                </c:pt>
                <c:pt idx="7">
                  <c:v>19000</c:v>
                </c:pt>
                <c:pt idx="8">
                  <c:v>10000</c:v>
                </c:pt>
                <c:pt idx="9">
                  <c:v>6500</c:v>
                </c:pt>
                <c:pt idx="1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A-4655-924A-E2E172CFC7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3604304"/>
        <c:axId val="933608264"/>
      </c:barChart>
      <c:catAx>
        <c:axId val="93360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608264"/>
        <c:crosses val="autoZero"/>
        <c:auto val="1"/>
        <c:lblAlgn val="ctr"/>
        <c:lblOffset val="100"/>
        <c:noMultiLvlLbl val="0"/>
      </c:catAx>
      <c:valAx>
        <c:axId val="933608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360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[employees_solution.xlsm]5 Average Salary!PivotTable2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Distribution</a:t>
            </a:r>
            <a:r>
              <a:rPr lang="en-IN" baseline="0"/>
              <a:t> of Average Salary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 Average Salary'!$C$3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 Average Salary'!$B$4:$B$15</c:f>
              <c:strCache>
                <c:ptCount val="11"/>
                <c:pt idx="0">
                  <c:v>Executive</c:v>
                </c:pt>
                <c:pt idx="1">
                  <c:v>Accounting</c:v>
                </c:pt>
                <c:pt idx="2">
                  <c:v>Public Relations</c:v>
                </c:pt>
                <c:pt idx="3">
                  <c:v>Sales</c:v>
                </c:pt>
                <c:pt idx="4">
                  <c:v>Marketing</c:v>
                </c:pt>
                <c:pt idx="5">
                  <c:v>Finance</c:v>
                </c:pt>
                <c:pt idx="6">
                  <c:v>Human Resources</c:v>
                </c:pt>
                <c:pt idx="7">
                  <c:v>Shipping</c:v>
                </c:pt>
                <c:pt idx="8">
                  <c:v>IT</c:v>
                </c:pt>
                <c:pt idx="9">
                  <c:v>Administration</c:v>
                </c:pt>
                <c:pt idx="10">
                  <c:v>Purchasing</c:v>
                </c:pt>
              </c:strCache>
            </c:strRef>
          </c:cat>
          <c:val>
            <c:numRef>
              <c:f>'5 Average Salary'!$C$4:$C$15</c:f>
              <c:numCache>
                <c:formatCode>0</c:formatCode>
                <c:ptCount val="11"/>
                <c:pt idx="0">
                  <c:v>19333.333333333332</c:v>
                </c:pt>
                <c:pt idx="1">
                  <c:v>10150</c:v>
                </c:pt>
                <c:pt idx="2">
                  <c:v>10000</c:v>
                </c:pt>
                <c:pt idx="3">
                  <c:v>9616.6666666666661</c:v>
                </c:pt>
                <c:pt idx="4">
                  <c:v>9500</c:v>
                </c:pt>
                <c:pt idx="5">
                  <c:v>8600</c:v>
                </c:pt>
                <c:pt idx="6">
                  <c:v>6500</c:v>
                </c:pt>
                <c:pt idx="7">
                  <c:v>5885.7142857142853</c:v>
                </c:pt>
                <c:pt idx="8">
                  <c:v>5760</c:v>
                </c:pt>
                <c:pt idx="9">
                  <c:v>4400</c:v>
                </c:pt>
                <c:pt idx="10">
                  <c:v>4150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F-491D-B2E4-1DD47DBA05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3438344"/>
        <c:axId val="933439784"/>
      </c:barChart>
      <c:catAx>
        <c:axId val="933438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439784"/>
        <c:crosses val="autoZero"/>
        <c:auto val="1"/>
        <c:lblAlgn val="ctr"/>
        <c:lblOffset val="100"/>
        <c:noMultiLvlLbl val="0"/>
      </c:catAx>
      <c:valAx>
        <c:axId val="933439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3343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[employees_solution.xlsm]4 Power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Salary by Departmeant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Power Pivot'!$C$4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Power Pivot'!$B$5:$B$16</c:f>
              <c:strCache>
                <c:ptCount val="11"/>
                <c:pt idx="0">
                  <c:v>Executive</c:v>
                </c:pt>
                <c:pt idx="1">
                  <c:v>Sales</c:v>
                </c:pt>
                <c:pt idx="2">
                  <c:v>Finance</c:v>
                </c:pt>
                <c:pt idx="3">
                  <c:v>Shipping</c:v>
                </c:pt>
                <c:pt idx="4">
                  <c:v>IT</c:v>
                </c:pt>
                <c:pt idx="5">
                  <c:v>Purchasing</c:v>
                </c:pt>
                <c:pt idx="6">
                  <c:v>Accounting</c:v>
                </c:pt>
                <c:pt idx="7">
                  <c:v>Marketing</c:v>
                </c:pt>
                <c:pt idx="8">
                  <c:v>Public Relations</c:v>
                </c:pt>
                <c:pt idx="9">
                  <c:v>Human Resources</c:v>
                </c:pt>
                <c:pt idx="10">
                  <c:v>Administration</c:v>
                </c:pt>
              </c:strCache>
            </c:strRef>
          </c:cat>
          <c:val>
            <c:numRef>
              <c:f>'4 Power Pivot'!$C$5:$C$16</c:f>
              <c:numCache>
                <c:formatCode>General</c:formatCode>
                <c:ptCount val="11"/>
                <c:pt idx="0">
                  <c:v>58000</c:v>
                </c:pt>
                <c:pt idx="1">
                  <c:v>57700</c:v>
                </c:pt>
                <c:pt idx="2">
                  <c:v>51600</c:v>
                </c:pt>
                <c:pt idx="3">
                  <c:v>41200</c:v>
                </c:pt>
                <c:pt idx="4">
                  <c:v>28800</c:v>
                </c:pt>
                <c:pt idx="5">
                  <c:v>24900</c:v>
                </c:pt>
                <c:pt idx="6">
                  <c:v>20300</c:v>
                </c:pt>
                <c:pt idx="7">
                  <c:v>19000</c:v>
                </c:pt>
                <c:pt idx="8">
                  <c:v>10000</c:v>
                </c:pt>
                <c:pt idx="9">
                  <c:v>6500</c:v>
                </c:pt>
                <c:pt idx="1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A4F-9C67-81890C65C0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3604304"/>
        <c:axId val="933608264"/>
      </c:barChart>
      <c:catAx>
        <c:axId val="93360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608264"/>
        <c:crosses val="autoZero"/>
        <c:auto val="1"/>
        <c:lblAlgn val="ctr"/>
        <c:lblOffset val="100"/>
        <c:noMultiLvlLbl val="0"/>
      </c:catAx>
      <c:valAx>
        <c:axId val="933608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360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[employees_solution.xlsm]Pivot Table!PivotTable2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Employees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Table'!$H$4:$H$15</c:f>
              <c:strCache>
                <c:ptCount val="11"/>
                <c:pt idx="0">
                  <c:v>Shipping</c:v>
                </c:pt>
                <c:pt idx="1">
                  <c:v>Purchasing</c:v>
                </c:pt>
                <c:pt idx="2">
                  <c:v>Sales</c:v>
                </c:pt>
                <c:pt idx="3">
                  <c:v>Finance</c:v>
                </c:pt>
                <c:pt idx="4">
                  <c:v>IT</c:v>
                </c:pt>
                <c:pt idx="5">
                  <c:v>Executive</c:v>
                </c:pt>
                <c:pt idx="6">
                  <c:v>Marketing</c:v>
                </c:pt>
                <c:pt idx="7">
                  <c:v>Accounting</c:v>
                </c:pt>
                <c:pt idx="8">
                  <c:v>Administration</c:v>
                </c:pt>
                <c:pt idx="9">
                  <c:v>Human Resources</c:v>
                </c:pt>
                <c:pt idx="10">
                  <c:v>Public Relations</c:v>
                </c:pt>
              </c:strCache>
            </c:strRef>
          </c:cat>
          <c:val>
            <c:numRef>
              <c:f>'Pivot Table'!$I$4:$I$15</c:f>
              <c:numCache>
                <c:formatCode>General</c:formatCode>
                <c:ptCount val="11"/>
                <c:pt idx="0">
                  <c:v>7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A-4C2D-9CF7-F3578F2C6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1630447"/>
        <c:axId val="1201638127"/>
      </c:barChart>
      <c:catAx>
        <c:axId val="1201630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638127"/>
        <c:crosses val="autoZero"/>
        <c:auto val="1"/>
        <c:lblAlgn val="ctr"/>
        <c:lblOffset val="100"/>
        <c:noMultiLvlLbl val="0"/>
      </c:catAx>
      <c:valAx>
        <c:axId val="12016381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163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[employees_solution.xlsm]Pivot Table!PivotTable1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The top 5 employees with the highest salaries in each department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Table'!$B$3:$B$4</c:f>
              <c:strCache>
                <c:ptCount val="1"/>
                <c:pt idx="0">
                  <c:v>Executive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Steven</c:v>
                </c:pt>
                <c:pt idx="1">
                  <c:v>Neena</c:v>
                </c:pt>
                <c:pt idx="2">
                  <c:v>Lex</c:v>
                </c:pt>
                <c:pt idx="3">
                  <c:v>John</c:v>
                </c:pt>
                <c:pt idx="4">
                  <c:v>Karen</c:v>
                </c:pt>
              </c:strCache>
            </c:strRef>
          </c:cat>
          <c:val>
            <c:numRef>
              <c:f>'Pivot Table'!$B$5:$B$10</c:f>
              <c:numCache>
                <c:formatCode>General</c:formatCode>
                <c:ptCount val="5"/>
                <c:pt idx="0">
                  <c:v>24000</c:v>
                </c:pt>
                <c:pt idx="1">
                  <c:v>17000</c:v>
                </c:pt>
                <c:pt idx="2">
                  <c:v>17000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1-44A3-BE13-4CAE82CB15C8}"/>
            </c:ext>
          </c:extLst>
        </c:ser>
        <c:ser>
          <c:idx val="1"/>
          <c:order val="1"/>
          <c:tx>
            <c:strRef>
              <c:f>'Pivot Table'!$C$3:$C$4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Steven</c:v>
                </c:pt>
                <c:pt idx="1">
                  <c:v>Neena</c:v>
                </c:pt>
                <c:pt idx="2">
                  <c:v>Lex</c:v>
                </c:pt>
                <c:pt idx="3">
                  <c:v>John</c:v>
                </c:pt>
                <c:pt idx="4">
                  <c:v>Karen</c:v>
                </c:pt>
              </c:strCache>
            </c:strRef>
          </c:cat>
          <c:val>
            <c:numRef>
              <c:f>'Pivot Table'!$C$5:$C$10</c:f>
              <c:numCache>
                <c:formatCode>General</c:formatCode>
                <c:ptCount val="5"/>
                <c:pt idx="3">
                  <c:v>14000</c:v>
                </c:pt>
                <c:pt idx="4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1-44A3-BE13-4CAE82CB15C8}"/>
            </c:ext>
          </c:extLst>
        </c:ser>
        <c:ser>
          <c:idx val="2"/>
          <c:order val="2"/>
          <c:tx>
            <c:strRef>
              <c:f>'Pivot Table'!$D$3:$D$4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Steven</c:v>
                </c:pt>
                <c:pt idx="1">
                  <c:v>Neena</c:v>
                </c:pt>
                <c:pt idx="2">
                  <c:v>Lex</c:v>
                </c:pt>
                <c:pt idx="3">
                  <c:v>John</c:v>
                </c:pt>
                <c:pt idx="4">
                  <c:v>Karen</c:v>
                </c:pt>
              </c:strCache>
            </c:strRef>
          </c:cat>
          <c:val>
            <c:numRef>
              <c:f>'Pivot Table'!$D$5:$D$10</c:f>
              <c:numCache>
                <c:formatCode>General</c:formatCode>
                <c:ptCount val="5"/>
                <c:pt idx="3">
                  <c:v>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1-44A3-BE13-4CAE82CB15C8}"/>
            </c:ext>
          </c:extLst>
        </c:ser>
        <c:ser>
          <c:idx val="3"/>
          <c:order val="3"/>
          <c:tx>
            <c:strRef>
              <c:f>'Pivot Table'!$E$3:$E$4</c:f>
              <c:strCache>
                <c:ptCount val="1"/>
                <c:pt idx="0">
                  <c:v>Purchasing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Steven</c:v>
                </c:pt>
                <c:pt idx="1">
                  <c:v>Neena</c:v>
                </c:pt>
                <c:pt idx="2">
                  <c:v>Lex</c:v>
                </c:pt>
                <c:pt idx="3">
                  <c:v>John</c:v>
                </c:pt>
                <c:pt idx="4">
                  <c:v>Karen</c:v>
                </c:pt>
              </c:strCache>
            </c:strRef>
          </c:cat>
          <c:val>
            <c:numRef>
              <c:f>'Pivot Table'!$E$5:$E$10</c:f>
              <c:numCache>
                <c:formatCode>General</c:formatCode>
                <c:ptCount val="5"/>
                <c:pt idx="4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1-44A3-BE13-4CAE82CB15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01640047"/>
        <c:axId val="1201634287"/>
      </c:barChart>
      <c:catAx>
        <c:axId val="1201640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634287"/>
        <c:crosses val="autoZero"/>
        <c:auto val="1"/>
        <c:lblAlgn val="ctr"/>
        <c:lblOffset val="100"/>
        <c:noMultiLvlLbl val="0"/>
      </c:catAx>
      <c:valAx>
        <c:axId val="12016342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164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</xdr:colOff>
      <xdr:row>3</xdr:row>
      <xdr:rowOff>6350</xdr:rowOff>
    </xdr:from>
    <xdr:to>
      <xdr:col>10</xdr:col>
      <xdr:colOff>365125</xdr:colOff>
      <xdr:row>16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5D341A-D0AF-44F7-F9EB-29520FEE5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311150</xdr:colOff>
      <xdr:row>0</xdr:row>
      <xdr:rowOff>12700</xdr:rowOff>
    </xdr:from>
    <xdr:to>
      <xdr:col>6</xdr:col>
      <xdr:colOff>19050</xdr:colOff>
      <xdr:row>2</xdr:row>
      <xdr:rowOff>177800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82E4E2A-510A-BC7C-7E58-441970752C42}"/>
            </a:ext>
          </a:extLst>
        </xdr:cNvPr>
        <xdr:cNvSpPr/>
      </xdr:nvSpPr>
      <xdr:spPr>
        <a:xfrm>
          <a:off x="2012950" y="12700"/>
          <a:ext cx="2374900" cy="533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Department by Salary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15874</xdr:colOff>
      <xdr:row>2</xdr:row>
      <xdr:rowOff>12700</xdr:rowOff>
    </xdr:from>
    <xdr:to>
      <xdr:col>11</xdr:col>
      <xdr:colOff>82549</xdr:colOff>
      <xdr:row>15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E8882B-89AE-9B41-6D8A-659E2BB41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749300</xdr:colOff>
      <xdr:row>0</xdr:row>
      <xdr:rowOff>0</xdr:rowOff>
    </xdr:from>
    <xdr:to>
      <xdr:col>6</xdr:col>
      <xdr:colOff>260350</xdr:colOff>
      <xdr:row>1</xdr:row>
      <xdr:rowOff>165100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4A21FE-DA3F-44E9-89DE-16E73452D2E4}"/>
            </a:ext>
          </a:extLst>
        </xdr:cNvPr>
        <xdr:cNvSpPr/>
      </xdr:nvSpPr>
      <xdr:spPr>
        <a:xfrm>
          <a:off x="2451100" y="0"/>
          <a:ext cx="2374900" cy="3492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Average Salary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69850</xdr:colOff>
      <xdr:row>2</xdr:row>
      <xdr:rowOff>50800</xdr:rowOff>
    </xdr:from>
    <xdr:to>
      <xdr:col>13</xdr:col>
      <xdr:colOff>146050</xdr:colOff>
      <xdr:row>4</xdr:row>
      <xdr:rowOff>120650</xdr:rowOff>
    </xdr:to>
    <xdr:sp macro="[0]!employee" textlink="">
      <xdr:nvSpPr>
        <xdr:cNvPr id="2" name="Arrow: Left 1">
          <a:extLst>
            <a:ext uri="{FF2B5EF4-FFF2-40B4-BE49-F238E27FC236}">
              <a16:creationId xmlns:a16="http://schemas.microsoft.com/office/drawing/2014/main" id="{6B2172F2-123B-6FAF-14B5-854CB319BEA3}"/>
            </a:ext>
          </a:extLst>
        </xdr:cNvPr>
        <xdr:cNvSpPr/>
      </xdr:nvSpPr>
      <xdr:spPr>
        <a:xfrm>
          <a:off x="8166100" y="419100"/>
          <a:ext cx="190500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        Click</a:t>
          </a:r>
          <a:r>
            <a:rPr lang="en-IN" sz="1100" baseline="0"/>
            <a:t> here(Macro)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139700</xdr:colOff>
      <xdr:row>2</xdr:row>
      <xdr:rowOff>50800</xdr:rowOff>
    </xdr:from>
    <xdr:to>
      <xdr:col>14</xdr:col>
      <xdr:colOff>190500</xdr:colOff>
      <xdr:row>17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6B57CA-3F45-4269-9399-BF57E7C57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</xdr:row>
      <xdr:rowOff>57150</xdr:rowOff>
    </xdr:from>
    <xdr:to>
      <xdr:col>7</xdr:col>
      <xdr:colOff>133350</xdr:colOff>
      <xdr:row>17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B86F6D-D47C-41BF-BF1E-9338408C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196850</xdr:colOff>
      <xdr:row>2</xdr:row>
      <xdr:rowOff>44450</xdr:rowOff>
    </xdr:from>
    <xdr:to>
      <xdr:col>21</xdr:col>
      <xdr:colOff>501650</xdr:colOff>
      <xdr:row>17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7EFE52-7693-4D13-B2D8-9544E9749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87312</xdr:colOff>
      <xdr:row>0</xdr:row>
      <xdr:rowOff>39688</xdr:rowOff>
    </xdr:from>
    <xdr:to>
      <xdr:col>12</xdr:col>
      <xdr:colOff>17462</xdr:colOff>
      <xdr:row>2</xdr:row>
      <xdr:rowOff>23813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4329DFC-C898-483E-A6FE-2CC4386F60C3}"/>
            </a:ext>
          </a:extLst>
        </xdr:cNvPr>
        <xdr:cNvSpPr/>
      </xdr:nvSpPr>
      <xdr:spPr>
        <a:xfrm>
          <a:off x="4976812" y="39688"/>
          <a:ext cx="2374900" cy="3492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 Salary by Department</a:t>
          </a:r>
        </a:p>
      </xdr:txBody>
    </xdr:sp>
    <xdr:clientData/>
  </xdr:twoCellAnchor>
  <xdr:twoCellAnchor>
    <xdr:from>
      <xdr:col>0</xdr:col>
      <xdr:colOff>571500</xdr:colOff>
      <xdr:row>0</xdr:row>
      <xdr:rowOff>31751</xdr:rowOff>
    </xdr:from>
    <xdr:to>
      <xdr:col>4</xdr:col>
      <xdr:colOff>501650</xdr:colOff>
      <xdr:row>2</xdr:row>
      <xdr:rowOff>15876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4DE841F-77B5-451F-B2E0-183B5996A91A}"/>
            </a:ext>
          </a:extLst>
        </xdr:cNvPr>
        <xdr:cNvSpPr/>
      </xdr:nvSpPr>
      <xdr:spPr>
        <a:xfrm>
          <a:off x="571500" y="31751"/>
          <a:ext cx="2374900" cy="3492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 Distribution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Dashboard</a:t>
          </a:r>
          <a:endParaRPr lang="en-IN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309562</xdr:colOff>
      <xdr:row>0</xdr:row>
      <xdr:rowOff>39688</xdr:rowOff>
    </xdr:from>
    <xdr:to>
      <xdr:col>19</xdr:col>
      <xdr:colOff>239712</xdr:colOff>
      <xdr:row>2</xdr:row>
      <xdr:rowOff>23813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D6024F-E1AF-4DB2-8505-86588DA38BD7}"/>
            </a:ext>
          </a:extLst>
        </xdr:cNvPr>
        <xdr:cNvSpPr/>
      </xdr:nvSpPr>
      <xdr:spPr>
        <a:xfrm>
          <a:off x="9477375" y="39688"/>
          <a:ext cx="2374900" cy="3492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 KPI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Dashboard</a:t>
          </a:r>
          <a:endParaRPr lang="en-IN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 Kant" refreshedDate="45905.851358796295" createdVersion="5" refreshedVersion="8" minRefreshableVersion="3" recordCount="0" supportSubquery="1" supportAdvancedDrill="1" xr:uid="{91ABD7A3-53B2-43AC-AAF8-E25174F66DE7}">
  <cacheSource type="external" connectionId="5"/>
  <cacheFields count="2">
    <cacheField name="[Table8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16" level="32767"/>
  </cacheFields>
  <cacheHierarchies count="20">
    <cacheHierarchy uniqueName="[Table8].[department_id]" caption="department_id" attribute="1" defaultMemberUniqueName="[Table8].[department_id].[All]" allUniqueName="[Table8].[department_id].[All]" dimensionUniqueName="[Table8]" displayFolder="" count="0" memberValueDatatype="20" unbalanced="0"/>
    <cacheHierarchy uniqueName="[Table8].[department_name]" caption="department_name" attribute="1" defaultMemberUniqueName="[Table8].[department_name].[All]" allUniqueName="[Table8].[department_name].[All]" dimensionUniqueName="[Table8]" displayFolder="" count="2" memberValueDatatype="130" unbalanced="0">
      <fieldsUsage count="2">
        <fieldUsage x="-1"/>
        <fieldUsage x="0"/>
      </fieldsUsage>
    </cacheHierarchy>
    <cacheHierarchy uniqueName="[Table8].[location_id]" caption="location_id" attribute="1" defaultMemberUniqueName="[Table8].[location_id].[All]" allUniqueName="[Table8].[location_id].[All]" dimensionUniqueName="[Table8]" displayFolder="" count="0" memberValueDatatype="20" unbalanced="0"/>
    <cacheHierarchy uniqueName="[Table9].[employee_id]" caption="employee_id" attribute="1" defaultMemberUniqueName="[Table9].[employee_id].[All]" allUniqueName="[Table9].[employee_id].[All]" dimensionUniqueName="[Table9]" displayFolder="" count="0" memberValueDatatype="20" unbalanced="0"/>
    <cacheHierarchy uniqueName="[Table9].[first_name]" caption="first_name" attribute="1" defaultMemberUniqueName="[Table9].[first_name].[All]" allUniqueName="[Table9].[first_name].[All]" dimensionUniqueName="[Table9]" displayFolder="" count="0" memberValueDatatype="130" unbalanced="0"/>
    <cacheHierarchy uniqueName="[Table9].[last_name]" caption="last_name" attribute="1" defaultMemberUniqueName="[Table9].[last_name].[All]" allUniqueName="[Table9].[last_name].[All]" dimensionUniqueName="[Table9]" displayFolder="" count="0" memberValueDatatype="130" unbalanced="0"/>
    <cacheHierarchy uniqueName="[Table9].[email]" caption="email" attribute="1" defaultMemberUniqueName="[Table9].[email].[All]" allUniqueName="[Table9].[email].[All]" dimensionUniqueName="[Table9]" displayFolder="" count="0" memberValueDatatype="130" unbalanced="0"/>
    <cacheHierarchy uniqueName="[Table9].[phone_number]" caption="phone_number" attribute="1" defaultMemberUniqueName="[Table9].[phone_number].[All]" allUniqueName="[Table9].[phone_number].[All]" dimensionUniqueName="[Table9]" displayFolder="" count="0" memberValueDatatype="130" unbalanced="0"/>
    <cacheHierarchy uniqueName="[Table9].[hire_date]" caption="hire_date" attribute="1" time="1" defaultMemberUniqueName="[Table9].[hire_date].[All]" allUniqueName="[Table9].[hire_date].[All]" dimensionUniqueName="[Table9]" displayFolder="" count="0" memberValueDatatype="7" unbalanced="0"/>
    <cacheHierarchy uniqueName="[Table9].[job_id]" caption="job_id" attribute="1" defaultMemberUniqueName="[Table9].[job_id].[All]" allUniqueName="[Table9].[job_id].[All]" dimensionUniqueName="[Table9]" displayFolder="" count="0" memberValueDatatype="20" unbalanced="0"/>
    <cacheHierarchy uniqueName="[Table9].[salary]" caption="salary" attribute="1" defaultMemberUniqueName="[Table9].[salary].[All]" allUniqueName="[Table9].[salary].[All]" dimensionUniqueName="[Table9]" displayFolder="" count="0" memberValueDatatype="20" unbalanced="0"/>
    <cacheHierarchy uniqueName="[Table9].[manager_id]" caption="manager_id" attribute="1" defaultMemberUniqueName="[Table9].[manager_id].[All]" allUniqueName="[Table9].[manager_id].[All]" dimensionUniqueName="[Table9]" displayFolder="" count="0" memberValueDatatype="20" unbalanced="0"/>
    <cacheHierarchy uniqueName="[Table9].[department_id]" caption="department_id" attribute="1" defaultMemberUniqueName="[Table9].[department_id].[All]" allUniqueName="[Table9].[department_id].[All]" dimensionUniqueName="[Table9]" displayFolder="" count="0" memberValueDatatype="20" unbalanced="0"/>
    <cacheHierarchy uniqueName="[Measures].[__XL_Count Table8]" caption="__XL_Count Table8" measure="1" displayFolder="" measureGroup="Table8" count="0" hidden="1"/>
    <cacheHierarchy uniqueName="[Measures].[__XL_Count Table9]" caption="__XL_Count Table9" measure="1" displayFolder="" measureGroup="Table9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9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employee_id]" caption="Sum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mployee_id]" caption="Count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able8" uniqueName="[Table8]" caption="Table8"/>
    <dimension name="Table9" uniqueName="[Table9]" caption="Table9"/>
  </dimensions>
  <measureGroups count="2">
    <measureGroup name="Table8" caption="Table8"/>
    <measureGroup name="Table9" caption="Table9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 Kant" refreshedDate="45905.858741666663" createdVersion="5" refreshedVersion="8" minRefreshableVersion="3" recordCount="0" supportSubquery="1" supportAdvancedDrill="1" xr:uid="{39813FC5-7BF5-4DB1-B1E9-57C9DF85F6FF}">
  <cacheSource type="external" connectionId="5"/>
  <cacheFields count="2">
    <cacheField name="[Table8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Average of salary]" caption="Average of salary" numFmtId="0" hierarchy="17" level="32767"/>
  </cacheFields>
  <cacheHierarchies count="20">
    <cacheHierarchy uniqueName="[Table8].[department_id]" caption="department_id" attribute="1" defaultMemberUniqueName="[Table8].[department_id].[All]" allUniqueName="[Table8].[department_id].[All]" dimensionUniqueName="[Table8]" displayFolder="" count="0" memberValueDatatype="20" unbalanced="0"/>
    <cacheHierarchy uniqueName="[Table8].[department_name]" caption="department_name" attribute="1" defaultMemberUniqueName="[Table8].[department_name].[All]" allUniqueName="[Table8].[department_name].[All]" dimensionUniqueName="[Table8]" displayFolder="" count="2" memberValueDatatype="130" unbalanced="0">
      <fieldsUsage count="2">
        <fieldUsage x="-1"/>
        <fieldUsage x="0"/>
      </fieldsUsage>
    </cacheHierarchy>
    <cacheHierarchy uniqueName="[Table8].[location_id]" caption="location_id" attribute="1" defaultMemberUniqueName="[Table8].[location_id].[All]" allUniqueName="[Table8].[location_id].[All]" dimensionUniqueName="[Table8]" displayFolder="" count="0" memberValueDatatype="20" unbalanced="0"/>
    <cacheHierarchy uniqueName="[Table9].[employee_id]" caption="employee_id" attribute="1" defaultMemberUniqueName="[Table9].[employee_id].[All]" allUniqueName="[Table9].[employee_id].[All]" dimensionUniqueName="[Table9]" displayFolder="" count="0" memberValueDatatype="20" unbalanced="0"/>
    <cacheHierarchy uniqueName="[Table9].[first_name]" caption="first_name" attribute="1" defaultMemberUniqueName="[Table9].[first_name].[All]" allUniqueName="[Table9].[first_name].[All]" dimensionUniqueName="[Table9]" displayFolder="" count="0" memberValueDatatype="130" unbalanced="0"/>
    <cacheHierarchy uniqueName="[Table9].[last_name]" caption="last_name" attribute="1" defaultMemberUniqueName="[Table9].[last_name].[All]" allUniqueName="[Table9].[last_name].[All]" dimensionUniqueName="[Table9]" displayFolder="" count="0" memberValueDatatype="130" unbalanced="0"/>
    <cacheHierarchy uniqueName="[Table9].[email]" caption="email" attribute="1" defaultMemberUniqueName="[Table9].[email].[All]" allUniqueName="[Table9].[email].[All]" dimensionUniqueName="[Table9]" displayFolder="" count="0" memberValueDatatype="130" unbalanced="0"/>
    <cacheHierarchy uniqueName="[Table9].[phone_number]" caption="phone_number" attribute="1" defaultMemberUniqueName="[Table9].[phone_number].[All]" allUniqueName="[Table9].[phone_number].[All]" dimensionUniqueName="[Table9]" displayFolder="" count="0" memberValueDatatype="130" unbalanced="0"/>
    <cacheHierarchy uniqueName="[Table9].[hire_date]" caption="hire_date" attribute="1" time="1" defaultMemberUniqueName="[Table9].[hire_date].[All]" allUniqueName="[Table9].[hire_date].[All]" dimensionUniqueName="[Table9]" displayFolder="" count="0" memberValueDatatype="7" unbalanced="0"/>
    <cacheHierarchy uniqueName="[Table9].[job_id]" caption="job_id" attribute="1" defaultMemberUniqueName="[Table9].[job_id].[All]" allUniqueName="[Table9].[job_id].[All]" dimensionUniqueName="[Table9]" displayFolder="" count="0" memberValueDatatype="20" unbalanced="0"/>
    <cacheHierarchy uniqueName="[Table9].[salary]" caption="salary" attribute="1" defaultMemberUniqueName="[Table9].[salary].[All]" allUniqueName="[Table9].[salary].[All]" dimensionUniqueName="[Table9]" displayFolder="" count="0" memberValueDatatype="20" unbalanced="0"/>
    <cacheHierarchy uniqueName="[Table9].[manager_id]" caption="manager_id" attribute="1" defaultMemberUniqueName="[Table9].[manager_id].[All]" allUniqueName="[Table9].[manager_id].[All]" dimensionUniqueName="[Table9]" displayFolder="" count="0" memberValueDatatype="20" unbalanced="0"/>
    <cacheHierarchy uniqueName="[Table9].[department_id]" caption="department_id" attribute="1" defaultMemberUniqueName="[Table9].[department_id].[All]" allUniqueName="[Table9].[department_id].[All]" dimensionUniqueName="[Table9]" displayFolder="" count="0" memberValueDatatype="20" unbalanced="0"/>
    <cacheHierarchy uniqueName="[Measures].[__XL_Count Table8]" caption="__XL_Count Table8" measure="1" displayFolder="" measureGroup="Table8" count="0" hidden="1"/>
    <cacheHierarchy uniqueName="[Measures].[__XL_Count Table9]" caption="__XL_Count Table9" measure="1" displayFolder="" measureGroup="Table9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9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employee_id]" caption="Sum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mployee_id]" caption="Count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able8" uniqueName="[Table8]" caption="Table8"/>
    <dimension name="Table9" uniqueName="[Table9]" caption="Table9"/>
  </dimensions>
  <measureGroups count="2">
    <measureGroup name="Table8" caption="Table8"/>
    <measureGroup name="Table9" caption="Table9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 Kant" refreshedDate="45905.88590601852" createdVersion="5" refreshedVersion="8" minRefreshableVersion="3" recordCount="0" supportSubquery="1" supportAdvancedDrill="1" xr:uid="{B4531DC0-1192-4518-A9AB-35EBDB1D2958}">
  <cacheSource type="external" connectionId="5"/>
  <cacheFields count="3">
    <cacheField name="[Table9].[first_name].[first_name]" caption="first_name" numFmtId="0" hierarchy="4" level="1">
      <sharedItems count="5">
        <s v="John"/>
        <s v="Karen"/>
        <s v="Lex"/>
        <s v="Neena"/>
        <s v="Steven"/>
      </sharedItems>
    </cacheField>
    <cacheField name="[Measures].[Sum of salary]" caption="Sum of salary" numFmtId="0" hierarchy="16" level="32767"/>
    <cacheField name="[Table8].[department_name].[department_name]" caption="department_name" numFmtId="0" hierarchy="1" level="1">
      <sharedItems count="4">
        <s v="Executive"/>
        <s v="Finance"/>
        <s v="Purchasing"/>
        <s v="Sales"/>
      </sharedItems>
    </cacheField>
  </cacheFields>
  <cacheHierarchies count="20">
    <cacheHierarchy uniqueName="[Table8].[department_id]" caption="department_id" attribute="1" defaultMemberUniqueName="[Table8].[department_id].[All]" allUniqueName="[Table8].[department_id].[All]" dimensionUniqueName="[Table8]" displayFolder="" count="0" memberValueDatatype="20" unbalanced="0"/>
    <cacheHierarchy uniqueName="[Table8].[department_name]" caption="department_name" attribute="1" defaultMemberUniqueName="[Table8].[department_name].[All]" allUniqueName="[Table8].[department_name].[All]" dimensionUniqueName="[Table8]" displayFolder="" count="2" memberValueDatatype="130" unbalanced="0">
      <fieldsUsage count="2">
        <fieldUsage x="-1"/>
        <fieldUsage x="2"/>
      </fieldsUsage>
    </cacheHierarchy>
    <cacheHierarchy uniqueName="[Table8].[location_id]" caption="location_id" attribute="1" defaultMemberUniqueName="[Table8].[location_id].[All]" allUniqueName="[Table8].[location_id].[All]" dimensionUniqueName="[Table8]" displayFolder="" count="0" memberValueDatatype="20" unbalanced="0"/>
    <cacheHierarchy uniqueName="[Table9].[employee_id]" caption="employee_id" attribute="1" defaultMemberUniqueName="[Table9].[employee_id].[All]" allUniqueName="[Table9].[employee_id].[All]" dimensionUniqueName="[Table9]" displayFolder="" count="0" memberValueDatatype="20" unbalanced="0"/>
    <cacheHierarchy uniqueName="[Table9].[first_name]" caption="first_name" attribute="1" defaultMemberUniqueName="[Table9].[first_name].[All]" allUniqueName="[Table9].[first_name].[All]" dimensionUniqueName="[Table9]" displayFolder="" count="2" memberValueDatatype="130" unbalanced="0">
      <fieldsUsage count="2">
        <fieldUsage x="-1"/>
        <fieldUsage x="0"/>
      </fieldsUsage>
    </cacheHierarchy>
    <cacheHierarchy uniqueName="[Table9].[last_name]" caption="last_name" attribute="1" defaultMemberUniqueName="[Table9].[last_name].[All]" allUniqueName="[Table9].[last_name].[All]" dimensionUniqueName="[Table9]" displayFolder="" count="0" memberValueDatatype="130" unbalanced="0"/>
    <cacheHierarchy uniqueName="[Table9].[email]" caption="email" attribute="1" defaultMemberUniqueName="[Table9].[email].[All]" allUniqueName="[Table9].[email].[All]" dimensionUniqueName="[Table9]" displayFolder="" count="0" memberValueDatatype="130" unbalanced="0"/>
    <cacheHierarchy uniqueName="[Table9].[phone_number]" caption="phone_number" attribute="1" defaultMemberUniqueName="[Table9].[phone_number].[All]" allUniqueName="[Table9].[phone_number].[All]" dimensionUniqueName="[Table9]" displayFolder="" count="0" memberValueDatatype="130" unbalanced="0"/>
    <cacheHierarchy uniqueName="[Table9].[hire_date]" caption="hire_date" attribute="1" time="1" defaultMemberUniqueName="[Table9].[hire_date].[All]" allUniqueName="[Table9].[hire_date].[All]" dimensionUniqueName="[Table9]" displayFolder="" count="0" memberValueDatatype="7" unbalanced="0"/>
    <cacheHierarchy uniqueName="[Table9].[job_id]" caption="job_id" attribute="1" defaultMemberUniqueName="[Table9].[job_id].[All]" allUniqueName="[Table9].[job_id].[All]" dimensionUniqueName="[Table9]" displayFolder="" count="0" memberValueDatatype="20" unbalanced="0"/>
    <cacheHierarchy uniqueName="[Table9].[salary]" caption="salary" attribute="1" defaultMemberUniqueName="[Table9].[salary].[All]" allUniqueName="[Table9].[salary].[All]" dimensionUniqueName="[Table9]" displayFolder="" count="0" memberValueDatatype="20" unbalanced="0"/>
    <cacheHierarchy uniqueName="[Table9].[manager_id]" caption="manager_id" attribute="1" defaultMemberUniqueName="[Table9].[manager_id].[All]" allUniqueName="[Table9].[manager_id].[All]" dimensionUniqueName="[Table9]" displayFolder="" count="0" memberValueDatatype="20" unbalanced="0"/>
    <cacheHierarchy uniqueName="[Table9].[department_id]" caption="department_id" attribute="1" defaultMemberUniqueName="[Table9].[department_id].[All]" allUniqueName="[Table9].[department_id].[All]" dimensionUniqueName="[Table9]" displayFolder="" count="0" memberValueDatatype="20" unbalanced="0"/>
    <cacheHierarchy uniqueName="[Measures].[__XL_Count Table8]" caption="__XL_Count Table8" measure="1" displayFolder="" measureGroup="Table8" count="0" hidden="1"/>
    <cacheHierarchy uniqueName="[Measures].[__XL_Count Table9]" caption="__XL_Count Table9" measure="1" displayFolder="" measureGroup="Table9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9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employee_id]" caption="Sum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mployee_id]" caption="Count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able8" uniqueName="[Table8]" caption="Table8"/>
    <dimension name="Table9" uniqueName="[Table9]" caption="Table9"/>
  </dimensions>
  <measureGroups count="2">
    <measureGroup name="Table8" caption="Table8"/>
    <measureGroup name="Table9" caption="Table9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 Kant" refreshedDate="45905.893948611112" createdVersion="5" refreshedVersion="8" minRefreshableVersion="3" recordCount="0" supportSubquery="1" supportAdvancedDrill="1" xr:uid="{FF1562DA-4190-45CA-9481-BCF406152EEC}">
  <cacheSource type="external" connectionId="5"/>
  <cacheFields count="3">
    <cacheField name="[Table9].[first_name].[first_name]" caption="first_name" numFmtId="0" hierarchy="4" level="1">
      <sharedItems count="5">
        <s v="John"/>
        <s v="Karen"/>
        <s v="Lex"/>
        <s v="Neena"/>
        <s v="Steven"/>
      </sharedItems>
    </cacheField>
    <cacheField name="[Table8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Count of employee_id]" caption="Count of employee_id" numFmtId="0" hierarchy="19" level="32767"/>
  </cacheFields>
  <cacheHierarchies count="20">
    <cacheHierarchy uniqueName="[Table8].[department_id]" caption="department_id" attribute="1" defaultMemberUniqueName="[Table8].[department_id].[All]" allUniqueName="[Table8].[department_id].[All]" dimensionUniqueName="[Table8]" displayFolder="" count="0" memberValueDatatype="20" unbalanced="0"/>
    <cacheHierarchy uniqueName="[Table8].[department_name]" caption="department_name" attribute="1" defaultMemberUniqueName="[Table8].[department_name].[All]" allUniqueName="[Table8].[department_name].[All]" dimensionUniqueName="[Table8]" displayFolder="" count="2" memberValueDatatype="130" unbalanced="0">
      <fieldsUsage count="2">
        <fieldUsage x="-1"/>
        <fieldUsage x="1"/>
      </fieldsUsage>
    </cacheHierarchy>
    <cacheHierarchy uniqueName="[Table8].[location_id]" caption="location_id" attribute="1" defaultMemberUniqueName="[Table8].[location_id].[All]" allUniqueName="[Table8].[location_id].[All]" dimensionUniqueName="[Table8]" displayFolder="" count="0" memberValueDatatype="20" unbalanced="0"/>
    <cacheHierarchy uniqueName="[Table9].[employee_id]" caption="employee_id" attribute="1" defaultMemberUniqueName="[Table9].[employee_id].[All]" allUniqueName="[Table9].[employee_id].[All]" dimensionUniqueName="[Table9]" displayFolder="" count="0" memberValueDatatype="20" unbalanced="0"/>
    <cacheHierarchy uniqueName="[Table9].[first_name]" caption="first_name" attribute="1" defaultMemberUniqueName="[Table9].[first_name].[All]" allUniqueName="[Table9].[first_name].[All]" dimensionUniqueName="[Table9]" displayFolder="" count="2" memberValueDatatype="130" unbalanced="0">
      <fieldsUsage count="2">
        <fieldUsage x="-1"/>
        <fieldUsage x="0"/>
      </fieldsUsage>
    </cacheHierarchy>
    <cacheHierarchy uniqueName="[Table9].[last_name]" caption="last_name" attribute="1" defaultMemberUniqueName="[Table9].[last_name].[All]" allUniqueName="[Table9].[last_name].[All]" dimensionUniqueName="[Table9]" displayFolder="" count="0" memberValueDatatype="130" unbalanced="0"/>
    <cacheHierarchy uniqueName="[Table9].[email]" caption="email" attribute="1" defaultMemberUniqueName="[Table9].[email].[All]" allUniqueName="[Table9].[email].[All]" dimensionUniqueName="[Table9]" displayFolder="" count="0" memberValueDatatype="130" unbalanced="0"/>
    <cacheHierarchy uniqueName="[Table9].[phone_number]" caption="phone_number" attribute="1" defaultMemberUniqueName="[Table9].[phone_number].[All]" allUniqueName="[Table9].[phone_number].[All]" dimensionUniqueName="[Table9]" displayFolder="" count="0" memberValueDatatype="130" unbalanced="0"/>
    <cacheHierarchy uniqueName="[Table9].[hire_date]" caption="hire_date" attribute="1" time="1" defaultMemberUniqueName="[Table9].[hire_date].[All]" allUniqueName="[Table9].[hire_date].[All]" dimensionUniqueName="[Table9]" displayFolder="" count="0" memberValueDatatype="7" unbalanced="0"/>
    <cacheHierarchy uniqueName="[Table9].[job_id]" caption="job_id" attribute="1" defaultMemberUniqueName="[Table9].[job_id].[All]" allUniqueName="[Table9].[job_id].[All]" dimensionUniqueName="[Table9]" displayFolder="" count="0" memberValueDatatype="20" unbalanced="0"/>
    <cacheHierarchy uniqueName="[Table9].[salary]" caption="salary" attribute="1" defaultMemberUniqueName="[Table9].[salary].[All]" allUniqueName="[Table9].[salary].[All]" dimensionUniqueName="[Table9]" displayFolder="" count="0" memberValueDatatype="20" unbalanced="0"/>
    <cacheHierarchy uniqueName="[Table9].[manager_id]" caption="manager_id" attribute="1" defaultMemberUniqueName="[Table9].[manager_id].[All]" allUniqueName="[Table9].[manager_id].[All]" dimensionUniqueName="[Table9]" displayFolder="" count="0" memberValueDatatype="20" unbalanced="0"/>
    <cacheHierarchy uniqueName="[Table9].[department_id]" caption="department_id" attribute="1" defaultMemberUniqueName="[Table9].[department_id].[All]" allUniqueName="[Table9].[department_id].[All]" dimensionUniqueName="[Table9]" displayFolder="" count="0" memberValueDatatype="20" unbalanced="0"/>
    <cacheHierarchy uniqueName="[Measures].[__XL_Count Table8]" caption="__XL_Count Table8" measure="1" displayFolder="" measureGroup="Table8" count="0" hidden="1"/>
    <cacheHierarchy uniqueName="[Measures].[__XL_Count Table9]" caption="__XL_Count Table9" measure="1" displayFolder="" measureGroup="Table9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employee_id]" caption="Sum of employee_id" measure="1" displayFolder="" measureGroup="Table9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mployee_id]" caption="Count of employee_id" measure="1" displayFolder="" measureGroup="Table9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able8" uniqueName="[Table8]" caption="Table8"/>
    <dimension name="Table9" uniqueName="[Table9]" caption="Table9"/>
  </dimensions>
  <measureGroups count="2">
    <measureGroup name="Table8" caption="Table8"/>
    <measureGroup name="Table9" caption="Table9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0C5C5-0E4C-4BE9-9225-7477B1451EB8}" name="PivotTable1" cacheId="59" applyNumberFormats="0" applyBorderFormats="0" applyFontFormats="0" applyPatternFormats="0" applyAlignmentFormats="0" applyWidthHeightFormats="1" dataCaption="Values" tag="7122d29e-dd90-41f5-a7f6-8d626a0e06af" updatedVersion="8" minRefreshableVersion="3" useAutoFormatting="1" itemPrintTitles="1" createdVersion="5" indent="0" outline="1" outlineData="1" multipleFieldFilters="0" chartFormat="7">
  <location ref="B4:C16" firstHeaderRow="1" firstDataRow="1" firstDataCol="1"/>
  <pivotFields count="2">
    <pivotField axis="axisRow"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2">
    <i>
      <x v="2"/>
    </i>
    <i>
      <x v="9"/>
    </i>
    <i>
      <x v="3"/>
    </i>
    <i>
      <x v="10"/>
    </i>
    <i>
      <x v="5"/>
    </i>
    <i>
      <x v="8"/>
    </i>
    <i>
      <x/>
    </i>
    <i>
      <x v="6"/>
    </i>
    <i>
      <x v="7"/>
    </i>
    <i>
      <x v="4"/>
    </i>
    <i>
      <x v="1"/>
    </i>
    <i t="grand">
      <x/>
    </i>
  </rowItems>
  <colItems count="1">
    <i/>
  </colItems>
  <dataFields count="1">
    <dataField name="Sum of salary" fld="1" baseField="0" baseItem="0"/>
  </dataFields>
  <formats count="24">
    <format dxfId="635">
      <pivotArea type="all" dataOnly="0" outline="0" fieldPosition="0"/>
    </format>
    <format dxfId="634">
      <pivotArea outline="0" collapsedLevelsAreSubtotals="1" fieldPosition="0"/>
    </format>
    <format dxfId="633">
      <pivotArea field="0" type="button" dataOnly="0" labelOnly="1" outline="0" axis="axisRow" fieldPosition="0"/>
    </format>
    <format dxfId="632">
      <pivotArea dataOnly="0" labelOnly="1" fieldPosition="0">
        <references count="1">
          <reference field="0" count="0"/>
        </references>
      </pivotArea>
    </format>
    <format dxfId="631">
      <pivotArea dataOnly="0" labelOnly="1" grandRow="1" outline="0" fieldPosition="0"/>
    </format>
    <format dxfId="630">
      <pivotArea dataOnly="0" labelOnly="1" outline="0" axis="axisValues" fieldPosition="0"/>
    </format>
    <format dxfId="629">
      <pivotArea type="all" dataOnly="0" outline="0" fieldPosition="0"/>
    </format>
    <format dxfId="628">
      <pivotArea outline="0" collapsedLevelsAreSubtotals="1" fieldPosition="0"/>
    </format>
    <format dxfId="627">
      <pivotArea field="0" type="button" dataOnly="0" labelOnly="1" outline="0" axis="axisRow" fieldPosition="0"/>
    </format>
    <format dxfId="626">
      <pivotArea dataOnly="0" labelOnly="1" fieldPosition="0">
        <references count="1">
          <reference field="0" count="0"/>
        </references>
      </pivotArea>
    </format>
    <format dxfId="625">
      <pivotArea dataOnly="0" labelOnly="1" grandRow="1" outline="0" fieldPosition="0"/>
    </format>
    <format dxfId="624">
      <pivotArea dataOnly="0" labelOnly="1" outline="0" axis="axisValues" fieldPosition="0"/>
    </format>
    <format dxfId="583">
      <pivotArea type="all" dataOnly="0" outline="0" fieldPosition="0"/>
    </format>
    <format dxfId="582">
      <pivotArea outline="0" collapsedLevelsAreSubtotals="1" fieldPosition="0"/>
    </format>
    <format dxfId="581">
      <pivotArea field="0" type="button" dataOnly="0" labelOnly="1" outline="0" axis="axisRow" fieldPosition="0"/>
    </format>
    <format dxfId="580">
      <pivotArea dataOnly="0" labelOnly="1" fieldPosition="0">
        <references count="1">
          <reference field="0" count="0"/>
        </references>
      </pivotArea>
    </format>
    <format dxfId="579">
      <pivotArea dataOnly="0" labelOnly="1" grandRow="1" outline="0" fieldPosition="0"/>
    </format>
    <format dxfId="578">
      <pivotArea dataOnly="0" labelOnly="1" outline="0" axis="axisValues" fieldPosition="0"/>
    </format>
    <format dxfId="577">
      <pivotArea type="all" dataOnly="0" outline="0" fieldPosition="0"/>
    </format>
    <format dxfId="576">
      <pivotArea outline="0" collapsedLevelsAreSubtotals="1" fieldPosition="0"/>
    </format>
    <format dxfId="575">
      <pivotArea field="0" type="button" dataOnly="0" labelOnly="1" outline="0" axis="axisRow" fieldPosition="0"/>
    </format>
    <format dxfId="574">
      <pivotArea dataOnly="0" labelOnly="1" fieldPosition="0">
        <references count="1">
          <reference field="0" count="0"/>
        </references>
      </pivotArea>
    </format>
    <format dxfId="573">
      <pivotArea dataOnly="0" labelOnly="1" grandRow="1" outline="0" fieldPosition="0"/>
    </format>
    <format dxfId="572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8]"/>
        <x15:activeTabTopLevelEntity name="[Table9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1CE9E-997A-4A49-B278-78F5FBB6970D}" name="PivotTable2" cacheId="60" applyNumberFormats="0" applyBorderFormats="0" applyFontFormats="0" applyPatternFormats="0" applyAlignmentFormats="0" applyWidthHeightFormats="1" dataCaption="Values" tag="61a16faa-6cd6-4340-aa50-bca7515e7598" updatedVersion="8" minRefreshableVersion="3" useAutoFormatting="1" itemPrintTitles="1" createdVersion="5" indent="0" outline="1" outlineData="1" multipleFieldFilters="0" chartFormat="5">
  <location ref="B3:C15" firstHeaderRow="1" firstDataRow="1" firstDataCol="1"/>
  <pivotFields count="2">
    <pivotField axis="axisRow"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2">
    <i>
      <x v="2"/>
    </i>
    <i>
      <x/>
    </i>
    <i>
      <x v="7"/>
    </i>
    <i>
      <x v="9"/>
    </i>
    <i>
      <x v="6"/>
    </i>
    <i>
      <x v="3"/>
    </i>
    <i>
      <x v="4"/>
    </i>
    <i>
      <x v="10"/>
    </i>
    <i>
      <x v="5"/>
    </i>
    <i>
      <x v="1"/>
    </i>
    <i>
      <x v="8"/>
    </i>
    <i t="grand">
      <x/>
    </i>
  </rowItems>
  <colItems count="1">
    <i/>
  </colItems>
  <dataFields count="1">
    <dataField name="Average of salary" fld="1" subtotal="average" baseField="0" baseItem="0" numFmtId="1"/>
  </dataFields>
  <formats count="26">
    <format dxfId="623">
      <pivotArea collapsedLevelsAreSubtotals="1" fieldPosition="0">
        <references count="1">
          <reference field="0" count="0"/>
        </references>
      </pivotArea>
    </format>
    <format dxfId="622">
      <pivotArea outline="0" collapsedLevelsAreSubtotals="1" fieldPosition="0"/>
    </format>
    <format dxfId="621">
      <pivotArea type="all" dataOnly="0" outline="0" fieldPosition="0"/>
    </format>
    <format dxfId="620">
      <pivotArea outline="0" collapsedLevelsAreSubtotals="1" fieldPosition="0"/>
    </format>
    <format dxfId="619">
      <pivotArea field="0" type="button" dataOnly="0" labelOnly="1" outline="0" axis="axisRow" fieldPosition="0"/>
    </format>
    <format dxfId="618">
      <pivotArea dataOnly="0" labelOnly="1" fieldPosition="0">
        <references count="1">
          <reference field="0" count="0"/>
        </references>
      </pivotArea>
    </format>
    <format dxfId="617">
      <pivotArea dataOnly="0" labelOnly="1" grandRow="1" outline="0" fieldPosition="0"/>
    </format>
    <format dxfId="616">
      <pivotArea dataOnly="0" labelOnly="1" outline="0" axis="axisValues" fieldPosition="0"/>
    </format>
    <format dxfId="615">
      <pivotArea type="all" dataOnly="0" outline="0" fieldPosition="0"/>
    </format>
    <format dxfId="614">
      <pivotArea outline="0" collapsedLevelsAreSubtotals="1" fieldPosition="0"/>
    </format>
    <format dxfId="613">
      <pivotArea field="0" type="button" dataOnly="0" labelOnly="1" outline="0" axis="axisRow" fieldPosition="0"/>
    </format>
    <format dxfId="612">
      <pivotArea dataOnly="0" labelOnly="1" fieldPosition="0">
        <references count="1">
          <reference field="0" count="0"/>
        </references>
      </pivotArea>
    </format>
    <format dxfId="611">
      <pivotArea dataOnly="0" labelOnly="1" grandRow="1" outline="0" fieldPosition="0"/>
    </format>
    <format dxfId="610">
      <pivotArea dataOnly="0" labelOnly="1" outline="0" axis="axisValues" fieldPosition="0"/>
    </format>
    <format dxfId="595">
      <pivotArea type="all" dataOnly="0" outline="0" fieldPosition="0"/>
    </format>
    <format dxfId="594">
      <pivotArea outline="0" collapsedLevelsAreSubtotals="1" fieldPosition="0"/>
    </format>
    <format dxfId="593">
      <pivotArea field="0" type="button" dataOnly="0" labelOnly="1" outline="0" axis="axisRow" fieldPosition="0"/>
    </format>
    <format dxfId="592">
      <pivotArea dataOnly="0" labelOnly="1" fieldPosition="0">
        <references count="1">
          <reference field="0" count="0"/>
        </references>
      </pivotArea>
    </format>
    <format dxfId="591">
      <pivotArea dataOnly="0" labelOnly="1" grandRow="1" outline="0" fieldPosition="0"/>
    </format>
    <format dxfId="590">
      <pivotArea dataOnly="0" labelOnly="1" outline="0" axis="axisValues" fieldPosition="0"/>
    </format>
    <format dxfId="589">
      <pivotArea type="all" dataOnly="0" outline="0" fieldPosition="0"/>
    </format>
    <format dxfId="588">
      <pivotArea outline="0" collapsedLevelsAreSubtotals="1" fieldPosition="0"/>
    </format>
    <format dxfId="587">
      <pivotArea field="0" type="button" dataOnly="0" labelOnly="1" outline="0" axis="axisRow" fieldPosition="0"/>
    </format>
    <format dxfId="586">
      <pivotArea dataOnly="0" labelOnly="1" fieldPosition="0">
        <references count="1">
          <reference field="0" count="0"/>
        </references>
      </pivotArea>
    </format>
    <format dxfId="585">
      <pivotArea dataOnly="0" labelOnly="1" grandRow="1" outline="0" fieldPosition="0"/>
    </format>
    <format dxfId="58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erage of salary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8]"/>
        <x15:activeTabTopLevelEntity name="[Table9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2F21A-C686-410D-A30E-17F2FA05460B}" name="PivotTable2" cacheId="67" applyNumberFormats="0" applyBorderFormats="0" applyFontFormats="0" applyPatternFormats="0" applyAlignmentFormats="0" applyWidthHeightFormats="1" dataCaption="Values" tag="7122d29e-dd90-41f5-a7f6-8d626a0e06af" updatedVersion="8" minRefreshableVersion="3" useAutoFormatting="1" subtotalHiddenItems="1" itemPrintTitles="1" createdVersion="5" indent="0" outline="1" outlineData="1" multipleFieldFilters="0" chartFormat="6">
  <location ref="H3:I15" firstHeaderRow="1" firstDataRow="1" firstDataCol="1"/>
  <pivotFields count="3">
    <pivotField allDrilled="1" subtotalTop="0" showAll="0" measureFilter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sortType="descending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1"/>
  </rowFields>
  <rowItems count="12">
    <i>
      <x v="10"/>
    </i>
    <i>
      <x v="8"/>
    </i>
    <i>
      <x v="9"/>
    </i>
    <i>
      <x v="3"/>
    </i>
    <i>
      <x v="5"/>
    </i>
    <i>
      <x v="2"/>
    </i>
    <i>
      <x v="6"/>
    </i>
    <i>
      <x/>
    </i>
    <i>
      <x v="1"/>
    </i>
    <i>
      <x v="4"/>
    </i>
    <i>
      <x v="7"/>
    </i>
    <i t="grand">
      <x/>
    </i>
  </rowItems>
  <colItems count="1">
    <i/>
  </colItems>
  <dataFields count="1">
    <dataField name="Count of employee_id" fld="2" subtotal="count" baseField="1" baseItem="0"/>
  </dataFields>
  <formats count="20">
    <format dxfId="320">
      <pivotArea type="all" dataOnly="0" outline="0" fieldPosition="0"/>
    </format>
    <format dxfId="321">
      <pivotArea outline="0" collapsedLevelsAreSubtotals="1" fieldPosition="0"/>
    </format>
    <format dxfId="322">
      <pivotArea dataOnly="0" labelOnly="1" grandRow="1" outline="0" fieldPosition="0"/>
    </format>
    <format dxfId="323">
      <pivotArea dataOnly="0" labelOnly="1" outline="0" axis="axisValues" fieldPosition="0"/>
    </format>
    <format dxfId="324">
      <pivotArea type="all" dataOnly="0" outline="0" fieldPosition="0"/>
    </format>
    <format dxfId="325">
      <pivotArea outline="0" collapsedLevelsAreSubtotals="1" fieldPosition="0"/>
    </format>
    <format dxfId="326">
      <pivotArea dataOnly="0" labelOnly="1" grandRow="1" outline="0" fieldPosition="0"/>
    </format>
    <format dxfId="327">
      <pivotArea dataOnly="0" labelOnly="1" outline="0" axis="axisValues" fieldPosition="0"/>
    </format>
    <format dxfId="328">
      <pivotArea type="all" dataOnly="0" outline="0" fieldPosition="0"/>
    </format>
    <format dxfId="329">
      <pivotArea outline="0" collapsedLevelsAreSubtotals="1" fieldPosition="0"/>
    </format>
    <format dxfId="330">
      <pivotArea dataOnly="0" labelOnly="1" grandRow="1" outline="0" fieldPosition="0"/>
    </format>
    <format dxfId="331">
      <pivotArea dataOnly="0" labelOnly="1" outline="0" axis="axisValues" fieldPosition="0"/>
    </format>
    <format dxfId="332">
      <pivotArea type="all" dataOnly="0" outline="0" fieldPosition="0"/>
    </format>
    <format dxfId="333">
      <pivotArea outline="0" collapsedLevelsAreSubtotals="1" fieldPosition="0"/>
    </format>
    <format dxfId="334">
      <pivotArea dataOnly="0" labelOnly="1" grandRow="1" outline="0" fieldPosition="0"/>
    </format>
    <format dxfId="335">
      <pivotArea dataOnly="0" labelOnly="1" outline="0" axis="axisValues" fieldPosition="0"/>
    </format>
    <format dxfId="336">
      <pivotArea type="all" dataOnly="0" outline="0" fieldPosition="0"/>
    </format>
    <format dxfId="337">
      <pivotArea outline="0" collapsedLevelsAreSubtotals="1" fieldPosition="0"/>
    </format>
    <format dxfId="338">
      <pivotArea dataOnly="0" labelOnly="1" grandRow="1" outline="0" fieldPosition="0"/>
    </format>
    <format dxfId="339">
      <pivotArea dataOnly="0" labelOnly="1" outline="0" axis="axisValues" fieldPosition="0"/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 of employee_id"/>
  </pivotHierarchies>
  <pivotTableStyleInfo name="PivotStyleLight16" showRowHeaders="1" showColHeaders="1" showRowStripes="0" showColStripes="0" showLastColumn="1"/>
  <filters count="1">
    <filter fld="0" type="count" id="1" iMeasureHier="16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8]"/>
        <x15:activeTabTopLevelEntity name="[Table9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92B5C-C206-4552-B22C-69104420D824}" name="PivotTable1" cacheId="62" applyNumberFormats="0" applyBorderFormats="0" applyFontFormats="0" applyPatternFormats="0" applyAlignmentFormats="0" applyWidthHeightFormats="1" dataCaption="Values" tag="7122d29e-dd90-41f5-a7f6-8d626a0e06af" updatedVersion="8" minRefreshableVersion="3" useAutoFormatting="1" subtotalHiddenItems="1" itemPrintTitles="1" createdVersion="5" indent="0" outline="1" outlineData="1" multipleFieldFilters="0" chartFormat="6">
  <location ref="A3:F10" firstHeaderRow="1" firstDataRow="2" firstDataCol="1"/>
  <pivotFields count="3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6">
    <i>
      <x v="4"/>
    </i>
    <i>
      <x v="3"/>
    </i>
    <i>
      <x v="2"/>
    </i>
    <i>
      <x/>
    </i>
    <i>
      <x v="1"/>
    </i>
    <i t="grand">
      <x/>
    </i>
  </rowItems>
  <colFields count="1">
    <field x="2"/>
  </colFields>
  <colItems count="5">
    <i>
      <x/>
    </i>
    <i>
      <x v="3"/>
    </i>
    <i>
      <x v="1"/>
    </i>
    <i>
      <x v="2"/>
    </i>
    <i t="grand">
      <x/>
    </i>
  </colItems>
  <dataFields count="1">
    <dataField name="Sum of salary" fld="1" baseField="0" baseItem="0"/>
  </dataFields>
  <formats count="20">
    <format dxfId="400">
      <pivotArea type="all" dataOnly="0" outline="0" fieldPosition="0"/>
    </format>
    <format dxfId="401">
      <pivotArea outline="0" collapsedLevelsAreSubtotals="1" fieldPosition="0"/>
    </format>
    <format dxfId="402">
      <pivotArea dataOnly="0" labelOnly="1" grandRow="1" outline="0" fieldPosition="0"/>
    </format>
    <format dxfId="403">
      <pivotArea dataOnly="0" labelOnly="1" outline="0" axis="axisValues" fieldPosition="0"/>
    </format>
    <format dxfId="404">
      <pivotArea type="all" dataOnly="0" outline="0" fieldPosition="0"/>
    </format>
    <format dxfId="405">
      <pivotArea outline="0" collapsedLevelsAreSubtotals="1" fieldPosition="0"/>
    </format>
    <format dxfId="406">
      <pivotArea dataOnly="0" labelOnly="1" grandRow="1" outline="0" fieldPosition="0"/>
    </format>
    <format dxfId="407">
      <pivotArea dataOnly="0" labelOnly="1" outline="0" axis="axisValues" fieldPosition="0"/>
    </format>
    <format dxfId="408">
      <pivotArea type="all" dataOnly="0" outline="0" fieldPosition="0"/>
    </format>
    <format dxfId="409">
      <pivotArea outline="0" collapsedLevelsAreSubtotals="1" fieldPosition="0"/>
    </format>
    <format dxfId="410">
      <pivotArea dataOnly="0" labelOnly="1" grandRow="1" outline="0" fieldPosition="0"/>
    </format>
    <format dxfId="411">
      <pivotArea dataOnly="0" labelOnly="1" outline="0" axis="axisValues" fieldPosition="0"/>
    </format>
    <format dxfId="412">
      <pivotArea type="all" dataOnly="0" outline="0" fieldPosition="0"/>
    </format>
    <format dxfId="413">
      <pivotArea outline="0" collapsedLevelsAreSubtotals="1" fieldPosition="0"/>
    </format>
    <format dxfId="414">
      <pivotArea dataOnly="0" labelOnly="1" grandRow="1" outline="0" fieldPosition="0"/>
    </format>
    <format dxfId="415">
      <pivotArea dataOnly="0" labelOnly="1" outline="0" axis="axisValues" fieldPosition="0"/>
    </format>
    <format dxfId="416">
      <pivotArea type="all" dataOnly="0" outline="0" fieldPosition="0"/>
    </format>
    <format dxfId="417">
      <pivotArea outline="0" collapsedLevelsAreSubtotals="1" fieldPosition="0"/>
    </format>
    <format dxfId="418">
      <pivotArea dataOnly="0" labelOnly="1" grandRow="1" outline="0" fieldPosition="0"/>
    </format>
    <format dxfId="419">
      <pivotArea dataOnly="0" labelOnly="1" outline="0" axis="axisValues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16">
      <autoFilter ref="A1">
        <filterColumn colId="0">
          <top10 val="5" filterVal="5"/>
        </filterColumn>
      </autoFilter>
    </filter>
  </filters>
  <rowHierarchiesUsage count="1">
    <rowHierarchyUsage hierarchyUsage="4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8]"/>
        <x15:activeTabTopLevelEntity name="[Table9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79223D2-CC8E-456E-A657-49C4994C5AC7}" autoFormatId="16" applyNumberFormats="0" applyBorderFormats="0" applyFontFormats="0" applyPatternFormats="0" applyAlignmentFormats="0" applyWidthHeightFormats="0">
  <queryTableRefresh nextId="10">
    <queryTableFields count="9">
      <queryTableField id="1" name="employee_id" tableColumnId="1"/>
      <queryTableField id="2" name="Full_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A5D308E-A2A9-4432-85E3-0712ED702289}" autoFormatId="16" applyNumberFormats="0" applyBorderFormats="0" applyFontFormats="0" applyPatternFormats="0" applyAlignmentFormats="0" applyWidthHeightFormats="0">
  <queryTableRefresh nextId="13">
    <queryTableFields count="12">
      <queryTableField id="1" name="employee_id" tableColumnId="1"/>
      <queryTableField id="2" name="first_name" tableColumnId="2"/>
      <queryTableField id="3" name="last_name" tableColumnId="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department_name" tableColumnId="11"/>
      <queryTableField id="12" name="location_id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627A4ED-E6D1-4243-8DFD-2D88A80145D9}" name="Table9" displayName="Table9" ref="A1:J41" totalsRowShown="0" headerRowDxfId="655" dataDxfId="654">
  <tableColumns count="10">
    <tableColumn id="1" xr3:uid="{EA3E083F-49DF-4DBA-8241-AF156C9F41F1}" name="employee_id" dataDxfId="653"/>
    <tableColumn id="2" xr3:uid="{63EA4572-430C-4C58-A150-9CA9A8388BBE}" name="first_name" dataDxfId="652"/>
    <tableColumn id="3" xr3:uid="{D5231460-A1EE-4E21-ACAB-ECDCF022475C}" name="last_name" dataDxfId="651"/>
    <tableColumn id="4" xr3:uid="{37B4B84F-B041-4FA7-8D1D-8F444ED88F45}" name="email" dataDxfId="650"/>
    <tableColumn id="5" xr3:uid="{E9CB2413-ACB3-4A94-B43C-4B3DDC205C78}" name="phone_number" dataDxfId="649"/>
    <tableColumn id="6" xr3:uid="{4CE56CA2-BAC6-46B2-AD06-C297EC499863}" name="hire_date" dataDxfId="648"/>
    <tableColumn id="7" xr3:uid="{192A33B2-A9BE-4365-B979-1935B5221E81}" name="job_id" dataDxfId="647"/>
    <tableColumn id="8" xr3:uid="{36441EA5-021E-41B4-8C7E-1711EF58FAA3}" name="salary" dataDxfId="646"/>
    <tableColumn id="9" xr3:uid="{04353242-4D33-4E13-8784-5D67FA7EBD07}" name="manager_id" dataDxfId="645"/>
    <tableColumn id="10" xr3:uid="{C4941B28-2451-4F2F-BBDF-F66620CAD3D3}" name="department_id" dataDxfId="64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499C1F-6A20-4894-8048-C0048349DADC}" name="Table8" displayName="Table8" ref="A1:C12" totalsRowShown="0" headerRowDxfId="643" dataDxfId="642">
  <tableColumns count="3">
    <tableColumn id="1" xr3:uid="{31AD13C7-8D85-41EB-A96D-C53D87BE792D}" name="department_id" dataDxfId="641"/>
    <tableColumn id="2" xr3:uid="{9CF45A5B-5B21-4F83-BA12-D6732D429F58}" name="department_name" dataDxfId="640"/>
    <tableColumn id="3" xr3:uid="{B1108D48-8247-4730-AAA5-12A3A76F5A9B}" name="location_id" dataDxfId="63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905A7C-9BAC-4009-A1ED-9E62012649F8}" name="Table6_1" displayName="Table6_1" ref="A1:I41" tableType="queryTable" totalsRowShown="0" headerRowDxfId="562" dataDxfId="561">
  <tableColumns count="9">
    <tableColumn id="1" xr3:uid="{8918E40A-3C4F-48D5-9095-EBE74E807C52}" uniqueName="1" name="employee_id" queryTableFieldId="1" dataDxfId="571"/>
    <tableColumn id="2" xr3:uid="{92680BE9-2AA3-4564-A866-8B93948178D0}" uniqueName="2" name="Full_name" queryTableFieldId="2" dataDxfId="570"/>
    <tableColumn id="3" xr3:uid="{E65E5836-EFE6-455B-838D-D54141C96852}" uniqueName="3" name="email" queryTableFieldId="3" dataDxfId="569"/>
    <tableColumn id="4" xr3:uid="{D6219FB4-C14E-4526-B8F5-BE8CA7E4ECE8}" uniqueName="4" name="phone_number" queryTableFieldId="4" dataDxfId="568"/>
    <tableColumn id="5" xr3:uid="{0F68AFAB-5A81-453A-A0A1-2007D52BBFBC}" uniqueName="5" name="hire_date" queryTableFieldId="5" dataDxfId="567"/>
    <tableColumn id="6" xr3:uid="{26D6D22D-E559-47CB-81AA-944A7C48CC6C}" uniqueName="6" name="job_id" queryTableFieldId="6" dataDxfId="566"/>
    <tableColumn id="7" xr3:uid="{17D9A9E2-881D-4760-A4A1-AB6868281640}" uniqueName="7" name="salary" queryTableFieldId="7" dataDxfId="565"/>
    <tableColumn id="8" xr3:uid="{CF1ED356-34DF-4917-8769-BB3F5F8170A1}" uniqueName="8" name="manager_id" queryTableFieldId="8" dataDxfId="564"/>
    <tableColumn id="9" xr3:uid="{9D25462B-EDA9-44BC-95C3-B2E7286EA07A}" uniqueName="9" name="department_id" queryTableFieldId="9" dataDxfId="56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FBA8953-1B71-41B2-8474-60963105A259}" name="Table12_1" displayName="Table12_1" ref="A1:L41" tableType="queryTable" totalsRowShown="0" headerRowDxfId="597" dataDxfId="596">
  <tableColumns count="12">
    <tableColumn id="1" xr3:uid="{AAEBA5AF-FB29-43F6-82B5-B7CF8844D12A}" uniqueName="1" name="employee_id" queryTableFieldId="1" dataDxfId="609"/>
    <tableColumn id="2" xr3:uid="{FF380398-DBC2-4DE5-858A-7F00BAF632C5}" uniqueName="2" name="first_name" queryTableFieldId="2" dataDxfId="608"/>
    <tableColumn id="3" xr3:uid="{B5843E9B-D05E-4E10-9611-1B69DB74A4AC}" uniqueName="3" name="last_name" queryTableFieldId="3" dataDxfId="607"/>
    <tableColumn id="4" xr3:uid="{FF741E7D-2196-4A36-BCC9-563ECD624F99}" uniqueName="4" name="email" queryTableFieldId="4" dataDxfId="606"/>
    <tableColumn id="5" xr3:uid="{92EA958E-6700-4F80-A5DB-45C08D2B75A4}" uniqueName="5" name="phone_number" queryTableFieldId="5" dataDxfId="605"/>
    <tableColumn id="6" xr3:uid="{DDE4E40D-F42B-4E6F-976E-D870C6ABE78C}" uniqueName="6" name="hire_date" queryTableFieldId="6" dataDxfId="604"/>
    <tableColumn id="7" xr3:uid="{7A815DBE-24CB-4445-8E10-F400D811606D}" uniqueName="7" name="job_id" queryTableFieldId="7" dataDxfId="603"/>
    <tableColumn id="8" xr3:uid="{BAA3CA84-1A4A-4E08-B325-92CE79B9B724}" uniqueName="8" name="salary" queryTableFieldId="8" dataDxfId="602"/>
    <tableColumn id="9" xr3:uid="{02CF36AC-A8E0-435A-8BCE-7D8AC40B50B4}" uniqueName="9" name="manager_id" queryTableFieldId="9" dataDxfId="601"/>
    <tableColumn id="10" xr3:uid="{79BBFB40-98D4-4405-80A8-F4632A29EEB3}" uniqueName="10" name="department_id" queryTableFieldId="10" dataDxfId="600"/>
    <tableColumn id="11" xr3:uid="{6F948592-5431-4686-A799-B897DCDB726A}" uniqueName="11" name="department_name" queryTableFieldId="11" dataDxfId="599"/>
    <tableColumn id="12" xr3:uid="{74458C70-66CB-44EF-BCC9-2DA980490FC2}" uniqueName="12" name="location_id" queryTableFieldId="12" dataDxfId="59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601A3-5DFD-41C4-9431-1F8E0F0027E9}">
  <sheetPr>
    <tabColor theme="9" tint="0.59999389629810485"/>
  </sheetPr>
  <dimension ref="A1:J41"/>
  <sheetViews>
    <sheetView workbookViewId="0"/>
  </sheetViews>
  <sheetFormatPr defaultRowHeight="14.5" x14ac:dyDescent="0.35"/>
  <cols>
    <col min="1" max="1" width="13.453125" customWidth="1"/>
    <col min="2" max="2" width="11.7265625" customWidth="1"/>
    <col min="3" max="3" width="11.453125" customWidth="1"/>
    <col min="4" max="4" width="29.6328125" bestFit="1" customWidth="1"/>
    <col min="5" max="5" width="15.453125" customWidth="1"/>
    <col min="6" max="6" width="10.6328125" customWidth="1"/>
    <col min="7" max="7" width="7.90625" customWidth="1"/>
    <col min="8" max="8" width="7.81640625" customWidth="1"/>
    <col min="9" max="9" width="12.54296875" customWidth="1"/>
    <col min="10" max="10" width="15.089843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0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5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5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5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5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5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5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496A7-384F-4CE5-9DD5-D43DEB3A7187}">
  <sheetPr>
    <tabColor theme="9" tint="0.59999389629810485"/>
  </sheetPr>
  <dimension ref="A1:C12"/>
  <sheetViews>
    <sheetView workbookViewId="0"/>
  </sheetViews>
  <sheetFormatPr defaultRowHeight="14.5" x14ac:dyDescent="0.35"/>
  <cols>
    <col min="1" max="1" width="15.08984375" customWidth="1"/>
    <col min="2" max="2" width="18.1796875" customWidth="1"/>
    <col min="3" max="3" width="12.08984375" customWidth="1"/>
  </cols>
  <sheetData>
    <row r="1" spans="1:3" x14ac:dyDescent="0.35">
      <c r="A1" s="5" t="s">
        <v>9</v>
      </c>
      <c r="B1" s="5" t="s">
        <v>161</v>
      </c>
      <c r="C1" s="5" t="s">
        <v>162</v>
      </c>
    </row>
    <row r="2" spans="1:3" x14ac:dyDescent="0.35">
      <c r="A2" s="6">
        <v>1</v>
      </c>
      <c r="B2" s="6" t="s">
        <v>163</v>
      </c>
      <c r="C2" s="6">
        <v>1700</v>
      </c>
    </row>
    <row r="3" spans="1:3" x14ac:dyDescent="0.35">
      <c r="A3" s="6">
        <v>2</v>
      </c>
      <c r="B3" s="6" t="s">
        <v>164</v>
      </c>
      <c r="C3" s="6">
        <v>1800</v>
      </c>
    </row>
    <row r="4" spans="1:3" x14ac:dyDescent="0.35">
      <c r="A4" s="6">
        <v>3</v>
      </c>
      <c r="B4" s="6" t="s">
        <v>165</v>
      </c>
      <c r="C4" s="6">
        <v>1700</v>
      </c>
    </row>
    <row r="5" spans="1:3" x14ac:dyDescent="0.35">
      <c r="A5" s="6">
        <v>4</v>
      </c>
      <c r="B5" s="6" t="s">
        <v>166</v>
      </c>
      <c r="C5" s="6">
        <v>2400</v>
      </c>
    </row>
    <row r="6" spans="1:3" x14ac:dyDescent="0.35">
      <c r="A6" s="6">
        <v>5</v>
      </c>
      <c r="B6" s="6" t="s">
        <v>167</v>
      </c>
      <c r="C6" s="6">
        <v>1500</v>
      </c>
    </row>
    <row r="7" spans="1:3" x14ac:dyDescent="0.35">
      <c r="A7" s="6">
        <v>6</v>
      </c>
      <c r="B7" s="6" t="s">
        <v>168</v>
      </c>
      <c r="C7" s="6">
        <v>1400</v>
      </c>
    </row>
    <row r="8" spans="1:3" x14ac:dyDescent="0.35">
      <c r="A8" s="6">
        <v>7</v>
      </c>
      <c r="B8" s="6" t="s">
        <v>169</v>
      </c>
      <c r="C8" s="6">
        <v>2700</v>
      </c>
    </row>
    <row r="9" spans="1:3" x14ac:dyDescent="0.35">
      <c r="A9" s="6">
        <v>8</v>
      </c>
      <c r="B9" s="6" t="s">
        <v>170</v>
      </c>
      <c r="C9" s="6">
        <v>2500</v>
      </c>
    </row>
    <row r="10" spans="1:3" x14ac:dyDescent="0.35">
      <c r="A10" s="6">
        <v>9</v>
      </c>
      <c r="B10" s="6" t="s">
        <v>171</v>
      </c>
      <c r="C10" s="6">
        <v>1700</v>
      </c>
    </row>
    <row r="11" spans="1:3" x14ac:dyDescent="0.35">
      <c r="A11" s="6">
        <v>10</v>
      </c>
      <c r="B11" s="6" t="s">
        <v>172</v>
      </c>
      <c r="C11" s="6">
        <v>1700</v>
      </c>
    </row>
    <row r="12" spans="1:3" x14ac:dyDescent="0.35">
      <c r="A12" s="6">
        <v>11</v>
      </c>
      <c r="B12" s="6" t="s">
        <v>173</v>
      </c>
      <c r="C12" s="6">
        <v>1700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1B10B-C5E0-45FB-B219-5781C32E36F1}">
  <sheetPr>
    <tabColor rgb="FF0070C0"/>
  </sheetPr>
  <dimension ref="A1:J41"/>
  <sheetViews>
    <sheetView workbookViewId="0"/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0" x14ac:dyDescent="0.3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</row>
    <row r="2" spans="1:10" x14ac:dyDescent="0.35">
      <c r="A2" s="34">
        <v>100</v>
      </c>
      <c r="B2" s="34" t="s">
        <v>10</v>
      </c>
      <c r="C2" s="34" t="s">
        <v>11</v>
      </c>
      <c r="D2" s="34" t="s">
        <v>12</v>
      </c>
      <c r="E2" s="34" t="s">
        <v>13</v>
      </c>
      <c r="F2" s="35">
        <v>31945</v>
      </c>
      <c r="G2" s="34">
        <v>4</v>
      </c>
      <c r="H2" s="34">
        <v>24000</v>
      </c>
      <c r="I2" s="36"/>
      <c r="J2" s="34">
        <v>9</v>
      </c>
    </row>
    <row r="3" spans="1:10" x14ac:dyDescent="0.35">
      <c r="A3" s="34">
        <v>101</v>
      </c>
      <c r="B3" s="34" t="s">
        <v>14</v>
      </c>
      <c r="C3" s="34" t="s">
        <v>15</v>
      </c>
      <c r="D3" s="34" t="s">
        <v>16</v>
      </c>
      <c r="E3" s="34" t="s">
        <v>17</v>
      </c>
      <c r="F3" s="35">
        <v>32772</v>
      </c>
      <c r="G3" s="34">
        <v>5</v>
      </c>
      <c r="H3" s="34">
        <v>17000</v>
      </c>
      <c r="I3" s="34">
        <v>100</v>
      </c>
      <c r="J3" s="34">
        <v>9</v>
      </c>
    </row>
    <row r="4" spans="1:10" x14ac:dyDescent="0.35">
      <c r="A4" s="34">
        <v>102</v>
      </c>
      <c r="B4" s="34" t="s">
        <v>18</v>
      </c>
      <c r="C4" s="34" t="s">
        <v>19</v>
      </c>
      <c r="D4" s="34" t="s">
        <v>20</v>
      </c>
      <c r="E4" s="34" t="s">
        <v>21</v>
      </c>
      <c r="F4" s="35">
        <v>33982</v>
      </c>
      <c r="G4" s="34">
        <v>5</v>
      </c>
      <c r="H4" s="34">
        <v>17000</v>
      </c>
      <c r="I4" s="34">
        <v>100</v>
      </c>
      <c r="J4" s="34">
        <v>9</v>
      </c>
    </row>
    <row r="5" spans="1:10" x14ac:dyDescent="0.35">
      <c r="A5" s="34">
        <v>103</v>
      </c>
      <c r="B5" s="34" t="s">
        <v>22</v>
      </c>
      <c r="C5" s="34" t="s">
        <v>23</v>
      </c>
      <c r="D5" s="34" t="s">
        <v>24</v>
      </c>
      <c r="E5" s="34" t="s">
        <v>25</v>
      </c>
      <c r="F5" s="35">
        <v>32876</v>
      </c>
      <c r="G5" s="34">
        <v>9</v>
      </c>
      <c r="H5" s="34">
        <v>9000</v>
      </c>
      <c r="I5" s="34">
        <v>102</v>
      </c>
      <c r="J5" s="34">
        <v>6</v>
      </c>
    </row>
    <row r="6" spans="1:10" x14ac:dyDescent="0.35">
      <c r="A6" s="34">
        <v>104</v>
      </c>
      <c r="B6" s="34" t="s">
        <v>26</v>
      </c>
      <c r="C6" s="34" t="s">
        <v>27</v>
      </c>
      <c r="D6" s="34" t="s">
        <v>28</v>
      </c>
      <c r="E6" s="34" t="s">
        <v>29</v>
      </c>
      <c r="F6" s="35">
        <v>33379</v>
      </c>
      <c r="G6" s="34">
        <v>9</v>
      </c>
      <c r="H6" s="34">
        <v>6000</v>
      </c>
      <c r="I6" s="34">
        <v>103</v>
      </c>
      <c r="J6" s="34">
        <v>6</v>
      </c>
    </row>
    <row r="7" spans="1:10" x14ac:dyDescent="0.35">
      <c r="A7" s="34">
        <v>105</v>
      </c>
      <c r="B7" s="34" t="s">
        <v>30</v>
      </c>
      <c r="C7" s="34" t="s">
        <v>31</v>
      </c>
      <c r="D7" s="34" t="s">
        <v>32</v>
      </c>
      <c r="E7" s="34" t="s">
        <v>33</v>
      </c>
      <c r="F7" s="35">
        <v>35606</v>
      </c>
      <c r="G7" s="34">
        <v>9</v>
      </c>
      <c r="H7" s="34">
        <v>4800</v>
      </c>
      <c r="I7" s="34">
        <v>103</v>
      </c>
      <c r="J7" s="34">
        <v>6</v>
      </c>
    </row>
    <row r="8" spans="1:10" x14ac:dyDescent="0.35">
      <c r="A8" s="34">
        <v>106</v>
      </c>
      <c r="B8" s="34" t="s">
        <v>34</v>
      </c>
      <c r="C8" s="34" t="s">
        <v>35</v>
      </c>
      <c r="D8" s="34" t="s">
        <v>36</v>
      </c>
      <c r="E8" s="34" t="s">
        <v>37</v>
      </c>
      <c r="F8" s="35">
        <v>35831</v>
      </c>
      <c r="G8" s="34">
        <v>9</v>
      </c>
      <c r="H8" s="34">
        <v>4800</v>
      </c>
      <c r="I8" s="34">
        <v>103</v>
      </c>
      <c r="J8" s="34">
        <v>6</v>
      </c>
    </row>
    <row r="9" spans="1:10" x14ac:dyDescent="0.35">
      <c r="A9" s="34">
        <v>107</v>
      </c>
      <c r="B9" s="34" t="s">
        <v>38</v>
      </c>
      <c r="C9" s="34" t="s">
        <v>39</v>
      </c>
      <c r="D9" s="34" t="s">
        <v>40</v>
      </c>
      <c r="E9" s="34" t="s">
        <v>41</v>
      </c>
      <c r="F9" s="35">
        <v>36198</v>
      </c>
      <c r="G9" s="34">
        <v>9</v>
      </c>
      <c r="H9" s="34">
        <v>4200</v>
      </c>
      <c r="I9" s="34">
        <v>103</v>
      </c>
      <c r="J9" s="34">
        <v>6</v>
      </c>
    </row>
    <row r="10" spans="1:10" x14ac:dyDescent="0.35">
      <c r="A10" s="34">
        <v>108</v>
      </c>
      <c r="B10" s="34" t="s">
        <v>42</v>
      </c>
      <c r="C10" s="34" t="s">
        <v>43</v>
      </c>
      <c r="D10" s="34" t="s">
        <v>44</v>
      </c>
      <c r="E10" s="34" t="s">
        <v>45</v>
      </c>
      <c r="F10" s="35">
        <v>34563</v>
      </c>
      <c r="G10" s="34">
        <v>7</v>
      </c>
      <c r="H10" s="34">
        <v>12000</v>
      </c>
      <c r="I10" s="34">
        <v>101</v>
      </c>
      <c r="J10" s="34">
        <v>10</v>
      </c>
    </row>
    <row r="11" spans="1:10" x14ac:dyDescent="0.35">
      <c r="A11" s="34">
        <v>109</v>
      </c>
      <c r="B11" s="34" t="s">
        <v>46</v>
      </c>
      <c r="C11" s="34" t="s">
        <v>47</v>
      </c>
      <c r="D11" s="34" t="s">
        <v>48</v>
      </c>
      <c r="E11" s="34" t="s">
        <v>49</v>
      </c>
      <c r="F11" s="35">
        <v>34562</v>
      </c>
      <c r="G11" s="34">
        <v>6</v>
      </c>
      <c r="H11" s="34">
        <v>9000</v>
      </c>
      <c r="I11" s="34">
        <v>108</v>
      </c>
      <c r="J11" s="34">
        <v>10</v>
      </c>
    </row>
    <row r="12" spans="1:10" x14ac:dyDescent="0.35">
      <c r="A12" s="34">
        <v>110</v>
      </c>
      <c r="B12" s="34" t="s">
        <v>50</v>
      </c>
      <c r="C12" s="34" t="s">
        <v>51</v>
      </c>
      <c r="D12" s="34" t="s">
        <v>52</v>
      </c>
      <c r="E12" s="34" t="s">
        <v>53</v>
      </c>
      <c r="F12" s="35">
        <v>35701</v>
      </c>
      <c r="G12" s="34">
        <v>6</v>
      </c>
      <c r="H12" s="34">
        <v>8200</v>
      </c>
      <c r="I12" s="34">
        <v>108</v>
      </c>
      <c r="J12" s="34">
        <v>10</v>
      </c>
    </row>
    <row r="13" spans="1:10" x14ac:dyDescent="0.35">
      <c r="A13" s="34">
        <v>111</v>
      </c>
      <c r="B13" s="34" t="s">
        <v>54</v>
      </c>
      <c r="C13" s="34" t="s">
        <v>55</v>
      </c>
      <c r="D13" s="34" t="s">
        <v>56</v>
      </c>
      <c r="E13" s="34" t="s">
        <v>57</v>
      </c>
      <c r="F13" s="35">
        <v>35703</v>
      </c>
      <c r="G13" s="34">
        <v>6</v>
      </c>
      <c r="H13" s="34">
        <v>7700</v>
      </c>
      <c r="I13" s="34">
        <v>108</v>
      </c>
      <c r="J13" s="34">
        <v>10</v>
      </c>
    </row>
    <row r="14" spans="1:10" x14ac:dyDescent="0.35">
      <c r="A14" s="34">
        <v>112</v>
      </c>
      <c r="B14" s="34" t="s">
        <v>58</v>
      </c>
      <c r="C14" s="34" t="s">
        <v>59</v>
      </c>
      <c r="D14" s="34" t="s">
        <v>60</v>
      </c>
      <c r="E14" s="34" t="s">
        <v>61</v>
      </c>
      <c r="F14" s="35">
        <v>35861</v>
      </c>
      <c r="G14" s="34">
        <v>6</v>
      </c>
      <c r="H14" s="34">
        <v>7800</v>
      </c>
      <c r="I14" s="34">
        <v>108</v>
      </c>
      <c r="J14" s="34">
        <v>10</v>
      </c>
    </row>
    <row r="15" spans="1:10" x14ac:dyDescent="0.35">
      <c r="A15" s="34">
        <v>113</v>
      </c>
      <c r="B15" s="34" t="s">
        <v>62</v>
      </c>
      <c r="C15" s="34" t="s">
        <v>63</v>
      </c>
      <c r="D15" s="34" t="s">
        <v>64</v>
      </c>
      <c r="E15" s="34" t="s">
        <v>65</v>
      </c>
      <c r="F15" s="35">
        <v>36501</v>
      </c>
      <c r="G15" s="34">
        <v>6</v>
      </c>
      <c r="H15" s="34">
        <v>6900</v>
      </c>
      <c r="I15" s="34">
        <v>108</v>
      </c>
      <c r="J15" s="34">
        <v>10</v>
      </c>
    </row>
    <row r="16" spans="1:10" x14ac:dyDescent="0.35">
      <c r="A16" s="34">
        <v>114</v>
      </c>
      <c r="B16" s="34" t="s">
        <v>66</v>
      </c>
      <c r="C16" s="34" t="s">
        <v>67</v>
      </c>
      <c r="D16" s="34" t="s">
        <v>68</v>
      </c>
      <c r="E16" s="34" t="s">
        <v>69</v>
      </c>
      <c r="F16" s="35">
        <v>34675</v>
      </c>
      <c r="G16" s="34">
        <v>14</v>
      </c>
      <c r="H16" s="34">
        <v>11000</v>
      </c>
      <c r="I16" s="34">
        <v>100</v>
      </c>
      <c r="J16" s="34">
        <v>3</v>
      </c>
    </row>
    <row r="17" spans="1:10" x14ac:dyDescent="0.35">
      <c r="A17" s="34">
        <v>115</v>
      </c>
      <c r="B17" s="34" t="s">
        <v>22</v>
      </c>
      <c r="C17" s="34" t="s">
        <v>70</v>
      </c>
      <c r="D17" s="34" t="s">
        <v>71</v>
      </c>
      <c r="E17" s="34" t="s">
        <v>72</v>
      </c>
      <c r="F17" s="35">
        <v>34837</v>
      </c>
      <c r="G17" s="34">
        <v>13</v>
      </c>
      <c r="H17" s="34">
        <v>3100</v>
      </c>
      <c r="I17" s="34">
        <v>114</v>
      </c>
      <c r="J17" s="34">
        <v>3</v>
      </c>
    </row>
    <row r="18" spans="1:10" x14ac:dyDescent="0.35">
      <c r="A18" s="34">
        <v>116</v>
      </c>
      <c r="B18" s="34" t="s">
        <v>73</v>
      </c>
      <c r="C18" s="34" t="s">
        <v>74</v>
      </c>
      <c r="D18" s="34" t="s">
        <v>75</v>
      </c>
      <c r="E18" s="34" t="s">
        <v>76</v>
      </c>
      <c r="F18" s="35">
        <v>35788</v>
      </c>
      <c r="G18" s="34">
        <v>13</v>
      </c>
      <c r="H18" s="34">
        <v>2900</v>
      </c>
      <c r="I18" s="34">
        <v>114</v>
      </c>
      <c r="J18" s="34">
        <v>3</v>
      </c>
    </row>
    <row r="19" spans="1:10" x14ac:dyDescent="0.35">
      <c r="A19" s="34">
        <v>117</v>
      </c>
      <c r="B19" s="34" t="s">
        <v>77</v>
      </c>
      <c r="C19" s="34" t="s">
        <v>78</v>
      </c>
      <c r="D19" s="34" t="s">
        <v>79</v>
      </c>
      <c r="E19" s="34" t="s">
        <v>80</v>
      </c>
      <c r="F19" s="35">
        <v>35635</v>
      </c>
      <c r="G19" s="34">
        <v>13</v>
      </c>
      <c r="H19" s="34">
        <v>2800</v>
      </c>
      <c r="I19" s="34">
        <v>114</v>
      </c>
      <c r="J19" s="34">
        <v>3</v>
      </c>
    </row>
    <row r="20" spans="1:10" x14ac:dyDescent="0.35">
      <c r="A20" s="34">
        <v>118</v>
      </c>
      <c r="B20" s="34" t="s">
        <v>81</v>
      </c>
      <c r="C20" s="34" t="s">
        <v>82</v>
      </c>
      <c r="D20" s="34" t="s">
        <v>83</v>
      </c>
      <c r="E20" s="34" t="s">
        <v>84</v>
      </c>
      <c r="F20" s="35">
        <v>36114</v>
      </c>
      <c r="G20" s="34">
        <v>13</v>
      </c>
      <c r="H20" s="34">
        <v>2600</v>
      </c>
      <c r="I20" s="34">
        <v>114</v>
      </c>
      <c r="J20" s="34">
        <v>3</v>
      </c>
    </row>
    <row r="21" spans="1:10" x14ac:dyDescent="0.35">
      <c r="A21" s="34">
        <v>119</v>
      </c>
      <c r="B21" s="34" t="s">
        <v>85</v>
      </c>
      <c r="C21" s="34" t="s">
        <v>86</v>
      </c>
      <c r="D21" s="34" t="s">
        <v>87</v>
      </c>
      <c r="E21" s="34" t="s">
        <v>88</v>
      </c>
      <c r="F21" s="35">
        <v>36382</v>
      </c>
      <c r="G21" s="34">
        <v>13</v>
      </c>
      <c r="H21" s="34">
        <v>2500</v>
      </c>
      <c r="I21" s="34">
        <v>114</v>
      </c>
      <c r="J21" s="34">
        <v>3</v>
      </c>
    </row>
    <row r="22" spans="1:10" x14ac:dyDescent="0.35">
      <c r="A22" s="34">
        <v>120</v>
      </c>
      <c r="B22" s="34" t="s">
        <v>89</v>
      </c>
      <c r="C22" s="34" t="s">
        <v>90</v>
      </c>
      <c r="D22" s="34" t="s">
        <v>91</v>
      </c>
      <c r="E22" s="34" t="s">
        <v>92</v>
      </c>
      <c r="F22" s="35">
        <v>35264</v>
      </c>
      <c r="G22" s="34">
        <v>19</v>
      </c>
      <c r="H22" s="34">
        <v>8000</v>
      </c>
      <c r="I22" s="34">
        <v>100</v>
      </c>
      <c r="J22" s="34">
        <v>5</v>
      </c>
    </row>
    <row r="23" spans="1:10" x14ac:dyDescent="0.35">
      <c r="A23" s="34">
        <v>121</v>
      </c>
      <c r="B23" s="34" t="s">
        <v>93</v>
      </c>
      <c r="C23" s="34" t="s">
        <v>94</v>
      </c>
      <c r="D23" s="34" t="s">
        <v>95</v>
      </c>
      <c r="E23" s="34" t="s">
        <v>96</v>
      </c>
      <c r="F23" s="35">
        <v>35530</v>
      </c>
      <c r="G23" s="34">
        <v>19</v>
      </c>
      <c r="H23" s="34">
        <v>8200</v>
      </c>
      <c r="I23" s="34">
        <v>100</v>
      </c>
      <c r="J23" s="34">
        <v>5</v>
      </c>
    </row>
    <row r="24" spans="1:10" x14ac:dyDescent="0.35">
      <c r="A24" s="34">
        <v>122</v>
      </c>
      <c r="B24" s="34" t="s">
        <v>97</v>
      </c>
      <c r="C24" s="34" t="s">
        <v>98</v>
      </c>
      <c r="D24" s="34" t="s">
        <v>99</v>
      </c>
      <c r="E24" s="34" t="s">
        <v>100</v>
      </c>
      <c r="F24" s="35">
        <v>34820</v>
      </c>
      <c r="G24" s="34">
        <v>19</v>
      </c>
      <c r="H24" s="34">
        <v>7900</v>
      </c>
      <c r="I24" s="34">
        <v>100</v>
      </c>
      <c r="J24" s="34">
        <v>5</v>
      </c>
    </row>
    <row r="25" spans="1:10" x14ac:dyDescent="0.35">
      <c r="A25" s="34">
        <v>123</v>
      </c>
      <c r="B25" s="34" t="s">
        <v>101</v>
      </c>
      <c r="C25" s="34" t="s">
        <v>102</v>
      </c>
      <c r="D25" s="34" t="s">
        <v>103</v>
      </c>
      <c r="E25" s="34" t="s">
        <v>104</v>
      </c>
      <c r="F25" s="35">
        <v>35713</v>
      </c>
      <c r="G25" s="34">
        <v>19</v>
      </c>
      <c r="H25" s="34">
        <v>6500</v>
      </c>
      <c r="I25" s="34">
        <v>100</v>
      </c>
      <c r="J25" s="34">
        <v>5</v>
      </c>
    </row>
    <row r="26" spans="1:10" x14ac:dyDescent="0.35">
      <c r="A26" s="34">
        <v>126</v>
      </c>
      <c r="B26" s="34" t="s">
        <v>105</v>
      </c>
      <c r="C26" s="34" t="s">
        <v>106</v>
      </c>
      <c r="D26" s="34" t="s">
        <v>107</v>
      </c>
      <c r="E26" s="34" t="s">
        <v>108</v>
      </c>
      <c r="F26" s="35">
        <v>36066</v>
      </c>
      <c r="G26" s="34">
        <v>18</v>
      </c>
      <c r="H26" s="34">
        <v>2700</v>
      </c>
      <c r="I26" s="34">
        <v>120</v>
      </c>
      <c r="J26" s="34">
        <v>5</v>
      </c>
    </row>
    <row r="27" spans="1:10" x14ac:dyDescent="0.35">
      <c r="A27" s="34">
        <v>145</v>
      </c>
      <c r="B27" s="34" t="s">
        <v>50</v>
      </c>
      <c r="C27" s="34" t="s">
        <v>109</v>
      </c>
      <c r="D27" s="34" t="s">
        <v>110</v>
      </c>
      <c r="E27" s="36"/>
      <c r="F27" s="35">
        <v>35339</v>
      </c>
      <c r="G27" s="34">
        <v>15</v>
      </c>
      <c r="H27" s="34">
        <v>14000</v>
      </c>
      <c r="I27" s="34">
        <v>100</v>
      </c>
      <c r="J27" s="34">
        <v>8</v>
      </c>
    </row>
    <row r="28" spans="1:10" x14ac:dyDescent="0.35">
      <c r="A28" s="34">
        <v>146</v>
      </c>
      <c r="B28" s="34" t="s">
        <v>85</v>
      </c>
      <c r="C28" s="34" t="s">
        <v>111</v>
      </c>
      <c r="D28" s="34" t="s">
        <v>112</v>
      </c>
      <c r="E28" s="36"/>
      <c r="F28" s="35">
        <v>35435</v>
      </c>
      <c r="G28" s="34">
        <v>15</v>
      </c>
      <c r="H28" s="34">
        <v>13500</v>
      </c>
      <c r="I28" s="34">
        <v>100</v>
      </c>
      <c r="J28" s="34">
        <v>8</v>
      </c>
    </row>
    <row r="29" spans="1:10" x14ac:dyDescent="0.35">
      <c r="A29" s="34">
        <v>176</v>
      </c>
      <c r="B29" s="34" t="s">
        <v>113</v>
      </c>
      <c r="C29" s="34" t="s">
        <v>114</v>
      </c>
      <c r="D29" s="34" t="s">
        <v>115</v>
      </c>
      <c r="E29" s="36"/>
      <c r="F29" s="35">
        <v>35878</v>
      </c>
      <c r="G29" s="34">
        <v>16</v>
      </c>
      <c r="H29" s="34">
        <v>8600</v>
      </c>
      <c r="I29" s="34">
        <v>100</v>
      </c>
      <c r="J29" s="34">
        <v>8</v>
      </c>
    </row>
    <row r="30" spans="1:10" x14ac:dyDescent="0.35">
      <c r="A30" s="34">
        <v>177</v>
      </c>
      <c r="B30" s="34" t="s">
        <v>116</v>
      </c>
      <c r="C30" s="34" t="s">
        <v>117</v>
      </c>
      <c r="D30" s="34" t="s">
        <v>118</v>
      </c>
      <c r="E30" s="36"/>
      <c r="F30" s="35">
        <v>35908</v>
      </c>
      <c r="G30" s="34">
        <v>16</v>
      </c>
      <c r="H30" s="34">
        <v>8400</v>
      </c>
      <c r="I30" s="34">
        <v>100</v>
      </c>
      <c r="J30" s="34">
        <v>8</v>
      </c>
    </row>
    <row r="31" spans="1:10" x14ac:dyDescent="0.35">
      <c r="A31" s="34">
        <v>178</v>
      </c>
      <c r="B31" s="34" t="s">
        <v>119</v>
      </c>
      <c r="C31" s="34" t="s">
        <v>120</v>
      </c>
      <c r="D31" s="34" t="s">
        <v>121</v>
      </c>
      <c r="E31" s="36"/>
      <c r="F31" s="35">
        <v>36304</v>
      </c>
      <c r="G31" s="34">
        <v>16</v>
      </c>
      <c r="H31" s="34">
        <v>7000</v>
      </c>
      <c r="I31" s="34">
        <v>100</v>
      </c>
      <c r="J31" s="34">
        <v>8</v>
      </c>
    </row>
    <row r="32" spans="1:10" x14ac:dyDescent="0.35">
      <c r="A32" s="34">
        <v>179</v>
      </c>
      <c r="B32" s="34" t="s">
        <v>122</v>
      </c>
      <c r="C32" s="34" t="s">
        <v>123</v>
      </c>
      <c r="D32" s="34" t="s">
        <v>124</v>
      </c>
      <c r="E32" s="36"/>
      <c r="F32" s="35">
        <v>36529</v>
      </c>
      <c r="G32" s="34">
        <v>16</v>
      </c>
      <c r="H32" s="34">
        <v>6200</v>
      </c>
      <c r="I32" s="34">
        <v>100</v>
      </c>
      <c r="J32" s="34">
        <v>8</v>
      </c>
    </row>
    <row r="33" spans="1:10" x14ac:dyDescent="0.35">
      <c r="A33" s="34">
        <v>192</v>
      </c>
      <c r="B33" s="34" t="s">
        <v>125</v>
      </c>
      <c r="C33" s="34" t="s">
        <v>126</v>
      </c>
      <c r="D33" s="34" t="s">
        <v>127</v>
      </c>
      <c r="E33" s="34" t="s">
        <v>128</v>
      </c>
      <c r="F33" s="35">
        <v>35099</v>
      </c>
      <c r="G33" s="34">
        <v>17</v>
      </c>
      <c r="H33" s="34">
        <v>4000</v>
      </c>
      <c r="I33" s="34">
        <v>123</v>
      </c>
      <c r="J33" s="34">
        <v>5</v>
      </c>
    </row>
    <row r="34" spans="1:10" x14ac:dyDescent="0.35">
      <c r="A34" s="34">
        <v>193</v>
      </c>
      <c r="B34" s="34" t="s">
        <v>129</v>
      </c>
      <c r="C34" s="34" t="s">
        <v>130</v>
      </c>
      <c r="D34" s="34" t="s">
        <v>131</v>
      </c>
      <c r="E34" s="34" t="s">
        <v>132</v>
      </c>
      <c r="F34" s="35">
        <v>35492</v>
      </c>
      <c r="G34" s="34">
        <v>17</v>
      </c>
      <c r="H34" s="34">
        <v>3900</v>
      </c>
      <c r="I34" s="34">
        <v>123</v>
      </c>
      <c r="J34" s="34">
        <v>5</v>
      </c>
    </row>
    <row r="35" spans="1:10" x14ac:dyDescent="0.35">
      <c r="A35" s="34">
        <v>200</v>
      </c>
      <c r="B35" s="34" t="s">
        <v>133</v>
      </c>
      <c r="C35" s="34" t="s">
        <v>134</v>
      </c>
      <c r="D35" s="34" t="s">
        <v>135</v>
      </c>
      <c r="E35" s="34" t="s">
        <v>136</v>
      </c>
      <c r="F35" s="35">
        <v>32037</v>
      </c>
      <c r="G35" s="34">
        <v>3</v>
      </c>
      <c r="H35" s="34">
        <v>4400</v>
      </c>
      <c r="I35" s="34">
        <v>101</v>
      </c>
      <c r="J35" s="34">
        <v>1</v>
      </c>
    </row>
    <row r="36" spans="1:10" x14ac:dyDescent="0.35">
      <c r="A36" s="34">
        <v>201</v>
      </c>
      <c r="B36" s="34" t="s">
        <v>137</v>
      </c>
      <c r="C36" s="34" t="s">
        <v>138</v>
      </c>
      <c r="D36" s="34" t="s">
        <v>139</v>
      </c>
      <c r="E36" s="34" t="s">
        <v>140</v>
      </c>
      <c r="F36" s="35">
        <v>35112</v>
      </c>
      <c r="G36" s="34">
        <v>10</v>
      </c>
      <c r="H36" s="34">
        <v>13000</v>
      </c>
      <c r="I36" s="34">
        <v>100</v>
      </c>
      <c r="J36" s="34">
        <v>2</v>
      </c>
    </row>
    <row r="37" spans="1:10" x14ac:dyDescent="0.35">
      <c r="A37" s="34">
        <v>202</v>
      </c>
      <c r="B37" s="34" t="s">
        <v>141</v>
      </c>
      <c r="C37" s="34" t="s">
        <v>142</v>
      </c>
      <c r="D37" s="34" t="s">
        <v>143</v>
      </c>
      <c r="E37" s="34" t="s">
        <v>144</v>
      </c>
      <c r="F37" s="35">
        <v>35659</v>
      </c>
      <c r="G37" s="34">
        <v>11</v>
      </c>
      <c r="H37" s="34">
        <v>6000</v>
      </c>
      <c r="I37" s="34">
        <v>201</v>
      </c>
      <c r="J37" s="34">
        <v>2</v>
      </c>
    </row>
    <row r="38" spans="1:10" x14ac:dyDescent="0.35">
      <c r="A38" s="34">
        <v>203</v>
      </c>
      <c r="B38" s="34" t="s">
        <v>145</v>
      </c>
      <c r="C38" s="34" t="s">
        <v>146</v>
      </c>
      <c r="D38" s="34" t="s">
        <v>147</v>
      </c>
      <c r="E38" s="34" t="s">
        <v>148</v>
      </c>
      <c r="F38" s="35">
        <v>34492</v>
      </c>
      <c r="G38" s="34">
        <v>8</v>
      </c>
      <c r="H38" s="34">
        <v>6500</v>
      </c>
      <c r="I38" s="34">
        <v>101</v>
      </c>
      <c r="J38" s="34">
        <v>4</v>
      </c>
    </row>
    <row r="39" spans="1:10" x14ac:dyDescent="0.35">
      <c r="A39" s="34">
        <v>204</v>
      </c>
      <c r="B39" s="34" t="s">
        <v>149</v>
      </c>
      <c r="C39" s="34" t="s">
        <v>150</v>
      </c>
      <c r="D39" s="34" t="s">
        <v>151</v>
      </c>
      <c r="E39" s="34" t="s">
        <v>152</v>
      </c>
      <c r="F39" s="35">
        <v>34492</v>
      </c>
      <c r="G39" s="34">
        <v>12</v>
      </c>
      <c r="H39" s="34">
        <v>10000</v>
      </c>
      <c r="I39" s="34">
        <v>101</v>
      </c>
      <c r="J39" s="34">
        <v>7</v>
      </c>
    </row>
    <row r="40" spans="1:10" x14ac:dyDescent="0.35">
      <c r="A40" s="34">
        <v>205</v>
      </c>
      <c r="B40" s="34" t="s">
        <v>153</v>
      </c>
      <c r="C40" s="34" t="s">
        <v>154</v>
      </c>
      <c r="D40" s="34" t="s">
        <v>155</v>
      </c>
      <c r="E40" s="34" t="s">
        <v>156</v>
      </c>
      <c r="F40" s="35">
        <v>34492</v>
      </c>
      <c r="G40" s="34">
        <v>2</v>
      </c>
      <c r="H40" s="34">
        <v>12000</v>
      </c>
      <c r="I40" s="34">
        <v>101</v>
      </c>
      <c r="J40" s="34">
        <v>11</v>
      </c>
    </row>
    <row r="41" spans="1:10" x14ac:dyDescent="0.35">
      <c r="A41" s="34">
        <v>206</v>
      </c>
      <c r="B41" s="34" t="s">
        <v>157</v>
      </c>
      <c r="C41" s="34" t="s">
        <v>158</v>
      </c>
      <c r="D41" s="34" t="s">
        <v>159</v>
      </c>
      <c r="E41" s="34" t="s">
        <v>160</v>
      </c>
      <c r="F41" s="35">
        <v>34492</v>
      </c>
      <c r="G41" s="34">
        <v>1</v>
      </c>
      <c r="H41" s="34">
        <v>8300</v>
      </c>
      <c r="I41" s="34">
        <v>205</v>
      </c>
      <c r="J41" s="34">
        <v>11</v>
      </c>
    </row>
  </sheetData>
  <conditionalFormatting sqref="A2:J41">
    <cfRule type="expression" dxfId="638" priority="1">
      <formula>AND(YEAR($F2)&gt;=1996,YEAR($F2)&lt;=2000)</formula>
    </cfRule>
    <cfRule type="expression" dxfId="637" priority="2">
      <formula>$H2&gt;15000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8EAB1-0294-4FBA-B06E-9F3A5584D686}">
  <sheetPr>
    <tabColor theme="3" tint="0.749992370372631"/>
  </sheetPr>
  <dimension ref="A1:J41"/>
  <sheetViews>
    <sheetView workbookViewId="0"/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0" x14ac:dyDescent="0.3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</row>
    <row r="2" spans="1:10" x14ac:dyDescent="0.35">
      <c r="A2" s="34">
        <v>100</v>
      </c>
      <c r="B2" s="34" t="s">
        <v>10</v>
      </c>
      <c r="C2" s="34" t="s">
        <v>11</v>
      </c>
      <c r="D2" s="34" t="s">
        <v>12</v>
      </c>
      <c r="E2" s="34" t="s">
        <v>13</v>
      </c>
      <c r="F2" s="35">
        <v>31945</v>
      </c>
      <c r="G2" s="34">
        <v>4</v>
      </c>
      <c r="H2" s="34">
        <v>24000</v>
      </c>
      <c r="I2" s="36"/>
      <c r="J2" s="37">
        <v>9</v>
      </c>
    </row>
    <row r="3" spans="1:10" x14ac:dyDescent="0.35">
      <c r="A3" s="34">
        <v>101</v>
      </c>
      <c r="B3" s="34" t="s">
        <v>14</v>
      </c>
      <c r="C3" s="34" t="s">
        <v>15</v>
      </c>
      <c r="D3" s="34" t="s">
        <v>16</v>
      </c>
      <c r="E3" s="34" t="s">
        <v>17</v>
      </c>
      <c r="F3" s="35">
        <v>32772</v>
      </c>
      <c r="G3" s="34">
        <v>5</v>
      </c>
      <c r="H3" s="34">
        <v>17000</v>
      </c>
      <c r="I3" s="34">
        <v>100</v>
      </c>
      <c r="J3" s="37">
        <v>9</v>
      </c>
    </row>
    <row r="4" spans="1:10" x14ac:dyDescent="0.35">
      <c r="A4" s="34">
        <v>102</v>
      </c>
      <c r="B4" s="34" t="s">
        <v>18</v>
      </c>
      <c r="C4" s="34" t="s">
        <v>19</v>
      </c>
      <c r="D4" s="34" t="s">
        <v>20</v>
      </c>
      <c r="E4" s="34" t="s">
        <v>21</v>
      </c>
      <c r="F4" s="35">
        <v>33982</v>
      </c>
      <c r="G4" s="34">
        <v>5</v>
      </c>
      <c r="H4" s="34">
        <v>17000</v>
      </c>
      <c r="I4" s="34">
        <v>100</v>
      </c>
      <c r="J4" s="37">
        <v>9</v>
      </c>
    </row>
    <row r="5" spans="1:10" x14ac:dyDescent="0.35">
      <c r="A5" s="34">
        <v>103</v>
      </c>
      <c r="B5" s="34" t="s">
        <v>22</v>
      </c>
      <c r="C5" s="34" t="s">
        <v>23</v>
      </c>
      <c r="D5" s="34" t="s">
        <v>24</v>
      </c>
      <c r="E5" s="34" t="s">
        <v>25</v>
      </c>
      <c r="F5" s="35">
        <v>32876</v>
      </c>
      <c r="G5" s="34">
        <v>9</v>
      </c>
      <c r="H5" s="34">
        <v>9000</v>
      </c>
      <c r="I5" s="34">
        <v>102</v>
      </c>
      <c r="J5" s="37">
        <v>6</v>
      </c>
    </row>
    <row r="6" spans="1:10" x14ac:dyDescent="0.35">
      <c r="A6" s="34">
        <v>104</v>
      </c>
      <c r="B6" s="34" t="s">
        <v>26</v>
      </c>
      <c r="C6" s="34" t="s">
        <v>27</v>
      </c>
      <c r="D6" s="34" t="s">
        <v>28</v>
      </c>
      <c r="E6" s="34" t="s">
        <v>29</v>
      </c>
      <c r="F6" s="35">
        <v>33379</v>
      </c>
      <c r="G6" s="34">
        <v>9</v>
      </c>
      <c r="H6" s="34">
        <v>6000</v>
      </c>
      <c r="I6" s="34">
        <v>103</v>
      </c>
      <c r="J6" s="37">
        <v>6</v>
      </c>
    </row>
    <row r="7" spans="1:10" x14ac:dyDescent="0.35">
      <c r="A7" s="34">
        <v>105</v>
      </c>
      <c r="B7" s="34" t="s">
        <v>30</v>
      </c>
      <c r="C7" s="34" t="s">
        <v>31</v>
      </c>
      <c r="D7" s="34" t="s">
        <v>32</v>
      </c>
      <c r="E7" s="34" t="s">
        <v>33</v>
      </c>
      <c r="F7" s="35">
        <v>35606</v>
      </c>
      <c r="G7" s="34">
        <v>9</v>
      </c>
      <c r="H7" s="34">
        <v>4800</v>
      </c>
      <c r="I7" s="34">
        <v>103</v>
      </c>
      <c r="J7" s="37">
        <v>6</v>
      </c>
    </row>
    <row r="8" spans="1:10" x14ac:dyDescent="0.35">
      <c r="A8" s="34">
        <v>106</v>
      </c>
      <c r="B8" s="34" t="s">
        <v>34</v>
      </c>
      <c r="C8" s="34" t="s">
        <v>35</v>
      </c>
      <c r="D8" s="34" t="s">
        <v>36</v>
      </c>
      <c r="E8" s="34" t="s">
        <v>37</v>
      </c>
      <c r="F8" s="35">
        <v>35831</v>
      </c>
      <c r="G8" s="34">
        <v>9</v>
      </c>
      <c r="H8" s="34">
        <v>4800</v>
      </c>
      <c r="I8" s="34">
        <v>103</v>
      </c>
      <c r="J8" s="37">
        <v>6</v>
      </c>
    </row>
    <row r="9" spans="1:10" x14ac:dyDescent="0.35">
      <c r="A9" s="34">
        <v>107</v>
      </c>
      <c r="B9" s="34" t="s">
        <v>38</v>
      </c>
      <c r="C9" s="34" t="s">
        <v>39</v>
      </c>
      <c r="D9" s="34" t="s">
        <v>40</v>
      </c>
      <c r="E9" s="34" t="s">
        <v>41</v>
      </c>
      <c r="F9" s="35">
        <v>36198</v>
      </c>
      <c r="G9" s="34">
        <v>9</v>
      </c>
      <c r="H9" s="34">
        <v>4200</v>
      </c>
      <c r="I9" s="34">
        <v>103</v>
      </c>
      <c r="J9" s="37">
        <v>6</v>
      </c>
    </row>
    <row r="10" spans="1:10" x14ac:dyDescent="0.35">
      <c r="A10" s="34">
        <v>108</v>
      </c>
      <c r="B10" s="34" t="s">
        <v>42</v>
      </c>
      <c r="C10" s="34" t="s">
        <v>43</v>
      </c>
      <c r="D10" s="34" t="s">
        <v>44</v>
      </c>
      <c r="E10" s="34" t="s">
        <v>45</v>
      </c>
      <c r="F10" s="35">
        <v>34563</v>
      </c>
      <c r="G10" s="34">
        <v>7</v>
      </c>
      <c r="H10" s="34">
        <v>12000</v>
      </c>
      <c r="I10" s="34">
        <v>101</v>
      </c>
      <c r="J10" s="37">
        <v>10</v>
      </c>
    </row>
    <row r="11" spans="1:10" x14ac:dyDescent="0.35">
      <c r="A11" s="34">
        <v>109</v>
      </c>
      <c r="B11" s="34" t="s">
        <v>46</v>
      </c>
      <c r="C11" s="34" t="s">
        <v>47</v>
      </c>
      <c r="D11" s="34" t="s">
        <v>48</v>
      </c>
      <c r="E11" s="34" t="s">
        <v>49</v>
      </c>
      <c r="F11" s="35">
        <v>34562</v>
      </c>
      <c r="G11" s="34">
        <v>6</v>
      </c>
      <c r="H11" s="34">
        <v>9000</v>
      </c>
      <c r="I11" s="34">
        <v>108</v>
      </c>
      <c r="J11" s="37">
        <v>10</v>
      </c>
    </row>
    <row r="12" spans="1:10" x14ac:dyDescent="0.35">
      <c r="A12" s="34">
        <v>110</v>
      </c>
      <c r="B12" s="34" t="s">
        <v>50</v>
      </c>
      <c r="C12" s="34" t="s">
        <v>51</v>
      </c>
      <c r="D12" s="34" t="s">
        <v>52</v>
      </c>
      <c r="E12" s="34" t="s">
        <v>53</v>
      </c>
      <c r="F12" s="35">
        <v>35701</v>
      </c>
      <c r="G12" s="34">
        <v>6</v>
      </c>
      <c r="H12" s="34">
        <v>8200</v>
      </c>
      <c r="I12" s="34">
        <v>108</v>
      </c>
      <c r="J12" s="37">
        <v>10</v>
      </c>
    </row>
    <row r="13" spans="1:10" x14ac:dyDescent="0.35">
      <c r="A13" s="34">
        <v>111</v>
      </c>
      <c r="B13" s="34" t="s">
        <v>54</v>
      </c>
      <c r="C13" s="34" t="s">
        <v>55</v>
      </c>
      <c r="D13" s="34" t="s">
        <v>56</v>
      </c>
      <c r="E13" s="34" t="s">
        <v>57</v>
      </c>
      <c r="F13" s="35">
        <v>35703</v>
      </c>
      <c r="G13" s="34">
        <v>6</v>
      </c>
      <c r="H13" s="34">
        <v>7700</v>
      </c>
      <c r="I13" s="34">
        <v>108</v>
      </c>
      <c r="J13" s="37">
        <v>10</v>
      </c>
    </row>
    <row r="14" spans="1:10" x14ac:dyDescent="0.35">
      <c r="A14" s="34">
        <v>112</v>
      </c>
      <c r="B14" s="34" t="s">
        <v>58</v>
      </c>
      <c r="C14" s="34" t="s">
        <v>59</v>
      </c>
      <c r="D14" s="34" t="s">
        <v>60</v>
      </c>
      <c r="E14" s="34" t="s">
        <v>61</v>
      </c>
      <c r="F14" s="35">
        <v>35861</v>
      </c>
      <c r="G14" s="34">
        <v>6</v>
      </c>
      <c r="H14" s="34">
        <v>7800</v>
      </c>
      <c r="I14" s="34">
        <v>108</v>
      </c>
      <c r="J14" s="37">
        <v>10</v>
      </c>
    </row>
    <row r="15" spans="1:10" x14ac:dyDescent="0.35">
      <c r="A15" s="34">
        <v>113</v>
      </c>
      <c r="B15" s="34" t="s">
        <v>62</v>
      </c>
      <c r="C15" s="34" t="s">
        <v>63</v>
      </c>
      <c r="D15" s="34" t="s">
        <v>64</v>
      </c>
      <c r="E15" s="34" t="s">
        <v>65</v>
      </c>
      <c r="F15" s="35">
        <v>36501</v>
      </c>
      <c r="G15" s="34">
        <v>6</v>
      </c>
      <c r="H15" s="34">
        <v>6900</v>
      </c>
      <c r="I15" s="34">
        <v>108</v>
      </c>
      <c r="J15" s="37">
        <v>10</v>
      </c>
    </row>
    <row r="16" spans="1:10" x14ac:dyDescent="0.35">
      <c r="A16" s="34">
        <v>114</v>
      </c>
      <c r="B16" s="34" t="s">
        <v>66</v>
      </c>
      <c r="C16" s="34" t="s">
        <v>67</v>
      </c>
      <c r="D16" s="34" t="s">
        <v>68</v>
      </c>
      <c r="E16" s="34" t="s">
        <v>69</v>
      </c>
      <c r="F16" s="35">
        <v>34675</v>
      </c>
      <c r="G16" s="34">
        <v>14</v>
      </c>
      <c r="H16" s="34">
        <v>11000</v>
      </c>
      <c r="I16" s="34">
        <v>100</v>
      </c>
      <c r="J16" s="37">
        <v>3</v>
      </c>
    </row>
    <row r="17" spans="1:10" x14ac:dyDescent="0.35">
      <c r="A17" s="34">
        <v>115</v>
      </c>
      <c r="B17" s="34" t="s">
        <v>22</v>
      </c>
      <c r="C17" s="34" t="s">
        <v>70</v>
      </c>
      <c r="D17" s="34" t="s">
        <v>71</v>
      </c>
      <c r="E17" s="34" t="s">
        <v>72</v>
      </c>
      <c r="F17" s="35">
        <v>34837</v>
      </c>
      <c r="G17" s="34">
        <v>13</v>
      </c>
      <c r="H17" s="34">
        <v>3100</v>
      </c>
      <c r="I17" s="34">
        <v>114</v>
      </c>
      <c r="J17" s="37">
        <v>3</v>
      </c>
    </row>
    <row r="18" spans="1:10" x14ac:dyDescent="0.35">
      <c r="A18" s="34">
        <v>116</v>
      </c>
      <c r="B18" s="34" t="s">
        <v>73</v>
      </c>
      <c r="C18" s="34" t="s">
        <v>74</v>
      </c>
      <c r="D18" s="34" t="s">
        <v>75</v>
      </c>
      <c r="E18" s="34" t="s">
        <v>76</v>
      </c>
      <c r="F18" s="35">
        <v>35788</v>
      </c>
      <c r="G18" s="34">
        <v>13</v>
      </c>
      <c r="H18" s="34">
        <v>2900</v>
      </c>
      <c r="I18" s="34">
        <v>114</v>
      </c>
      <c r="J18" s="37">
        <v>3</v>
      </c>
    </row>
    <row r="19" spans="1:10" x14ac:dyDescent="0.35">
      <c r="A19" s="34">
        <v>117</v>
      </c>
      <c r="B19" s="34" t="s">
        <v>77</v>
      </c>
      <c r="C19" s="34" t="s">
        <v>78</v>
      </c>
      <c r="D19" s="34" t="s">
        <v>79</v>
      </c>
      <c r="E19" s="34" t="s">
        <v>80</v>
      </c>
      <c r="F19" s="35">
        <v>35635</v>
      </c>
      <c r="G19" s="34">
        <v>13</v>
      </c>
      <c r="H19" s="34">
        <v>2800</v>
      </c>
      <c r="I19" s="34">
        <v>114</v>
      </c>
      <c r="J19" s="37">
        <v>3</v>
      </c>
    </row>
    <row r="20" spans="1:10" x14ac:dyDescent="0.35">
      <c r="A20" s="34">
        <v>118</v>
      </c>
      <c r="B20" s="34" t="s">
        <v>81</v>
      </c>
      <c r="C20" s="34" t="s">
        <v>82</v>
      </c>
      <c r="D20" s="34" t="s">
        <v>83</v>
      </c>
      <c r="E20" s="34" t="s">
        <v>84</v>
      </c>
      <c r="F20" s="35">
        <v>36114</v>
      </c>
      <c r="G20" s="34">
        <v>13</v>
      </c>
      <c r="H20" s="34">
        <v>2600</v>
      </c>
      <c r="I20" s="34">
        <v>114</v>
      </c>
      <c r="J20" s="37">
        <v>3</v>
      </c>
    </row>
    <row r="21" spans="1:10" x14ac:dyDescent="0.35">
      <c r="A21" s="34">
        <v>119</v>
      </c>
      <c r="B21" s="34" t="s">
        <v>85</v>
      </c>
      <c r="C21" s="34" t="s">
        <v>86</v>
      </c>
      <c r="D21" s="34" t="s">
        <v>87</v>
      </c>
      <c r="E21" s="34" t="s">
        <v>88</v>
      </c>
      <c r="F21" s="35">
        <v>36382</v>
      </c>
      <c r="G21" s="34">
        <v>13</v>
      </c>
      <c r="H21" s="34">
        <v>2500</v>
      </c>
      <c r="I21" s="34">
        <v>114</v>
      </c>
      <c r="J21" s="37">
        <v>3</v>
      </c>
    </row>
    <row r="22" spans="1:10" x14ac:dyDescent="0.35">
      <c r="A22" s="34">
        <v>120</v>
      </c>
      <c r="B22" s="34" t="s">
        <v>89</v>
      </c>
      <c r="C22" s="34" t="s">
        <v>90</v>
      </c>
      <c r="D22" s="34" t="s">
        <v>91</v>
      </c>
      <c r="E22" s="34" t="s">
        <v>92</v>
      </c>
      <c r="F22" s="35">
        <v>35264</v>
      </c>
      <c r="G22" s="34">
        <v>19</v>
      </c>
      <c r="H22" s="34">
        <v>8000</v>
      </c>
      <c r="I22" s="34">
        <v>100</v>
      </c>
      <c r="J22" s="37">
        <v>5</v>
      </c>
    </row>
    <row r="23" spans="1:10" x14ac:dyDescent="0.35">
      <c r="A23" s="34">
        <v>121</v>
      </c>
      <c r="B23" s="34" t="s">
        <v>93</v>
      </c>
      <c r="C23" s="34" t="s">
        <v>94</v>
      </c>
      <c r="D23" s="34" t="s">
        <v>95</v>
      </c>
      <c r="E23" s="34" t="s">
        <v>96</v>
      </c>
      <c r="F23" s="35">
        <v>35530</v>
      </c>
      <c r="G23" s="34">
        <v>19</v>
      </c>
      <c r="H23" s="34">
        <v>8200</v>
      </c>
      <c r="I23" s="34">
        <v>100</v>
      </c>
      <c r="J23" s="37">
        <v>5</v>
      </c>
    </row>
    <row r="24" spans="1:10" x14ac:dyDescent="0.35">
      <c r="A24" s="34">
        <v>122</v>
      </c>
      <c r="B24" s="34" t="s">
        <v>97</v>
      </c>
      <c r="C24" s="34" t="s">
        <v>98</v>
      </c>
      <c r="D24" s="34" t="s">
        <v>99</v>
      </c>
      <c r="E24" s="34" t="s">
        <v>100</v>
      </c>
      <c r="F24" s="35">
        <v>34820</v>
      </c>
      <c r="G24" s="34">
        <v>19</v>
      </c>
      <c r="H24" s="34">
        <v>7900</v>
      </c>
      <c r="I24" s="34">
        <v>100</v>
      </c>
      <c r="J24" s="37">
        <v>5</v>
      </c>
    </row>
    <row r="25" spans="1:10" x14ac:dyDescent="0.35">
      <c r="A25" s="34">
        <v>123</v>
      </c>
      <c r="B25" s="34" t="s">
        <v>101</v>
      </c>
      <c r="C25" s="34" t="s">
        <v>102</v>
      </c>
      <c r="D25" s="34" t="s">
        <v>103</v>
      </c>
      <c r="E25" s="34" t="s">
        <v>104</v>
      </c>
      <c r="F25" s="35">
        <v>35713</v>
      </c>
      <c r="G25" s="34">
        <v>19</v>
      </c>
      <c r="H25" s="34">
        <v>6500</v>
      </c>
      <c r="I25" s="34">
        <v>100</v>
      </c>
      <c r="J25" s="37">
        <v>5</v>
      </c>
    </row>
    <row r="26" spans="1:10" x14ac:dyDescent="0.35">
      <c r="A26" s="34">
        <v>126</v>
      </c>
      <c r="B26" s="34" t="s">
        <v>105</v>
      </c>
      <c r="C26" s="34" t="s">
        <v>106</v>
      </c>
      <c r="D26" s="34" t="s">
        <v>107</v>
      </c>
      <c r="E26" s="34" t="s">
        <v>108</v>
      </c>
      <c r="F26" s="35">
        <v>36066</v>
      </c>
      <c r="G26" s="34">
        <v>18</v>
      </c>
      <c r="H26" s="34">
        <v>2700</v>
      </c>
      <c r="I26" s="34">
        <v>120</v>
      </c>
      <c r="J26" s="37">
        <v>5</v>
      </c>
    </row>
    <row r="27" spans="1:10" x14ac:dyDescent="0.35">
      <c r="A27" s="34">
        <v>145</v>
      </c>
      <c r="B27" s="34" t="s">
        <v>50</v>
      </c>
      <c r="C27" s="34" t="s">
        <v>109</v>
      </c>
      <c r="D27" s="34" t="s">
        <v>110</v>
      </c>
      <c r="E27" s="36"/>
      <c r="F27" s="35">
        <v>35339</v>
      </c>
      <c r="G27" s="34">
        <v>15</v>
      </c>
      <c r="H27" s="34">
        <v>14000</v>
      </c>
      <c r="I27" s="34">
        <v>100</v>
      </c>
      <c r="J27" s="37">
        <v>8</v>
      </c>
    </row>
    <row r="28" spans="1:10" x14ac:dyDescent="0.35">
      <c r="A28" s="34">
        <v>146</v>
      </c>
      <c r="B28" s="34" t="s">
        <v>85</v>
      </c>
      <c r="C28" s="34" t="s">
        <v>111</v>
      </c>
      <c r="D28" s="34" t="s">
        <v>112</v>
      </c>
      <c r="E28" s="36"/>
      <c r="F28" s="35">
        <v>35435</v>
      </c>
      <c r="G28" s="34">
        <v>15</v>
      </c>
      <c r="H28" s="34">
        <v>13500</v>
      </c>
      <c r="I28" s="34">
        <v>100</v>
      </c>
      <c r="J28" s="37">
        <v>8</v>
      </c>
    </row>
    <row r="29" spans="1:10" x14ac:dyDescent="0.35">
      <c r="A29" s="34">
        <v>176</v>
      </c>
      <c r="B29" s="34" t="s">
        <v>113</v>
      </c>
      <c r="C29" s="34" t="s">
        <v>114</v>
      </c>
      <c r="D29" s="34" t="s">
        <v>115</v>
      </c>
      <c r="E29" s="36"/>
      <c r="F29" s="35">
        <v>35878</v>
      </c>
      <c r="G29" s="34">
        <v>16</v>
      </c>
      <c r="H29" s="34">
        <v>8600</v>
      </c>
      <c r="I29" s="34">
        <v>100</v>
      </c>
      <c r="J29" s="37">
        <v>8</v>
      </c>
    </row>
    <row r="30" spans="1:10" x14ac:dyDescent="0.35">
      <c r="A30" s="34">
        <v>177</v>
      </c>
      <c r="B30" s="34" t="s">
        <v>116</v>
      </c>
      <c r="C30" s="34" t="s">
        <v>117</v>
      </c>
      <c r="D30" s="34" t="s">
        <v>118</v>
      </c>
      <c r="E30" s="36"/>
      <c r="F30" s="35">
        <v>35908</v>
      </c>
      <c r="G30" s="34">
        <v>16</v>
      </c>
      <c r="H30" s="34">
        <v>8400</v>
      </c>
      <c r="I30" s="34">
        <v>100</v>
      </c>
      <c r="J30" s="37">
        <v>8</v>
      </c>
    </row>
    <row r="31" spans="1:10" x14ac:dyDescent="0.35">
      <c r="A31" s="34">
        <v>178</v>
      </c>
      <c r="B31" s="34" t="s">
        <v>119</v>
      </c>
      <c r="C31" s="34" t="s">
        <v>120</v>
      </c>
      <c r="D31" s="34" t="s">
        <v>121</v>
      </c>
      <c r="E31" s="36"/>
      <c r="F31" s="35">
        <v>36304</v>
      </c>
      <c r="G31" s="34">
        <v>16</v>
      </c>
      <c r="H31" s="34">
        <v>7000</v>
      </c>
      <c r="I31" s="34">
        <v>100</v>
      </c>
      <c r="J31" s="37">
        <v>8</v>
      </c>
    </row>
    <row r="32" spans="1:10" x14ac:dyDescent="0.35">
      <c r="A32" s="34">
        <v>179</v>
      </c>
      <c r="B32" s="34" t="s">
        <v>122</v>
      </c>
      <c r="C32" s="34" t="s">
        <v>123</v>
      </c>
      <c r="D32" s="34" t="s">
        <v>124</v>
      </c>
      <c r="E32" s="36"/>
      <c r="F32" s="35">
        <v>36529</v>
      </c>
      <c r="G32" s="34">
        <v>16</v>
      </c>
      <c r="H32" s="34">
        <v>6200</v>
      </c>
      <c r="I32" s="34">
        <v>100</v>
      </c>
      <c r="J32" s="37">
        <v>8</v>
      </c>
    </row>
    <row r="33" spans="1:10" x14ac:dyDescent="0.35">
      <c r="A33" s="34">
        <v>192</v>
      </c>
      <c r="B33" s="34" t="s">
        <v>125</v>
      </c>
      <c r="C33" s="34" t="s">
        <v>126</v>
      </c>
      <c r="D33" s="34" t="s">
        <v>127</v>
      </c>
      <c r="E33" s="34" t="s">
        <v>128</v>
      </c>
      <c r="F33" s="35">
        <v>35099</v>
      </c>
      <c r="G33" s="34">
        <v>17</v>
      </c>
      <c r="H33" s="34">
        <v>4000</v>
      </c>
      <c r="I33" s="34">
        <v>123</v>
      </c>
      <c r="J33" s="37">
        <v>5</v>
      </c>
    </row>
    <row r="34" spans="1:10" x14ac:dyDescent="0.35">
      <c r="A34" s="34">
        <v>193</v>
      </c>
      <c r="B34" s="34" t="s">
        <v>129</v>
      </c>
      <c r="C34" s="34" t="s">
        <v>130</v>
      </c>
      <c r="D34" s="34" t="s">
        <v>131</v>
      </c>
      <c r="E34" s="34" t="s">
        <v>132</v>
      </c>
      <c r="F34" s="35">
        <v>35492</v>
      </c>
      <c r="G34" s="34">
        <v>17</v>
      </c>
      <c r="H34" s="34">
        <v>3900</v>
      </c>
      <c r="I34" s="34">
        <v>123</v>
      </c>
      <c r="J34" s="37">
        <v>5</v>
      </c>
    </row>
    <row r="35" spans="1:10" x14ac:dyDescent="0.35">
      <c r="A35" s="34">
        <v>200</v>
      </c>
      <c r="B35" s="34" t="s">
        <v>133</v>
      </c>
      <c r="C35" s="34" t="s">
        <v>134</v>
      </c>
      <c r="D35" s="34" t="s">
        <v>135</v>
      </c>
      <c r="E35" s="34" t="s">
        <v>136</v>
      </c>
      <c r="F35" s="35">
        <v>32037</v>
      </c>
      <c r="G35" s="34">
        <v>3</v>
      </c>
      <c r="H35" s="34">
        <v>4400</v>
      </c>
      <c r="I35" s="34">
        <v>101</v>
      </c>
      <c r="J35" s="37">
        <v>1</v>
      </c>
    </row>
    <row r="36" spans="1:10" x14ac:dyDescent="0.35">
      <c r="A36" s="34">
        <v>201</v>
      </c>
      <c r="B36" s="34" t="s">
        <v>137</v>
      </c>
      <c r="C36" s="34" t="s">
        <v>138</v>
      </c>
      <c r="D36" s="34" t="s">
        <v>139</v>
      </c>
      <c r="E36" s="34" t="s">
        <v>140</v>
      </c>
      <c r="F36" s="35">
        <v>35112</v>
      </c>
      <c r="G36" s="34">
        <v>10</v>
      </c>
      <c r="H36" s="34">
        <v>13000</v>
      </c>
      <c r="I36" s="34">
        <v>100</v>
      </c>
      <c r="J36" s="37">
        <v>2</v>
      </c>
    </row>
    <row r="37" spans="1:10" x14ac:dyDescent="0.35">
      <c r="A37" s="34">
        <v>202</v>
      </c>
      <c r="B37" s="34" t="s">
        <v>141</v>
      </c>
      <c r="C37" s="34" t="s">
        <v>142</v>
      </c>
      <c r="D37" s="34" t="s">
        <v>143</v>
      </c>
      <c r="E37" s="34" t="s">
        <v>144</v>
      </c>
      <c r="F37" s="35">
        <v>35659</v>
      </c>
      <c r="G37" s="34">
        <v>11</v>
      </c>
      <c r="H37" s="34">
        <v>6000</v>
      </c>
      <c r="I37" s="34">
        <v>201</v>
      </c>
      <c r="J37" s="37">
        <v>2</v>
      </c>
    </row>
    <row r="38" spans="1:10" x14ac:dyDescent="0.35">
      <c r="A38" s="34">
        <v>203</v>
      </c>
      <c r="B38" s="34" t="s">
        <v>145</v>
      </c>
      <c r="C38" s="34" t="s">
        <v>146</v>
      </c>
      <c r="D38" s="34" t="s">
        <v>147</v>
      </c>
      <c r="E38" s="34" t="s">
        <v>148</v>
      </c>
      <c r="F38" s="35">
        <v>34492</v>
      </c>
      <c r="G38" s="34">
        <v>8</v>
      </c>
      <c r="H38" s="34">
        <v>6500</v>
      </c>
      <c r="I38" s="34">
        <v>101</v>
      </c>
      <c r="J38" s="37">
        <v>4</v>
      </c>
    </row>
    <row r="39" spans="1:10" x14ac:dyDescent="0.35">
      <c r="A39" s="34">
        <v>204</v>
      </c>
      <c r="B39" s="34" t="s">
        <v>149</v>
      </c>
      <c r="C39" s="34" t="s">
        <v>150</v>
      </c>
      <c r="D39" s="34" t="s">
        <v>151</v>
      </c>
      <c r="E39" s="34" t="s">
        <v>152</v>
      </c>
      <c r="F39" s="35">
        <v>34492</v>
      </c>
      <c r="G39" s="34">
        <v>12</v>
      </c>
      <c r="H39" s="34">
        <v>10000</v>
      </c>
      <c r="I39" s="34">
        <v>101</v>
      </c>
      <c r="J39" s="37">
        <v>7</v>
      </c>
    </row>
    <row r="40" spans="1:10" x14ac:dyDescent="0.35">
      <c r="A40" s="34">
        <v>205</v>
      </c>
      <c r="B40" s="34" t="s">
        <v>153</v>
      </c>
      <c r="C40" s="34" t="s">
        <v>154</v>
      </c>
      <c r="D40" s="34" t="s">
        <v>155</v>
      </c>
      <c r="E40" s="34" t="s">
        <v>156</v>
      </c>
      <c r="F40" s="35">
        <v>34492</v>
      </c>
      <c r="G40" s="34">
        <v>2</v>
      </c>
      <c r="H40" s="34">
        <v>12000</v>
      </c>
      <c r="I40" s="34">
        <v>101</v>
      </c>
      <c r="J40" s="37">
        <v>11</v>
      </c>
    </row>
    <row r="41" spans="1:10" x14ac:dyDescent="0.35">
      <c r="A41" s="34">
        <v>206</v>
      </c>
      <c r="B41" s="34" t="s">
        <v>157</v>
      </c>
      <c r="C41" s="34" t="s">
        <v>158</v>
      </c>
      <c r="D41" s="34" t="s">
        <v>159</v>
      </c>
      <c r="E41" s="34" t="s">
        <v>160</v>
      </c>
      <c r="F41" s="35">
        <v>34492</v>
      </c>
      <c r="G41" s="34">
        <v>1</v>
      </c>
      <c r="H41" s="34">
        <v>8300</v>
      </c>
      <c r="I41" s="34">
        <v>205</v>
      </c>
      <c r="J41" s="37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AC1E6F-C284-4000-AEE6-1E8E5F9BCF5A}">
          <x14:formula1>
            <xm:f>Department!$A$2:$A$12</xm:f>
          </x14:formula1>
          <xm:sqref>J2:J41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BA6FF-C999-4FF7-8293-EAE48F979768}">
  <sheetPr>
    <tabColor theme="9" tint="-0.249977111117893"/>
  </sheetPr>
  <dimension ref="A1:I41"/>
  <sheetViews>
    <sheetView workbookViewId="0"/>
  </sheetViews>
  <sheetFormatPr defaultRowHeight="14.5" x14ac:dyDescent="0.35"/>
  <cols>
    <col min="1" max="1" width="13.7265625" bestFit="1" customWidth="1"/>
    <col min="2" max="2" width="16.54296875" bestFit="1" customWidth="1"/>
    <col min="3" max="3" width="16.36328125" bestFit="1" customWidth="1"/>
    <col min="4" max="4" width="15.81640625" bestFit="1" customWidth="1"/>
    <col min="5" max="5" width="15.08984375" bestFit="1" customWidth="1"/>
    <col min="6" max="6" width="8.1796875" bestFit="1" customWidth="1"/>
    <col min="7" max="7" width="8.08984375" bestFit="1" customWidth="1"/>
    <col min="8" max="8" width="12.81640625" bestFit="1" customWidth="1"/>
    <col min="9" max="9" width="15.453125" bestFit="1" customWidth="1"/>
  </cols>
  <sheetData>
    <row r="1" spans="1:9" x14ac:dyDescent="0.35">
      <c r="A1" s="29" t="s">
        <v>0</v>
      </c>
      <c r="B1" s="29" t="s">
        <v>174</v>
      </c>
      <c r="C1" s="29" t="s">
        <v>3</v>
      </c>
      <c r="D1" s="29" t="s">
        <v>4</v>
      </c>
      <c r="E1" s="29" t="s">
        <v>5</v>
      </c>
      <c r="F1" s="29" t="s">
        <v>6</v>
      </c>
      <c r="G1" s="29" t="s">
        <v>7</v>
      </c>
      <c r="H1" s="29" t="s">
        <v>8</v>
      </c>
      <c r="I1" s="29" t="s">
        <v>9</v>
      </c>
    </row>
    <row r="2" spans="1:9" x14ac:dyDescent="0.35">
      <c r="A2" s="23">
        <v>100</v>
      </c>
      <c r="B2" s="30" t="s">
        <v>175</v>
      </c>
      <c r="C2" s="30" t="s">
        <v>176</v>
      </c>
      <c r="D2" s="23" t="s">
        <v>13</v>
      </c>
      <c r="E2" s="24">
        <v>31945</v>
      </c>
      <c r="F2" s="23">
        <v>4</v>
      </c>
      <c r="G2" s="23">
        <v>24000</v>
      </c>
      <c r="H2" s="23"/>
      <c r="I2" s="23">
        <v>9</v>
      </c>
    </row>
    <row r="3" spans="1:9" x14ac:dyDescent="0.35">
      <c r="A3" s="23">
        <v>101</v>
      </c>
      <c r="B3" s="30" t="s">
        <v>177</v>
      </c>
      <c r="C3" s="30" t="s">
        <v>178</v>
      </c>
      <c r="D3" s="23" t="s">
        <v>17</v>
      </c>
      <c r="E3" s="24">
        <v>32772</v>
      </c>
      <c r="F3" s="23">
        <v>5</v>
      </c>
      <c r="G3" s="23">
        <v>17000</v>
      </c>
      <c r="H3" s="23">
        <v>100</v>
      </c>
      <c r="I3" s="23">
        <v>9</v>
      </c>
    </row>
    <row r="4" spans="1:9" x14ac:dyDescent="0.35">
      <c r="A4" s="23">
        <v>102</v>
      </c>
      <c r="B4" s="30" t="s">
        <v>179</v>
      </c>
      <c r="C4" s="30" t="s">
        <v>180</v>
      </c>
      <c r="D4" s="23" t="s">
        <v>21</v>
      </c>
      <c r="E4" s="24">
        <v>33982</v>
      </c>
      <c r="F4" s="23">
        <v>5</v>
      </c>
      <c r="G4" s="23">
        <v>17000</v>
      </c>
      <c r="H4" s="23">
        <v>100</v>
      </c>
      <c r="I4" s="23">
        <v>9</v>
      </c>
    </row>
    <row r="5" spans="1:9" x14ac:dyDescent="0.35">
      <c r="A5" s="23">
        <v>103</v>
      </c>
      <c r="B5" s="30" t="s">
        <v>181</v>
      </c>
      <c r="C5" s="30" t="s">
        <v>182</v>
      </c>
      <c r="D5" s="23" t="s">
        <v>25</v>
      </c>
      <c r="E5" s="24">
        <v>32876</v>
      </c>
      <c r="F5" s="23">
        <v>9</v>
      </c>
      <c r="G5" s="23">
        <v>9000</v>
      </c>
      <c r="H5" s="23">
        <v>102</v>
      </c>
      <c r="I5" s="23">
        <v>6</v>
      </c>
    </row>
    <row r="6" spans="1:9" x14ac:dyDescent="0.35">
      <c r="A6" s="23">
        <v>104</v>
      </c>
      <c r="B6" s="30" t="s">
        <v>183</v>
      </c>
      <c r="C6" s="30" t="s">
        <v>184</v>
      </c>
      <c r="D6" s="23" t="s">
        <v>29</v>
      </c>
      <c r="E6" s="24">
        <v>33379</v>
      </c>
      <c r="F6" s="23">
        <v>9</v>
      </c>
      <c r="G6" s="23">
        <v>6000</v>
      </c>
      <c r="H6" s="23">
        <v>103</v>
      </c>
      <c r="I6" s="23">
        <v>6</v>
      </c>
    </row>
    <row r="7" spans="1:9" x14ac:dyDescent="0.35">
      <c r="A7" s="23">
        <v>105</v>
      </c>
      <c r="B7" s="30" t="s">
        <v>185</v>
      </c>
      <c r="C7" s="30" t="s">
        <v>186</v>
      </c>
      <c r="D7" s="23" t="s">
        <v>33</v>
      </c>
      <c r="E7" s="24">
        <v>35606</v>
      </c>
      <c r="F7" s="23">
        <v>9</v>
      </c>
      <c r="G7" s="23">
        <v>4800</v>
      </c>
      <c r="H7" s="23">
        <v>103</v>
      </c>
      <c r="I7" s="23">
        <v>6</v>
      </c>
    </row>
    <row r="8" spans="1:9" x14ac:dyDescent="0.35">
      <c r="A8" s="23">
        <v>106</v>
      </c>
      <c r="B8" s="30" t="s">
        <v>187</v>
      </c>
      <c r="C8" s="30" t="s">
        <v>188</v>
      </c>
      <c r="D8" s="23" t="s">
        <v>37</v>
      </c>
      <c r="E8" s="24">
        <v>35831</v>
      </c>
      <c r="F8" s="23">
        <v>9</v>
      </c>
      <c r="G8" s="23">
        <v>4800</v>
      </c>
      <c r="H8" s="23">
        <v>103</v>
      </c>
      <c r="I8" s="23">
        <v>6</v>
      </c>
    </row>
    <row r="9" spans="1:9" x14ac:dyDescent="0.35">
      <c r="A9" s="23">
        <v>107</v>
      </c>
      <c r="B9" s="30" t="s">
        <v>189</v>
      </c>
      <c r="C9" s="30" t="s">
        <v>190</v>
      </c>
      <c r="D9" s="23" t="s">
        <v>41</v>
      </c>
      <c r="E9" s="24">
        <v>36198</v>
      </c>
      <c r="F9" s="23">
        <v>9</v>
      </c>
      <c r="G9" s="23">
        <v>4200</v>
      </c>
      <c r="H9" s="23">
        <v>103</v>
      </c>
      <c r="I9" s="23">
        <v>6</v>
      </c>
    </row>
    <row r="10" spans="1:9" x14ac:dyDescent="0.35">
      <c r="A10" s="23">
        <v>108</v>
      </c>
      <c r="B10" s="30" t="s">
        <v>191</v>
      </c>
      <c r="C10" s="30" t="s">
        <v>192</v>
      </c>
      <c r="D10" s="23" t="s">
        <v>45</v>
      </c>
      <c r="E10" s="24">
        <v>34563</v>
      </c>
      <c r="F10" s="23">
        <v>7</v>
      </c>
      <c r="G10" s="23">
        <v>12000</v>
      </c>
      <c r="H10" s="23">
        <v>101</v>
      </c>
      <c r="I10" s="23">
        <v>10</v>
      </c>
    </row>
    <row r="11" spans="1:9" x14ac:dyDescent="0.35">
      <c r="A11" s="23">
        <v>109</v>
      </c>
      <c r="B11" s="30" t="s">
        <v>193</v>
      </c>
      <c r="C11" s="30" t="s">
        <v>194</v>
      </c>
      <c r="D11" s="23" t="s">
        <v>49</v>
      </c>
      <c r="E11" s="24">
        <v>34562</v>
      </c>
      <c r="F11" s="23">
        <v>6</v>
      </c>
      <c r="G11" s="23">
        <v>9000</v>
      </c>
      <c r="H11" s="23">
        <v>108</v>
      </c>
      <c r="I11" s="23">
        <v>10</v>
      </c>
    </row>
    <row r="12" spans="1:9" x14ac:dyDescent="0.35">
      <c r="A12" s="23">
        <v>110</v>
      </c>
      <c r="B12" s="30" t="s">
        <v>195</v>
      </c>
      <c r="C12" s="30" t="s">
        <v>196</v>
      </c>
      <c r="D12" s="23" t="s">
        <v>53</v>
      </c>
      <c r="E12" s="24">
        <v>35701</v>
      </c>
      <c r="F12" s="23">
        <v>6</v>
      </c>
      <c r="G12" s="23">
        <v>8200</v>
      </c>
      <c r="H12" s="23">
        <v>108</v>
      </c>
      <c r="I12" s="23">
        <v>10</v>
      </c>
    </row>
    <row r="13" spans="1:9" x14ac:dyDescent="0.35">
      <c r="A13" s="23">
        <v>111</v>
      </c>
      <c r="B13" s="30" t="s">
        <v>197</v>
      </c>
      <c r="C13" s="30" t="s">
        <v>198</v>
      </c>
      <c r="D13" s="23" t="s">
        <v>57</v>
      </c>
      <c r="E13" s="24">
        <v>35703</v>
      </c>
      <c r="F13" s="23">
        <v>6</v>
      </c>
      <c r="G13" s="23">
        <v>7700</v>
      </c>
      <c r="H13" s="23">
        <v>108</v>
      </c>
      <c r="I13" s="23">
        <v>10</v>
      </c>
    </row>
    <row r="14" spans="1:9" x14ac:dyDescent="0.35">
      <c r="A14" s="23">
        <v>112</v>
      </c>
      <c r="B14" s="30" t="s">
        <v>199</v>
      </c>
      <c r="C14" s="30" t="s">
        <v>200</v>
      </c>
      <c r="D14" s="23" t="s">
        <v>61</v>
      </c>
      <c r="E14" s="24">
        <v>35861</v>
      </c>
      <c r="F14" s="23">
        <v>6</v>
      </c>
      <c r="G14" s="23">
        <v>7800</v>
      </c>
      <c r="H14" s="23">
        <v>108</v>
      </c>
      <c r="I14" s="23">
        <v>10</v>
      </c>
    </row>
    <row r="15" spans="1:9" x14ac:dyDescent="0.35">
      <c r="A15" s="23">
        <v>113</v>
      </c>
      <c r="B15" s="30" t="s">
        <v>201</v>
      </c>
      <c r="C15" s="30" t="s">
        <v>202</v>
      </c>
      <c r="D15" s="23" t="s">
        <v>65</v>
      </c>
      <c r="E15" s="24">
        <v>36501</v>
      </c>
      <c r="F15" s="23">
        <v>6</v>
      </c>
      <c r="G15" s="23">
        <v>6900</v>
      </c>
      <c r="H15" s="23">
        <v>108</v>
      </c>
      <c r="I15" s="23">
        <v>10</v>
      </c>
    </row>
    <row r="16" spans="1:9" x14ac:dyDescent="0.35">
      <c r="A16" s="23">
        <v>114</v>
      </c>
      <c r="B16" s="30" t="s">
        <v>203</v>
      </c>
      <c r="C16" s="30" t="s">
        <v>204</v>
      </c>
      <c r="D16" s="23" t="s">
        <v>69</v>
      </c>
      <c r="E16" s="24">
        <v>34675</v>
      </c>
      <c r="F16" s="23">
        <v>14</v>
      </c>
      <c r="G16" s="23">
        <v>11000</v>
      </c>
      <c r="H16" s="23">
        <v>100</v>
      </c>
      <c r="I16" s="23">
        <v>3</v>
      </c>
    </row>
    <row r="17" spans="1:9" x14ac:dyDescent="0.35">
      <c r="A17" s="23">
        <v>115</v>
      </c>
      <c r="B17" s="30" t="s">
        <v>205</v>
      </c>
      <c r="C17" s="30" t="s">
        <v>206</v>
      </c>
      <c r="D17" s="23" t="s">
        <v>72</v>
      </c>
      <c r="E17" s="24">
        <v>34837</v>
      </c>
      <c r="F17" s="23">
        <v>13</v>
      </c>
      <c r="G17" s="23">
        <v>3100</v>
      </c>
      <c r="H17" s="23">
        <v>114</v>
      </c>
      <c r="I17" s="23">
        <v>3</v>
      </c>
    </row>
    <row r="18" spans="1:9" x14ac:dyDescent="0.35">
      <c r="A18" s="23">
        <v>116</v>
      </c>
      <c r="B18" s="30" t="s">
        <v>207</v>
      </c>
      <c r="C18" s="30" t="s">
        <v>208</v>
      </c>
      <c r="D18" s="23" t="s">
        <v>76</v>
      </c>
      <c r="E18" s="24">
        <v>35788</v>
      </c>
      <c r="F18" s="23">
        <v>13</v>
      </c>
      <c r="G18" s="23">
        <v>2900</v>
      </c>
      <c r="H18" s="23">
        <v>114</v>
      </c>
      <c r="I18" s="23">
        <v>3</v>
      </c>
    </row>
    <row r="19" spans="1:9" x14ac:dyDescent="0.35">
      <c r="A19" s="23">
        <v>117</v>
      </c>
      <c r="B19" s="30" t="s">
        <v>209</v>
      </c>
      <c r="C19" s="30" t="s">
        <v>210</v>
      </c>
      <c r="D19" s="23" t="s">
        <v>80</v>
      </c>
      <c r="E19" s="24">
        <v>35635</v>
      </c>
      <c r="F19" s="23">
        <v>13</v>
      </c>
      <c r="G19" s="23">
        <v>2800</v>
      </c>
      <c r="H19" s="23">
        <v>114</v>
      </c>
      <c r="I19" s="23">
        <v>3</v>
      </c>
    </row>
    <row r="20" spans="1:9" x14ac:dyDescent="0.35">
      <c r="A20" s="23">
        <v>118</v>
      </c>
      <c r="B20" s="30" t="s">
        <v>211</v>
      </c>
      <c r="C20" s="30" t="s">
        <v>212</v>
      </c>
      <c r="D20" s="23" t="s">
        <v>84</v>
      </c>
      <c r="E20" s="24">
        <v>36114</v>
      </c>
      <c r="F20" s="23">
        <v>13</v>
      </c>
      <c r="G20" s="23">
        <v>2600</v>
      </c>
      <c r="H20" s="23">
        <v>114</v>
      </c>
      <c r="I20" s="23">
        <v>3</v>
      </c>
    </row>
    <row r="21" spans="1:9" x14ac:dyDescent="0.35">
      <c r="A21" s="23">
        <v>119</v>
      </c>
      <c r="B21" s="30" t="s">
        <v>213</v>
      </c>
      <c r="C21" s="30" t="s">
        <v>214</v>
      </c>
      <c r="D21" s="23" t="s">
        <v>88</v>
      </c>
      <c r="E21" s="24">
        <v>36382</v>
      </c>
      <c r="F21" s="23">
        <v>13</v>
      </c>
      <c r="G21" s="23">
        <v>2500</v>
      </c>
      <c r="H21" s="23">
        <v>114</v>
      </c>
      <c r="I21" s="23">
        <v>3</v>
      </c>
    </row>
    <row r="22" spans="1:9" x14ac:dyDescent="0.35">
      <c r="A22" s="23">
        <v>120</v>
      </c>
      <c r="B22" s="30" t="s">
        <v>215</v>
      </c>
      <c r="C22" s="30" t="s">
        <v>216</v>
      </c>
      <c r="D22" s="23" t="s">
        <v>92</v>
      </c>
      <c r="E22" s="24">
        <v>35264</v>
      </c>
      <c r="F22" s="23">
        <v>19</v>
      </c>
      <c r="G22" s="23">
        <v>8000</v>
      </c>
      <c r="H22" s="23">
        <v>100</v>
      </c>
      <c r="I22" s="23">
        <v>5</v>
      </c>
    </row>
    <row r="23" spans="1:9" x14ac:dyDescent="0.35">
      <c r="A23" s="23">
        <v>121</v>
      </c>
      <c r="B23" s="30" t="s">
        <v>217</v>
      </c>
      <c r="C23" s="30" t="s">
        <v>218</v>
      </c>
      <c r="D23" s="23" t="s">
        <v>96</v>
      </c>
      <c r="E23" s="24">
        <v>35530</v>
      </c>
      <c r="F23" s="23">
        <v>19</v>
      </c>
      <c r="G23" s="23">
        <v>8200</v>
      </c>
      <c r="H23" s="23">
        <v>100</v>
      </c>
      <c r="I23" s="23">
        <v>5</v>
      </c>
    </row>
    <row r="24" spans="1:9" x14ac:dyDescent="0.35">
      <c r="A24" s="23">
        <v>122</v>
      </c>
      <c r="B24" s="30" t="s">
        <v>219</v>
      </c>
      <c r="C24" s="30" t="s">
        <v>220</v>
      </c>
      <c r="D24" s="23" t="s">
        <v>100</v>
      </c>
      <c r="E24" s="24">
        <v>34820</v>
      </c>
      <c r="F24" s="23">
        <v>19</v>
      </c>
      <c r="G24" s="23">
        <v>7900</v>
      </c>
      <c r="H24" s="23">
        <v>100</v>
      </c>
      <c r="I24" s="23">
        <v>5</v>
      </c>
    </row>
    <row r="25" spans="1:9" x14ac:dyDescent="0.35">
      <c r="A25" s="23">
        <v>123</v>
      </c>
      <c r="B25" s="30" t="s">
        <v>221</v>
      </c>
      <c r="C25" s="30" t="s">
        <v>222</v>
      </c>
      <c r="D25" s="23" t="s">
        <v>104</v>
      </c>
      <c r="E25" s="24">
        <v>35713</v>
      </c>
      <c r="F25" s="23">
        <v>19</v>
      </c>
      <c r="G25" s="23">
        <v>6500</v>
      </c>
      <c r="H25" s="23">
        <v>100</v>
      </c>
      <c r="I25" s="23">
        <v>5</v>
      </c>
    </row>
    <row r="26" spans="1:9" x14ac:dyDescent="0.35">
      <c r="A26" s="23">
        <v>126</v>
      </c>
      <c r="B26" s="30" t="s">
        <v>223</v>
      </c>
      <c r="C26" s="30" t="s">
        <v>224</v>
      </c>
      <c r="D26" s="23" t="s">
        <v>108</v>
      </c>
      <c r="E26" s="24">
        <v>36066</v>
      </c>
      <c r="F26" s="23">
        <v>18</v>
      </c>
      <c r="G26" s="23">
        <v>2700</v>
      </c>
      <c r="H26" s="23">
        <v>120</v>
      </c>
      <c r="I26" s="23">
        <v>5</v>
      </c>
    </row>
    <row r="27" spans="1:9" x14ac:dyDescent="0.35">
      <c r="A27" s="23">
        <v>145</v>
      </c>
      <c r="B27" s="30" t="s">
        <v>225</v>
      </c>
      <c r="C27" s="30" t="s">
        <v>226</v>
      </c>
      <c r="D27" s="23"/>
      <c r="E27" s="24">
        <v>35339</v>
      </c>
      <c r="F27" s="23">
        <v>15</v>
      </c>
      <c r="G27" s="23">
        <v>14000</v>
      </c>
      <c r="H27" s="23">
        <v>100</v>
      </c>
      <c r="I27" s="23">
        <v>8</v>
      </c>
    </row>
    <row r="28" spans="1:9" x14ac:dyDescent="0.35">
      <c r="A28" s="23">
        <v>146</v>
      </c>
      <c r="B28" s="30" t="s">
        <v>227</v>
      </c>
      <c r="C28" s="30" t="s">
        <v>228</v>
      </c>
      <c r="D28" s="23"/>
      <c r="E28" s="24">
        <v>35435</v>
      </c>
      <c r="F28" s="23">
        <v>15</v>
      </c>
      <c r="G28" s="23">
        <v>13500</v>
      </c>
      <c r="H28" s="23">
        <v>100</v>
      </c>
      <c r="I28" s="23">
        <v>8</v>
      </c>
    </row>
    <row r="29" spans="1:9" x14ac:dyDescent="0.35">
      <c r="A29" s="23">
        <v>176</v>
      </c>
      <c r="B29" s="30" t="s">
        <v>229</v>
      </c>
      <c r="C29" s="30" t="s">
        <v>230</v>
      </c>
      <c r="D29" s="23"/>
      <c r="E29" s="24">
        <v>35878</v>
      </c>
      <c r="F29" s="23">
        <v>16</v>
      </c>
      <c r="G29" s="23">
        <v>8600</v>
      </c>
      <c r="H29" s="23">
        <v>100</v>
      </c>
      <c r="I29" s="23">
        <v>8</v>
      </c>
    </row>
    <row r="30" spans="1:9" x14ac:dyDescent="0.35">
      <c r="A30" s="23">
        <v>177</v>
      </c>
      <c r="B30" s="30" t="s">
        <v>231</v>
      </c>
      <c r="C30" s="30" t="s">
        <v>232</v>
      </c>
      <c r="D30" s="23"/>
      <c r="E30" s="24">
        <v>35908</v>
      </c>
      <c r="F30" s="23">
        <v>16</v>
      </c>
      <c r="G30" s="23">
        <v>8400</v>
      </c>
      <c r="H30" s="23">
        <v>100</v>
      </c>
      <c r="I30" s="23">
        <v>8</v>
      </c>
    </row>
    <row r="31" spans="1:9" x14ac:dyDescent="0.35">
      <c r="A31" s="23">
        <v>178</v>
      </c>
      <c r="B31" s="30" t="s">
        <v>233</v>
      </c>
      <c r="C31" s="30" t="s">
        <v>234</v>
      </c>
      <c r="D31" s="23"/>
      <c r="E31" s="24">
        <v>36304</v>
      </c>
      <c r="F31" s="23">
        <v>16</v>
      </c>
      <c r="G31" s="23">
        <v>7000</v>
      </c>
      <c r="H31" s="23">
        <v>100</v>
      </c>
      <c r="I31" s="23">
        <v>8</v>
      </c>
    </row>
    <row r="32" spans="1:9" x14ac:dyDescent="0.35">
      <c r="A32" s="23">
        <v>179</v>
      </c>
      <c r="B32" s="30" t="s">
        <v>235</v>
      </c>
      <c r="C32" s="30" t="s">
        <v>236</v>
      </c>
      <c r="D32" s="23"/>
      <c r="E32" s="24">
        <v>36529</v>
      </c>
      <c r="F32" s="23">
        <v>16</v>
      </c>
      <c r="G32" s="23">
        <v>6200</v>
      </c>
      <c r="H32" s="23">
        <v>100</v>
      </c>
      <c r="I32" s="23">
        <v>8</v>
      </c>
    </row>
    <row r="33" spans="1:9" x14ac:dyDescent="0.35">
      <c r="A33" s="23">
        <v>192</v>
      </c>
      <c r="B33" s="30" t="s">
        <v>237</v>
      </c>
      <c r="C33" s="30" t="s">
        <v>238</v>
      </c>
      <c r="D33" s="23" t="s">
        <v>128</v>
      </c>
      <c r="E33" s="24">
        <v>35099</v>
      </c>
      <c r="F33" s="23">
        <v>17</v>
      </c>
      <c r="G33" s="23">
        <v>4000</v>
      </c>
      <c r="H33" s="23">
        <v>123</v>
      </c>
      <c r="I33" s="23">
        <v>5</v>
      </c>
    </row>
    <row r="34" spans="1:9" x14ac:dyDescent="0.35">
      <c r="A34" s="23">
        <v>193</v>
      </c>
      <c r="B34" s="30" t="s">
        <v>239</v>
      </c>
      <c r="C34" s="30" t="s">
        <v>240</v>
      </c>
      <c r="D34" s="23" t="s">
        <v>132</v>
      </c>
      <c r="E34" s="24">
        <v>35492</v>
      </c>
      <c r="F34" s="23">
        <v>17</v>
      </c>
      <c r="G34" s="23">
        <v>3900</v>
      </c>
      <c r="H34" s="23">
        <v>123</v>
      </c>
      <c r="I34" s="23">
        <v>5</v>
      </c>
    </row>
    <row r="35" spans="1:9" x14ac:dyDescent="0.35">
      <c r="A35" s="23">
        <v>200</v>
      </c>
      <c r="B35" s="30" t="s">
        <v>241</v>
      </c>
      <c r="C35" s="30" t="s">
        <v>242</v>
      </c>
      <c r="D35" s="23" t="s">
        <v>136</v>
      </c>
      <c r="E35" s="24">
        <v>32037</v>
      </c>
      <c r="F35" s="23">
        <v>3</v>
      </c>
      <c r="G35" s="23">
        <v>4400</v>
      </c>
      <c r="H35" s="23">
        <v>101</v>
      </c>
      <c r="I35" s="23">
        <v>1</v>
      </c>
    </row>
    <row r="36" spans="1:9" x14ac:dyDescent="0.35">
      <c r="A36" s="23">
        <v>201</v>
      </c>
      <c r="B36" s="30" t="s">
        <v>243</v>
      </c>
      <c r="C36" s="30" t="s">
        <v>244</v>
      </c>
      <c r="D36" s="23" t="s">
        <v>140</v>
      </c>
      <c r="E36" s="24">
        <v>35112</v>
      </c>
      <c r="F36" s="23">
        <v>10</v>
      </c>
      <c r="G36" s="23">
        <v>13000</v>
      </c>
      <c r="H36" s="23">
        <v>100</v>
      </c>
      <c r="I36" s="23">
        <v>2</v>
      </c>
    </row>
    <row r="37" spans="1:9" x14ac:dyDescent="0.35">
      <c r="A37" s="23">
        <v>202</v>
      </c>
      <c r="B37" s="30" t="s">
        <v>245</v>
      </c>
      <c r="C37" s="30" t="s">
        <v>246</v>
      </c>
      <c r="D37" s="23" t="s">
        <v>144</v>
      </c>
      <c r="E37" s="24">
        <v>35659</v>
      </c>
      <c r="F37" s="23">
        <v>11</v>
      </c>
      <c r="G37" s="23">
        <v>6000</v>
      </c>
      <c r="H37" s="23">
        <v>201</v>
      </c>
      <c r="I37" s="23">
        <v>2</v>
      </c>
    </row>
    <row r="38" spans="1:9" x14ac:dyDescent="0.35">
      <c r="A38" s="23">
        <v>203</v>
      </c>
      <c r="B38" s="30" t="s">
        <v>247</v>
      </c>
      <c r="C38" s="30" t="s">
        <v>248</v>
      </c>
      <c r="D38" s="23" t="s">
        <v>148</v>
      </c>
      <c r="E38" s="24">
        <v>34492</v>
      </c>
      <c r="F38" s="23">
        <v>8</v>
      </c>
      <c r="G38" s="23">
        <v>6500</v>
      </c>
      <c r="H38" s="23">
        <v>101</v>
      </c>
      <c r="I38" s="23">
        <v>4</v>
      </c>
    </row>
    <row r="39" spans="1:9" x14ac:dyDescent="0.35">
      <c r="A39" s="23">
        <v>204</v>
      </c>
      <c r="B39" s="30" t="s">
        <v>249</v>
      </c>
      <c r="C39" s="30" t="s">
        <v>250</v>
      </c>
      <c r="D39" s="23" t="s">
        <v>152</v>
      </c>
      <c r="E39" s="24">
        <v>34492</v>
      </c>
      <c r="F39" s="23">
        <v>12</v>
      </c>
      <c r="G39" s="23">
        <v>10000</v>
      </c>
      <c r="H39" s="23">
        <v>101</v>
      </c>
      <c r="I39" s="23">
        <v>7</v>
      </c>
    </row>
    <row r="40" spans="1:9" x14ac:dyDescent="0.35">
      <c r="A40" s="23">
        <v>205</v>
      </c>
      <c r="B40" s="30" t="s">
        <v>251</v>
      </c>
      <c r="C40" s="30" t="s">
        <v>252</v>
      </c>
      <c r="D40" s="23" t="s">
        <v>156</v>
      </c>
      <c r="E40" s="24">
        <v>34492</v>
      </c>
      <c r="F40" s="23">
        <v>2</v>
      </c>
      <c r="G40" s="23">
        <v>12000</v>
      </c>
      <c r="H40" s="23">
        <v>101</v>
      </c>
      <c r="I40" s="23">
        <v>11</v>
      </c>
    </row>
    <row r="41" spans="1:9" x14ac:dyDescent="0.35">
      <c r="A41" s="23">
        <v>206</v>
      </c>
      <c r="B41" s="30" t="s">
        <v>253</v>
      </c>
      <c r="C41" s="30" t="s">
        <v>254</v>
      </c>
      <c r="D41" s="23" t="s">
        <v>160</v>
      </c>
      <c r="E41" s="24">
        <v>34492</v>
      </c>
      <c r="F41" s="23">
        <v>1</v>
      </c>
      <c r="G41" s="23">
        <v>8300</v>
      </c>
      <c r="H41" s="23">
        <v>205</v>
      </c>
      <c r="I41" s="23">
        <v>11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D1663-CB54-4B44-935A-AFBA8E3451F0}">
  <sheetPr>
    <tabColor theme="8" tint="0.59999389629810485"/>
  </sheetPr>
  <dimension ref="A1:K19"/>
  <sheetViews>
    <sheetView showGridLines="0" workbookViewId="0">
      <selection activeCell="B2" sqref="B2"/>
    </sheetView>
  </sheetViews>
  <sheetFormatPr defaultRowHeight="14.5" x14ac:dyDescent="0.35"/>
  <cols>
    <col min="2" max="2" width="15.6328125" bestFit="1" customWidth="1"/>
    <col min="3" max="3" width="12" bestFit="1" customWidth="1"/>
  </cols>
  <sheetData>
    <row r="1" spans="1:1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x14ac:dyDescent="0.3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</row>
    <row r="3" spans="1:11" x14ac:dyDescent="0.3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11" x14ac:dyDescent="0.35">
      <c r="A4" s="17"/>
      <c r="B4" s="27" t="s">
        <v>255</v>
      </c>
      <c r="C4" s="27" t="s">
        <v>257</v>
      </c>
      <c r="D4" s="17"/>
      <c r="E4" s="17"/>
      <c r="F4" s="17"/>
      <c r="G4" s="17"/>
      <c r="H4" s="17"/>
      <c r="I4" s="17"/>
      <c r="J4" s="17"/>
      <c r="K4" s="17"/>
    </row>
    <row r="5" spans="1:11" x14ac:dyDescent="0.35">
      <c r="A5" s="17"/>
      <c r="B5" s="27" t="s">
        <v>171</v>
      </c>
      <c r="C5" s="28">
        <v>58000</v>
      </c>
      <c r="D5" s="17"/>
      <c r="E5" s="17"/>
      <c r="F5" s="17"/>
      <c r="G5" s="17"/>
      <c r="H5" s="17"/>
      <c r="I5" s="17"/>
      <c r="J5" s="17"/>
      <c r="K5" s="17"/>
    </row>
    <row r="6" spans="1:11" x14ac:dyDescent="0.35">
      <c r="A6" s="17"/>
      <c r="B6" s="27" t="s">
        <v>170</v>
      </c>
      <c r="C6" s="28">
        <v>57700</v>
      </c>
      <c r="D6" s="17"/>
      <c r="E6" s="17"/>
      <c r="F6" s="17"/>
      <c r="G6" s="17"/>
      <c r="H6" s="17"/>
      <c r="I6" s="17"/>
      <c r="J6" s="17"/>
      <c r="K6" s="17"/>
    </row>
    <row r="7" spans="1:11" x14ac:dyDescent="0.35">
      <c r="A7" s="17"/>
      <c r="B7" s="27" t="s">
        <v>172</v>
      </c>
      <c r="C7" s="28">
        <v>51600</v>
      </c>
      <c r="D7" s="17"/>
      <c r="E7" s="17"/>
      <c r="F7" s="17"/>
      <c r="G7" s="17"/>
      <c r="H7" s="17"/>
      <c r="I7" s="17"/>
      <c r="J7" s="17"/>
      <c r="K7" s="17"/>
    </row>
    <row r="8" spans="1:11" x14ac:dyDescent="0.35">
      <c r="A8" s="17"/>
      <c r="B8" s="27" t="s">
        <v>167</v>
      </c>
      <c r="C8" s="28">
        <v>41200</v>
      </c>
      <c r="D8" s="17"/>
      <c r="E8" s="17"/>
      <c r="F8" s="17"/>
      <c r="G8" s="17"/>
      <c r="H8" s="17"/>
      <c r="I8" s="17"/>
      <c r="J8" s="17"/>
      <c r="K8" s="17"/>
    </row>
    <row r="9" spans="1:11" x14ac:dyDescent="0.35">
      <c r="A9" s="17"/>
      <c r="B9" s="27" t="s">
        <v>168</v>
      </c>
      <c r="C9" s="28">
        <v>28800</v>
      </c>
      <c r="D9" s="17"/>
      <c r="E9" s="17"/>
      <c r="F9" s="17"/>
      <c r="G9" s="17"/>
      <c r="H9" s="17"/>
      <c r="I9" s="17"/>
      <c r="J9" s="17"/>
      <c r="K9" s="17"/>
    </row>
    <row r="10" spans="1:11" x14ac:dyDescent="0.35">
      <c r="A10" s="17"/>
      <c r="B10" s="27" t="s">
        <v>165</v>
      </c>
      <c r="C10" s="28">
        <v>24900</v>
      </c>
      <c r="D10" s="17"/>
      <c r="E10" s="17"/>
      <c r="F10" s="17"/>
      <c r="G10" s="17"/>
      <c r="H10" s="17"/>
      <c r="I10" s="17"/>
      <c r="J10" s="17"/>
      <c r="K10" s="17"/>
    </row>
    <row r="11" spans="1:11" x14ac:dyDescent="0.35">
      <c r="A11" s="17"/>
      <c r="B11" s="27" t="s">
        <v>173</v>
      </c>
      <c r="C11" s="28">
        <v>20300</v>
      </c>
      <c r="D11" s="17"/>
      <c r="E11" s="17"/>
      <c r="F11" s="17"/>
      <c r="G11" s="17"/>
      <c r="H11" s="17"/>
      <c r="I11" s="17"/>
      <c r="J11" s="17"/>
      <c r="K11" s="17"/>
    </row>
    <row r="12" spans="1:11" x14ac:dyDescent="0.35">
      <c r="A12" s="17"/>
      <c r="B12" s="27" t="s">
        <v>164</v>
      </c>
      <c r="C12" s="28">
        <v>19000</v>
      </c>
      <c r="D12" s="17"/>
      <c r="E12" s="17"/>
      <c r="F12" s="17"/>
      <c r="G12" s="17"/>
      <c r="H12" s="17"/>
      <c r="I12" s="17"/>
      <c r="J12" s="17"/>
      <c r="K12" s="17"/>
    </row>
    <row r="13" spans="1:11" x14ac:dyDescent="0.35">
      <c r="A13" s="17"/>
      <c r="B13" s="27" t="s">
        <v>169</v>
      </c>
      <c r="C13" s="28">
        <v>10000</v>
      </c>
      <c r="D13" s="17"/>
      <c r="E13" s="17"/>
      <c r="F13" s="17"/>
      <c r="G13" s="17"/>
      <c r="H13" s="17"/>
      <c r="I13" s="17"/>
      <c r="J13" s="17"/>
      <c r="K13" s="17"/>
    </row>
    <row r="14" spans="1:11" x14ac:dyDescent="0.35">
      <c r="A14" s="17"/>
      <c r="B14" s="27" t="s">
        <v>166</v>
      </c>
      <c r="C14" s="28">
        <v>6500</v>
      </c>
      <c r="D14" s="17"/>
      <c r="E14" s="17"/>
      <c r="F14" s="17"/>
      <c r="G14" s="17"/>
      <c r="H14" s="17"/>
      <c r="I14" s="17"/>
      <c r="J14" s="17"/>
      <c r="K14" s="17"/>
    </row>
    <row r="15" spans="1:11" x14ac:dyDescent="0.35">
      <c r="A15" s="17"/>
      <c r="B15" s="27" t="s">
        <v>163</v>
      </c>
      <c r="C15" s="28">
        <v>4400</v>
      </c>
      <c r="D15" s="17"/>
      <c r="E15" s="17"/>
      <c r="F15" s="17"/>
      <c r="G15" s="17"/>
      <c r="H15" s="17"/>
      <c r="I15" s="17"/>
      <c r="J15" s="17"/>
      <c r="K15" s="17"/>
    </row>
    <row r="16" spans="1:11" x14ac:dyDescent="0.35">
      <c r="A16" s="17"/>
      <c r="B16" s="27" t="s">
        <v>256</v>
      </c>
      <c r="C16" s="28">
        <v>322400</v>
      </c>
      <c r="D16" s="17"/>
      <c r="E16" s="17"/>
      <c r="F16" s="17"/>
      <c r="G16" s="17"/>
      <c r="H16" s="17"/>
      <c r="I16" s="17"/>
      <c r="J16" s="17"/>
      <c r="K16" s="17"/>
    </row>
    <row r="17" spans="1:11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3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3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A087-C13E-49A9-9D4D-D3C6E45292D4}">
  <sheetPr>
    <tabColor theme="8" tint="0.59999389629810485"/>
  </sheetPr>
  <dimension ref="A1:L18"/>
  <sheetViews>
    <sheetView showGridLines="0" workbookViewId="0">
      <selection activeCell="M2" sqref="M2"/>
    </sheetView>
  </sheetViews>
  <sheetFormatPr defaultRowHeight="14.5" x14ac:dyDescent="0.35"/>
  <cols>
    <col min="2" max="2" width="15.6328125" bestFit="1" customWidth="1"/>
    <col min="3" max="3" width="14.81640625" bestFit="1" customWidth="1"/>
  </cols>
  <sheetData>
    <row r="1" spans="1:12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x14ac:dyDescent="0.35">
      <c r="A3" s="18"/>
      <c r="B3" s="25" t="s">
        <v>255</v>
      </c>
      <c r="C3" s="25" t="s">
        <v>258</v>
      </c>
      <c r="D3" s="18"/>
      <c r="E3" s="18"/>
      <c r="F3" s="18"/>
      <c r="G3" s="18"/>
      <c r="H3" s="18"/>
      <c r="I3" s="18"/>
      <c r="J3" s="18"/>
      <c r="K3" s="18"/>
      <c r="L3" s="18"/>
    </row>
    <row r="4" spans="1:12" x14ac:dyDescent="0.35">
      <c r="A4" s="18"/>
      <c r="B4" s="25" t="s">
        <v>171</v>
      </c>
      <c r="C4" s="26">
        <v>19333.333333333332</v>
      </c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35">
      <c r="A5" s="18"/>
      <c r="B5" s="25" t="s">
        <v>173</v>
      </c>
      <c r="C5" s="26">
        <v>10150</v>
      </c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35">
      <c r="A6" s="18"/>
      <c r="B6" s="25" t="s">
        <v>169</v>
      </c>
      <c r="C6" s="26">
        <v>10000</v>
      </c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35">
      <c r="A7" s="18"/>
      <c r="B7" s="25" t="s">
        <v>170</v>
      </c>
      <c r="C7" s="26">
        <v>9616.6666666666661</v>
      </c>
      <c r="D7" s="18"/>
      <c r="E7" s="18"/>
      <c r="F7" s="18"/>
      <c r="G7" s="18"/>
      <c r="H7" s="18"/>
      <c r="I7" s="18"/>
      <c r="J7" s="18"/>
      <c r="K7" s="18"/>
      <c r="L7" s="18"/>
    </row>
    <row r="8" spans="1:12" x14ac:dyDescent="0.35">
      <c r="A8" s="18"/>
      <c r="B8" s="25" t="s">
        <v>164</v>
      </c>
      <c r="C8" s="26">
        <v>9500</v>
      </c>
      <c r="D8" s="18"/>
      <c r="E8" s="18"/>
      <c r="F8" s="18"/>
      <c r="G8" s="18"/>
      <c r="H8" s="18"/>
      <c r="I8" s="18"/>
      <c r="J8" s="18"/>
      <c r="K8" s="18"/>
      <c r="L8" s="18"/>
    </row>
    <row r="9" spans="1:12" x14ac:dyDescent="0.35">
      <c r="A9" s="18"/>
      <c r="B9" s="25" t="s">
        <v>172</v>
      </c>
      <c r="C9" s="26">
        <v>8600</v>
      </c>
      <c r="D9" s="18"/>
      <c r="E9" s="18"/>
      <c r="F9" s="18"/>
      <c r="G9" s="18"/>
      <c r="H9" s="18"/>
      <c r="I9" s="18"/>
      <c r="J9" s="18"/>
      <c r="K9" s="18"/>
      <c r="L9" s="18"/>
    </row>
    <row r="10" spans="1:12" x14ac:dyDescent="0.35">
      <c r="A10" s="18"/>
      <c r="B10" s="25" t="s">
        <v>166</v>
      </c>
      <c r="C10" s="26">
        <v>6500</v>
      </c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8"/>
      <c r="B11" s="25" t="s">
        <v>167</v>
      </c>
      <c r="C11" s="26">
        <v>5885.7142857142853</v>
      </c>
      <c r="D11" s="18"/>
      <c r="E11" s="18"/>
      <c r="F11" s="18"/>
      <c r="G11" s="18"/>
      <c r="H11" s="18"/>
      <c r="I11" s="18"/>
      <c r="J11" s="18"/>
      <c r="K11" s="18"/>
      <c r="L11" s="18"/>
    </row>
    <row r="12" spans="1:12" x14ac:dyDescent="0.35">
      <c r="A12" s="18"/>
      <c r="B12" s="25" t="s">
        <v>168</v>
      </c>
      <c r="C12" s="26">
        <v>5760</v>
      </c>
      <c r="D12" s="18"/>
      <c r="E12" s="18"/>
      <c r="F12" s="18"/>
      <c r="G12" s="18"/>
      <c r="H12" s="18"/>
      <c r="I12" s="18"/>
      <c r="J12" s="18"/>
      <c r="K12" s="18"/>
      <c r="L12" s="18"/>
    </row>
    <row r="13" spans="1:12" x14ac:dyDescent="0.35">
      <c r="A13" s="18"/>
      <c r="B13" s="25" t="s">
        <v>163</v>
      </c>
      <c r="C13" s="26">
        <v>4400</v>
      </c>
      <c r="D13" s="18"/>
      <c r="E13" s="18"/>
      <c r="F13" s="18"/>
      <c r="G13" s="18"/>
      <c r="H13" s="18"/>
      <c r="I13" s="18"/>
      <c r="J13" s="18"/>
      <c r="K13" s="18"/>
      <c r="L13" s="18"/>
    </row>
    <row r="14" spans="1:12" x14ac:dyDescent="0.35">
      <c r="A14" s="18"/>
      <c r="B14" s="25" t="s">
        <v>165</v>
      </c>
      <c r="C14" s="26">
        <v>4150</v>
      </c>
      <c r="D14" s="18"/>
      <c r="E14" s="18"/>
      <c r="F14" s="18"/>
      <c r="G14" s="18"/>
      <c r="H14" s="18"/>
      <c r="I14" s="18"/>
      <c r="J14" s="18"/>
      <c r="K14" s="18"/>
      <c r="L14" s="18"/>
    </row>
    <row r="15" spans="1:12" x14ac:dyDescent="0.35">
      <c r="A15" s="18"/>
      <c r="B15" s="25" t="s">
        <v>256</v>
      </c>
      <c r="C15" s="26">
        <v>8060</v>
      </c>
      <c r="D15" s="18"/>
      <c r="E15" s="18"/>
      <c r="F15" s="18"/>
      <c r="G15" s="18"/>
      <c r="H15" s="18"/>
      <c r="I15" s="18"/>
      <c r="J15" s="18"/>
      <c r="K15" s="18"/>
      <c r="L15" s="18"/>
    </row>
    <row r="16" spans="1:12" x14ac:dyDescent="0.3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</row>
    <row r="17" spans="1:12" x14ac:dyDescent="0.3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</row>
    <row r="18" spans="1:12" x14ac:dyDescent="0.3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9255-9FC7-4CCF-88B8-3F06E8F900B0}">
  <sheetPr>
    <tabColor theme="0" tint="-0.34998626667073579"/>
  </sheetPr>
  <dimension ref="A1:L41"/>
  <sheetViews>
    <sheetView topLeftCell="A22" workbookViewId="0">
      <selection activeCell="B40" sqref="B40"/>
    </sheetView>
  </sheetViews>
  <sheetFormatPr defaultRowHeight="14.5" x14ac:dyDescent="0.35"/>
  <cols>
    <col min="1" max="1" width="13.7265625" bestFit="1" customWidth="1"/>
    <col min="2" max="2" width="12" bestFit="1" customWidth="1"/>
    <col min="3" max="3" width="11.7265625" bestFit="1" customWidth="1"/>
    <col min="4" max="4" width="29.6328125" bestFit="1" customWidth="1"/>
    <col min="5" max="5" width="15.81640625" bestFit="1" customWidth="1"/>
    <col min="6" max="6" width="15.08984375" bestFit="1" customWidth="1"/>
    <col min="7" max="7" width="8.1796875" bestFit="1" customWidth="1"/>
    <col min="8" max="8" width="8.08984375" bestFit="1" customWidth="1"/>
    <col min="9" max="9" width="12.81640625" bestFit="1" customWidth="1"/>
    <col min="10" max="10" width="15.453125" bestFit="1" customWidth="1"/>
    <col min="11" max="11" width="18.54296875" bestFit="1" customWidth="1"/>
    <col min="12" max="12" width="12.36328125" bestFit="1" customWidth="1"/>
  </cols>
  <sheetData>
    <row r="1" spans="1:12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161</v>
      </c>
      <c r="L1" s="23" t="s">
        <v>162</v>
      </c>
    </row>
    <row r="2" spans="1:12" x14ac:dyDescent="0.35">
      <c r="A2" s="23">
        <v>100</v>
      </c>
      <c r="B2" s="23" t="s">
        <v>10</v>
      </c>
      <c r="C2" s="23" t="s">
        <v>11</v>
      </c>
      <c r="D2" s="23" t="s">
        <v>12</v>
      </c>
      <c r="E2" s="23" t="s">
        <v>13</v>
      </c>
      <c r="F2" s="24">
        <v>31945</v>
      </c>
      <c r="G2" s="23">
        <v>4</v>
      </c>
      <c r="H2" s="23">
        <v>24000</v>
      </c>
      <c r="I2" s="23"/>
      <c r="J2" s="23">
        <v>9</v>
      </c>
      <c r="K2" s="23" t="s">
        <v>171</v>
      </c>
      <c r="L2" s="23">
        <v>1700</v>
      </c>
    </row>
    <row r="3" spans="1:12" x14ac:dyDescent="0.35">
      <c r="A3" s="23">
        <v>101</v>
      </c>
      <c r="B3" s="23" t="s">
        <v>14</v>
      </c>
      <c r="C3" s="23" t="s">
        <v>15</v>
      </c>
      <c r="D3" s="23" t="s">
        <v>16</v>
      </c>
      <c r="E3" s="23" t="s">
        <v>17</v>
      </c>
      <c r="F3" s="24">
        <v>32772</v>
      </c>
      <c r="G3" s="23">
        <v>5</v>
      </c>
      <c r="H3" s="23">
        <v>17000</v>
      </c>
      <c r="I3" s="23">
        <v>100</v>
      </c>
      <c r="J3" s="23">
        <v>9</v>
      </c>
      <c r="K3" s="23" t="s">
        <v>171</v>
      </c>
      <c r="L3" s="23">
        <v>1700</v>
      </c>
    </row>
    <row r="4" spans="1:12" x14ac:dyDescent="0.35">
      <c r="A4" s="23">
        <v>102</v>
      </c>
      <c r="B4" s="23" t="s">
        <v>18</v>
      </c>
      <c r="C4" s="23" t="s">
        <v>19</v>
      </c>
      <c r="D4" s="23" t="s">
        <v>20</v>
      </c>
      <c r="E4" s="23" t="s">
        <v>21</v>
      </c>
      <c r="F4" s="24">
        <v>33982</v>
      </c>
      <c r="G4" s="23">
        <v>5</v>
      </c>
      <c r="H4" s="23">
        <v>17000</v>
      </c>
      <c r="I4" s="23">
        <v>100</v>
      </c>
      <c r="J4" s="23">
        <v>9</v>
      </c>
      <c r="K4" s="23" t="s">
        <v>171</v>
      </c>
      <c r="L4" s="23">
        <v>1700</v>
      </c>
    </row>
    <row r="5" spans="1:12" x14ac:dyDescent="0.35">
      <c r="A5" s="23">
        <v>103</v>
      </c>
      <c r="B5" s="23" t="s">
        <v>22</v>
      </c>
      <c r="C5" s="23" t="s">
        <v>23</v>
      </c>
      <c r="D5" s="23" t="s">
        <v>24</v>
      </c>
      <c r="E5" s="23" t="s">
        <v>25</v>
      </c>
      <c r="F5" s="24">
        <v>32876</v>
      </c>
      <c r="G5" s="23">
        <v>9</v>
      </c>
      <c r="H5" s="23">
        <v>9000</v>
      </c>
      <c r="I5" s="23">
        <v>102</v>
      </c>
      <c r="J5" s="23">
        <v>6</v>
      </c>
      <c r="K5" s="23" t="s">
        <v>168</v>
      </c>
      <c r="L5" s="23">
        <v>1400</v>
      </c>
    </row>
    <row r="6" spans="1:12" x14ac:dyDescent="0.35">
      <c r="A6" s="23">
        <v>104</v>
      </c>
      <c r="B6" s="23" t="s">
        <v>26</v>
      </c>
      <c r="C6" s="23" t="s">
        <v>27</v>
      </c>
      <c r="D6" s="23" t="s">
        <v>28</v>
      </c>
      <c r="E6" s="23" t="s">
        <v>29</v>
      </c>
      <c r="F6" s="24">
        <v>33379</v>
      </c>
      <c r="G6" s="23">
        <v>9</v>
      </c>
      <c r="H6" s="23">
        <v>6000</v>
      </c>
      <c r="I6" s="23">
        <v>103</v>
      </c>
      <c r="J6" s="23">
        <v>6</v>
      </c>
      <c r="K6" s="23" t="s">
        <v>168</v>
      </c>
      <c r="L6" s="23">
        <v>1400</v>
      </c>
    </row>
    <row r="7" spans="1:12" x14ac:dyDescent="0.35">
      <c r="A7" s="23">
        <v>105</v>
      </c>
      <c r="B7" s="23" t="s">
        <v>30</v>
      </c>
      <c r="C7" s="23" t="s">
        <v>31</v>
      </c>
      <c r="D7" s="23" t="s">
        <v>32</v>
      </c>
      <c r="E7" s="23" t="s">
        <v>33</v>
      </c>
      <c r="F7" s="24">
        <v>35606</v>
      </c>
      <c r="G7" s="23">
        <v>9</v>
      </c>
      <c r="H7" s="23">
        <v>4800</v>
      </c>
      <c r="I7" s="23">
        <v>103</v>
      </c>
      <c r="J7" s="23">
        <v>6</v>
      </c>
      <c r="K7" s="23" t="s">
        <v>168</v>
      </c>
      <c r="L7" s="23">
        <v>1400</v>
      </c>
    </row>
    <row r="8" spans="1:12" x14ac:dyDescent="0.35">
      <c r="A8" s="23">
        <v>106</v>
      </c>
      <c r="B8" s="23" t="s">
        <v>34</v>
      </c>
      <c r="C8" s="23" t="s">
        <v>35</v>
      </c>
      <c r="D8" s="23" t="s">
        <v>36</v>
      </c>
      <c r="E8" s="23" t="s">
        <v>37</v>
      </c>
      <c r="F8" s="24">
        <v>35831</v>
      </c>
      <c r="G8" s="23">
        <v>9</v>
      </c>
      <c r="H8" s="23">
        <v>4800</v>
      </c>
      <c r="I8" s="23">
        <v>103</v>
      </c>
      <c r="J8" s="23">
        <v>6</v>
      </c>
      <c r="K8" s="23" t="s">
        <v>168</v>
      </c>
      <c r="L8" s="23">
        <v>1400</v>
      </c>
    </row>
    <row r="9" spans="1:12" x14ac:dyDescent="0.35">
      <c r="A9" s="23">
        <v>107</v>
      </c>
      <c r="B9" s="23" t="s">
        <v>38</v>
      </c>
      <c r="C9" s="23" t="s">
        <v>39</v>
      </c>
      <c r="D9" s="23" t="s">
        <v>40</v>
      </c>
      <c r="E9" s="23" t="s">
        <v>41</v>
      </c>
      <c r="F9" s="24">
        <v>36198</v>
      </c>
      <c r="G9" s="23">
        <v>9</v>
      </c>
      <c r="H9" s="23">
        <v>4200</v>
      </c>
      <c r="I9" s="23">
        <v>103</v>
      </c>
      <c r="J9" s="23">
        <v>6</v>
      </c>
      <c r="K9" s="23" t="s">
        <v>168</v>
      </c>
      <c r="L9" s="23">
        <v>1400</v>
      </c>
    </row>
    <row r="10" spans="1:12" x14ac:dyDescent="0.35">
      <c r="A10" s="23">
        <v>108</v>
      </c>
      <c r="B10" s="23" t="s">
        <v>42</v>
      </c>
      <c r="C10" s="23" t="s">
        <v>43</v>
      </c>
      <c r="D10" s="23" t="s">
        <v>44</v>
      </c>
      <c r="E10" s="23" t="s">
        <v>45</v>
      </c>
      <c r="F10" s="24">
        <v>34563</v>
      </c>
      <c r="G10" s="23">
        <v>7</v>
      </c>
      <c r="H10" s="23">
        <v>12000</v>
      </c>
      <c r="I10" s="23">
        <v>101</v>
      </c>
      <c r="J10" s="23">
        <v>10</v>
      </c>
      <c r="K10" s="23" t="s">
        <v>172</v>
      </c>
      <c r="L10" s="23">
        <v>1700</v>
      </c>
    </row>
    <row r="11" spans="1:12" x14ac:dyDescent="0.35">
      <c r="A11" s="23">
        <v>109</v>
      </c>
      <c r="B11" s="23" t="s">
        <v>46</v>
      </c>
      <c r="C11" s="23" t="s">
        <v>47</v>
      </c>
      <c r="D11" s="23" t="s">
        <v>48</v>
      </c>
      <c r="E11" s="23" t="s">
        <v>49</v>
      </c>
      <c r="F11" s="24">
        <v>34562</v>
      </c>
      <c r="G11" s="23">
        <v>6</v>
      </c>
      <c r="H11" s="23">
        <v>9000</v>
      </c>
      <c r="I11" s="23">
        <v>108</v>
      </c>
      <c r="J11" s="23">
        <v>10</v>
      </c>
      <c r="K11" s="23" t="s">
        <v>172</v>
      </c>
      <c r="L11" s="23">
        <v>1700</v>
      </c>
    </row>
    <row r="12" spans="1:12" x14ac:dyDescent="0.35">
      <c r="A12" s="23">
        <v>110</v>
      </c>
      <c r="B12" s="23" t="s">
        <v>50</v>
      </c>
      <c r="C12" s="23" t="s">
        <v>51</v>
      </c>
      <c r="D12" s="23" t="s">
        <v>52</v>
      </c>
      <c r="E12" s="23" t="s">
        <v>53</v>
      </c>
      <c r="F12" s="24">
        <v>35701</v>
      </c>
      <c r="G12" s="23">
        <v>6</v>
      </c>
      <c r="H12" s="23">
        <v>8200</v>
      </c>
      <c r="I12" s="23">
        <v>108</v>
      </c>
      <c r="J12" s="23">
        <v>10</v>
      </c>
      <c r="K12" s="23" t="s">
        <v>172</v>
      </c>
      <c r="L12" s="23">
        <v>1700</v>
      </c>
    </row>
    <row r="13" spans="1:12" x14ac:dyDescent="0.35">
      <c r="A13" s="23">
        <v>111</v>
      </c>
      <c r="B13" s="23" t="s">
        <v>54</v>
      </c>
      <c r="C13" s="23" t="s">
        <v>55</v>
      </c>
      <c r="D13" s="23" t="s">
        <v>56</v>
      </c>
      <c r="E13" s="23" t="s">
        <v>57</v>
      </c>
      <c r="F13" s="24">
        <v>35703</v>
      </c>
      <c r="G13" s="23">
        <v>6</v>
      </c>
      <c r="H13" s="23">
        <v>7700</v>
      </c>
      <c r="I13" s="23">
        <v>108</v>
      </c>
      <c r="J13" s="23">
        <v>10</v>
      </c>
      <c r="K13" s="23" t="s">
        <v>172</v>
      </c>
      <c r="L13" s="23">
        <v>1700</v>
      </c>
    </row>
    <row r="14" spans="1:12" x14ac:dyDescent="0.35">
      <c r="A14" s="23">
        <v>112</v>
      </c>
      <c r="B14" s="23" t="s">
        <v>58</v>
      </c>
      <c r="C14" s="23" t="s">
        <v>59</v>
      </c>
      <c r="D14" s="23" t="s">
        <v>60</v>
      </c>
      <c r="E14" s="23" t="s">
        <v>61</v>
      </c>
      <c r="F14" s="24">
        <v>35861</v>
      </c>
      <c r="G14" s="23">
        <v>6</v>
      </c>
      <c r="H14" s="23">
        <v>7800</v>
      </c>
      <c r="I14" s="23">
        <v>108</v>
      </c>
      <c r="J14" s="23">
        <v>10</v>
      </c>
      <c r="K14" s="23" t="s">
        <v>172</v>
      </c>
      <c r="L14" s="23">
        <v>1700</v>
      </c>
    </row>
    <row r="15" spans="1:12" x14ac:dyDescent="0.35">
      <c r="A15" s="23">
        <v>113</v>
      </c>
      <c r="B15" s="23" t="s">
        <v>62</v>
      </c>
      <c r="C15" s="23" t="s">
        <v>63</v>
      </c>
      <c r="D15" s="23" t="s">
        <v>64</v>
      </c>
      <c r="E15" s="23" t="s">
        <v>65</v>
      </c>
      <c r="F15" s="24">
        <v>36501</v>
      </c>
      <c r="G15" s="23">
        <v>6</v>
      </c>
      <c r="H15" s="23">
        <v>6900</v>
      </c>
      <c r="I15" s="23">
        <v>108</v>
      </c>
      <c r="J15" s="23">
        <v>10</v>
      </c>
      <c r="K15" s="23" t="s">
        <v>172</v>
      </c>
      <c r="L15" s="23">
        <v>1700</v>
      </c>
    </row>
    <row r="16" spans="1:12" x14ac:dyDescent="0.35">
      <c r="A16" s="23">
        <v>114</v>
      </c>
      <c r="B16" s="23" t="s">
        <v>66</v>
      </c>
      <c r="C16" s="23" t="s">
        <v>67</v>
      </c>
      <c r="D16" s="23" t="s">
        <v>68</v>
      </c>
      <c r="E16" s="23" t="s">
        <v>69</v>
      </c>
      <c r="F16" s="24">
        <v>34675</v>
      </c>
      <c r="G16" s="23">
        <v>14</v>
      </c>
      <c r="H16" s="23">
        <v>11000</v>
      </c>
      <c r="I16" s="23">
        <v>100</v>
      </c>
      <c r="J16" s="23">
        <v>3</v>
      </c>
      <c r="K16" s="23" t="s">
        <v>165</v>
      </c>
      <c r="L16" s="23">
        <v>1700</v>
      </c>
    </row>
    <row r="17" spans="1:12" x14ac:dyDescent="0.35">
      <c r="A17" s="23">
        <v>115</v>
      </c>
      <c r="B17" s="23" t="s">
        <v>22</v>
      </c>
      <c r="C17" s="23" t="s">
        <v>70</v>
      </c>
      <c r="D17" s="23" t="s">
        <v>71</v>
      </c>
      <c r="E17" s="23" t="s">
        <v>72</v>
      </c>
      <c r="F17" s="24">
        <v>34837</v>
      </c>
      <c r="G17" s="23">
        <v>13</v>
      </c>
      <c r="H17" s="23">
        <v>3100</v>
      </c>
      <c r="I17" s="23">
        <v>114</v>
      </c>
      <c r="J17" s="23">
        <v>3</v>
      </c>
      <c r="K17" s="23" t="s">
        <v>165</v>
      </c>
      <c r="L17" s="23">
        <v>1700</v>
      </c>
    </row>
    <row r="18" spans="1:12" x14ac:dyDescent="0.35">
      <c r="A18" s="23">
        <v>116</v>
      </c>
      <c r="B18" s="23" t="s">
        <v>73</v>
      </c>
      <c r="C18" s="23" t="s">
        <v>74</v>
      </c>
      <c r="D18" s="23" t="s">
        <v>75</v>
      </c>
      <c r="E18" s="23" t="s">
        <v>76</v>
      </c>
      <c r="F18" s="24">
        <v>35788</v>
      </c>
      <c r="G18" s="23">
        <v>13</v>
      </c>
      <c r="H18" s="23">
        <v>2900</v>
      </c>
      <c r="I18" s="23">
        <v>114</v>
      </c>
      <c r="J18" s="23">
        <v>3</v>
      </c>
      <c r="K18" s="23" t="s">
        <v>165</v>
      </c>
      <c r="L18" s="23">
        <v>1700</v>
      </c>
    </row>
    <row r="19" spans="1:12" x14ac:dyDescent="0.35">
      <c r="A19" s="23">
        <v>117</v>
      </c>
      <c r="B19" s="23" t="s">
        <v>77</v>
      </c>
      <c r="C19" s="23" t="s">
        <v>78</v>
      </c>
      <c r="D19" s="23" t="s">
        <v>79</v>
      </c>
      <c r="E19" s="23" t="s">
        <v>80</v>
      </c>
      <c r="F19" s="24">
        <v>35635</v>
      </c>
      <c r="G19" s="23">
        <v>13</v>
      </c>
      <c r="H19" s="23">
        <v>2800</v>
      </c>
      <c r="I19" s="23">
        <v>114</v>
      </c>
      <c r="J19" s="23">
        <v>3</v>
      </c>
      <c r="K19" s="23" t="s">
        <v>165</v>
      </c>
      <c r="L19" s="23">
        <v>1700</v>
      </c>
    </row>
    <row r="20" spans="1:12" x14ac:dyDescent="0.35">
      <c r="A20" s="23">
        <v>118</v>
      </c>
      <c r="B20" s="23" t="s">
        <v>81</v>
      </c>
      <c r="C20" s="23" t="s">
        <v>82</v>
      </c>
      <c r="D20" s="23" t="s">
        <v>83</v>
      </c>
      <c r="E20" s="23" t="s">
        <v>84</v>
      </c>
      <c r="F20" s="24">
        <v>36114</v>
      </c>
      <c r="G20" s="23">
        <v>13</v>
      </c>
      <c r="H20" s="23">
        <v>2600</v>
      </c>
      <c r="I20" s="23">
        <v>114</v>
      </c>
      <c r="J20" s="23">
        <v>3</v>
      </c>
      <c r="K20" s="23" t="s">
        <v>165</v>
      </c>
      <c r="L20" s="23">
        <v>1700</v>
      </c>
    </row>
    <row r="21" spans="1:12" x14ac:dyDescent="0.35">
      <c r="A21" s="23">
        <v>119</v>
      </c>
      <c r="B21" s="23" t="s">
        <v>85</v>
      </c>
      <c r="C21" s="23" t="s">
        <v>86</v>
      </c>
      <c r="D21" s="23" t="s">
        <v>87</v>
      </c>
      <c r="E21" s="23" t="s">
        <v>88</v>
      </c>
      <c r="F21" s="24">
        <v>36382</v>
      </c>
      <c r="G21" s="23">
        <v>13</v>
      </c>
      <c r="H21" s="23">
        <v>2500</v>
      </c>
      <c r="I21" s="23">
        <v>114</v>
      </c>
      <c r="J21" s="23">
        <v>3</v>
      </c>
      <c r="K21" s="23" t="s">
        <v>165</v>
      </c>
      <c r="L21" s="23">
        <v>1700</v>
      </c>
    </row>
    <row r="22" spans="1:12" x14ac:dyDescent="0.35">
      <c r="A22" s="23">
        <v>120</v>
      </c>
      <c r="B22" s="23" t="s">
        <v>89</v>
      </c>
      <c r="C22" s="23" t="s">
        <v>90</v>
      </c>
      <c r="D22" s="23" t="s">
        <v>91</v>
      </c>
      <c r="E22" s="23" t="s">
        <v>92</v>
      </c>
      <c r="F22" s="24">
        <v>35264</v>
      </c>
      <c r="G22" s="23">
        <v>19</v>
      </c>
      <c r="H22" s="23">
        <v>8000</v>
      </c>
      <c r="I22" s="23">
        <v>100</v>
      </c>
      <c r="J22" s="23">
        <v>5</v>
      </c>
      <c r="K22" s="23" t="s">
        <v>167</v>
      </c>
      <c r="L22" s="23">
        <v>1500</v>
      </c>
    </row>
    <row r="23" spans="1:12" x14ac:dyDescent="0.35">
      <c r="A23" s="23">
        <v>121</v>
      </c>
      <c r="B23" s="23" t="s">
        <v>93</v>
      </c>
      <c r="C23" s="23" t="s">
        <v>94</v>
      </c>
      <c r="D23" s="23" t="s">
        <v>95</v>
      </c>
      <c r="E23" s="23" t="s">
        <v>96</v>
      </c>
      <c r="F23" s="24">
        <v>35530</v>
      </c>
      <c r="G23" s="23">
        <v>19</v>
      </c>
      <c r="H23" s="23">
        <v>8200</v>
      </c>
      <c r="I23" s="23">
        <v>100</v>
      </c>
      <c r="J23" s="23">
        <v>5</v>
      </c>
      <c r="K23" s="23" t="s">
        <v>167</v>
      </c>
      <c r="L23" s="23">
        <v>1500</v>
      </c>
    </row>
    <row r="24" spans="1:12" x14ac:dyDescent="0.35">
      <c r="A24" s="23">
        <v>122</v>
      </c>
      <c r="B24" s="23" t="s">
        <v>97</v>
      </c>
      <c r="C24" s="23" t="s">
        <v>98</v>
      </c>
      <c r="D24" s="23" t="s">
        <v>99</v>
      </c>
      <c r="E24" s="23" t="s">
        <v>100</v>
      </c>
      <c r="F24" s="24">
        <v>34820</v>
      </c>
      <c r="G24" s="23">
        <v>19</v>
      </c>
      <c r="H24" s="23">
        <v>7900</v>
      </c>
      <c r="I24" s="23">
        <v>100</v>
      </c>
      <c r="J24" s="23">
        <v>5</v>
      </c>
      <c r="K24" s="23" t="s">
        <v>167</v>
      </c>
      <c r="L24" s="23">
        <v>1500</v>
      </c>
    </row>
    <row r="25" spans="1:12" x14ac:dyDescent="0.35">
      <c r="A25" s="23">
        <v>123</v>
      </c>
      <c r="B25" s="23" t="s">
        <v>101</v>
      </c>
      <c r="C25" s="23" t="s">
        <v>102</v>
      </c>
      <c r="D25" s="23" t="s">
        <v>103</v>
      </c>
      <c r="E25" s="23" t="s">
        <v>104</v>
      </c>
      <c r="F25" s="24">
        <v>35713</v>
      </c>
      <c r="G25" s="23">
        <v>19</v>
      </c>
      <c r="H25" s="23">
        <v>6500</v>
      </c>
      <c r="I25" s="23">
        <v>100</v>
      </c>
      <c r="J25" s="23">
        <v>5</v>
      </c>
      <c r="K25" s="23" t="s">
        <v>167</v>
      </c>
      <c r="L25" s="23">
        <v>1500</v>
      </c>
    </row>
    <row r="26" spans="1:12" x14ac:dyDescent="0.35">
      <c r="A26" s="23">
        <v>126</v>
      </c>
      <c r="B26" s="23" t="s">
        <v>105</v>
      </c>
      <c r="C26" s="23" t="s">
        <v>106</v>
      </c>
      <c r="D26" s="23" t="s">
        <v>107</v>
      </c>
      <c r="E26" s="23" t="s">
        <v>108</v>
      </c>
      <c r="F26" s="24">
        <v>36066</v>
      </c>
      <c r="G26" s="23">
        <v>18</v>
      </c>
      <c r="H26" s="23">
        <v>2700</v>
      </c>
      <c r="I26" s="23">
        <v>120</v>
      </c>
      <c r="J26" s="23">
        <v>5</v>
      </c>
      <c r="K26" s="23" t="s">
        <v>167</v>
      </c>
      <c r="L26" s="23">
        <v>1500</v>
      </c>
    </row>
    <row r="27" spans="1:12" x14ac:dyDescent="0.35">
      <c r="A27" s="23">
        <v>145</v>
      </c>
      <c r="B27" s="23" t="s">
        <v>50</v>
      </c>
      <c r="C27" s="23" t="s">
        <v>109</v>
      </c>
      <c r="D27" s="23" t="s">
        <v>110</v>
      </c>
      <c r="E27" s="23"/>
      <c r="F27" s="24">
        <v>35339</v>
      </c>
      <c r="G27" s="23">
        <v>15</v>
      </c>
      <c r="H27" s="23">
        <v>14000</v>
      </c>
      <c r="I27" s="23">
        <v>100</v>
      </c>
      <c r="J27" s="23">
        <v>8</v>
      </c>
      <c r="K27" s="23" t="s">
        <v>170</v>
      </c>
      <c r="L27" s="23">
        <v>2500</v>
      </c>
    </row>
    <row r="28" spans="1:12" x14ac:dyDescent="0.35">
      <c r="A28" s="23">
        <v>146</v>
      </c>
      <c r="B28" s="23" t="s">
        <v>85</v>
      </c>
      <c r="C28" s="23" t="s">
        <v>111</v>
      </c>
      <c r="D28" s="23" t="s">
        <v>112</v>
      </c>
      <c r="E28" s="23"/>
      <c r="F28" s="24">
        <v>35435</v>
      </c>
      <c r="G28" s="23">
        <v>15</v>
      </c>
      <c r="H28" s="23">
        <v>13500</v>
      </c>
      <c r="I28" s="23">
        <v>100</v>
      </c>
      <c r="J28" s="23">
        <v>8</v>
      </c>
      <c r="K28" s="23" t="s">
        <v>170</v>
      </c>
      <c r="L28" s="23">
        <v>2500</v>
      </c>
    </row>
    <row r="29" spans="1:12" x14ac:dyDescent="0.35">
      <c r="A29" s="23">
        <v>176</v>
      </c>
      <c r="B29" s="23" t="s">
        <v>113</v>
      </c>
      <c r="C29" s="23" t="s">
        <v>114</v>
      </c>
      <c r="D29" s="23" t="s">
        <v>115</v>
      </c>
      <c r="E29" s="23"/>
      <c r="F29" s="24">
        <v>35878</v>
      </c>
      <c r="G29" s="23">
        <v>16</v>
      </c>
      <c r="H29" s="23">
        <v>8600</v>
      </c>
      <c r="I29" s="23">
        <v>100</v>
      </c>
      <c r="J29" s="23">
        <v>8</v>
      </c>
      <c r="K29" s="23" t="s">
        <v>170</v>
      </c>
      <c r="L29" s="23">
        <v>2500</v>
      </c>
    </row>
    <row r="30" spans="1:12" x14ac:dyDescent="0.35">
      <c r="A30" s="23">
        <v>177</v>
      </c>
      <c r="B30" s="23" t="s">
        <v>116</v>
      </c>
      <c r="C30" s="23" t="s">
        <v>117</v>
      </c>
      <c r="D30" s="23" t="s">
        <v>118</v>
      </c>
      <c r="E30" s="23"/>
      <c r="F30" s="24">
        <v>35908</v>
      </c>
      <c r="G30" s="23">
        <v>16</v>
      </c>
      <c r="H30" s="23">
        <v>8400</v>
      </c>
      <c r="I30" s="23">
        <v>100</v>
      </c>
      <c r="J30" s="23">
        <v>8</v>
      </c>
      <c r="K30" s="23" t="s">
        <v>170</v>
      </c>
      <c r="L30" s="23">
        <v>2500</v>
      </c>
    </row>
    <row r="31" spans="1:12" x14ac:dyDescent="0.35">
      <c r="A31" s="23">
        <v>178</v>
      </c>
      <c r="B31" s="23" t="s">
        <v>119</v>
      </c>
      <c r="C31" s="23" t="s">
        <v>120</v>
      </c>
      <c r="D31" s="23" t="s">
        <v>121</v>
      </c>
      <c r="E31" s="23"/>
      <c r="F31" s="24">
        <v>36304</v>
      </c>
      <c r="G31" s="23">
        <v>16</v>
      </c>
      <c r="H31" s="23">
        <v>7000</v>
      </c>
      <c r="I31" s="23">
        <v>100</v>
      </c>
      <c r="J31" s="23">
        <v>8</v>
      </c>
      <c r="K31" s="23" t="s">
        <v>170</v>
      </c>
      <c r="L31" s="23">
        <v>2500</v>
      </c>
    </row>
    <row r="32" spans="1:12" x14ac:dyDescent="0.35">
      <c r="A32" s="23">
        <v>179</v>
      </c>
      <c r="B32" s="23" t="s">
        <v>122</v>
      </c>
      <c r="C32" s="23" t="s">
        <v>123</v>
      </c>
      <c r="D32" s="23" t="s">
        <v>124</v>
      </c>
      <c r="E32" s="23"/>
      <c r="F32" s="24">
        <v>36529</v>
      </c>
      <c r="G32" s="23">
        <v>16</v>
      </c>
      <c r="H32" s="23">
        <v>6200</v>
      </c>
      <c r="I32" s="23">
        <v>100</v>
      </c>
      <c r="J32" s="23">
        <v>8</v>
      </c>
      <c r="K32" s="23" t="s">
        <v>170</v>
      </c>
      <c r="L32" s="23">
        <v>2500</v>
      </c>
    </row>
    <row r="33" spans="1:12" x14ac:dyDescent="0.35">
      <c r="A33" s="23">
        <v>192</v>
      </c>
      <c r="B33" s="23" t="s">
        <v>125</v>
      </c>
      <c r="C33" s="23" t="s">
        <v>126</v>
      </c>
      <c r="D33" s="23" t="s">
        <v>127</v>
      </c>
      <c r="E33" s="23" t="s">
        <v>128</v>
      </c>
      <c r="F33" s="24">
        <v>35099</v>
      </c>
      <c r="G33" s="23">
        <v>17</v>
      </c>
      <c r="H33" s="23">
        <v>4000</v>
      </c>
      <c r="I33" s="23">
        <v>123</v>
      </c>
      <c r="J33" s="23">
        <v>5</v>
      </c>
      <c r="K33" s="23" t="s">
        <v>167</v>
      </c>
      <c r="L33" s="23">
        <v>1500</v>
      </c>
    </row>
    <row r="34" spans="1:12" x14ac:dyDescent="0.35">
      <c r="A34" s="23">
        <v>193</v>
      </c>
      <c r="B34" s="23" t="s">
        <v>129</v>
      </c>
      <c r="C34" s="23" t="s">
        <v>130</v>
      </c>
      <c r="D34" s="23" t="s">
        <v>131</v>
      </c>
      <c r="E34" s="23" t="s">
        <v>132</v>
      </c>
      <c r="F34" s="24">
        <v>35492</v>
      </c>
      <c r="G34" s="23">
        <v>17</v>
      </c>
      <c r="H34" s="23">
        <v>3900</v>
      </c>
      <c r="I34" s="23">
        <v>123</v>
      </c>
      <c r="J34" s="23">
        <v>5</v>
      </c>
      <c r="K34" s="23" t="s">
        <v>167</v>
      </c>
      <c r="L34" s="23">
        <v>1500</v>
      </c>
    </row>
    <row r="35" spans="1:12" x14ac:dyDescent="0.35">
      <c r="A35" s="23">
        <v>200</v>
      </c>
      <c r="B35" s="23" t="s">
        <v>133</v>
      </c>
      <c r="C35" s="23" t="s">
        <v>134</v>
      </c>
      <c r="D35" s="23" t="s">
        <v>135</v>
      </c>
      <c r="E35" s="23" t="s">
        <v>136</v>
      </c>
      <c r="F35" s="24">
        <v>32037</v>
      </c>
      <c r="G35" s="23">
        <v>3</v>
      </c>
      <c r="H35" s="23">
        <v>4400</v>
      </c>
      <c r="I35" s="23">
        <v>101</v>
      </c>
      <c r="J35" s="23">
        <v>1</v>
      </c>
      <c r="K35" s="23" t="s">
        <v>163</v>
      </c>
      <c r="L35" s="23">
        <v>1700</v>
      </c>
    </row>
    <row r="36" spans="1:12" x14ac:dyDescent="0.35">
      <c r="A36" s="23">
        <v>201</v>
      </c>
      <c r="B36" s="23" t="s">
        <v>137</v>
      </c>
      <c r="C36" s="23" t="s">
        <v>138</v>
      </c>
      <c r="D36" s="23" t="s">
        <v>139</v>
      </c>
      <c r="E36" s="23" t="s">
        <v>140</v>
      </c>
      <c r="F36" s="24">
        <v>35112</v>
      </c>
      <c r="G36" s="23">
        <v>10</v>
      </c>
      <c r="H36" s="23">
        <v>13000</v>
      </c>
      <c r="I36" s="23">
        <v>100</v>
      </c>
      <c r="J36" s="23">
        <v>2</v>
      </c>
      <c r="K36" s="23" t="s">
        <v>164</v>
      </c>
      <c r="L36" s="23">
        <v>1800</v>
      </c>
    </row>
    <row r="37" spans="1:12" x14ac:dyDescent="0.35">
      <c r="A37" s="23">
        <v>202</v>
      </c>
      <c r="B37" s="23" t="s">
        <v>141</v>
      </c>
      <c r="C37" s="23" t="s">
        <v>142</v>
      </c>
      <c r="D37" s="23" t="s">
        <v>143</v>
      </c>
      <c r="E37" s="23" t="s">
        <v>144</v>
      </c>
      <c r="F37" s="24">
        <v>35659</v>
      </c>
      <c r="G37" s="23">
        <v>11</v>
      </c>
      <c r="H37" s="23">
        <v>6000</v>
      </c>
      <c r="I37" s="23">
        <v>201</v>
      </c>
      <c r="J37" s="23">
        <v>2</v>
      </c>
      <c r="K37" s="23" t="s">
        <v>164</v>
      </c>
      <c r="L37" s="23">
        <v>1800</v>
      </c>
    </row>
    <row r="38" spans="1:12" x14ac:dyDescent="0.35">
      <c r="A38" s="23">
        <v>203</v>
      </c>
      <c r="B38" s="23" t="s">
        <v>145</v>
      </c>
      <c r="C38" s="23" t="s">
        <v>146</v>
      </c>
      <c r="D38" s="23" t="s">
        <v>147</v>
      </c>
      <c r="E38" s="23" t="s">
        <v>148</v>
      </c>
      <c r="F38" s="24">
        <v>34492</v>
      </c>
      <c r="G38" s="23">
        <v>8</v>
      </c>
      <c r="H38" s="23">
        <v>6500</v>
      </c>
      <c r="I38" s="23">
        <v>101</v>
      </c>
      <c r="J38" s="23">
        <v>4</v>
      </c>
      <c r="K38" s="23" t="s">
        <v>166</v>
      </c>
      <c r="L38" s="23">
        <v>2400</v>
      </c>
    </row>
    <row r="39" spans="1:12" x14ac:dyDescent="0.35">
      <c r="A39" s="23">
        <v>204</v>
      </c>
      <c r="B39" s="23" t="s">
        <v>149</v>
      </c>
      <c r="C39" s="23" t="s">
        <v>150</v>
      </c>
      <c r="D39" s="23" t="s">
        <v>151</v>
      </c>
      <c r="E39" s="23" t="s">
        <v>152</v>
      </c>
      <c r="F39" s="24">
        <v>34492</v>
      </c>
      <c r="G39" s="23">
        <v>12</v>
      </c>
      <c r="H39" s="23">
        <v>10000</v>
      </c>
      <c r="I39" s="23">
        <v>101</v>
      </c>
      <c r="J39" s="23">
        <v>7</v>
      </c>
      <c r="K39" s="23" t="s">
        <v>169</v>
      </c>
      <c r="L39" s="23">
        <v>2700</v>
      </c>
    </row>
    <row r="40" spans="1:12" x14ac:dyDescent="0.35">
      <c r="A40" s="23">
        <v>205</v>
      </c>
      <c r="B40" s="23" t="s">
        <v>153</v>
      </c>
      <c r="C40" s="23" t="s">
        <v>154</v>
      </c>
      <c r="D40" s="23" t="s">
        <v>155</v>
      </c>
      <c r="E40" s="23" t="s">
        <v>156</v>
      </c>
      <c r="F40" s="24">
        <v>34492</v>
      </c>
      <c r="G40" s="23">
        <v>2</v>
      </c>
      <c r="H40" s="23">
        <v>12000</v>
      </c>
      <c r="I40" s="23">
        <v>101</v>
      </c>
      <c r="J40" s="23">
        <v>11</v>
      </c>
      <c r="K40" s="23" t="s">
        <v>173</v>
      </c>
      <c r="L40" s="23">
        <v>1700</v>
      </c>
    </row>
    <row r="41" spans="1:12" x14ac:dyDescent="0.35">
      <c r="A41" s="23">
        <v>206</v>
      </c>
      <c r="B41" s="23" t="s">
        <v>157</v>
      </c>
      <c r="C41" s="23" t="s">
        <v>158</v>
      </c>
      <c r="D41" s="23" t="s">
        <v>159</v>
      </c>
      <c r="E41" s="23" t="s">
        <v>160</v>
      </c>
      <c r="F41" s="24">
        <v>34492</v>
      </c>
      <c r="G41" s="23">
        <v>1</v>
      </c>
      <c r="H41" s="23">
        <v>8300</v>
      </c>
      <c r="I41" s="23">
        <v>205</v>
      </c>
      <c r="J41" s="23">
        <v>11</v>
      </c>
      <c r="K41" s="23" t="s">
        <v>173</v>
      </c>
      <c r="L41" s="23">
        <v>1700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1ABFC-7664-405B-BC8A-B9621741CB99}">
  <sheetPr filterMode="1">
    <tabColor theme="0" tint="-0.249977111117893"/>
  </sheetPr>
  <dimension ref="A1:L41"/>
  <sheetViews>
    <sheetView workbookViewId="0">
      <selection sqref="A1:L1"/>
    </sheetView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5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  <col min="11" max="11" width="16.26953125" bestFit="1" customWidth="1"/>
    <col min="12" max="12" width="10.08984375" bestFit="1" customWidth="1"/>
  </cols>
  <sheetData>
    <row r="1" spans="1:12" x14ac:dyDescent="0.3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161</v>
      </c>
      <c r="L1" s="22" t="s">
        <v>162</v>
      </c>
    </row>
    <row r="2" spans="1:12" hidden="1" x14ac:dyDescent="0.35">
      <c r="A2" s="7">
        <v>100</v>
      </c>
      <c r="B2" s="8" t="s">
        <v>10</v>
      </c>
      <c r="C2" s="8" t="s">
        <v>11</v>
      </c>
      <c r="D2" s="8" t="s">
        <v>12</v>
      </c>
      <c r="E2" s="8" t="s">
        <v>13</v>
      </c>
      <c r="F2" s="13">
        <v>31945</v>
      </c>
      <c r="G2" s="8">
        <v>4</v>
      </c>
      <c r="H2" s="8">
        <v>24000</v>
      </c>
      <c r="I2" s="8"/>
      <c r="J2" s="8">
        <v>9</v>
      </c>
      <c r="K2" s="8" t="s">
        <v>171</v>
      </c>
      <c r="L2" s="9">
        <v>1700</v>
      </c>
    </row>
    <row r="3" spans="1:12" hidden="1" x14ac:dyDescent="0.35">
      <c r="A3" s="7">
        <v>101</v>
      </c>
      <c r="B3" s="8" t="s">
        <v>14</v>
      </c>
      <c r="C3" s="8" t="s">
        <v>15</v>
      </c>
      <c r="D3" s="8" t="s">
        <v>16</v>
      </c>
      <c r="E3" s="8" t="s">
        <v>17</v>
      </c>
      <c r="F3" s="13">
        <v>32772</v>
      </c>
      <c r="G3" s="8">
        <v>5</v>
      </c>
      <c r="H3" s="8">
        <v>17000</v>
      </c>
      <c r="I3" s="8">
        <v>100</v>
      </c>
      <c r="J3" s="8">
        <v>9</v>
      </c>
      <c r="K3" s="8" t="s">
        <v>171</v>
      </c>
      <c r="L3" s="9">
        <v>1700</v>
      </c>
    </row>
    <row r="4" spans="1:12" hidden="1" x14ac:dyDescent="0.35">
      <c r="A4" s="7">
        <v>102</v>
      </c>
      <c r="B4" s="8" t="s">
        <v>18</v>
      </c>
      <c r="C4" s="8" t="s">
        <v>19</v>
      </c>
      <c r="D4" s="8" t="s">
        <v>20</v>
      </c>
      <c r="E4" s="8" t="s">
        <v>21</v>
      </c>
      <c r="F4" s="13">
        <v>33982</v>
      </c>
      <c r="G4" s="8">
        <v>5</v>
      </c>
      <c r="H4" s="8">
        <v>17000</v>
      </c>
      <c r="I4" s="8">
        <v>100</v>
      </c>
      <c r="J4" s="8">
        <v>9</v>
      </c>
      <c r="K4" s="8" t="s">
        <v>171</v>
      </c>
      <c r="L4" s="9">
        <v>1700</v>
      </c>
    </row>
    <row r="5" spans="1:12" hidden="1" x14ac:dyDescent="0.35">
      <c r="A5" s="7">
        <v>103</v>
      </c>
      <c r="B5" s="8" t="s">
        <v>22</v>
      </c>
      <c r="C5" s="8" t="s">
        <v>23</v>
      </c>
      <c r="D5" s="8" t="s">
        <v>24</v>
      </c>
      <c r="E5" s="8" t="s">
        <v>25</v>
      </c>
      <c r="F5" s="13">
        <v>32876</v>
      </c>
      <c r="G5" s="8">
        <v>9</v>
      </c>
      <c r="H5" s="8">
        <v>9000</v>
      </c>
      <c r="I5" s="8">
        <v>102</v>
      </c>
      <c r="J5" s="8">
        <v>6</v>
      </c>
      <c r="K5" s="8" t="s">
        <v>168</v>
      </c>
      <c r="L5" s="9">
        <v>1400</v>
      </c>
    </row>
    <row r="6" spans="1:12" hidden="1" x14ac:dyDescent="0.35">
      <c r="A6" s="7">
        <v>104</v>
      </c>
      <c r="B6" s="8" t="s">
        <v>26</v>
      </c>
      <c r="C6" s="8" t="s">
        <v>27</v>
      </c>
      <c r="D6" s="8" t="s">
        <v>28</v>
      </c>
      <c r="E6" s="8" t="s">
        <v>29</v>
      </c>
      <c r="F6" s="13">
        <v>33379</v>
      </c>
      <c r="G6" s="8">
        <v>9</v>
      </c>
      <c r="H6" s="8">
        <v>6000</v>
      </c>
      <c r="I6" s="8">
        <v>103</v>
      </c>
      <c r="J6" s="8">
        <v>6</v>
      </c>
      <c r="K6" s="8" t="s">
        <v>168</v>
      </c>
      <c r="L6" s="9">
        <v>1400</v>
      </c>
    </row>
    <row r="7" spans="1:12" hidden="1" x14ac:dyDescent="0.35">
      <c r="A7" s="7">
        <v>105</v>
      </c>
      <c r="B7" s="8" t="s">
        <v>30</v>
      </c>
      <c r="C7" s="8" t="s">
        <v>31</v>
      </c>
      <c r="D7" s="8" t="s">
        <v>32</v>
      </c>
      <c r="E7" s="8" t="s">
        <v>33</v>
      </c>
      <c r="F7" s="13">
        <v>35606</v>
      </c>
      <c r="G7" s="8">
        <v>9</v>
      </c>
      <c r="H7" s="8">
        <v>4800</v>
      </c>
      <c r="I7" s="8">
        <v>103</v>
      </c>
      <c r="J7" s="8">
        <v>6</v>
      </c>
      <c r="K7" s="8" t="s">
        <v>168</v>
      </c>
      <c r="L7" s="9">
        <v>1400</v>
      </c>
    </row>
    <row r="8" spans="1:12" hidden="1" x14ac:dyDescent="0.35">
      <c r="A8" s="7">
        <v>106</v>
      </c>
      <c r="B8" s="8" t="s">
        <v>34</v>
      </c>
      <c r="C8" s="8" t="s">
        <v>35</v>
      </c>
      <c r="D8" s="8" t="s">
        <v>36</v>
      </c>
      <c r="E8" s="8" t="s">
        <v>37</v>
      </c>
      <c r="F8" s="13">
        <v>35831</v>
      </c>
      <c r="G8" s="8">
        <v>9</v>
      </c>
      <c r="H8" s="8">
        <v>4800</v>
      </c>
      <c r="I8" s="8">
        <v>103</v>
      </c>
      <c r="J8" s="8">
        <v>6</v>
      </c>
      <c r="K8" s="8" t="s">
        <v>168</v>
      </c>
      <c r="L8" s="9">
        <v>1400</v>
      </c>
    </row>
    <row r="9" spans="1:12" hidden="1" x14ac:dyDescent="0.35">
      <c r="A9" s="7">
        <v>107</v>
      </c>
      <c r="B9" s="8" t="s">
        <v>38</v>
      </c>
      <c r="C9" s="8" t="s">
        <v>39</v>
      </c>
      <c r="D9" s="8" t="s">
        <v>40</v>
      </c>
      <c r="E9" s="8" t="s">
        <v>41</v>
      </c>
      <c r="F9" s="13">
        <v>36198</v>
      </c>
      <c r="G9" s="8">
        <v>9</v>
      </c>
      <c r="H9" s="8">
        <v>4200</v>
      </c>
      <c r="I9" s="8">
        <v>103</v>
      </c>
      <c r="J9" s="8">
        <v>6</v>
      </c>
      <c r="K9" s="8" t="s">
        <v>168</v>
      </c>
      <c r="L9" s="9">
        <v>1400</v>
      </c>
    </row>
    <row r="10" spans="1:12" hidden="1" x14ac:dyDescent="0.35">
      <c r="A10" s="7">
        <v>108</v>
      </c>
      <c r="B10" s="8" t="s">
        <v>42</v>
      </c>
      <c r="C10" s="8" t="s">
        <v>43</v>
      </c>
      <c r="D10" s="8" t="s">
        <v>44</v>
      </c>
      <c r="E10" s="8" t="s">
        <v>45</v>
      </c>
      <c r="F10" s="13">
        <v>34563</v>
      </c>
      <c r="G10" s="8">
        <v>7</v>
      </c>
      <c r="H10" s="8">
        <v>12000</v>
      </c>
      <c r="I10" s="8">
        <v>101</v>
      </c>
      <c r="J10" s="8">
        <v>10</v>
      </c>
      <c r="K10" s="8" t="s">
        <v>172</v>
      </c>
      <c r="L10" s="9">
        <v>1700</v>
      </c>
    </row>
    <row r="11" spans="1:12" hidden="1" x14ac:dyDescent="0.35">
      <c r="A11" s="7">
        <v>109</v>
      </c>
      <c r="B11" s="8" t="s">
        <v>46</v>
      </c>
      <c r="C11" s="8" t="s">
        <v>47</v>
      </c>
      <c r="D11" s="8" t="s">
        <v>48</v>
      </c>
      <c r="E11" s="8" t="s">
        <v>49</v>
      </c>
      <c r="F11" s="13">
        <v>34562</v>
      </c>
      <c r="G11" s="8">
        <v>6</v>
      </c>
      <c r="H11" s="8">
        <v>9000</v>
      </c>
      <c r="I11" s="8">
        <v>108</v>
      </c>
      <c r="J11" s="8">
        <v>10</v>
      </c>
      <c r="K11" s="8" t="s">
        <v>172</v>
      </c>
      <c r="L11" s="9">
        <v>1700</v>
      </c>
    </row>
    <row r="12" spans="1:12" hidden="1" x14ac:dyDescent="0.35">
      <c r="A12" s="7">
        <v>110</v>
      </c>
      <c r="B12" s="8" t="s">
        <v>50</v>
      </c>
      <c r="C12" s="8" t="s">
        <v>51</v>
      </c>
      <c r="D12" s="8" t="s">
        <v>52</v>
      </c>
      <c r="E12" s="8" t="s">
        <v>53</v>
      </c>
      <c r="F12" s="13">
        <v>35701</v>
      </c>
      <c r="G12" s="8">
        <v>6</v>
      </c>
      <c r="H12" s="8">
        <v>8200</v>
      </c>
      <c r="I12" s="8">
        <v>108</v>
      </c>
      <c r="J12" s="8">
        <v>10</v>
      </c>
      <c r="K12" s="8" t="s">
        <v>172</v>
      </c>
      <c r="L12" s="9">
        <v>1700</v>
      </c>
    </row>
    <row r="13" spans="1:12" hidden="1" x14ac:dyDescent="0.35">
      <c r="A13" s="7">
        <v>111</v>
      </c>
      <c r="B13" s="8" t="s">
        <v>54</v>
      </c>
      <c r="C13" s="8" t="s">
        <v>55</v>
      </c>
      <c r="D13" s="8" t="s">
        <v>56</v>
      </c>
      <c r="E13" s="8" t="s">
        <v>57</v>
      </c>
      <c r="F13" s="13">
        <v>35703</v>
      </c>
      <c r="G13" s="8">
        <v>6</v>
      </c>
      <c r="H13" s="8">
        <v>7700</v>
      </c>
      <c r="I13" s="8">
        <v>108</v>
      </c>
      <c r="J13" s="8">
        <v>10</v>
      </c>
      <c r="K13" s="8" t="s">
        <v>172</v>
      </c>
      <c r="L13" s="9">
        <v>1700</v>
      </c>
    </row>
    <row r="14" spans="1:12" hidden="1" x14ac:dyDescent="0.35">
      <c r="A14" s="7">
        <v>112</v>
      </c>
      <c r="B14" s="8" t="s">
        <v>58</v>
      </c>
      <c r="C14" s="8" t="s">
        <v>59</v>
      </c>
      <c r="D14" s="8" t="s">
        <v>60</v>
      </c>
      <c r="E14" s="8" t="s">
        <v>61</v>
      </c>
      <c r="F14" s="13">
        <v>35861</v>
      </c>
      <c r="G14" s="8">
        <v>6</v>
      </c>
      <c r="H14" s="8">
        <v>7800</v>
      </c>
      <c r="I14" s="8">
        <v>108</v>
      </c>
      <c r="J14" s="8">
        <v>10</v>
      </c>
      <c r="K14" s="8" t="s">
        <v>172</v>
      </c>
      <c r="L14" s="9">
        <v>1700</v>
      </c>
    </row>
    <row r="15" spans="1:12" hidden="1" x14ac:dyDescent="0.35">
      <c r="A15" s="7">
        <v>113</v>
      </c>
      <c r="B15" s="8" t="s">
        <v>62</v>
      </c>
      <c r="C15" s="8" t="s">
        <v>63</v>
      </c>
      <c r="D15" s="8" t="s">
        <v>64</v>
      </c>
      <c r="E15" s="8" t="s">
        <v>65</v>
      </c>
      <c r="F15" s="13">
        <v>36501</v>
      </c>
      <c r="G15" s="8">
        <v>6</v>
      </c>
      <c r="H15" s="8">
        <v>6900</v>
      </c>
      <c r="I15" s="8">
        <v>108</v>
      </c>
      <c r="J15" s="8">
        <v>10</v>
      </c>
      <c r="K15" s="8" t="s">
        <v>172</v>
      </c>
      <c r="L15" s="9">
        <v>1700</v>
      </c>
    </row>
    <row r="16" spans="1:12" hidden="1" x14ac:dyDescent="0.35">
      <c r="A16" s="7">
        <v>114</v>
      </c>
      <c r="B16" s="8" t="s">
        <v>66</v>
      </c>
      <c r="C16" s="8" t="s">
        <v>67</v>
      </c>
      <c r="D16" s="8" t="s">
        <v>68</v>
      </c>
      <c r="E16" s="8" t="s">
        <v>69</v>
      </c>
      <c r="F16" s="13">
        <v>34675</v>
      </c>
      <c r="G16" s="8">
        <v>14</v>
      </c>
      <c r="H16" s="8">
        <v>11000</v>
      </c>
      <c r="I16" s="8">
        <v>100</v>
      </c>
      <c r="J16" s="8">
        <v>3</v>
      </c>
      <c r="K16" s="8" t="s">
        <v>165</v>
      </c>
      <c r="L16" s="9">
        <v>1700</v>
      </c>
    </row>
    <row r="17" spans="1:12" hidden="1" x14ac:dyDescent="0.35">
      <c r="A17" s="7">
        <v>115</v>
      </c>
      <c r="B17" s="8" t="s">
        <v>22</v>
      </c>
      <c r="C17" s="8" t="s">
        <v>70</v>
      </c>
      <c r="D17" s="8" t="s">
        <v>71</v>
      </c>
      <c r="E17" s="8" t="s">
        <v>72</v>
      </c>
      <c r="F17" s="13">
        <v>34837</v>
      </c>
      <c r="G17" s="8">
        <v>13</v>
      </c>
      <c r="H17" s="8">
        <v>3100</v>
      </c>
      <c r="I17" s="8">
        <v>114</v>
      </c>
      <c r="J17" s="8">
        <v>3</v>
      </c>
      <c r="K17" s="8" t="s">
        <v>165</v>
      </c>
      <c r="L17" s="9">
        <v>1700</v>
      </c>
    </row>
    <row r="18" spans="1:12" hidden="1" x14ac:dyDescent="0.35">
      <c r="A18" s="7">
        <v>116</v>
      </c>
      <c r="B18" s="8" t="s">
        <v>73</v>
      </c>
      <c r="C18" s="8" t="s">
        <v>74</v>
      </c>
      <c r="D18" s="8" t="s">
        <v>75</v>
      </c>
      <c r="E18" s="8" t="s">
        <v>76</v>
      </c>
      <c r="F18" s="13">
        <v>35788</v>
      </c>
      <c r="G18" s="8">
        <v>13</v>
      </c>
      <c r="H18" s="8">
        <v>2900</v>
      </c>
      <c r="I18" s="8">
        <v>114</v>
      </c>
      <c r="J18" s="8">
        <v>3</v>
      </c>
      <c r="K18" s="8" t="s">
        <v>165</v>
      </c>
      <c r="L18" s="9">
        <v>1700</v>
      </c>
    </row>
    <row r="19" spans="1:12" hidden="1" x14ac:dyDescent="0.35">
      <c r="A19" s="7">
        <v>117</v>
      </c>
      <c r="B19" s="8" t="s">
        <v>77</v>
      </c>
      <c r="C19" s="8" t="s">
        <v>78</v>
      </c>
      <c r="D19" s="8" t="s">
        <v>79</v>
      </c>
      <c r="E19" s="8" t="s">
        <v>80</v>
      </c>
      <c r="F19" s="13">
        <v>35635</v>
      </c>
      <c r="G19" s="8">
        <v>13</v>
      </c>
      <c r="H19" s="8">
        <v>2800</v>
      </c>
      <c r="I19" s="8">
        <v>114</v>
      </c>
      <c r="J19" s="8">
        <v>3</v>
      </c>
      <c r="K19" s="8" t="s">
        <v>165</v>
      </c>
      <c r="L19" s="9">
        <v>1700</v>
      </c>
    </row>
    <row r="20" spans="1:12" hidden="1" x14ac:dyDescent="0.35">
      <c r="A20" s="7">
        <v>118</v>
      </c>
      <c r="B20" s="8" t="s">
        <v>81</v>
      </c>
      <c r="C20" s="8" t="s">
        <v>82</v>
      </c>
      <c r="D20" s="8" t="s">
        <v>83</v>
      </c>
      <c r="E20" s="8" t="s">
        <v>84</v>
      </c>
      <c r="F20" s="13">
        <v>36114</v>
      </c>
      <c r="G20" s="8">
        <v>13</v>
      </c>
      <c r="H20" s="8">
        <v>2600</v>
      </c>
      <c r="I20" s="8">
        <v>114</v>
      </c>
      <c r="J20" s="8">
        <v>3</v>
      </c>
      <c r="K20" s="8" t="s">
        <v>165</v>
      </c>
      <c r="L20" s="9">
        <v>1700</v>
      </c>
    </row>
    <row r="21" spans="1:12" hidden="1" x14ac:dyDescent="0.35">
      <c r="A21" s="7">
        <v>119</v>
      </c>
      <c r="B21" s="8" t="s">
        <v>85</v>
      </c>
      <c r="C21" s="8" t="s">
        <v>86</v>
      </c>
      <c r="D21" s="8" t="s">
        <v>87</v>
      </c>
      <c r="E21" s="8" t="s">
        <v>88</v>
      </c>
      <c r="F21" s="13">
        <v>36382</v>
      </c>
      <c r="G21" s="8">
        <v>13</v>
      </c>
      <c r="H21" s="8">
        <v>2500</v>
      </c>
      <c r="I21" s="8">
        <v>114</v>
      </c>
      <c r="J21" s="8">
        <v>3</v>
      </c>
      <c r="K21" s="8" t="s">
        <v>165</v>
      </c>
      <c r="L21" s="9">
        <v>1700</v>
      </c>
    </row>
    <row r="22" spans="1:12" hidden="1" x14ac:dyDescent="0.35">
      <c r="A22" s="7">
        <v>120</v>
      </c>
      <c r="B22" s="8" t="s">
        <v>89</v>
      </c>
      <c r="C22" s="8" t="s">
        <v>90</v>
      </c>
      <c r="D22" s="8" t="s">
        <v>91</v>
      </c>
      <c r="E22" s="8" t="s">
        <v>92</v>
      </c>
      <c r="F22" s="13">
        <v>35264</v>
      </c>
      <c r="G22" s="8">
        <v>19</v>
      </c>
      <c r="H22" s="8">
        <v>8000</v>
      </c>
      <c r="I22" s="8">
        <v>100</v>
      </c>
      <c r="J22" s="8">
        <v>5</v>
      </c>
      <c r="K22" s="8" t="s">
        <v>167</v>
      </c>
      <c r="L22" s="9">
        <v>1500</v>
      </c>
    </row>
    <row r="23" spans="1:12" hidden="1" x14ac:dyDescent="0.35">
      <c r="A23" s="7">
        <v>121</v>
      </c>
      <c r="B23" s="8" t="s">
        <v>93</v>
      </c>
      <c r="C23" s="8" t="s">
        <v>94</v>
      </c>
      <c r="D23" s="8" t="s">
        <v>95</v>
      </c>
      <c r="E23" s="8" t="s">
        <v>96</v>
      </c>
      <c r="F23" s="13">
        <v>35530</v>
      </c>
      <c r="G23" s="8">
        <v>19</v>
      </c>
      <c r="H23" s="8">
        <v>8200</v>
      </c>
      <c r="I23" s="8">
        <v>100</v>
      </c>
      <c r="J23" s="8">
        <v>5</v>
      </c>
      <c r="K23" s="8" t="s">
        <v>167</v>
      </c>
      <c r="L23" s="9">
        <v>1500</v>
      </c>
    </row>
    <row r="24" spans="1:12" hidden="1" x14ac:dyDescent="0.35">
      <c r="A24" s="7">
        <v>122</v>
      </c>
      <c r="B24" s="8" t="s">
        <v>97</v>
      </c>
      <c r="C24" s="8" t="s">
        <v>98</v>
      </c>
      <c r="D24" s="8" t="s">
        <v>99</v>
      </c>
      <c r="E24" s="8" t="s">
        <v>100</v>
      </c>
      <c r="F24" s="13">
        <v>34820</v>
      </c>
      <c r="G24" s="8">
        <v>19</v>
      </c>
      <c r="H24" s="8">
        <v>7900</v>
      </c>
      <c r="I24" s="8">
        <v>100</v>
      </c>
      <c r="J24" s="8">
        <v>5</v>
      </c>
      <c r="K24" s="8" t="s">
        <v>167</v>
      </c>
      <c r="L24" s="9">
        <v>1500</v>
      </c>
    </row>
    <row r="25" spans="1:12" hidden="1" x14ac:dyDescent="0.35">
      <c r="A25" s="7">
        <v>123</v>
      </c>
      <c r="B25" s="8" t="s">
        <v>101</v>
      </c>
      <c r="C25" s="8" t="s">
        <v>102</v>
      </c>
      <c r="D25" s="8" t="s">
        <v>103</v>
      </c>
      <c r="E25" s="8" t="s">
        <v>104</v>
      </c>
      <c r="F25" s="13">
        <v>35713</v>
      </c>
      <c r="G25" s="8">
        <v>19</v>
      </c>
      <c r="H25" s="8">
        <v>6500</v>
      </c>
      <c r="I25" s="8">
        <v>100</v>
      </c>
      <c r="J25" s="8">
        <v>5</v>
      </c>
      <c r="K25" s="8" t="s">
        <v>167</v>
      </c>
      <c r="L25" s="9">
        <v>1500</v>
      </c>
    </row>
    <row r="26" spans="1:12" hidden="1" x14ac:dyDescent="0.35">
      <c r="A26" s="7">
        <v>126</v>
      </c>
      <c r="B26" s="8" t="s">
        <v>105</v>
      </c>
      <c r="C26" s="8" t="s">
        <v>106</v>
      </c>
      <c r="D26" s="8" t="s">
        <v>107</v>
      </c>
      <c r="E26" s="8" t="s">
        <v>108</v>
      </c>
      <c r="F26" s="13">
        <v>36066</v>
      </c>
      <c r="G26" s="8">
        <v>18</v>
      </c>
      <c r="H26" s="8">
        <v>2700</v>
      </c>
      <c r="I26" s="8">
        <v>120</v>
      </c>
      <c r="J26" s="8">
        <v>5</v>
      </c>
      <c r="K26" s="8" t="s">
        <v>167</v>
      </c>
      <c r="L26" s="9">
        <v>1500</v>
      </c>
    </row>
    <row r="27" spans="1:12" x14ac:dyDescent="0.35">
      <c r="A27" s="7">
        <v>145</v>
      </c>
      <c r="B27" s="8" t="s">
        <v>50</v>
      </c>
      <c r="C27" s="8" t="s">
        <v>109</v>
      </c>
      <c r="D27" s="8" t="s">
        <v>110</v>
      </c>
      <c r="E27" s="8"/>
      <c r="F27" s="13">
        <v>35339</v>
      </c>
      <c r="G27" s="8">
        <v>15</v>
      </c>
      <c r="H27" s="8">
        <v>14000</v>
      </c>
      <c r="I27" s="8">
        <v>100</v>
      </c>
      <c r="J27" s="8">
        <v>8</v>
      </c>
      <c r="K27" s="8" t="s">
        <v>170</v>
      </c>
      <c r="L27" s="9">
        <v>2500</v>
      </c>
    </row>
    <row r="28" spans="1:12" x14ac:dyDescent="0.35">
      <c r="A28" s="7">
        <v>146</v>
      </c>
      <c r="B28" s="8" t="s">
        <v>85</v>
      </c>
      <c r="C28" s="8" t="s">
        <v>111</v>
      </c>
      <c r="D28" s="8" t="s">
        <v>112</v>
      </c>
      <c r="E28" s="8"/>
      <c r="F28" s="13">
        <v>35435</v>
      </c>
      <c r="G28" s="8">
        <v>15</v>
      </c>
      <c r="H28" s="8">
        <v>13500</v>
      </c>
      <c r="I28" s="8">
        <v>100</v>
      </c>
      <c r="J28" s="8">
        <v>8</v>
      </c>
      <c r="K28" s="8" t="s">
        <v>170</v>
      </c>
      <c r="L28" s="9">
        <v>2500</v>
      </c>
    </row>
    <row r="29" spans="1:12" x14ac:dyDescent="0.35">
      <c r="A29" s="7">
        <v>176</v>
      </c>
      <c r="B29" s="8" t="s">
        <v>113</v>
      </c>
      <c r="C29" s="8" t="s">
        <v>114</v>
      </c>
      <c r="D29" s="8" t="s">
        <v>115</v>
      </c>
      <c r="E29" s="8"/>
      <c r="F29" s="13">
        <v>35878</v>
      </c>
      <c r="G29" s="8">
        <v>16</v>
      </c>
      <c r="H29" s="8">
        <v>8600</v>
      </c>
      <c r="I29" s="8">
        <v>100</v>
      </c>
      <c r="J29" s="8">
        <v>8</v>
      </c>
      <c r="K29" s="8" t="s">
        <v>170</v>
      </c>
      <c r="L29" s="9">
        <v>2500</v>
      </c>
    </row>
    <row r="30" spans="1:12" x14ac:dyDescent="0.35">
      <c r="A30" s="7">
        <v>177</v>
      </c>
      <c r="B30" s="8" t="s">
        <v>116</v>
      </c>
      <c r="C30" s="8" t="s">
        <v>117</v>
      </c>
      <c r="D30" s="8" t="s">
        <v>118</v>
      </c>
      <c r="E30" s="8"/>
      <c r="F30" s="13">
        <v>35908</v>
      </c>
      <c r="G30" s="8">
        <v>16</v>
      </c>
      <c r="H30" s="8">
        <v>8400</v>
      </c>
      <c r="I30" s="8">
        <v>100</v>
      </c>
      <c r="J30" s="8">
        <v>8</v>
      </c>
      <c r="K30" s="8" t="s">
        <v>170</v>
      </c>
      <c r="L30" s="9">
        <v>2500</v>
      </c>
    </row>
    <row r="31" spans="1:12" x14ac:dyDescent="0.35">
      <c r="A31" s="7">
        <v>178</v>
      </c>
      <c r="B31" s="8" t="s">
        <v>119</v>
      </c>
      <c r="C31" s="8" t="s">
        <v>120</v>
      </c>
      <c r="D31" s="8" t="s">
        <v>121</v>
      </c>
      <c r="E31" s="8"/>
      <c r="F31" s="13">
        <v>36304</v>
      </c>
      <c r="G31" s="8">
        <v>16</v>
      </c>
      <c r="H31" s="8">
        <v>7000</v>
      </c>
      <c r="I31" s="8">
        <v>100</v>
      </c>
      <c r="J31" s="8">
        <v>8</v>
      </c>
      <c r="K31" s="8" t="s">
        <v>170</v>
      </c>
      <c r="L31" s="9">
        <v>2500</v>
      </c>
    </row>
    <row r="32" spans="1:12" x14ac:dyDescent="0.35">
      <c r="A32" s="7">
        <v>179</v>
      </c>
      <c r="B32" s="8" t="s">
        <v>122</v>
      </c>
      <c r="C32" s="8" t="s">
        <v>123</v>
      </c>
      <c r="D32" s="8" t="s">
        <v>124</v>
      </c>
      <c r="E32" s="8"/>
      <c r="F32" s="13">
        <v>36529</v>
      </c>
      <c r="G32" s="8">
        <v>16</v>
      </c>
      <c r="H32" s="8">
        <v>6200</v>
      </c>
      <c r="I32" s="8">
        <v>100</v>
      </c>
      <c r="J32" s="8">
        <v>8</v>
      </c>
      <c r="K32" s="8" t="s">
        <v>170</v>
      </c>
      <c r="L32" s="9">
        <v>2500</v>
      </c>
    </row>
    <row r="33" spans="1:12" hidden="1" x14ac:dyDescent="0.35">
      <c r="A33" s="7">
        <v>192</v>
      </c>
      <c r="B33" s="8" t="s">
        <v>125</v>
      </c>
      <c r="C33" s="8" t="s">
        <v>126</v>
      </c>
      <c r="D33" s="8" t="s">
        <v>127</v>
      </c>
      <c r="E33" s="8" t="s">
        <v>128</v>
      </c>
      <c r="F33" s="13">
        <v>35099</v>
      </c>
      <c r="G33" s="8">
        <v>17</v>
      </c>
      <c r="H33" s="8">
        <v>4000</v>
      </c>
      <c r="I33" s="8">
        <v>123</v>
      </c>
      <c r="J33" s="8">
        <v>5</v>
      </c>
      <c r="K33" s="8" t="s">
        <v>167</v>
      </c>
      <c r="L33" s="9">
        <v>1500</v>
      </c>
    </row>
    <row r="34" spans="1:12" hidden="1" x14ac:dyDescent="0.35">
      <c r="A34" s="7">
        <v>193</v>
      </c>
      <c r="B34" s="8" t="s">
        <v>129</v>
      </c>
      <c r="C34" s="8" t="s">
        <v>130</v>
      </c>
      <c r="D34" s="8" t="s">
        <v>131</v>
      </c>
      <c r="E34" s="8" t="s">
        <v>132</v>
      </c>
      <c r="F34" s="13">
        <v>35492</v>
      </c>
      <c r="G34" s="8">
        <v>17</v>
      </c>
      <c r="H34" s="8">
        <v>3900</v>
      </c>
      <c r="I34" s="8">
        <v>123</v>
      </c>
      <c r="J34" s="8">
        <v>5</v>
      </c>
      <c r="K34" s="8" t="s">
        <v>167</v>
      </c>
      <c r="L34" s="9">
        <v>1500</v>
      </c>
    </row>
    <row r="35" spans="1:12" hidden="1" x14ac:dyDescent="0.35">
      <c r="A35" s="7">
        <v>200</v>
      </c>
      <c r="B35" s="8" t="s">
        <v>133</v>
      </c>
      <c r="C35" s="8" t="s">
        <v>134</v>
      </c>
      <c r="D35" s="8" t="s">
        <v>135</v>
      </c>
      <c r="E35" s="8" t="s">
        <v>136</v>
      </c>
      <c r="F35" s="13">
        <v>32037</v>
      </c>
      <c r="G35" s="8">
        <v>3</v>
      </c>
      <c r="H35" s="8">
        <v>4400</v>
      </c>
      <c r="I35" s="8">
        <v>101</v>
      </c>
      <c r="J35" s="8">
        <v>1</v>
      </c>
      <c r="K35" s="8" t="s">
        <v>163</v>
      </c>
      <c r="L35" s="9">
        <v>1700</v>
      </c>
    </row>
    <row r="36" spans="1:12" hidden="1" x14ac:dyDescent="0.35">
      <c r="A36" s="7">
        <v>201</v>
      </c>
      <c r="B36" s="8" t="s">
        <v>137</v>
      </c>
      <c r="C36" s="8" t="s">
        <v>138</v>
      </c>
      <c r="D36" s="8" t="s">
        <v>139</v>
      </c>
      <c r="E36" s="8" t="s">
        <v>140</v>
      </c>
      <c r="F36" s="13">
        <v>35112</v>
      </c>
      <c r="G36" s="8">
        <v>10</v>
      </c>
      <c r="H36" s="8">
        <v>13000</v>
      </c>
      <c r="I36" s="8">
        <v>100</v>
      </c>
      <c r="J36" s="8">
        <v>2</v>
      </c>
      <c r="K36" s="8" t="s">
        <v>164</v>
      </c>
      <c r="L36" s="9">
        <v>1800</v>
      </c>
    </row>
    <row r="37" spans="1:12" hidden="1" x14ac:dyDescent="0.35">
      <c r="A37" s="7">
        <v>202</v>
      </c>
      <c r="B37" s="8" t="s">
        <v>141</v>
      </c>
      <c r="C37" s="8" t="s">
        <v>142</v>
      </c>
      <c r="D37" s="8" t="s">
        <v>143</v>
      </c>
      <c r="E37" s="8" t="s">
        <v>144</v>
      </c>
      <c r="F37" s="13">
        <v>35659</v>
      </c>
      <c r="G37" s="8">
        <v>11</v>
      </c>
      <c r="H37" s="8">
        <v>6000</v>
      </c>
      <c r="I37" s="8">
        <v>201</v>
      </c>
      <c r="J37" s="8">
        <v>2</v>
      </c>
      <c r="K37" s="8" t="s">
        <v>164</v>
      </c>
      <c r="L37" s="9">
        <v>1800</v>
      </c>
    </row>
    <row r="38" spans="1:12" hidden="1" x14ac:dyDescent="0.35">
      <c r="A38" s="7">
        <v>203</v>
      </c>
      <c r="B38" s="8" t="s">
        <v>145</v>
      </c>
      <c r="C38" s="8" t="s">
        <v>146</v>
      </c>
      <c r="D38" s="8" t="s">
        <v>147</v>
      </c>
      <c r="E38" s="8" t="s">
        <v>148</v>
      </c>
      <c r="F38" s="13">
        <v>34492</v>
      </c>
      <c r="G38" s="8">
        <v>8</v>
      </c>
      <c r="H38" s="8">
        <v>6500</v>
      </c>
      <c r="I38" s="8">
        <v>101</v>
      </c>
      <c r="J38" s="8">
        <v>4</v>
      </c>
      <c r="K38" s="8" t="s">
        <v>166</v>
      </c>
      <c r="L38" s="9">
        <v>2400</v>
      </c>
    </row>
    <row r="39" spans="1:12" hidden="1" x14ac:dyDescent="0.35">
      <c r="A39" s="7">
        <v>204</v>
      </c>
      <c r="B39" s="8" t="s">
        <v>149</v>
      </c>
      <c r="C39" s="8" t="s">
        <v>150</v>
      </c>
      <c r="D39" s="8" t="s">
        <v>151</v>
      </c>
      <c r="E39" s="8" t="s">
        <v>152</v>
      </c>
      <c r="F39" s="13">
        <v>34492</v>
      </c>
      <c r="G39" s="8">
        <v>12</v>
      </c>
      <c r="H39" s="8">
        <v>10000</v>
      </c>
      <c r="I39" s="8">
        <v>101</v>
      </c>
      <c r="J39" s="8">
        <v>7</v>
      </c>
      <c r="K39" s="8" t="s">
        <v>169</v>
      </c>
      <c r="L39" s="9">
        <v>2700</v>
      </c>
    </row>
    <row r="40" spans="1:12" hidden="1" x14ac:dyDescent="0.35">
      <c r="A40" s="7">
        <v>205</v>
      </c>
      <c r="B40" s="8" t="s">
        <v>153</v>
      </c>
      <c r="C40" s="8" t="s">
        <v>154</v>
      </c>
      <c r="D40" s="8" t="s">
        <v>155</v>
      </c>
      <c r="E40" s="8" t="s">
        <v>156</v>
      </c>
      <c r="F40" s="13">
        <v>34492</v>
      </c>
      <c r="G40" s="8">
        <v>2</v>
      </c>
      <c r="H40" s="8">
        <v>12000</v>
      </c>
      <c r="I40" s="8">
        <v>101</v>
      </c>
      <c r="J40" s="8">
        <v>11</v>
      </c>
      <c r="K40" s="8" t="s">
        <v>173</v>
      </c>
      <c r="L40" s="9">
        <v>1700</v>
      </c>
    </row>
    <row r="41" spans="1:12" hidden="1" x14ac:dyDescent="0.35">
      <c r="A41" s="10">
        <v>206</v>
      </c>
      <c r="B41" s="11" t="s">
        <v>157</v>
      </c>
      <c r="C41" s="11" t="s">
        <v>158</v>
      </c>
      <c r="D41" s="11" t="s">
        <v>159</v>
      </c>
      <c r="E41" s="11" t="s">
        <v>160</v>
      </c>
      <c r="F41" s="14">
        <v>34492</v>
      </c>
      <c r="G41" s="11">
        <v>1</v>
      </c>
      <c r="H41" s="11">
        <v>8300</v>
      </c>
      <c r="I41" s="11">
        <v>205</v>
      </c>
      <c r="J41" s="11">
        <v>11</v>
      </c>
      <c r="K41" s="11" t="s">
        <v>173</v>
      </c>
      <c r="L41" s="12">
        <v>1700</v>
      </c>
    </row>
  </sheetData>
  <autoFilter ref="A1:L41" xr:uid="{4331ABFC-7664-405B-BC8A-B9621741CB99}">
    <filterColumn colId="10">
      <filters>
        <filter val="Sales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0DAB-5BEA-4631-9723-EE4B7A83C6AA}">
  <sheetPr>
    <tabColor rgb="FFC00000"/>
  </sheetPr>
  <dimension ref="A1:R8"/>
  <sheetViews>
    <sheetView workbookViewId="0">
      <selection activeCell="J8" sqref="J8"/>
    </sheetView>
  </sheetViews>
  <sheetFormatPr defaultRowHeight="14.5" x14ac:dyDescent="0.35"/>
  <cols>
    <col min="1" max="1" width="11.453125" bestFit="1" customWidth="1"/>
    <col min="2" max="2" width="9.7265625" bestFit="1" customWidth="1"/>
    <col min="3" max="3" width="9.453125" bestFit="1" customWidth="1"/>
    <col min="4" max="4" width="26.179687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8" x14ac:dyDescent="0.3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</row>
    <row r="2" spans="1:18" x14ac:dyDescent="0.35">
      <c r="A2" s="31">
        <v>100</v>
      </c>
      <c r="B2" s="31" t="s">
        <v>10</v>
      </c>
      <c r="C2" s="31" t="s">
        <v>11</v>
      </c>
      <c r="D2" s="31" t="s">
        <v>12</v>
      </c>
      <c r="E2" s="31" t="s">
        <v>13</v>
      </c>
      <c r="F2" s="32">
        <v>31945</v>
      </c>
      <c r="G2" s="31">
        <v>4</v>
      </c>
      <c r="H2" s="31">
        <v>24000</v>
      </c>
      <c r="I2" s="33"/>
      <c r="J2" s="31">
        <v>9</v>
      </c>
    </row>
    <row r="3" spans="1:18" x14ac:dyDescent="0.35">
      <c r="A3" s="31">
        <v>101</v>
      </c>
      <c r="B3" s="31" t="s">
        <v>14</v>
      </c>
      <c r="C3" s="31" t="s">
        <v>15</v>
      </c>
      <c r="D3" s="31" t="s">
        <v>16</v>
      </c>
      <c r="E3" s="31" t="s">
        <v>17</v>
      </c>
      <c r="F3" s="32">
        <v>32772</v>
      </c>
      <c r="G3" s="31">
        <v>5</v>
      </c>
      <c r="H3" s="31">
        <v>17000</v>
      </c>
      <c r="I3" s="31">
        <v>100</v>
      </c>
      <c r="J3" s="31">
        <v>9</v>
      </c>
    </row>
    <row r="4" spans="1:18" x14ac:dyDescent="0.35">
      <c r="A4" s="6">
        <v>102</v>
      </c>
      <c r="B4" s="6" t="s">
        <v>259</v>
      </c>
      <c r="C4" s="6" t="s">
        <v>260</v>
      </c>
      <c r="D4" s="38" t="s">
        <v>261</v>
      </c>
      <c r="E4" s="6" t="s">
        <v>13</v>
      </c>
      <c r="F4" s="39">
        <v>45826</v>
      </c>
      <c r="G4" s="6">
        <v>6</v>
      </c>
      <c r="H4" s="6">
        <v>30000</v>
      </c>
      <c r="I4" s="6">
        <v>101</v>
      </c>
      <c r="J4" s="6">
        <v>10</v>
      </c>
    </row>
    <row r="5" spans="1:18" x14ac:dyDescent="0.35">
      <c r="F5" s="15"/>
    </row>
    <row r="8" spans="1:18" x14ac:dyDescent="0.35">
      <c r="R8" s="1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82BC2-379B-4A90-8C9C-8ACEB223A404}">
  <sheetPr>
    <tabColor theme="0" tint="-0.249977111117893"/>
  </sheetPr>
  <dimension ref="A1:C3"/>
  <sheetViews>
    <sheetView tabSelected="1" workbookViewId="0">
      <selection activeCell="B3" sqref="B3"/>
    </sheetView>
  </sheetViews>
  <sheetFormatPr defaultRowHeight="14.5" x14ac:dyDescent="0.35"/>
  <cols>
    <col min="3" max="3" width="9.26953125" customWidth="1"/>
  </cols>
  <sheetData>
    <row r="1" spans="1:3" x14ac:dyDescent="0.35">
      <c r="A1" s="40" t="s">
        <v>262</v>
      </c>
      <c r="B1" s="16"/>
      <c r="C1" s="16"/>
    </row>
    <row r="3" spans="1:3" x14ac:dyDescent="0.35">
      <c r="B3" s="29">
        <f>AVERAGE(salary)</f>
        <v>8060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949B-6712-4E7F-8BCB-82AB9E2F5FAE}">
  <sheetPr>
    <tabColor theme="3" tint="0.499984740745262"/>
  </sheetPr>
  <dimension ref="A1:J41"/>
  <sheetViews>
    <sheetView workbookViewId="0"/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0" x14ac:dyDescent="0.3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</row>
    <row r="2" spans="1:10" x14ac:dyDescent="0.35">
      <c r="A2" s="34">
        <v>100</v>
      </c>
      <c r="B2" s="34" t="s">
        <v>10</v>
      </c>
      <c r="C2" s="34" t="s">
        <v>11</v>
      </c>
      <c r="D2" s="34" t="s">
        <v>12</v>
      </c>
      <c r="E2" s="34" t="s">
        <v>13</v>
      </c>
      <c r="F2" s="35">
        <v>31945</v>
      </c>
      <c r="G2" s="34">
        <v>4</v>
      </c>
      <c r="H2" s="34">
        <v>24000</v>
      </c>
      <c r="I2" s="36"/>
      <c r="J2" s="34">
        <v>9</v>
      </c>
    </row>
    <row r="3" spans="1:10" x14ac:dyDescent="0.35">
      <c r="A3" s="34">
        <v>101</v>
      </c>
      <c r="B3" s="34" t="s">
        <v>14</v>
      </c>
      <c r="C3" s="34" t="s">
        <v>15</v>
      </c>
      <c r="D3" s="34" t="s">
        <v>16</v>
      </c>
      <c r="E3" s="34" t="s">
        <v>17</v>
      </c>
      <c r="F3" s="35">
        <v>32772</v>
      </c>
      <c r="G3" s="34">
        <v>5</v>
      </c>
      <c r="H3" s="34">
        <v>17000</v>
      </c>
      <c r="I3" s="34">
        <v>100</v>
      </c>
      <c r="J3" s="34">
        <v>9</v>
      </c>
    </row>
    <row r="4" spans="1:10" x14ac:dyDescent="0.35">
      <c r="A4" s="34">
        <v>102</v>
      </c>
      <c r="B4" s="34" t="s">
        <v>18</v>
      </c>
      <c r="C4" s="34" t="s">
        <v>19</v>
      </c>
      <c r="D4" s="34" t="s">
        <v>20</v>
      </c>
      <c r="E4" s="34" t="s">
        <v>21</v>
      </c>
      <c r="F4" s="35">
        <v>33982</v>
      </c>
      <c r="G4" s="34">
        <v>5</v>
      </c>
      <c r="H4" s="34">
        <v>17000</v>
      </c>
      <c r="I4" s="34">
        <v>100</v>
      </c>
      <c r="J4" s="34">
        <v>9</v>
      </c>
    </row>
    <row r="5" spans="1:10" x14ac:dyDescent="0.35">
      <c r="A5" s="34">
        <v>103</v>
      </c>
      <c r="B5" s="34" t="s">
        <v>22</v>
      </c>
      <c r="C5" s="34" t="s">
        <v>23</v>
      </c>
      <c r="D5" s="34" t="s">
        <v>24</v>
      </c>
      <c r="E5" s="34" t="s">
        <v>25</v>
      </c>
      <c r="F5" s="35">
        <v>32876</v>
      </c>
      <c r="G5" s="34">
        <v>9</v>
      </c>
      <c r="H5" s="34">
        <v>9000</v>
      </c>
      <c r="I5" s="34">
        <v>102</v>
      </c>
      <c r="J5" s="34">
        <v>6</v>
      </c>
    </row>
    <row r="6" spans="1:10" x14ac:dyDescent="0.35">
      <c r="A6" s="34">
        <v>104</v>
      </c>
      <c r="B6" s="34" t="s">
        <v>26</v>
      </c>
      <c r="C6" s="34" t="s">
        <v>27</v>
      </c>
      <c r="D6" s="34" t="s">
        <v>28</v>
      </c>
      <c r="E6" s="34" t="s">
        <v>29</v>
      </c>
      <c r="F6" s="35">
        <v>33379</v>
      </c>
      <c r="G6" s="34">
        <v>9</v>
      </c>
      <c r="H6" s="34">
        <v>6000</v>
      </c>
      <c r="I6" s="34">
        <v>103</v>
      </c>
      <c r="J6" s="34">
        <v>6</v>
      </c>
    </row>
    <row r="7" spans="1:10" x14ac:dyDescent="0.35">
      <c r="A7" s="34">
        <v>105</v>
      </c>
      <c r="B7" s="34" t="s">
        <v>30</v>
      </c>
      <c r="C7" s="34" t="s">
        <v>31</v>
      </c>
      <c r="D7" s="34" t="s">
        <v>32</v>
      </c>
      <c r="E7" s="34" t="s">
        <v>33</v>
      </c>
      <c r="F7" s="35">
        <v>35606</v>
      </c>
      <c r="G7" s="34">
        <v>9</v>
      </c>
      <c r="H7" s="34">
        <v>4800</v>
      </c>
      <c r="I7" s="34">
        <v>103</v>
      </c>
      <c r="J7" s="34">
        <v>6</v>
      </c>
    </row>
    <row r="8" spans="1:10" x14ac:dyDescent="0.35">
      <c r="A8" s="34">
        <v>106</v>
      </c>
      <c r="B8" s="34" t="s">
        <v>34</v>
      </c>
      <c r="C8" s="34" t="s">
        <v>35</v>
      </c>
      <c r="D8" s="34" t="s">
        <v>36</v>
      </c>
      <c r="E8" s="34" t="s">
        <v>37</v>
      </c>
      <c r="F8" s="35">
        <v>35831</v>
      </c>
      <c r="G8" s="34">
        <v>9</v>
      </c>
      <c r="H8" s="34">
        <v>4800</v>
      </c>
      <c r="I8" s="34">
        <v>103</v>
      </c>
      <c r="J8" s="34">
        <v>6</v>
      </c>
    </row>
    <row r="9" spans="1:10" x14ac:dyDescent="0.35">
      <c r="A9" s="34">
        <v>107</v>
      </c>
      <c r="B9" s="34" t="s">
        <v>38</v>
      </c>
      <c r="C9" s="34" t="s">
        <v>39</v>
      </c>
      <c r="D9" s="34" t="s">
        <v>40</v>
      </c>
      <c r="E9" s="34" t="s">
        <v>41</v>
      </c>
      <c r="F9" s="35">
        <v>36198</v>
      </c>
      <c r="G9" s="34">
        <v>9</v>
      </c>
      <c r="H9" s="34">
        <v>4200</v>
      </c>
      <c r="I9" s="34">
        <v>103</v>
      </c>
      <c r="J9" s="34">
        <v>6</v>
      </c>
    </row>
    <row r="10" spans="1:10" x14ac:dyDescent="0.35">
      <c r="A10" s="34">
        <v>108</v>
      </c>
      <c r="B10" s="34" t="s">
        <v>42</v>
      </c>
      <c r="C10" s="34" t="s">
        <v>43</v>
      </c>
      <c r="D10" s="34" t="s">
        <v>44</v>
      </c>
      <c r="E10" s="34" t="s">
        <v>45</v>
      </c>
      <c r="F10" s="35">
        <v>34563</v>
      </c>
      <c r="G10" s="34">
        <v>7</v>
      </c>
      <c r="H10" s="34">
        <v>12000</v>
      </c>
      <c r="I10" s="34">
        <v>101</v>
      </c>
      <c r="J10" s="34">
        <v>10</v>
      </c>
    </row>
    <row r="11" spans="1:10" x14ac:dyDescent="0.35">
      <c r="A11" s="34">
        <v>109</v>
      </c>
      <c r="B11" s="34" t="s">
        <v>46</v>
      </c>
      <c r="C11" s="34" t="s">
        <v>47</v>
      </c>
      <c r="D11" s="34" t="s">
        <v>48</v>
      </c>
      <c r="E11" s="34" t="s">
        <v>49</v>
      </c>
      <c r="F11" s="35">
        <v>34562</v>
      </c>
      <c r="G11" s="34">
        <v>6</v>
      </c>
      <c r="H11" s="34">
        <v>9000</v>
      </c>
      <c r="I11" s="34">
        <v>108</v>
      </c>
      <c r="J11" s="34">
        <v>10</v>
      </c>
    </row>
    <row r="12" spans="1:10" x14ac:dyDescent="0.35">
      <c r="A12" s="34">
        <v>110</v>
      </c>
      <c r="B12" s="34" t="s">
        <v>50</v>
      </c>
      <c r="C12" s="34" t="s">
        <v>51</v>
      </c>
      <c r="D12" s="34" t="s">
        <v>52</v>
      </c>
      <c r="E12" s="34" t="s">
        <v>53</v>
      </c>
      <c r="F12" s="35">
        <v>35701</v>
      </c>
      <c r="G12" s="34">
        <v>6</v>
      </c>
      <c r="H12" s="34">
        <v>8200</v>
      </c>
      <c r="I12" s="34">
        <v>108</v>
      </c>
      <c r="J12" s="34">
        <v>10</v>
      </c>
    </row>
    <row r="13" spans="1:10" x14ac:dyDescent="0.35">
      <c r="A13" s="34">
        <v>111</v>
      </c>
      <c r="B13" s="34" t="s">
        <v>54</v>
      </c>
      <c r="C13" s="34" t="s">
        <v>55</v>
      </c>
      <c r="D13" s="34" t="s">
        <v>56</v>
      </c>
      <c r="E13" s="34" t="s">
        <v>57</v>
      </c>
      <c r="F13" s="35">
        <v>35703</v>
      </c>
      <c r="G13" s="34">
        <v>6</v>
      </c>
      <c r="H13" s="34">
        <v>7700</v>
      </c>
      <c r="I13" s="34">
        <v>108</v>
      </c>
      <c r="J13" s="34">
        <v>10</v>
      </c>
    </row>
    <row r="14" spans="1:10" x14ac:dyDescent="0.35">
      <c r="A14" s="34">
        <v>112</v>
      </c>
      <c r="B14" s="34" t="s">
        <v>58</v>
      </c>
      <c r="C14" s="34" t="s">
        <v>59</v>
      </c>
      <c r="D14" s="34" t="s">
        <v>60</v>
      </c>
      <c r="E14" s="34" t="s">
        <v>61</v>
      </c>
      <c r="F14" s="35">
        <v>35861</v>
      </c>
      <c r="G14" s="34">
        <v>6</v>
      </c>
      <c r="H14" s="34">
        <v>7800</v>
      </c>
      <c r="I14" s="34">
        <v>108</v>
      </c>
      <c r="J14" s="34">
        <v>10</v>
      </c>
    </row>
    <row r="15" spans="1:10" x14ac:dyDescent="0.35">
      <c r="A15" s="34">
        <v>113</v>
      </c>
      <c r="B15" s="34" t="s">
        <v>62</v>
      </c>
      <c r="C15" s="34" t="s">
        <v>63</v>
      </c>
      <c r="D15" s="34" t="s">
        <v>64</v>
      </c>
      <c r="E15" s="34" t="s">
        <v>65</v>
      </c>
      <c r="F15" s="35">
        <v>36501</v>
      </c>
      <c r="G15" s="34">
        <v>6</v>
      </c>
      <c r="H15" s="34">
        <v>6900</v>
      </c>
      <c r="I15" s="34">
        <v>108</v>
      </c>
      <c r="J15" s="34">
        <v>10</v>
      </c>
    </row>
    <row r="16" spans="1:10" x14ac:dyDescent="0.35">
      <c r="A16" s="34">
        <v>114</v>
      </c>
      <c r="B16" s="34" t="s">
        <v>66</v>
      </c>
      <c r="C16" s="34" t="s">
        <v>67</v>
      </c>
      <c r="D16" s="34" t="s">
        <v>68</v>
      </c>
      <c r="E16" s="34" t="s">
        <v>69</v>
      </c>
      <c r="F16" s="35">
        <v>34675</v>
      </c>
      <c r="G16" s="34">
        <v>14</v>
      </c>
      <c r="H16" s="34">
        <v>11000</v>
      </c>
      <c r="I16" s="34">
        <v>100</v>
      </c>
      <c r="J16" s="34">
        <v>3</v>
      </c>
    </row>
    <row r="17" spans="1:10" x14ac:dyDescent="0.35">
      <c r="A17" s="34">
        <v>115</v>
      </c>
      <c r="B17" s="34" t="s">
        <v>22</v>
      </c>
      <c r="C17" s="34" t="s">
        <v>70</v>
      </c>
      <c r="D17" s="34" t="s">
        <v>71</v>
      </c>
      <c r="E17" s="34" t="s">
        <v>72</v>
      </c>
      <c r="F17" s="35">
        <v>34837</v>
      </c>
      <c r="G17" s="34">
        <v>13</v>
      </c>
      <c r="H17" s="34">
        <v>3100</v>
      </c>
      <c r="I17" s="34">
        <v>114</v>
      </c>
      <c r="J17" s="34">
        <v>3</v>
      </c>
    </row>
    <row r="18" spans="1:10" x14ac:dyDescent="0.35">
      <c r="A18" s="34">
        <v>116</v>
      </c>
      <c r="B18" s="34" t="s">
        <v>73</v>
      </c>
      <c r="C18" s="34" t="s">
        <v>74</v>
      </c>
      <c r="D18" s="34" t="s">
        <v>75</v>
      </c>
      <c r="E18" s="34" t="s">
        <v>76</v>
      </c>
      <c r="F18" s="35">
        <v>35788</v>
      </c>
      <c r="G18" s="34">
        <v>13</v>
      </c>
      <c r="H18" s="34">
        <v>2900</v>
      </c>
      <c r="I18" s="34">
        <v>114</v>
      </c>
      <c r="J18" s="34">
        <v>3</v>
      </c>
    </row>
    <row r="19" spans="1:10" x14ac:dyDescent="0.35">
      <c r="A19" s="34">
        <v>117</v>
      </c>
      <c r="B19" s="34" t="s">
        <v>77</v>
      </c>
      <c r="C19" s="34" t="s">
        <v>78</v>
      </c>
      <c r="D19" s="34" t="s">
        <v>79</v>
      </c>
      <c r="E19" s="34" t="s">
        <v>80</v>
      </c>
      <c r="F19" s="35">
        <v>35635</v>
      </c>
      <c r="G19" s="34">
        <v>13</v>
      </c>
      <c r="H19" s="34">
        <v>2800</v>
      </c>
      <c r="I19" s="34">
        <v>114</v>
      </c>
      <c r="J19" s="34">
        <v>3</v>
      </c>
    </row>
    <row r="20" spans="1:10" x14ac:dyDescent="0.35">
      <c r="A20" s="34">
        <v>118</v>
      </c>
      <c r="B20" s="34" t="s">
        <v>81</v>
      </c>
      <c r="C20" s="34" t="s">
        <v>82</v>
      </c>
      <c r="D20" s="34" t="s">
        <v>83</v>
      </c>
      <c r="E20" s="34" t="s">
        <v>84</v>
      </c>
      <c r="F20" s="35">
        <v>36114</v>
      </c>
      <c r="G20" s="34">
        <v>13</v>
      </c>
      <c r="H20" s="34">
        <v>2600</v>
      </c>
      <c r="I20" s="34">
        <v>114</v>
      </c>
      <c r="J20" s="34">
        <v>3</v>
      </c>
    </row>
    <row r="21" spans="1:10" x14ac:dyDescent="0.35">
      <c r="A21" s="34">
        <v>119</v>
      </c>
      <c r="B21" s="34" t="s">
        <v>85</v>
      </c>
      <c r="C21" s="34" t="s">
        <v>86</v>
      </c>
      <c r="D21" s="34" t="s">
        <v>87</v>
      </c>
      <c r="E21" s="34" t="s">
        <v>88</v>
      </c>
      <c r="F21" s="35">
        <v>36382</v>
      </c>
      <c r="G21" s="34">
        <v>13</v>
      </c>
      <c r="H21" s="34">
        <v>2500</v>
      </c>
      <c r="I21" s="34">
        <v>114</v>
      </c>
      <c r="J21" s="34">
        <v>3</v>
      </c>
    </row>
    <row r="22" spans="1:10" x14ac:dyDescent="0.35">
      <c r="A22" s="34">
        <v>120</v>
      </c>
      <c r="B22" s="34" t="s">
        <v>89</v>
      </c>
      <c r="C22" s="34" t="s">
        <v>90</v>
      </c>
      <c r="D22" s="34" t="s">
        <v>91</v>
      </c>
      <c r="E22" s="34" t="s">
        <v>92</v>
      </c>
      <c r="F22" s="35">
        <v>35264</v>
      </c>
      <c r="G22" s="34">
        <v>19</v>
      </c>
      <c r="H22" s="34">
        <v>8000</v>
      </c>
      <c r="I22" s="34">
        <v>100</v>
      </c>
      <c r="J22" s="34">
        <v>5</v>
      </c>
    </row>
    <row r="23" spans="1:10" x14ac:dyDescent="0.35">
      <c r="A23" s="34">
        <v>121</v>
      </c>
      <c r="B23" s="34" t="s">
        <v>93</v>
      </c>
      <c r="C23" s="34" t="s">
        <v>94</v>
      </c>
      <c r="D23" s="34" t="s">
        <v>95</v>
      </c>
      <c r="E23" s="34" t="s">
        <v>96</v>
      </c>
      <c r="F23" s="35">
        <v>35530</v>
      </c>
      <c r="G23" s="34">
        <v>19</v>
      </c>
      <c r="H23" s="34">
        <v>8200</v>
      </c>
      <c r="I23" s="34">
        <v>100</v>
      </c>
      <c r="J23" s="34">
        <v>5</v>
      </c>
    </row>
    <row r="24" spans="1:10" x14ac:dyDescent="0.35">
      <c r="A24" s="34">
        <v>122</v>
      </c>
      <c r="B24" s="34" t="s">
        <v>97</v>
      </c>
      <c r="C24" s="34" t="s">
        <v>98</v>
      </c>
      <c r="D24" s="34" t="s">
        <v>99</v>
      </c>
      <c r="E24" s="34" t="s">
        <v>100</v>
      </c>
      <c r="F24" s="35">
        <v>34820</v>
      </c>
      <c r="G24" s="34">
        <v>19</v>
      </c>
      <c r="H24" s="34">
        <v>7900</v>
      </c>
      <c r="I24" s="34">
        <v>100</v>
      </c>
      <c r="J24" s="34">
        <v>5</v>
      </c>
    </row>
    <row r="25" spans="1:10" x14ac:dyDescent="0.35">
      <c r="A25" s="34">
        <v>123</v>
      </c>
      <c r="B25" s="34" t="s">
        <v>101</v>
      </c>
      <c r="C25" s="34" t="s">
        <v>102</v>
      </c>
      <c r="D25" s="34" t="s">
        <v>103</v>
      </c>
      <c r="E25" s="34" t="s">
        <v>104</v>
      </c>
      <c r="F25" s="35">
        <v>35713</v>
      </c>
      <c r="G25" s="34">
        <v>19</v>
      </c>
      <c r="H25" s="34">
        <v>6500</v>
      </c>
      <c r="I25" s="34">
        <v>100</v>
      </c>
      <c r="J25" s="34">
        <v>5</v>
      </c>
    </row>
    <row r="26" spans="1:10" x14ac:dyDescent="0.35">
      <c r="A26" s="34">
        <v>126</v>
      </c>
      <c r="B26" s="34" t="s">
        <v>105</v>
      </c>
      <c r="C26" s="34" t="s">
        <v>106</v>
      </c>
      <c r="D26" s="34" t="s">
        <v>107</v>
      </c>
      <c r="E26" s="34" t="s">
        <v>108</v>
      </c>
      <c r="F26" s="35">
        <v>36066</v>
      </c>
      <c r="G26" s="34">
        <v>18</v>
      </c>
      <c r="H26" s="34">
        <v>2700</v>
      </c>
      <c r="I26" s="34">
        <v>120</v>
      </c>
      <c r="J26" s="34">
        <v>5</v>
      </c>
    </row>
    <row r="27" spans="1:10" x14ac:dyDescent="0.35">
      <c r="A27" s="34">
        <v>145</v>
      </c>
      <c r="B27" s="34" t="s">
        <v>50</v>
      </c>
      <c r="C27" s="34" t="s">
        <v>109</v>
      </c>
      <c r="D27" s="34" t="s">
        <v>110</v>
      </c>
      <c r="E27" s="36"/>
      <c r="F27" s="35">
        <v>35339</v>
      </c>
      <c r="G27" s="34">
        <v>15</v>
      </c>
      <c r="H27" s="34">
        <v>14000</v>
      </c>
      <c r="I27" s="34">
        <v>100</v>
      </c>
      <c r="J27" s="34">
        <v>8</v>
      </c>
    </row>
    <row r="28" spans="1:10" x14ac:dyDescent="0.35">
      <c r="A28" s="34">
        <v>146</v>
      </c>
      <c r="B28" s="34" t="s">
        <v>85</v>
      </c>
      <c r="C28" s="34" t="s">
        <v>111</v>
      </c>
      <c r="D28" s="34" t="s">
        <v>112</v>
      </c>
      <c r="E28" s="36"/>
      <c r="F28" s="35">
        <v>35435</v>
      </c>
      <c r="G28" s="34">
        <v>15</v>
      </c>
      <c r="H28" s="34">
        <v>13500</v>
      </c>
      <c r="I28" s="34">
        <v>100</v>
      </c>
      <c r="J28" s="34">
        <v>8</v>
      </c>
    </row>
    <row r="29" spans="1:10" x14ac:dyDescent="0.35">
      <c r="A29" s="34">
        <v>176</v>
      </c>
      <c r="B29" s="34" t="s">
        <v>113</v>
      </c>
      <c r="C29" s="34" t="s">
        <v>114</v>
      </c>
      <c r="D29" s="34" t="s">
        <v>115</v>
      </c>
      <c r="E29" s="36"/>
      <c r="F29" s="35">
        <v>35878</v>
      </c>
      <c r="G29" s="34">
        <v>16</v>
      </c>
      <c r="H29" s="34">
        <v>8600</v>
      </c>
      <c r="I29" s="34">
        <v>100</v>
      </c>
      <c r="J29" s="34">
        <v>8</v>
      </c>
    </row>
    <row r="30" spans="1:10" x14ac:dyDescent="0.35">
      <c r="A30" s="34">
        <v>177</v>
      </c>
      <c r="B30" s="34" t="s">
        <v>116</v>
      </c>
      <c r="C30" s="34" t="s">
        <v>117</v>
      </c>
      <c r="D30" s="34" t="s">
        <v>118</v>
      </c>
      <c r="E30" s="36"/>
      <c r="F30" s="35">
        <v>35908</v>
      </c>
      <c r="G30" s="34">
        <v>16</v>
      </c>
      <c r="H30" s="34">
        <v>8400</v>
      </c>
      <c r="I30" s="34">
        <v>100</v>
      </c>
      <c r="J30" s="34">
        <v>8</v>
      </c>
    </row>
    <row r="31" spans="1:10" x14ac:dyDescent="0.35">
      <c r="A31" s="34">
        <v>178</v>
      </c>
      <c r="B31" s="34" t="s">
        <v>119</v>
      </c>
      <c r="C31" s="34" t="s">
        <v>120</v>
      </c>
      <c r="D31" s="34" t="s">
        <v>121</v>
      </c>
      <c r="E31" s="36"/>
      <c r="F31" s="35">
        <v>36304</v>
      </c>
      <c r="G31" s="34">
        <v>16</v>
      </c>
      <c r="H31" s="34">
        <v>7000</v>
      </c>
      <c r="I31" s="34">
        <v>100</v>
      </c>
      <c r="J31" s="34">
        <v>8</v>
      </c>
    </row>
    <row r="32" spans="1:10" x14ac:dyDescent="0.35">
      <c r="A32" s="34">
        <v>179</v>
      </c>
      <c r="B32" s="34" t="s">
        <v>122</v>
      </c>
      <c r="C32" s="34" t="s">
        <v>123</v>
      </c>
      <c r="D32" s="34" t="s">
        <v>124</v>
      </c>
      <c r="E32" s="36"/>
      <c r="F32" s="35">
        <v>36529</v>
      </c>
      <c r="G32" s="34">
        <v>16</v>
      </c>
      <c r="H32" s="34">
        <v>6200</v>
      </c>
      <c r="I32" s="34">
        <v>100</v>
      </c>
      <c r="J32" s="34">
        <v>8</v>
      </c>
    </row>
    <row r="33" spans="1:10" x14ac:dyDescent="0.35">
      <c r="A33" s="34">
        <v>192</v>
      </c>
      <c r="B33" s="34" t="s">
        <v>125</v>
      </c>
      <c r="C33" s="34" t="s">
        <v>126</v>
      </c>
      <c r="D33" s="34" t="s">
        <v>127</v>
      </c>
      <c r="E33" s="34" t="s">
        <v>128</v>
      </c>
      <c r="F33" s="35">
        <v>35099</v>
      </c>
      <c r="G33" s="34">
        <v>17</v>
      </c>
      <c r="H33" s="34">
        <v>4000</v>
      </c>
      <c r="I33" s="34">
        <v>123</v>
      </c>
      <c r="J33" s="34">
        <v>5</v>
      </c>
    </row>
    <row r="34" spans="1:10" x14ac:dyDescent="0.35">
      <c r="A34" s="34">
        <v>193</v>
      </c>
      <c r="B34" s="34" t="s">
        <v>129</v>
      </c>
      <c r="C34" s="34" t="s">
        <v>130</v>
      </c>
      <c r="D34" s="34" t="s">
        <v>131</v>
      </c>
      <c r="E34" s="34" t="s">
        <v>132</v>
      </c>
      <c r="F34" s="35">
        <v>35492</v>
      </c>
      <c r="G34" s="34">
        <v>17</v>
      </c>
      <c r="H34" s="34">
        <v>3900</v>
      </c>
      <c r="I34" s="34">
        <v>123</v>
      </c>
      <c r="J34" s="34">
        <v>5</v>
      </c>
    </row>
    <row r="35" spans="1:10" x14ac:dyDescent="0.35">
      <c r="A35" s="34">
        <v>200</v>
      </c>
      <c r="B35" s="34" t="s">
        <v>133</v>
      </c>
      <c r="C35" s="34" t="s">
        <v>134</v>
      </c>
      <c r="D35" s="34" t="s">
        <v>135</v>
      </c>
      <c r="E35" s="34" t="s">
        <v>136</v>
      </c>
      <c r="F35" s="35">
        <v>32037</v>
      </c>
      <c r="G35" s="34">
        <v>3</v>
      </c>
      <c r="H35" s="34">
        <v>4400</v>
      </c>
      <c r="I35" s="34">
        <v>101</v>
      </c>
      <c r="J35" s="34">
        <v>1</v>
      </c>
    </row>
    <row r="36" spans="1:10" x14ac:dyDescent="0.35">
      <c r="A36" s="34">
        <v>201</v>
      </c>
      <c r="B36" s="34" t="s">
        <v>137</v>
      </c>
      <c r="C36" s="34" t="s">
        <v>138</v>
      </c>
      <c r="D36" s="34" t="s">
        <v>139</v>
      </c>
      <c r="E36" s="34" t="s">
        <v>140</v>
      </c>
      <c r="F36" s="35">
        <v>35112</v>
      </c>
      <c r="G36" s="34">
        <v>10</v>
      </c>
      <c r="H36" s="34">
        <v>13000</v>
      </c>
      <c r="I36" s="34">
        <v>100</v>
      </c>
      <c r="J36" s="34">
        <v>2</v>
      </c>
    </row>
    <row r="37" spans="1:10" x14ac:dyDescent="0.35">
      <c r="A37" s="34">
        <v>202</v>
      </c>
      <c r="B37" s="34" t="s">
        <v>141</v>
      </c>
      <c r="C37" s="34" t="s">
        <v>142</v>
      </c>
      <c r="D37" s="34" t="s">
        <v>143</v>
      </c>
      <c r="E37" s="34" t="s">
        <v>144</v>
      </c>
      <c r="F37" s="35">
        <v>35659</v>
      </c>
      <c r="G37" s="34">
        <v>11</v>
      </c>
      <c r="H37" s="34">
        <v>6000</v>
      </c>
      <c r="I37" s="34">
        <v>201</v>
      </c>
      <c r="J37" s="34">
        <v>2</v>
      </c>
    </row>
    <row r="38" spans="1:10" x14ac:dyDescent="0.35">
      <c r="A38" s="34">
        <v>203</v>
      </c>
      <c r="B38" s="34" t="s">
        <v>145</v>
      </c>
      <c r="C38" s="34" t="s">
        <v>146</v>
      </c>
      <c r="D38" s="34" t="s">
        <v>147</v>
      </c>
      <c r="E38" s="34" t="s">
        <v>148</v>
      </c>
      <c r="F38" s="35">
        <v>34492</v>
      </c>
      <c r="G38" s="34">
        <v>8</v>
      </c>
      <c r="H38" s="34">
        <v>6500</v>
      </c>
      <c r="I38" s="34">
        <v>101</v>
      </c>
      <c r="J38" s="34">
        <v>4</v>
      </c>
    </row>
    <row r="39" spans="1:10" x14ac:dyDescent="0.35">
      <c r="A39" s="34">
        <v>204</v>
      </c>
      <c r="B39" s="34" t="s">
        <v>149</v>
      </c>
      <c r="C39" s="34" t="s">
        <v>150</v>
      </c>
      <c r="D39" s="34" t="s">
        <v>151</v>
      </c>
      <c r="E39" s="34" t="s">
        <v>152</v>
      </c>
      <c r="F39" s="35">
        <v>34492</v>
      </c>
      <c r="G39" s="34">
        <v>12</v>
      </c>
      <c r="H39" s="34">
        <v>10000</v>
      </c>
      <c r="I39" s="34">
        <v>101</v>
      </c>
      <c r="J39" s="34">
        <v>7</v>
      </c>
    </row>
    <row r="40" spans="1:10" x14ac:dyDescent="0.35">
      <c r="A40" s="34">
        <v>205</v>
      </c>
      <c r="B40" s="34" t="s">
        <v>153</v>
      </c>
      <c r="C40" s="34" t="s">
        <v>154</v>
      </c>
      <c r="D40" s="34" t="s">
        <v>155</v>
      </c>
      <c r="E40" s="34" t="s">
        <v>156</v>
      </c>
      <c r="F40" s="35">
        <v>34492</v>
      </c>
      <c r="G40" s="34">
        <v>2</v>
      </c>
      <c r="H40" s="34">
        <v>12000</v>
      </c>
      <c r="I40" s="34">
        <v>101</v>
      </c>
      <c r="J40" s="34">
        <v>11</v>
      </c>
    </row>
    <row r="41" spans="1:10" x14ac:dyDescent="0.35">
      <c r="A41" s="34">
        <v>206</v>
      </c>
      <c r="B41" s="34" t="s">
        <v>157</v>
      </c>
      <c r="C41" s="34" t="s">
        <v>158</v>
      </c>
      <c r="D41" s="34" t="s">
        <v>159</v>
      </c>
      <c r="E41" s="34" t="s">
        <v>160</v>
      </c>
      <c r="F41" s="35">
        <v>34492</v>
      </c>
      <c r="G41" s="34">
        <v>1</v>
      </c>
      <c r="H41" s="34">
        <v>8300</v>
      </c>
      <c r="I41" s="34">
        <v>205</v>
      </c>
      <c r="J41" s="34">
        <v>11</v>
      </c>
    </row>
  </sheetData>
  <conditionalFormatting sqref="A2:J41">
    <cfRule type="expression" dxfId="636" priority="1">
      <formula>$H2=MAX(IF($J$2:$J$41=$J2,$H$2:$H$41))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257D0-4D50-431E-9791-936CC62CE49C}">
  <sheetPr>
    <tabColor rgb="FFFFC000"/>
  </sheetPr>
  <dimension ref="A2:I15"/>
  <sheetViews>
    <sheetView showGridLines="0" workbookViewId="0">
      <selection activeCell="E3" sqref="E3"/>
    </sheetView>
  </sheetViews>
  <sheetFormatPr defaultRowHeight="14.5" x14ac:dyDescent="0.35"/>
  <cols>
    <col min="1" max="1" width="14.7265625" bestFit="1" customWidth="1"/>
    <col min="2" max="2" width="17.90625" bestFit="1" customWidth="1"/>
    <col min="3" max="3" width="5.81640625" bestFit="1" customWidth="1"/>
    <col min="4" max="4" width="7.54296875" bestFit="1" customWidth="1"/>
    <col min="5" max="5" width="10.1796875" bestFit="1" customWidth="1"/>
    <col min="6" max="6" width="10.36328125" bestFit="1" customWidth="1"/>
    <col min="8" max="8" width="15.6328125" bestFit="1" customWidth="1"/>
    <col min="9" max="9" width="19.08984375" bestFit="1" customWidth="1"/>
  </cols>
  <sheetData>
    <row r="2" spans="1:9" x14ac:dyDescent="0.35">
      <c r="A2" t="s">
        <v>264</v>
      </c>
      <c r="H2" t="s">
        <v>266</v>
      </c>
    </row>
    <row r="3" spans="1:9" x14ac:dyDescent="0.35">
      <c r="A3" s="41" t="s">
        <v>257</v>
      </c>
      <c r="B3" s="41" t="s">
        <v>263</v>
      </c>
      <c r="C3" s="41"/>
      <c r="D3" s="41"/>
      <c r="E3" s="41"/>
      <c r="F3" s="41"/>
      <c r="H3" s="41" t="s">
        <v>255</v>
      </c>
      <c r="I3" s="41" t="s">
        <v>265</v>
      </c>
    </row>
    <row r="4" spans="1:9" x14ac:dyDescent="0.35">
      <c r="A4" s="41" t="s">
        <v>255</v>
      </c>
      <c r="B4" s="41" t="s">
        <v>171</v>
      </c>
      <c r="C4" s="41" t="s">
        <v>170</v>
      </c>
      <c r="D4" s="41" t="s">
        <v>172</v>
      </c>
      <c r="E4" s="41" t="s">
        <v>165</v>
      </c>
      <c r="F4" s="41" t="s">
        <v>256</v>
      </c>
      <c r="H4" s="41" t="s">
        <v>167</v>
      </c>
      <c r="I4" s="42">
        <v>7</v>
      </c>
    </row>
    <row r="5" spans="1:9" x14ac:dyDescent="0.35">
      <c r="A5" s="41" t="s">
        <v>10</v>
      </c>
      <c r="B5" s="42">
        <v>24000</v>
      </c>
      <c r="C5" s="42"/>
      <c r="D5" s="42"/>
      <c r="E5" s="42"/>
      <c r="F5" s="42">
        <v>24000</v>
      </c>
      <c r="H5" s="41" t="s">
        <v>165</v>
      </c>
      <c r="I5" s="42">
        <v>6</v>
      </c>
    </row>
    <row r="6" spans="1:9" x14ac:dyDescent="0.35">
      <c r="A6" s="41" t="s">
        <v>14</v>
      </c>
      <c r="B6" s="42">
        <v>17000</v>
      </c>
      <c r="C6" s="42"/>
      <c r="D6" s="42"/>
      <c r="E6" s="42"/>
      <c r="F6" s="42">
        <v>17000</v>
      </c>
      <c r="H6" s="41" t="s">
        <v>170</v>
      </c>
      <c r="I6" s="42">
        <v>6</v>
      </c>
    </row>
    <row r="7" spans="1:9" x14ac:dyDescent="0.35">
      <c r="A7" s="41" t="s">
        <v>18</v>
      </c>
      <c r="B7" s="42">
        <v>17000</v>
      </c>
      <c r="C7" s="42"/>
      <c r="D7" s="42"/>
      <c r="E7" s="42"/>
      <c r="F7" s="42">
        <v>17000</v>
      </c>
      <c r="H7" s="41" t="s">
        <v>172</v>
      </c>
      <c r="I7" s="42">
        <v>6</v>
      </c>
    </row>
    <row r="8" spans="1:9" x14ac:dyDescent="0.35">
      <c r="A8" s="41" t="s">
        <v>50</v>
      </c>
      <c r="B8" s="42"/>
      <c r="C8" s="42">
        <v>14000</v>
      </c>
      <c r="D8" s="42">
        <v>8200</v>
      </c>
      <c r="E8" s="42"/>
      <c r="F8" s="42">
        <v>22200</v>
      </c>
      <c r="H8" s="41" t="s">
        <v>168</v>
      </c>
      <c r="I8" s="42">
        <v>5</v>
      </c>
    </row>
    <row r="9" spans="1:9" x14ac:dyDescent="0.35">
      <c r="A9" s="41" t="s">
        <v>85</v>
      </c>
      <c r="B9" s="42"/>
      <c r="C9" s="42">
        <v>13500</v>
      </c>
      <c r="D9" s="42"/>
      <c r="E9" s="42">
        <v>2500</v>
      </c>
      <c r="F9" s="42">
        <v>16000</v>
      </c>
      <c r="H9" s="41" t="s">
        <v>171</v>
      </c>
      <c r="I9" s="42">
        <v>3</v>
      </c>
    </row>
    <row r="10" spans="1:9" x14ac:dyDescent="0.35">
      <c r="A10" s="41" t="s">
        <v>256</v>
      </c>
      <c r="B10" s="42">
        <v>58000</v>
      </c>
      <c r="C10" s="42">
        <v>27500</v>
      </c>
      <c r="D10" s="42">
        <v>8200</v>
      </c>
      <c r="E10" s="42">
        <v>2500</v>
      </c>
      <c r="F10" s="42">
        <v>96200</v>
      </c>
      <c r="H10" s="41" t="s">
        <v>164</v>
      </c>
      <c r="I10" s="42">
        <v>2</v>
      </c>
    </row>
    <row r="11" spans="1:9" x14ac:dyDescent="0.35">
      <c r="H11" s="41" t="s">
        <v>173</v>
      </c>
      <c r="I11" s="42">
        <v>2</v>
      </c>
    </row>
    <row r="12" spans="1:9" x14ac:dyDescent="0.35">
      <c r="H12" s="41" t="s">
        <v>163</v>
      </c>
      <c r="I12" s="42">
        <v>1</v>
      </c>
    </row>
    <row r="13" spans="1:9" x14ac:dyDescent="0.35">
      <c r="H13" s="41" t="s">
        <v>166</v>
      </c>
      <c r="I13" s="42">
        <v>1</v>
      </c>
    </row>
    <row r="14" spans="1:9" x14ac:dyDescent="0.35">
      <c r="H14" s="41" t="s">
        <v>169</v>
      </c>
      <c r="I14" s="42">
        <v>1</v>
      </c>
    </row>
    <row r="15" spans="1:9" x14ac:dyDescent="0.35">
      <c r="H15" s="41" t="s">
        <v>256</v>
      </c>
      <c r="I15" s="42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85DF-AA91-4266-A70A-13D25D96B206}">
  <sheetPr>
    <tabColor theme="8" tint="0.79998168889431442"/>
  </sheetPr>
  <dimension ref="A1:V20"/>
  <sheetViews>
    <sheetView showGridLines="0" zoomScale="80" zoomScaleNormal="80" workbookViewId="0">
      <selection activeCell="M19" sqref="M19"/>
    </sheetView>
  </sheetViews>
  <sheetFormatPr defaultRowHeight="14.5" x14ac:dyDescent="0.35"/>
  <sheetData>
    <row r="1" spans="1:22" x14ac:dyDescent="0.3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2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</row>
    <row r="3" spans="1:22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</row>
    <row r="4" spans="1:22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</row>
    <row r="5" spans="1:22" x14ac:dyDescent="0.3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</row>
    <row r="6" spans="1:22" x14ac:dyDescent="0.3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</row>
    <row r="7" spans="1:22" x14ac:dyDescent="0.3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22" x14ac:dyDescent="0.3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22" x14ac:dyDescent="0.3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</row>
    <row r="10" spans="1:22" x14ac:dyDescent="0.3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</row>
    <row r="11" spans="1:22" x14ac:dyDescent="0.3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</row>
    <row r="12" spans="1:22" x14ac:dyDescent="0.3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</row>
    <row r="13" spans="1:22" x14ac:dyDescent="0.3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</row>
    <row r="14" spans="1:22" x14ac:dyDescent="0.3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</row>
    <row r="15" spans="1:22" x14ac:dyDescent="0.3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</row>
    <row r="16" spans="1:22" x14ac:dyDescent="0.3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</row>
    <row r="17" spans="1:22" x14ac:dyDescent="0.3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</row>
    <row r="18" spans="1:22" x14ac:dyDescent="0.3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</row>
    <row r="19" spans="1:22" x14ac:dyDescent="0.3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</row>
    <row r="20" spans="1:22" x14ac:dyDescent="0.3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6C6DBF4-7DCC-4356-ACA7-2707D79166E0}">
  <ds:schemaRefs/>
</ds:datastoreItem>
</file>

<file path=customXml/itemProps2.xml><?xml version="1.0" encoding="utf-8"?>
<ds:datastoreItem xmlns:ds="http://schemas.openxmlformats.org/officeDocument/2006/customXml" ds:itemID="{EF2F39F7-8047-4BD2-ABF9-461D72D3BB46}">
  <ds:schemaRefs/>
</ds:datastoreItem>
</file>

<file path=customXml/itemProps3.xml><?xml version="1.0" encoding="utf-8"?>
<ds:datastoreItem xmlns:ds="http://schemas.openxmlformats.org/officeDocument/2006/customXml" ds:itemID="{A4DB5D24-1C07-46F2-9D9D-4584D5B8DD81}">
  <ds:schemaRefs/>
</ds:datastoreItem>
</file>

<file path=customXml/itemProps4.xml><?xml version="1.0" encoding="utf-8"?>
<ds:datastoreItem xmlns:ds="http://schemas.openxmlformats.org/officeDocument/2006/customXml" ds:itemID="{DA386E52-BFB8-4F09-9EB2-253CAA503E84}">
  <ds:schemaRefs/>
</ds:datastoreItem>
</file>

<file path=customXml/itemProps5.xml><?xml version="1.0" encoding="utf-8"?>
<ds:datastoreItem xmlns:ds="http://schemas.openxmlformats.org/officeDocument/2006/customXml" ds:itemID="{4E088E86-7E1D-4D44-9C1F-DDCADB45A584}">
  <ds:schemaRefs/>
</ds:datastoreItem>
</file>

<file path=customXml/itemProps6.xml><?xml version="1.0" encoding="utf-8"?>
<ds:datastoreItem xmlns:ds="http://schemas.openxmlformats.org/officeDocument/2006/customXml" ds:itemID="{327B4DCE-B50F-4723-B8E2-91E8EDB45C31}">
  <ds:schemaRefs/>
</ds:datastoreItem>
</file>

<file path=customXml/itemProps7.xml><?xml version="1.0" encoding="utf-8"?>
<ds:datastoreItem xmlns:ds="http://schemas.openxmlformats.org/officeDocument/2006/customXml" ds:itemID="{926DE387-BFDD-433E-B06E-FC2FE0787389}">
  <ds:schemaRefs/>
</ds:datastoreItem>
</file>

<file path=customXml/itemProps8.xml><?xml version="1.0" encoding="utf-8"?>
<ds:datastoreItem xmlns:ds="http://schemas.openxmlformats.org/officeDocument/2006/customXml" ds:itemID="{A0D8B65E-50D7-4711-9D90-2395656BBAD3}">
  <ds:schemaRefs/>
</ds:datastoreItem>
</file>

<file path=customXml/itemProps9.xml><?xml version="1.0" encoding="utf-8"?>
<ds:datastoreItem xmlns:ds="http://schemas.openxmlformats.org/officeDocument/2006/customXml" ds:itemID="{58EC10A4-778C-4AB4-BBD4-5A4949ECB64B}">
  <ds:schemaRefs/>
</ds:datastoreItem>
</file>

<file path=customXml/itemProps10.xml><?xml version="1.0" encoding="utf-8"?>
<ds:datastoreItem xmlns:ds="http://schemas.openxmlformats.org/officeDocument/2006/customXml" ds:itemID="{687D3780-D15F-423C-9EB2-37344C13060D}">
  <ds:schemaRefs/>
</ds:datastoreItem>
</file>

<file path=customXml/itemProps11.xml><?xml version="1.0" encoding="utf-8"?>
<ds:datastoreItem xmlns:ds="http://schemas.openxmlformats.org/officeDocument/2006/customXml" ds:itemID="{C587D378-383F-48D3-A145-500CC443D271}">
  <ds:schemaRefs/>
</ds:datastoreItem>
</file>

<file path=customXml/itemProps12.xml><?xml version="1.0" encoding="utf-8"?>
<ds:datastoreItem xmlns:ds="http://schemas.openxmlformats.org/officeDocument/2006/customXml" ds:itemID="{F1A256B1-6F6B-40CE-84AE-05FA512C22EB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74F386CF-A544-4BB6-A116-2EC7624CA075}">
  <ds:schemaRefs/>
</ds:datastoreItem>
</file>

<file path=customXml/itemProps14.xml><?xml version="1.0" encoding="utf-8"?>
<ds:datastoreItem xmlns:ds="http://schemas.openxmlformats.org/officeDocument/2006/customXml" ds:itemID="{7508596C-0E03-401D-AEA0-95E0192C648A}">
  <ds:schemaRefs/>
</ds:datastoreItem>
</file>

<file path=customXml/itemProps15.xml><?xml version="1.0" encoding="utf-8"?>
<ds:datastoreItem xmlns:ds="http://schemas.openxmlformats.org/officeDocument/2006/customXml" ds:itemID="{9152D96C-5153-47AF-904A-520F69E25A7D}">
  <ds:schemaRefs/>
</ds:datastoreItem>
</file>

<file path=customXml/itemProps16.xml><?xml version="1.0" encoding="utf-8"?>
<ds:datastoreItem xmlns:ds="http://schemas.openxmlformats.org/officeDocument/2006/customXml" ds:itemID="{ADE4B58A-5215-4D06-AF50-035FD2A1878D}">
  <ds:schemaRefs/>
</ds:datastoreItem>
</file>

<file path=customXml/itemProps17.xml><?xml version="1.0" encoding="utf-8"?>
<ds:datastoreItem xmlns:ds="http://schemas.openxmlformats.org/officeDocument/2006/customXml" ds:itemID="{A4C4BD03-652B-4EB7-B99B-3D61A5A84387}">
  <ds:schemaRefs/>
</ds:datastoreItem>
</file>

<file path=customXml/itemProps18.xml><?xml version="1.0" encoding="utf-8"?>
<ds:datastoreItem xmlns:ds="http://schemas.openxmlformats.org/officeDocument/2006/customXml" ds:itemID="{CF4869AB-E516-4244-BC56-0695E9131F4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Employee</vt:lpstr>
      <vt:lpstr>Department</vt:lpstr>
      <vt:lpstr>1 Conditional Formating</vt:lpstr>
      <vt:lpstr>2 Data Validation</vt:lpstr>
      <vt:lpstr>3 Power Query</vt:lpstr>
      <vt:lpstr>4 Power Pivot</vt:lpstr>
      <vt:lpstr>5 Average Salary</vt:lpstr>
      <vt:lpstr>6 Employee Table</vt:lpstr>
      <vt:lpstr>7 Filter</vt:lpstr>
      <vt:lpstr>8 Macro</vt:lpstr>
      <vt:lpstr>9 Name Range</vt:lpstr>
      <vt:lpstr>10 Conditional Formating Salary</vt:lpstr>
      <vt:lpstr>Pivot Table</vt:lpstr>
      <vt:lpstr>Dashboard</vt:lpstr>
      <vt:lpstr>salary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Kant</dc:creator>
  <cp:lastModifiedBy>Ravi Kant</cp:lastModifiedBy>
  <dcterms:created xsi:type="dcterms:W3CDTF">2025-07-18T04:17:42Z</dcterms:created>
  <dcterms:modified xsi:type="dcterms:W3CDTF">2025-09-05T16:17:04Z</dcterms:modified>
</cp:coreProperties>
</file>